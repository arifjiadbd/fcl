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<sst xmlns="http://schemas.openxmlformats.org/spreadsheetml/2006/main" count="9431" uniqueCount="1108">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</sst>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G215" sqref="AG215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461</v>
      </c>
      <c r="C1" s="5" t="s">
        <v>462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465</v>
      </c>
      <c r="N1" s="5" t="s">
        <v>466</v>
      </c>
      <c r="O1" s="5" t="s">
        <v>463</v>
      </c>
      <c r="P1" s="5" t="s">
        <v>464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467</v>
      </c>
      <c r="AC1" s="6" t="s">
        <v>468</v>
      </c>
      <c r="AD1" s="5" t="s">
        <v>469</v>
      </c>
      <c r="AE1" s="5" t="s">
        <v>470</v>
      </c>
      <c r="AF1" s="5" t="s">
        <v>471</v>
      </c>
      <c r="AG1" s="5" t="s">
        <v>635</v>
      </c>
      <c r="AH1" s="35" t="s">
        <v>1095</v>
      </c>
      <c r="AJ1" s="3" t="s">
        <v>1092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455</v>
      </c>
      <c r="AA2" s="9">
        <v>2</v>
      </c>
      <c r="AB2" s="38">
        <v>41699</v>
      </c>
      <c r="AC2" s="9" t="s">
        <v>472</v>
      </c>
      <c r="AD2" s="9" t="s">
        <v>473</v>
      </c>
      <c r="AE2" s="2">
        <v>134</v>
      </c>
      <c r="AF2" s="2">
        <v>27</v>
      </c>
      <c r="AG2"/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455</v>
      </c>
      <c r="AA3" s="9">
        <v>2</v>
      </c>
      <c r="AB3" s="38">
        <v>41699</v>
      </c>
      <c r="AC3" s="9" t="s">
        <v>472</v>
      </c>
      <c r="AD3" s="9" t="s">
        <v>474</v>
      </c>
      <c r="AE3" s="2">
        <v>253</v>
      </c>
      <c r="AF3" s="2">
        <v>22</v>
      </c>
      <c r="AG3"/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455</v>
      </c>
      <c r="AA4" s="9">
        <v>1</v>
      </c>
      <c r="AB4" s="38">
        <v>41456</v>
      </c>
      <c r="AC4" s="9" t="s">
        <v>475</v>
      </c>
      <c r="AD4" s="9" t="s">
        <v>476</v>
      </c>
      <c r="AE4" s="2">
        <v>301</v>
      </c>
      <c r="AF4" s="2">
        <v>19</v>
      </c>
      <c r="AG4"/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455</v>
      </c>
      <c r="AA5" s="9">
        <v>3</v>
      </c>
      <c r="AB5" s="38">
        <v>41456</v>
      </c>
      <c r="AC5" s="9" t="s">
        <v>477</v>
      </c>
      <c r="AD5" s="9" t="s">
        <v>478</v>
      </c>
      <c r="AE5" s="2">
        <v>208</v>
      </c>
      <c r="AF5" s="2">
        <v>19</v>
      </c>
      <c r="AG5"/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456</v>
      </c>
      <c r="AA6" s="9">
        <v>5</v>
      </c>
      <c r="AB6" s="38">
        <v>41395</v>
      </c>
      <c r="AC6" s="9" t="s">
        <v>479</v>
      </c>
      <c r="AD6" s="9" t="s">
        <v>480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455</v>
      </c>
      <c r="AA7" s="9">
        <v>2</v>
      </c>
      <c r="AB7" s="38">
        <v>41456</v>
      </c>
      <c r="AC7" s="9" t="s">
        <v>475</v>
      </c>
      <c r="AD7" s="9" t="s">
        <v>481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457</v>
      </c>
      <c r="AA8" s="9">
        <v>0</v>
      </c>
      <c r="AB8" s="38">
        <v>41699</v>
      </c>
      <c r="AC8" s="9" t="s">
        <v>472</v>
      </c>
      <c r="AD8" s="9" t="s">
        <v>482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458</v>
      </c>
      <c r="AA9" s="9">
        <v>3</v>
      </c>
      <c r="AB9" s="38">
        <v>41426</v>
      </c>
      <c r="AC9" s="9" t="s">
        <v>483</v>
      </c>
      <c r="AD9" s="9" t="s">
        <v>484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457</v>
      </c>
      <c r="AA10" s="9">
        <v>0</v>
      </c>
      <c r="AB10" s="38">
        <v>42675</v>
      </c>
      <c r="AC10" s="9" t="s">
        <v>485</v>
      </c>
      <c r="AD10" s="9" t="s">
        <v>486</v>
      </c>
      <c r="AE10" s="2">
        <v>145</v>
      </c>
      <c r="AF10" s="2">
        <v>6</v>
      </c>
      <c r="AG10"/>
    </row>
    <row r="11" spans="1:36" ht="15" hidden="1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455</v>
      </c>
      <c r="AA11" s="9">
        <v>5</v>
      </c>
      <c r="AB11" s="38">
        <v>41334</v>
      </c>
      <c r="AC11" s="9" t="s">
        <v>487</v>
      </c>
      <c r="AD11" s="9" t="s">
        <v>488</v>
      </c>
      <c r="AE11" s="2">
        <v>251</v>
      </c>
      <c r="AF11" s="2">
        <v>26</v>
      </c>
      <c r="AG11"/>
      <c r="AH11" s="34">
        <v>46307</v>
      </c>
    </row>
    <row r="12" spans="1:36" ht="15" hidden="1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455</v>
      </c>
      <c r="AA12" s="9">
        <v>4</v>
      </c>
      <c r="AB12" s="38">
        <v>41456</v>
      </c>
      <c r="AC12" s="9" t="s">
        <v>475</v>
      </c>
      <c r="AD12" s="9" t="s">
        <v>489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456</v>
      </c>
      <c r="AA13" s="9">
        <v>0</v>
      </c>
      <c r="AB13" s="38">
        <v>41456</v>
      </c>
      <c r="AC13" s="9" t="s">
        <v>475</v>
      </c>
      <c r="AD13" s="9" t="s">
        <v>490</v>
      </c>
      <c r="AE13" s="2">
        <v>53</v>
      </c>
      <c r="AF13" s="2">
        <v>4</v>
      </c>
      <c r="AG13"/>
    </row>
    <row r="14" spans="1:36" ht="15" hidden="1" customHeight="1" x14ac:dyDescent="0.25">
      <c r="A14" s="9">
        <v>13</v>
      </c>
      <c r="B14" s="9" t="s">
        <v>52</v>
      </c>
      <c r="C14" s="9" t="s">
        <v>1096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456</v>
      </c>
      <c r="AA14" s="9">
        <v>4</v>
      </c>
      <c r="AB14" s="38">
        <v>41487</v>
      </c>
      <c r="AC14" s="9" t="s">
        <v>491</v>
      </c>
      <c r="AD14" s="9" t="s">
        <v>492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456</v>
      </c>
      <c r="AA15" s="9">
        <v>1</v>
      </c>
      <c r="AB15" s="38">
        <v>43952</v>
      </c>
      <c r="AC15" s="9" t="s">
        <v>493</v>
      </c>
      <c r="AD15" s="9" t="s">
        <v>494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456</v>
      </c>
      <c r="AA16" s="9">
        <v>0</v>
      </c>
      <c r="AB16" s="38">
        <v>44013</v>
      </c>
      <c r="AC16" s="9" t="s">
        <v>495</v>
      </c>
      <c r="AD16" s="9" t="s">
        <v>496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457</v>
      </c>
      <c r="AA17" s="9">
        <v>0</v>
      </c>
      <c r="AB17" s="38">
        <v>42401</v>
      </c>
      <c r="AC17" s="9" t="s">
        <v>497</v>
      </c>
      <c r="AD17" s="9" t="s">
        <v>498</v>
      </c>
      <c r="AE17" s="2">
        <v>66</v>
      </c>
      <c r="AF17" s="2">
        <v>4</v>
      </c>
      <c r="AG17"/>
    </row>
    <row r="18" spans="1:34" ht="15" hidden="1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459</v>
      </c>
      <c r="AA18" s="9">
        <v>7</v>
      </c>
      <c r="AB18" s="38">
        <v>41334</v>
      </c>
      <c r="AC18" s="9" t="s">
        <v>487</v>
      </c>
      <c r="AD18" s="9" t="s">
        <v>499</v>
      </c>
      <c r="AE18" s="2">
        <v>301</v>
      </c>
      <c r="AF18" s="2">
        <v>23</v>
      </c>
      <c r="AG18"/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455</v>
      </c>
      <c r="AA19" s="9">
        <v>5</v>
      </c>
      <c r="AB19" s="38">
        <v>41548</v>
      </c>
      <c r="AC19" s="9" t="s">
        <v>500</v>
      </c>
      <c r="AD19" s="9" t="s">
        <v>501</v>
      </c>
      <c r="AE19" s="2">
        <v>278</v>
      </c>
      <c r="AF19" s="2">
        <v>22</v>
      </c>
      <c r="AG19" t="s">
        <v>1099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455</v>
      </c>
      <c r="AA20" s="9">
        <v>1</v>
      </c>
      <c r="AB20" s="38">
        <v>41609</v>
      </c>
      <c r="AC20" s="9" t="s">
        <v>502</v>
      </c>
      <c r="AD20" s="9" t="s">
        <v>503</v>
      </c>
      <c r="AE20" s="2">
        <v>301</v>
      </c>
      <c r="AF20" s="2">
        <v>19</v>
      </c>
      <c r="AG20" t="s">
        <v>1101</v>
      </c>
      <c r="AH20" s="34">
        <v>46054</v>
      </c>
    </row>
    <row r="21" spans="1:34" ht="15" hidden="1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455</v>
      </c>
      <c r="AA21" s="9">
        <v>3</v>
      </c>
      <c r="AB21" s="38">
        <v>41334</v>
      </c>
      <c r="AC21" s="9" t="s">
        <v>487</v>
      </c>
      <c r="AD21" s="9" t="s">
        <v>504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458</v>
      </c>
      <c r="AA22" s="9">
        <v>1</v>
      </c>
      <c r="AB22" s="38">
        <v>43952</v>
      </c>
      <c r="AC22" s="9" t="s">
        <v>493</v>
      </c>
      <c r="AD22" s="9" t="s">
        <v>505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455</v>
      </c>
      <c r="AA23" s="9">
        <v>5</v>
      </c>
      <c r="AB23" s="38">
        <v>41365</v>
      </c>
      <c r="AC23" s="9" t="s">
        <v>506</v>
      </c>
      <c r="AD23" s="9" t="s">
        <v>507</v>
      </c>
      <c r="AE23" s="2">
        <v>256</v>
      </c>
      <c r="AF23" s="2">
        <v>23</v>
      </c>
      <c r="AG23" s="1" t="s">
        <v>1102</v>
      </c>
    </row>
    <row r="24" spans="1:34" ht="15" hidden="1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457</v>
      </c>
      <c r="AA24" s="9">
        <v>4</v>
      </c>
      <c r="AB24" s="38">
        <v>41395</v>
      </c>
      <c r="AC24" s="9" t="s">
        <v>479</v>
      </c>
      <c r="AD24" s="9" t="s">
        <v>508</v>
      </c>
      <c r="AE24" s="2">
        <v>268</v>
      </c>
      <c r="AF24" s="2">
        <v>12</v>
      </c>
      <c r="AG24"/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457</v>
      </c>
      <c r="AA25" s="9">
        <v>1</v>
      </c>
      <c r="AB25" s="38">
        <v>41456</v>
      </c>
      <c r="AC25" s="9" t="s">
        <v>475</v>
      </c>
      <c r="AD25" s="9" t="s">
        <v>509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455</v>
      </c>
      <c r="AA26" s="9">
        <v>2</v>
      </c>
      <c r="AB26" s="38">
        <v>41791</v>
      </c>
      <c r="AC26" s="9" t="s">
        <v>510</v>
      </c>
      <c r="AD26" s="9" t="s">
        <v>511</v>
      </c>
      <c r="AE26" s="2">
        <v>226</v>
      </c>
      <c r="AF26" s="2">
        <v>14</v>
      </c>
      <c r="AG26"/>
    </row>
    <row r="27" spans="1:34" ht="15" hidden="1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455</v>
      </c>
      <c r="AA27" s="9">
        <v>4</v>
      </c>
      <c r="AB27" s="38">
        <v>42125</v>
      </c>
      <c r="AC27" s="9" t="s">
        <v>512</v>
      </c>
      <c r="AD27" s="9" t="s">
        <v>513</v>
      </c>
      <c r="AE27" s="2">
        <v>230</v>
      </c>
      <c r="AF27" s="2">
        <v>18</v>
      </c>
      <c r="AG27"/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455</v>
      </c>
      <c r="AA28" s="9">
        <v>6</v>
      </c>
      <c r="AB28" s="38">
        <v>41395</v>
      </c>
      <c r="AC28" s="9" t="s">
        <v>479</v>
      </c>
      <c r="AD28" s="9" t="s">
        <v>508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458</v>
      </c>
      <c r="AA29" s="9">
        <v>1</v>
      </c>
      <c r="AB29" s="38">
        <v>43040</v>
      </c>
      <c r="AC29" s="9" t="s">
        <v>514</v>
      </c>
      <c r="AD29" s="9" t="s">
        <v>515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455</v>
      </c>
      <c r="AA30" s="9">
        <v>3</v>
      </c>
      <c r="AB30" s="38">
        <v>41609</v>
      </c>
      <c r="AC30" s="9" t="s">
        <v>502</v>
      </c>
      <c r="AD30" s="9" t="s">
        <v>516</v>
      </c>
      <c r="AE30" s="2">
        <v>224</v>
      </c>
      <c r="AF30" s="2">
        <v>22</v>
      </c>
      <c r="AG30" t="s">
        <v>1094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455</v>
      </c>
      <c r="AA31" s="9">
        <v>0</v>
      </c>
      <c r="AB31" s="38">
        <v>44013</v>
      </c>
      <c r="AC31" s="9" t="s">
        <v>495</v>
      </c>
      <c r="AD31" s="9" t="s">
        <v>517</v>
      </c>
      <c r="AE31" s="2">
        <v>178</v>
      </c>
      <c r="AF31" s="2">
        <v>14</v>
      </c>
      <c r="AG31"/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455</v>
      </c>
      <c r="AA32" s="9">
        <v>0</v>
      </c>
      <c r="AB32" s="38">
        <v>44013</v>
      </c>
      <c r="AC32" s="9" t="s">
        <v>495</v>
      </c>
      <c r="AD32" s="9" t="s">
        <v>518</v>
      </c>
      <c r="AE32" s="2">
        <v>162</v>
      </c>
      <c r="AF32" s="2">
        <v>11</v>
      </c>
      <c r="AG32"/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455</v>
      </c>
      <c r="AA33" s="9">
        <v>2</v>
      </c>
      <c r="AB33" s="38">
        <v>42125</v>
      </c>
      <c r="AC33" s="9" t="s">
        <v>512</v>
      </c>
      <c r="AD33" s="9" t="s">
        <v>519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455</v>
      </c>
      <c r="AA34" s="9">
        <v>7</v>
      </c>
      <c r="AB34" s="38">
        <v>41334</v>
      </c>
      <c r="AC34" s="9" t="s">
        <v>487</v>
      </c>
      <c r="AD34" s="9" t="s">
        <v>499</v>
      </c>
      <c r="AE34" s="2">
        <v>411</v>
      </c>
      <c r="AF34" s="2">
        <v>36</v>
      </c>
      <c r="AG34" t="s">
        <v>1093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455</v>
      </c>
      <c r="AA35" s="9">
        <v>5</v>
      </c>
      <c r="AB35" s="38">
        <v>41334</v>
      </c>
      <c r="AC35" s="9" t="s">
        <v>487</v>
      </c>
      <c r="AD35" s="9" t="s">
        <v>504</v>
      </c>
      <c r="AE35" s="2">
        <v>241</v>
      </c>
      <c r="AF35" s="2">
        <v>29</v>
      </c>
      <c r="AG35" t="s">
        <v>1090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457</v>
      </c>
      <c r="AA36" s="9">
        <v>2</v>
      </c>
      <c r="AB36" s="38">
        <v>41609</v>
      </c>
      <c r="AC36" s="9" t="s">
        <v>502</v>
      </c>
      <c r="AD36" s="9" t="s">
        <v>520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455</v>
      </c>
      <c r="AA37" s="9">
        <v>5</v>
      </c>
      <c r="AB37" s="38">
        <v>41334</v>
      </c>
      <c r="AC37" s="9" t="s">
        <v>487</v>
      </c>
      <c r="AD37" s="9" t="s">
        <v>499</v>
      </c>
      <c r="AE37" s="2">
        <v>302</v>
      </c>
      <c r="AF37" s="2">
        <v>18</v>
      </c>
      <c r="AG37"/>
    </row>
    <row r="38" spans="1:34" ht="15" hidden="1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455</v>
      </c>
      <c r="AA38" s="9">
        <v>2</v>
      </c>
      <c r="AB38" s="38">
        <v>41609</v>
      </c>
      <c r="AC38" s="9" t="s">
        <v>502</v>
      </c>
      <c r="AD38" s="9" t="s">
        <v>521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459</v>
      </c>
      <c r="AA39" s="9">
        <v>1</v>
      </c>
      <c r="AB39" s="38">
        <v>41791</v>
      </c>
      <c r="AC39" s="9" t="s">
        <v>510</v>
      </c>
      <c r="AD39" s="9" t="s">
        <v>522</v>
      </c>
      <c r="AE39" s="2">
        <v>375</v>
      </c>
      <c r="AF39" s="2">
        <v>28</v>
      </c>
      <c r="AG39"/>
    </row>
    <row r="40" spans="1:34" ht="15" hidden="1" customHeight="1" x14ac:dyDescent="0.25">
      <c r="A40" s="9">
        <v>39</v>
      </c>
      <c r="B40" s="9" t="s">
        <v>106</v>
      </c>
      <c r="C40" s="9" t="s">
        <v>107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108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455</v>
      </c>
      <c r="AA40" s="9">
        <v>5</v>
      </c>
      <c r="AB40" s="38">
        <v>42339</v>
      </c>
      <c r="AC40" s="9" t="s">
        <v>523</v>
      </c>
      <c r="AD40" s="9" t="s">
        <v>524</v>
      </c>
      <c r="AE40" s="2">
        <v>337</v>
      </c>
      <c r="AF40" s="2">
        <v>15</v>
      </c>
      <c r="AG40"/>
      <c r="AH40" s="34">
        <v>46276</v>
      </c>
    </row>
    <row r="41" spans="1:34" ht="15" hidden="1" customHeight="1" x14ac:dyDescent="0.25">
      <c r="A41" s="9">
        <v>40</v>
      </c>
      <c r="B41" s="9" t="s">
        <v>109</v>
      </c>
      <c r="C41" s="9" t="s">
        <v>110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109</v>
      </c>
      <c r="X41" s="9">
        <v>0.96551724137931039</v>
      </c>
      <c r="Y41" s="37">
        <v>14.6</v>
      </c>
      <c r="Z41" s="9" t="s">
        <v>457</v>
      </c>
      <c r="AA41" s="9">
        <v>1</v>
      </c>
      <c r="AB41" s="38">
        <v>44013</v>
      </c>
      <c r="AC41" s="9" t="s">
        <v>495</v>
      </c>
      <c r="AD41" s="9" t="s">
        <v>525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111</v>
      </c>
      <c r="C42" s="9" t="s">
        <v>112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111</v>
      </c>
      <c r="X42" s="9">
        <v>1.3043478260869565</v>
      </c>
      <c r="Y42" s="37">
        <v>9.2727272727272734</v>
      </c>
      <c r="Z42" s="9" t="s">
        <v>458</v>
      </c>
      <c r="AA42" s="9">
        <v>0</v>
      </c>
      <c r="AB42" s="38">
        <v>44013</v>
      </c>
      <c r="AC42" s="9" t="s">
        <v>495</v>
      </c>
      <c r="AD42" s="9" t="s">
        <v>496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113</v>
      </c>
      <c r="C43" s="9" t="s">
        <v>114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113</v>
      </c>
      <c r="X43" s="36">
        <v>1.835820895522388</v>
      </c>
      <c r="Y43" s="37">
        <v>12.134146341463415</v>
      </c>
      <c r="Z43" s="9" t="s">
        <v>455</v>
      </c>
      <c r="AA43" s="9">
        <v>2</v>
      </c>
      <c r="AB43" s="38">
        <v>41334</v>
      </c>
      <c r="AC43" s="9" t="s">
        <v>487</v>
      </c>
      <c r="AD43" s="9" t="s">
        <v>488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115</v>
      </c>
      <c r="C44" s="9" t="s">
        <v>116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115</v>
      </c>
      <c r="X44" s="9">
        <v>1.2571428571428571</v>
      </c>
      <c r="Y44" s="37">
        <v>13.277173913043478</v>
      </c>
      <c r="Z44" s="9" t="s">
        <v>455</v>
      </c>
      <c r="AA44" s="9">
        <v>9</v>
      </c>
      <c r="AB44" s="38">
        <v>41699</v>
      </c>
      <c r="AC44" s="9" t="s">
        <v>472</v>
      </c>
      <c r="AD44" s="9" t="s">
        <v>473</v>
      </c>
      <c r="AE44" s="2">
        <v>340</v>
      </c>
      <c r="AF44" s="2">
        <v>16</v>
      </c>
      <c r="AG44" t="s">
        <v>1091</v>
      </c>
    </row>
    <row r="45" spans="1:34" ht="15" hidden="1" customHeight="1" x14ac:dyDescent="0.25">
      <c r="A45" s="9">
        <v>44</v>
      </c>
      <c r="B45" s="9" t="s">
        <v>117</v>
      </c>
      <c r="C45" s="9" t="s">
        <v>118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117</v>
      </c>
      <c r="X45" s="9">
        <v>1.3703703703703705</v>
      </c>
      <c r="Y45" s="37">
        <v>10.51968503937008</v>
      </c>
      <c r="Z45" s="9" t="s">
        <v>455</v>
      </c>
      <c r="AA45" s="9">
        <v>2</v>
      </c>
      <c r="AB45" s="38">
        <v>42036</v>
      </c>
      <c r="AC45" s="9" t="s">
        <v>526</v>
      </c>
      <c r="AD45" s="9" t="s">
        <v>527</v>
      </c>
      <c r="AE45" s="2">
        <v>218</v>
      </c>
      <c r="AF45" s="2">
        <v>26</v>
      </c>
    </row>
    <row r="46" spans="1:34" ht="15" hidden="1" customHeight="1" x14ac:dyDescent="0.25">
      <c r="A46" s="9">
        <v>45</v>
      </c>
      <c r="B46" s="9" t="s">
        <v>119</v>
      </c>
      <c r="C46" s="9" t="s">
        <v>120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119</v>
      </c>
      <c r="X46" s="9">
        <v>1.1666666666666667</v>
      </c>
      <c r="Y46" s="37">
        <v>11.578947368421053</v>
      </c>
      <c r="Z46" s="9" t="s">
        <v>455</v>
      </c>
      <c r="AA46" s="9">
        <v>2</v>
      </c>
      <c r="AB46" s="38">
        <v>41334</v>
      </c>
      <c r="AC46" s="9" t="s">
        <v>487</v>
      </c>
      <c r="AD46" s="9" t="s">
        <v>528</v>
      </c>
      <c r="AE46" s="2">
        <v>311</v>
      </c>
      <c r="AF46" s="2">
        <v>12</v>
      </c>
      <c r="AG46"/>
    </row>
    <row r="47" spans="1:34" ht="15" hidden="1" customHeight="1" x14ac:dyDescent="0.25">
      <c r="A47" s="9">
        <v>46</v>
      </c>
      <c r="B47" s="9" t="s">
        <v>121</v>
      </c>
      <c r="C47" s="40" t="s">
        <v>122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121</v>
      </c>
      <c r="X47" s="9">
        <v>1.075</v>
      </c>
      <c r="Y47" s="37">
        <v>12.75</v>
      </c>
      <c r="Z47" s="9" t="s">
        <v>455</v>
      </c>
      <c r="AA47" s="9">
        <v>4</v>
      </c>
      <c r="AB47" s="38">
        <v>41456</v>
      </c>
      <c r="AC47" s="9" t="s">
        <v>475</v>
      </c>
      <c r="AD47" s="9" t="s">
        <v>529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123</v>
      </c>
      <c r="C48" s="9" t="s">
        <v>124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123</v>
      </c>
      <c r="X48" s="9">
        <v>1.1981981981981982</v>
      </c>
      <c r="Y48" s="37">
        <v>13</v>
      </c>
      <c r="Z48" s="9" t="s">
        <v>455</v>
      </c>
      <c r="AA48" s="9">
        <v>3</v>
      </c>
      <c r="AB48" s="38">
        <v>41456</v>
      </c>
      <c r="AC48" s="9" t="s">
        <v>475</v>
      </c>
      <c r="AD48" s="9" t="s">
        <v>530</v>
      </c>
      <c r="AE48" s="2">
        <v>237</v>
      </c>
      <c r="AF48" s="2">
        <v>19</v>
      </c>
      <c r="AG48" t="s">
        <v>1105</v>
      </c>
      <c r="AH48" s="34">
        <v>46312</v>
      </c>
    </row>
    <row r="49" spans="1:34" ht="15" hidden="1" customHeight="1" x14ac:dyDescent="0.25">
      <c r="A49" s="9">
        <v>48</v>
      </c>
      <c r="B49" s="9" t="s">
        <v>125</v>
      </c>
      <c r="C49" s="40" t="s">
        <v>126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125</v>
      </c>
      <c r="X49" s="9">
        <v>0.8783783783783784</v>
      </c>
      <c r="Y49" s="37">
        <v>11.022727272727273</v>
      </c>
      <c r="Z49" s="9" t="s">
        <v>457</v>
      </c>
      <c r="AA49" s="9">
        <v>1</v>
      </c>
      <c r="AB49" s="38">
        <v>42248</v>
      </c>
      <c r="AC49" s="9" t="s">
        <v>531</v>
      </c>
      <c r="AD49" s="9" t="s">
        <v>532</v>
      </c>
      <c r="AE49" s="2">
        <v>198</v>
      </c>
      <c r="AF49" s="2">
        <v>15</v>
      </c>
      <c r="AG49" t="s">
        <v>1103</v>
      </c>
      <c r="AH49" s="34">
        <v>46317</v>
      </c>
    </row>
    <row r="50" spans="1:34" ht="15" hidden="1" customHeight="1" x14ac:dyDescent="0.25">
      <c r="A50" s="9">
        <v>49</v>
      </c>
      <c r="B50" s="9" t="s">
        <v>127</v>
      </c>
      <c r="C50" s="40" t="s">
        <v>128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127</v>
      </c>
      <c r="X50" s="9">
        <v>0.96666666666666667</v>
      </c>
      <c r="Y50" s="37">
        <v>9.5</v>
      </c>
      <c r="Z50" s="9" t="s">
        <v>456</v>
      </c>
      <c r="AA50" s="9">
        <v>3</v>
      </c>
      <c r="AB50" s="38">
        <v>42339</v>
      </c>
      <c r="AC50" s="9" t="s">
        <v>523</v>
      </c>
      <c r="AD50" s="9" t="s">
        <v>533</v>
      </c>
      <c r="AE50" s="2">
        <v>150</v>
      </c>
      <c r="AF50" s="2">
        <v>14</v>
      </c>
      <c r="AG50"/>
    </row>
    <row r="51" spans="1:34" ht="15" hidden="1" customHeight="1" x14ac:dyDescent="0.25">
      <c r="A51" s="9">
        <v>50</v>
      </c>
      <c r="B51" s="9" t="s">
        <v>129</v>
      </c>
      <c r="C51" s="9" t="s">
        <v>130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129</v>
      </c>
      <c r="X51" s="9">
        <v>0.46153846153846156</v>
      </c>
      <c r="Y51" s="37">
        <v>10.423076923076923</v>
      </c>
      <c r="Z51" s="9" t="s">
        <v>457</v>
      </c>
      <c r="AA51" s="9">
        <v>1</v>
      </c>
      <c r="AB51" s="38">
        <v>42125</v>
      </c>
      <c r="AC51" s="9" t="s">
        <v>512</v>
      </c>
      <c r="AD51" s="9" t="s">
        <v>534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131</v>
      </c>
      <c r="C52" s="9" t="s">
        <v>132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131</v>
      </c>
      <c r="X52" s="39">
        <v>1.4341085271317831</v>
      </c>
      <c r="Y52" s="37">
        <v>15.335195530726256</v>
      </c>
      <c r="Z52" s="9" t="s">
        <v>459</v>
      </c>
      <c r="AA52" s="9">
        <v>2</v>
      </c>
      <c r="AB52" s="38">
        <v>41548</v>
      </c>
      <c r="AC52" s="9" t="s">
        <v>500</v>
      </c>
      <c r="AD52" s="9" t="s">
        <v>535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133</v>
      </c>
      <c r="C53" s="9" t="s">
        <v>134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133</v>
      </c>
      <c r="X53" s="9">
        <v>1.3333333333333333</v>
      </c>
      <c r="Y53" s="37">
        <v>10.948387096774194</v>
      </c>
      <c r="Z53" s="9" t="s">
        <v>455</v>
      </c>
      <c r="AA53" s="9">
        <v>1</v>
      </c>
      <c r="AB53" s="38">
        <v>41609</v>
      </c>
      <c r="AC53" s="9" t="s">
        <v>502</v>
      </c>
      <c r="AD53" s="9" t="s">
        <v>536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135</v>
      </c>
      <c r="C54" s="40" t="s">
        <v>136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135</v>
      </c>
      <c r="X54" s="39">
        <v>1.1666666666666667</v>
      </c>
      <c r="Y54" s="37">
        <v>15.078431372549019</v>
      </c>
      <c r="Z54" s="9" t="s">
        <v>456</v>
      </c>
      <c r="AA54" s="9">
        <v>2</v>
      </c>
      <c r="AB54" s="38">
        <v>41609</v>
      </c>
      <c r="AC54" s="9" t="s">
        <v>502</v>
      </c>
      <c r="AD54" s="9" t="s">
        <v>537</v>
      </c>
      <c r="AE54" s="2">
        <v>181</v>
      </c>
      <c r="AF54" s="2">
        <v>12</v>
      </c>
      <c r="AG54" t="s">
        <v>1106</v>
      </c>
      <c r="AH54" s="34">
        <v>46321</v>
      </c>
    </row>
    <row r="55" spans="1:34" ht="15" hidden="1" customHeight="1" x14ac:dyDescent="0.25">
      <c r="A55" s="9">
        <v>54</v>
      </c>
      <c r="B55" s="9" t="s">
        <v>137</v>
      </c>
      <c r="C55" s="9" t="s">
        <v>138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137</v>
      </c>
      <c r="X55" s="39">
        <v>1.4796747967479675</v>
      </c>
      <c r="Y55" s="37">
        <v>15.195266272189349</v>
      </c>
      <c r="Z55" s="9" t="s">
        <v>459</v>
      </c>
      <c r="AA55" s="9">
        <v>2</v>
      </c>
      <c r="AB55" s="38">
        <v>42339</v>
      </c>
      <c r="AC55" s="9" t="s">
        <v>523</v>
      </c>
      <c r="AD55" s="9" t="s">
        <v>538</v>
      </c>
      <c r="AE55" s="2">
        <v>325</v>
      </c>
      <c r="AF55" s="2">
        <v>22</v>
      </c>
      <c r="AG55"/>
    </row>
    <row r="56" spans="1:34" ht="15" hidden="1" customHeight="1" x14ac:dyDescent="0.25">
      <c r="A56" s="9">
        <v>55</v>
      </c>
      <c r="B56" s="9" t="s">
        <v>139</v>
      </c>
      <c r="C56" s="9" t="s">
        <v>140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139</v>
      </c>
      <c r="X56" s="9">
        <v>0.96323529411764708</v>
      </c>
      <c r="Y56" s="37">
        <v>11.181818181818182</v>
      </c>
      <c r="Z56" s="9" t="s">
        <v>457</v>
      </c>
      <c r="AA56" s="9">
        <v>5</v>
      </c>
      <c r="AB56" s="38">
        <v>41456</v>
      </c>
      <c r="AC56" s="9" t="s">
        <v>475</v>
      </c>
      <c r="AD56" s="9" t="s">
        <v>539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141</v>
      </c>
      <c r="C57" s="9" t="s">
        <v>142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141</v>
      </c>
      <c r="X57" s="9">
        <v>1.0789473684210527</v>
      </c>
      <c r="Y57" s="37">
        <v>11.602564102564102</v>
      </c>
      <c r="Z57" s="9" t="s">
        <v>455</v>
      </c>
      <c r="AA57" s="9">
        <v>3</v>
      </c>
      <c r="AB57" s="38">
        <v>42339</v>
      </c>
      <c r="AC57" s="9" t="s">
        <v>540</v>
      </c>
      <c r="AD57" s="9" t="s">
        <v>541</v>
      </c>
      <c r="AE57" s="2">
        <v>188</v>
      </c>
      <c r="AF57" s="2">
        <v>20</v>
      </c>
      <c r="AG57"/>
    </row>
    <row r="58" spans="1:34" ht="15" hidden="1" customHeight="1" x14ac:dyDescent="0.25">
      <c r="A58" s="9">
        <v>57</v>
      </c>
      <c r="B58" s="9" t="s">
        <v>143</v>
      </c>
      <c r="C58" s="9" t="s">
        <v>144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143</v>
      </c>
      <c r="X58" s="9">
        <v>0.71111111111111114</v>
      </c>
      <c r="Y58" s="37">
        <v>13.509803921568627</v>
      </c>
      <c r="Z58" s="9" t="s">
        <v>457</v>
      </c>
      <c r="AA58" s="9">
        <v>3</v>
      </c>
      <c r="AB58" s="38">
        <v>41426</v>
      </c>
      <c r="AC58" s="9" t="s">
        <v>483</v>
      </c>
      <c r="AD58" s="9" t="s">
        <v>542</v>
      </c>
      <c r="AE58" s="2">
        <v>189</v>
      </c>
      <c r="AF58" s="2">
        <v>11</v>
      </c>
      <c r="AG58"/>
      <c r="AH58" s="34">
        <v>46303</v>
      </c>
    </row>
    <row r="59" spans="1:34" ht="15" hidden="1" customHeight="1" x14ac:dyDescent="0.25">
      <c r="A59" s="9">
        <v>58</v>
      </c>
      <c r="B59" s="9" t="s">
        <v>145</v>
      </c>
      <c r="C59" s="9" t="s">
        <v>146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145</v>
      </c>
      <c r="X59" s="39">
        <v>1.7745098039215685</v>
      </c>
      <c r="Y59" s="37">
        <v>15.368794326241135</v>
      </c>
      <c r="Z59" s="9" t="s">
        <v>460</v>
      </c>
      <c r="AA59" s="9">
        <v>6</v>
      </c>
      <c r="AB59" s="38">
        <v>41334</v>
      </c>
      <c r="AC59" s="9" t="s">
        <v>487</v>
      </c>
      <c r="AD59" s="9" t="s">
        <v>543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147</v>
      </c>
      <c r="C60" s="9" t="s">
        <v>148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147</v>
      </c>
      <c r="X60" s="9">
        <v>1.0955882352941178</v>
      </c>
      <c r="Y60" s="37">
        <v>10.553571428571429</v>
      </c>
      <c r="Z60" s="9" t="s">
        <v>455</v>
      </c>
      <c r="AA60" s="9">
        <v>5</v>
      </c>
      <c r="AB60" s="38">
        <v>41456</v>
      </c>
      <c r="AC60" s="9" t="s">
        <v>475</v>
      </c>
      <c r="AD60" s="9" t="s">
        <v>481</v>
      </c>
      <c r="AE60" s="2">
        <v>222</v>
      </c>
      <c r="AF60" s="2">
        <v>27</v>
      </c>
      <c r="AG60"/>
    </row>
    <row r="61" spans="1:34" ht="15" hidden="1" customHeight="1" x14ac:dyDescent="0.25">
      <c r="A61" s="9">
        <v>60</v>
      </c>
      <c r="B61" s="9" t="s">
        <v>149</v>
      </c>
      <c r="C61" s="9" t="s">
        <v>150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149</v>
      </c>
      <c r="X61" s="36">
        <v>1.4754098360655739</v>
      </c>
      <c r="Y61" s="37">
        <v>13.352564102564102</v>
      </c>
      <c r="Z61" s="9" t="s">
        <v>455</v>
      </c>
      <c r="AA61" s="9">
        <v>4</v>
      </c>
      <c r="AB61" s="38">
        <v>42036</v>
      </c>
      <c r="AC61" s="9" t="s">
        <v>526</v>
      </c>
      <c r="AD61" s="9" t="s">
        <v>544</v>
      </c>
      <c r="AE61" s="2">
        <v>321</v>
      </c>
      <c r="AF61" s="2">
        <v>30</v>
      </c>
      <c r="AG61"/>
    </row>
    <row r="62" spans="1:34" ht="15" hidden="1" customHeight="1" x14ac:dyDescent="0.25">
      <c r="A62" s="9">
        <v>61</v>
      </c>
      <c r="B62" s="9" t="s">
        <v>151</v>
      </c>
      <c r="C62" s="9" t="s">
        <v>152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151</v>
      </c>
      <c r="X62" s="9">
        <v>1.4137931034482758</v>
      </c>
      <c r="Y62" s="37">
        <v>14.466666666666667</v>
      </c>
      <c r="Z62" s="9" t="s">
        <v>459</v>
      </c>
      <c r="AA62" s="9">
        <v>2</v>
      </c>
      <c r="AB62" s="38">
        <v>43952</v>
      </c>
      <c r="AC62" s="9" t="s">
        <v>493</v>
      </c>
      <c r="AD62" s="9" t="s">
        <v>545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153</v>
      </c>
      <c r="C63" s="9" t="s">
        <v>154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153</v>
      </c>
      <c r="X63" s="9">
        <v>1.4589041095890412</v>
      </c>
      <c r="Y63" s="37">
        <v>13.582887700534759</v>
      </c>
      <c r="Z63" s="9" t="s">
        <v>455</v>
      </c>
      <c r="AA63" s="9">
        <v>3</v>
      </c>
      <c r="AB63" s="38">
        <v>41334</v>
      </c>
      <c r="AC63" s="9" t="s">
        <v>487</v>
      </c>
      <c r="AD63" s="9" t="s">
        <v>543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155</v>
      </c>
      <c r="C64" s="40" t="s">
        <v>156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155</v>
      </c>
      <c r="X64" s="9">
        <v>0.90540540540540537</v>
      </c>
      <c r="Y64" s="37">
        <v>11.61</v>
      </c>
      <c r="Z64" s="9" t="s">
        <v>457</v>
      </c>
      <c r="AA64" s="9">
        <v>1</v>
      </c>
      <c r="AB64" s="38">
        <v>41487</v>
      </c>
      <c r="AC64" s="9" t="s">
        <v>491</v>
      </c>
      <c r="AD64" s="9" t="s">
        <v>546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157</v>
      </c>
      <c r="C65" s="9" t="s">
        <v>158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157</v>
      </c>
      <c r="X65" s="9">
        <v>1.1481481481481481</v>
      </c>
      <c r="Y65" s="37">
        <v>14.194690265486726</v>
      </c>
      <c r="Z65" s="9" t="s">
        <v>456</v>
      </c>
      <c r="AA65" s="9">
        <v>4</v>
      </c>
      <c r="AB65" s="38">
        <v>41609</v>
      </c>
      <c r="AC65" s="9" t="s">
        <v>502</v>
      </c>
      <c r="AD65" s="9" t="s">
        <v>521</v>
      </c>
      <c r="AE65" s="2">
        <v>237</v>
      </c>
      <c r="AF65" s="2">
        <v>29</v>
      </c>
      <c r="AG65"/>
    </row>
    <row r="66" spans="1:34" ht="15" customHeight="1" x14ac:dyDescent="0.25">
      <c r="A66" s="9">
        <v>65</v>
      </c>
      <c r="B66" s="9" t="s">
        <v>159</v>
      </c>
      <c r="C66" s="9" t="s">
        <v>160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159</v>
      </c>
      <c r="X66" s="9">
        <v>1.4235294117647059</v>
      </c>
      <c r="Y66" s="37">
        <v>10.81651376146789</v>
      </c>
      <c r="Z66" s="9" t="s">
        <v>455</v>
      </c>
      <c r="AA66" s="9">
        <v>3</v>
      </c>
      <c r="AB66" s="38">
        <v>41456</v>
      </c>
      <c r="AC66" s="9" t="s">
        <v>475</v>
      </c>
      <c r="AD66" s="9" t="s">
        <v>529</v>
      </c>
      <c r="AE66" s="2">
        <v>288</v>
      </c>
      <c r="AF66" s="2">
        <v>23</v>
      </c>
      <c r="AG66" t="s">
        <v>1107</v>
      </c>
      <c r="AH66" s="34">
        <v>46312</v>
      </c>
    </row>
    <row r="67" spans="1:34" ht="15" hidden="1" customHeight="1" x14ac:dyDescent="0.25">
      <c r="A67" s="9">
        <v>66</v>
      </c>
      <c r="B67" s="9" t="s">
        <v>161</v>
      </c>
      <c r="C67" s="9" t="s">
        <v>162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163</v>
      </c>
      <c r="T67" s="9">
        <v>0</v>
      </c>
      <c r="U67" s="9">
        <v>0</v>
      </c>
      <c r="V67" s="9" t="s">
        <v>15</v>
      </c>
      <c r="W67" s="9" t="s">
        <v>161</v>
      </c>
      <c r="X67" s="9">
        <v>0.8666666666666667</v>
      </c>
      <c r="Y67" s="37">
        <v>6.9285714285714288</v>
      </c>
      <c r="Z67" s="9" t="s">
        <v>456</v>
      </c>
      <c r="AA67" s="9">
        <v>1</v>
      </c>
      <c r="AB67" s="38">
        <v>42036</v>
      </c>
      <c r="AC67" s="9" t="s">
        <v>526</v>
      </c>
      <c r="AD67" s="9" t="s">
        <v>547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164</v>
      </c>
      <c r="C68" s="40" t="s">
        <v>165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164</v>
      </c>
      <c r="X68" s="9">
        <v>1.1578947368421053</v>
      </c>
      <c r="Y68" s="37">
        <v>12.68</v>
      </c>
      <c r="Z68" s="9" t="s">
        <v>455</v>
      </c>
      <c r="AA68" s="9">
        <v>0</v>
      </c>
      <c r="AB68" s="38">
        <v>41699</v>
      </c>
      <c r="AC68" s="9" t="s">
        <v>472</v>
      </c>
      <c r="AD68" s="9" t="s">
        <v>548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166</v>
      </c>
      <c r="C69" s="9" t="s">
        <v>167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166</v>
      </c>
      <c r="X69" s="9">
        <v>0.375</v>
      </c>
      <c r="Y69" s="37">
        <v>10.125</v>
      </c>
      <c r="Z69" s="9" t="s">
        <v>457</v>
      </c>
      <c r="AA69" s="9">
        <v>0</v>
      </c>
      <c r="AB69" s="38">
        <v>44013</v>
      </c>
      <c r="AC69" s="9" t="s">
        <v>495</v>
      </c>
      <c r="AD69" s="9" t="s">
        <v>549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168</v>
      </c>
      <c r="C70" s="9" t="s">
        <v>169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168</v>
      </c>
      <c r="X70" s="9">
        <v>0.375</v>
      </c>
      <c r="Y70" s="37">
        <v>16.944444444444443</v>
      </c>
      <c r="Z70" s="9" t="s">
        <v>457</v>
      </c>
      <c r="AA70" s="9">
        <v>2</v>
      </c>
      <c r="AB70" s="38">
        <v>42036</v>
      </c>
      <c r="AC70" s="9" t="s">
        <v>526</v>
      </c>
      <c r="AD70" s="9" t="s">
        <v>550</v>
      </c>
      <c r="AE70" s="2">
        <v>319</v>
      </c>
      <c r="AF70" s="2">
        <v>6</v>
      </c>
      <c r="AG70"/>
    </row>
    <row r="71" spans="1:34" ht="15" hidden="1" customHeight="1" x14ac:dyDescent="0.25">
      <c r="A71" s="9">
        <v>70</v>
      </c>
      <c r="B71" s="9" t="s">
        <v>170</v>
      </c>
      <c r="C71" s="9" t="s">
        <v>171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170</v>
      </c>
      <c r="X71" s="9">
        <v>1.1694915254237288</v>
      </c>
      <c r="Y71" s="37">
        <v>10.229508196721312</v>
      </c>
      <c r="Z71" s="9" t="s">
        <v>455</v>
      </c>
      <c r="AA71" s="9">
        <v>4</v>
      </c>
      <c r="AB71" s="38">
        <v>41456</v>
      </c>
      <c r="AC71" s="9" t="s">
        <v>477</v>
      </c>
      <c r="AD71" s="9" t="s">
        <v>551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172</v>
      </c>
      <c r="C72" s="9" t="s">
        <v>173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172</v>
      </c>
      <c r="X72" s="9">
        <v>0.9850746268656716</v>
      </c>
      <c r="Y72" s="37">
        <v>19.350000000000001</v>
      </c>
      <c r="Z72" s="9" t="s">
        <v>457</v>
      </c>
      <c r="AA72" s="9">
        <v>1</v>
      </c>
      <c r="AB72" s="38">
        <v>42036</v>
      </c>
      <c r="AC72" s="9" t="s">
        <v>526</v>
      </c>
      <c r="AD72" s="9" t="s">
        <v>527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174</v>
      </c>
      <c r="C73" s="9" t="s">
        <v>175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174</v>
      </c>
      <c r="X73" s="9">
        <v>1.0104166666666667</v>
      </c>
      <c r="Y73" s="37">
        <v>12.018518518518519</v>
      </c>
      <c r="Z73" s="9" t="s">
        <v>455</v>
      </c>
      <c r="AA73" s="9">
        <v>3</v>
      </c>
      <c r="AB73" s="38">
        <v>41699</v>
      </c>
      <c r="AC73" s="9" t="s">
        <v>472</v>
      </c>
      <c r="AD73" s="9" t="s">
        <v>548</v>
      </c>
      <c r="AE73" s="2">
        <v>196</v>
      </c>
      <c r="AF73" s="2">
        <v>16</v>
      </c>
      <c r="AG73"/>
    </row>
    <row r="74" spans="1:34" ht="15" hidden="1" customHeight="1" x14ac:dyDescent="0.25">
      <c r="A74" s="9">
        <v>73</v>
      </c>
      <c r="B74" s="9" t="s">
        <v>176</v>
      </c>
      <c r="C74" s="9" t="s">
        <v>177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176</v>
      </c>
      <c r="X74" s="9">
        <v>0.93939393939393945</v>
      </c>
      <c r="Y74" s="37">
        <v>9.3513513513513509</v>
      </c>
      <c r="Z74" s="9" t="s">
        <v>456</v>
      </c>
      <c r="AA74" s="9">
        <v>0</v>
      </c>
      <c r="AB74" s="38">
        <v>42795</v>
      </c>
      <c r="AC74" s="9" t="s">
        <v>552</v>
      </c>
      <c r="AD74" s="9" t="s">
        <v>553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178</v>
      </c>
      <c r="C75" s="9" t="s">
        <v>179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178</v>
      </c>
      <c r="X75" s="9">
        <v>0.95</v>
      </c>
      <c r="Y75" s="37">
        <v>10.52</v>
      </c>
      <c r="Z75" s="9" t="s">
        <v>457</v>
      </c>
      <c r="AA75" s="9">
        <v>0</v>
      </c>
      <c r="AB75" s="38">
        <v>42401</v>
      </c>
      <c r="AC75" s="9" t="s">
        <v>497</v>
      </c>
      <c r="AD75" s="9" t="s">
        <v>554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180</v>
      </c>
      <c r="C76" s="9" t="s">
        <v>181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180</v>
      </c>
      <c r="X76" s="9">
        <v>1.3333333333333333</v>
      </c>
      <c r="Y76" s="37">
        <v>12.082191780821917</v>
      </c>
      <c r="Z76" s="9" t="s">
        <v>455</v>
      </c>
      <c r="AA76" s="9">
        <v>2</v>
      </c>
      <c r="AB76" s="38">
        <v>41456</v>
      </c>
      <c r="AC76" s="9" t="s">
        <v>475</v>
      </c>
      <c r="AD76" s="9" t="s">
        <v>489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182</v>
      </c>
      <c r="C77" s="9" t="s">
        <v>183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182</v>
      </c>
      <c r="X77" s="9">
        <v>0.69387755102040816</v>
      </c>
      <c r="Y77" s="37">
        <v>10.884615384615385</v>
      </c>
      <c r="Z77" s="9" t="s">
        <v>457</v>
      </c>
      <c r="AA77" s="9">
        <v>1</v>
      </c>
      <c r="AB77" s="38">
        <v>42339</v>
      </c>
      <c r="AC77" s="9" t="s">
        <v>523</v>
      </c>
      <c r="AD77" s="9" t="s">
        <v>538</v>
      </c>
      <c r="AE77" s="2">
        <v>176</v>
      </c>
      <c r="AF77" s="2">
        <v>7</v>
      </c>
      <c r="AG77"/>
    </row>
    <row r="78" spans="1:34" ht="15" hidden="1" customHeight="1" x14ac:dyDescent="0.25">
      <c r="A78" s="9">
        <v>77</v>
      </c>
      <c r="B78" s="9" t="s">
        <v>184</v>
      </c>
      <c r="C78" s="9" t="s">
        <v>185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186</v>
      </c>
      <c r="T78" s="9">
        <v>1</v>
      </c>
      <c r="U78" s="9">
        <v>2</v>
      </c>
      <c r="V78" s="9" t="s">
        <v>15</v>
      </c>
      <c r="W78" s="9" t="s">
        <v>184</v>
      </c>
      <c r="X78" s="36">
        <v>1.6949152542372881</v>
      </c>
      <c r="Y78" s="37">
        <v>14.276315789473685</v>
      </c>
      <c r="Z78" s="9" t="s">
        <v>459</v>
      </c>
      <c r="AA78" s="9">
        <v>4</v>
      </c>
      <c r="AB78" s="38">
        <v>41334</v>
      </c>
      <c r="AC78" s="9" t="s">
        <v>487</v>
      </c>
      <c r="AD78" s="9" t="s">
        <v>504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187</v>
      </c>
      <c r="C79" s="9" t="s">
        <v>188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187</v>
      </c>
      <c r="X79" s="9">
        <v>1</v>
      </c>
      <c r="Y79" s="37">
        <v>11.391304347826088</v>
      </c>
      <c r="Z79" s="9" t="s">
        <v>455</v>
      </c>
      <c r="AA79" s="9">
        <v>0</v>
      </c>
      <c r="AB79" s="38">
        <v>42401</v>
      </c>
      <c r="AC79" s="9" t="s">
        <v>497</v>
      </c>
      <c r="AD79" s="9" t="s">
        <v>554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189</v>
      </c>
      <c r="C80" s="9" t="s">
        <v>190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189</v>
      </c>
      <c r="X80" s="9">
        <v>1</v>
      </c>
      <c r="Y80" s="37">
        <v>8</v>
      </c>
      <c r="Z80" s="9" t="s">
        <v>458</v>
      </c>
      <c r="AA80" s="9">
        <v>1</v>
      </c>
      <c r="AB80" s="38">
        <v>42675</v>
      </c>
      <c r="AC80" s="9" t="s">
        <v>485</v>
      </c>
      <c r="AD80" s="9" t="s">
        <v>555</v>
      </c>
      <c r="AE80" s="2">
        <v>50</v>
      </c>
      <c r="AF80" s="2">
        <v>5</v>
      </c>
      <c r="AG80"/>
    </row>
    <row r="81" spans="1:33" ht="15" hidden="1" customHeight="1" x14ac:dyDescent="0.25">
      <c r="A81" s="9">
        <v>80</v>
      </c>
      <c r="B81" s="9" t="s">
        <v>191</v>
      </c>
      <c r="C81" s="9" t="s">
        <v>191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191</v>
      </c>
      <c r="X81" s="9">
        <v>1</v>
      </c>
      <c r="Y81" s="37">
        <v>11.428571428571429</v>
      </c>
      <c r="Z81" s="9" t="s">
        <v>455</v>
      </c>
      <c r="AA81" s="9">
        <v>0</v>
      </c>
      <c r="AB81" s="38">
        <v>42795</v>
      </c>
      <c r="AC81" s="9" t="s">
        <v>552</v>
      </c>
      <c r="AD81" s="9" t="s">
        <v>556</v>
      </c>
      <c r="AE81" s="2">
        <v>80</v>
      </c>
      <c r="AF81" s="2">
        <v>7</v>
      </c>
      <c r="AG81"/>
    </row>
    <row r="82" spans="1:33" ht="15" hidden="1" customHeight="1" x14ac:dyDescent="0.25">
      <c r="A82" s="9">
        <v>81</v>
      </c>
      <c r="B82" s="9" t="s">
        <v>192</v>
      </c>
      <c r="C82" s="9" t="s">
        <v>193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192</v>
      </c>
      <c r="X82" s="9">
        <v>0.81081081081081086</v>
      </c>
      <c r="Y82" s="37">
        <v>12.209876543209877</v>
      </c>
      <c r="Z82" s="9" t="s">
        <v>457</v>
      </c>
      <c r="AA82" s="9">
        <v>5</v>
      </c>
      <c r="AB82" s="38">
        <v>41791</v>
      </c>
      <c r="AC82" s="9" t="s">
        <v>510</v>
      </c>
      <c r="AD82" s="9" t="s">
        <v>557</v>
      </c>
      <c r="AE82" s="2">
        <v>207</v>
      </c>
      <c r="AF82" s="2">
        <v>20</v>
      </c>
      <c r="AG82"/>
    </row>
    <row r="83" spans="1:33" ht="15" hidden="1" customHeight="1" x14ac:dyDescent="0.25">
      <c r="A83" s="9">
        <v>82</v>
      </c>
      <c r="B83" s="9" t="s">
        <v>194</v>
      </c>
      <c r="C83" s="9" t="s">
        <v>195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194</v>
      </c>
      <c r="X83" s="9">
        <v>1</v>
      </c>
      <c r="Y83" s="37">
        <v>9.0408163265306118</v>
      </c>
      <c r="Z83" s="9" t="s">
        <v>458</v>
      </c>
      <c r="AA83" s="9">
        <v>1</v>
      </c>
      <c r="AB83" s="38">
        <v>42339</v>
      </c>
      <c r="AC83" s="9" t="s">
        <v>523</v>
      </c>
      <c r="AD83" s="9" t="s">
        <v>558</v>
      </c>
      <c r="AE83" s="2">
        <v>145</v>
      </c>
      <c r="AF83" s="2">
        <v>12</v>
      </c>
      <c r="AG83"/>
    </row>
    <row r="84" spans="1:33" ht="15" hidden="1" customHeight="1" x14ac:dyDescent="0.25">
      <c r="A84" s="9">
        <v>83</v>
      </c>
      <c r="B84" s="9" t="s">
        <v>196</v>
      </c>
      <c r="C84" s="9" t="s">
        <v>197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196</v>
      </c>
      <c r="X84" s="9">
        <v>1.024390243902439</v>
      </c>
      <c r="Y84" s="37">
        <v>14.038461538461538</v>
      </c>
      <c r="Z84" s="9" t="s">
        <v>456</v>
      </c>
      <c r="AA84" s="9">
        <v>1</v>
      </c>
      <c r="AB84" s="38">
        <v>41791</v>
      </c>
      <c r="AC84" s="9" t="s">
        <v>510</v>
      </c>
      <c r="AD84" s="9" t="s">
        <v>559</v>
      </c>
      <c r="AE84" s="2">
        <v>217</v>
      </c>
      <c r="AF84" s="2">
        <v>12</v>
      </c>
      <c r="AG84"/>
    </row>
    <row r="85" spans="1:33" ht="15" hidden="1" customHeight="1" x14ac:dyDescent="0.25">
      <c r="A85" s="9">
        <v>84</v>
      </c>
      <c r="B85" s="9" t="s">
        <v>198</v>
      </c>
      <c r="C85" s="9" t="s">
        <v>199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198</v>
      </c>
      <c r="X85" s="39">
        <v>1.02</v>
      </c>
      <c r="Y85" s="37">
        <v>15.877551020408163</v>
      </c>
      <c r="Z85" s="9" t="s">
        <v>456</v>
      </c>
      <c r="AA85" s="9">
        <v>4</v>
      </c>
      <c r="AB85" s="38">
        <v>41699</v>
      </c>
      <c r="AC85" s="9" t="s">
        <v>472</v>
      </c>
      <c r="AD85" s="9" t="s">
        <v>473</v>
      </c>
      <c r="AE85" s="2">
        <v>181</v>
      </c>
      <c r="AF85" s="2">
        <v>8</v>
      </c>
      <c r="AG85"/>
    </row>
    <row r="86" spans="1:33" ht="15" hidden="1" customHeight="1" x14ac:dyDescent="0.25">
      <c r="A86" s="9">
        <v>85</v>
      </c>
      <c r="B86" s="9" t="s">
        <v>200</v>
      </c>
      <c r="C86" s="9" t="s">
        <v>201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200</v>
      </c>
      <c r="X86" s="9">
        <v>0.94339622641509435</v>
      </c>
      <c r="Y86" s="37">
        <v>14.924242424242424</v>
      </c>
      <c r="Z86" s="9" t="s">
        <v>457</v>
      </c>
      <c r="AA86" s="9">
        <v>2</v>
      </c>
      <c r="AB86" s="38">
        <v>42125</v>
      </c>
      <c r="AC86" s="9" t="s">
        <v>512</v>
      </c>
      <c r="AD86" s="9" t="s">
        <v>560</v>
      </c>
      <c r="AE86" s="2">
        <v>169</v>
      </c>
      <c r="AF86" s="2">
        <v>11</v>
      </c>
      <c r="AG86"/>
    </row>
    <row r="87" spans="1:33" ht="15" hidden="1" customHeight="1" x14ac:dyDescent="0.25">
      <c r="A87" s="9">
        <v>86</v>
      </c>
      <c r="B87" s="9" t="s">
        <v>202</v>
      </c>
      <c r="C87" s="9" t="s">
        <v>203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202</v>
      </c>
      <c r="X87" s="9">
        <v>1.2238805970149254</v>
      </c>
      <c r="Y87" s="37">
        <v>11.297619047619047</v>
      </c>
      <c r="Z87" s="9" t="s">
        <v>455</v>
      </c>
      <c r="AA87" s="9">
        <v>3</v>
      </c>
      <c r="AB87" s="38">
        <v>41426</v>
      </c>
      <c r="AC87" s="9" t="s">
        <v>483</v>
      </c>
      <c r="AD87" s="9" t="s">
        <v>561</v>
      </c>
      <c r="AE87" s="2">
        <v>265</v>
      </c>
      <c r="AF87" s="2">
        <v>17</v>
      </c>
      <c r="AG87"/>
    </row>
    <row r="88" spans="1:33" ht="15" hidden="1" customHeight="1" x14ac:dyDescent="0.25">
      <c r="A88" s="9">
        <v>87</v>
      </c>
      <c r="B88" s="9" t="s">
        <v>204</v>
      </c>
      <c r="C88" s="9" t="s">
        <v>205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204</v>
      </c>
      <c r="X88" s="9">
        <v>1.4482758620689655</v>
      </c>
      <c r="Y88" s="37">
        <v>14.384615384615385</v>
      </c>
      <c r="Z88" s="9" t="s">
        <v>459</v>
      </c>
      <c r="AA88" s="9">
        <v>2</v>
      </c>
      <c r="AB88" s="38">
        <v>41334</v>
      </c>
      <c r="AC88" s="9" t="s">
        <v>487</v>
      </c>
      <c r="AD88" s="9" t="s">
        <v>488</v>
      </c>
      <c r="AE88" s="2">
        <v>168</v>
      </c>
      <c r="AF88" s="2">
        <v>8</v>
      </c>
      <c r="AG88"/>
    </row>
    <row r="89" spans="1:33" ht="15" hidden="1" customHeight="1" x14ac:dyDescent="0.25">
      <c r="A89" s="9">
        <v>88</v>
      </c>
      <c r="B89" s="9" t="s">
        <v>206</v>
      </c>
      <c r="C89" s="9" t="s">
        <v>207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208</v>
      </c>
      <c r="T89" s="9">
        <v>0</v>
      </c>
      <c r="U89" s="9">
        <v>0</v>
      </c>
      <c r="V89" s="9" t="s">
        <v>15</v>
      </c>
      <c r="W89" s="9" t="s">
        <v>206</v>
      </c>
      <c r="X89" s="9">
        <v>0.86486486486486491</v>
      </c>
      <c r="Y89" s="37">
        <v>13.075471698113208</v>
      </c>
      <c r="Z89" s="9" t="s">
        <v>457</v>
      </c>
      <c r="AA89" s="9">
        <v>1</v>
      </c>
      <c r="AB89" s="38">
        <v>41334</v>
      </c>
      <c r="AC89" s="9" t="s">
        <v>487</v>
      </c>
      <c r="AD89" s="9" t="s">
        <v>543</v>
      </c>
      <c r="AE89" s="2">
        <v>183</v>
      </c>
      <c r="AF89" s="2">
        <v>14</v>
      </c>
      <c r="AG89"/>
    </row>
    <row r="90" spans="1:33" ht="15" hidden="1" customHeight="1" x14ac:dyDescent="0.25">
      <c r="A90" s="9">
        <v>89</v>
      </c>
      <c r="B90" s="9" t="s">
        <v>209</v>
      </c>
      <c r="C90" s="9" t="s">
        <v>210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211</v>
      </c>
      <c r="T90" s="9">
        <v>0</v>
      </c>
      <c r="U90" s="9">
        <v>0</v>
      </c>
      <c r="V90" s="9" t="s">
        <v>15</v>
      </c>
      <c r="W90" s="9" t="s">
        <v>209</v>
      </c>
      <c r="X90" s="9">
        <v>1.096774193548387</v>
      </c>
      <c r="Y90" s="37">
        <v>10.54054054054054</v>
      </c>
      <c r="Z90" s="9" t="s">
        <v>455</v>
      </c>
      <c r="AA90" s="9">
        <v>2</v>
      </c>
      <c r="AB90" s="38">
        <v>41334</v>
      </c>
      <c r="AC90" s="9" t="s">
        <v>487</v>
      </c>
      <c r="AD90" s="9" t="s">
        <v>543</v>
      </c>
      <c r="AE90" s="2">
        <v>173</v>
      </c>
      <c r="AF90" s="2">
        <v>14</v>
      </c>
      <c r="AG90"/>
    </row>
    <row r="91" spans="1:33" ht="15" hidden="1" customHeight="1" x14ac:dyDescent="0.25">
      <c r="A91" s="9">
        <v>90</v>
      </c>
      <c r="B91" s="9" t="s">
        <v>212</v>
      </c>
      <c r="C91" s="9" t="s">
        <v>213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211</v>
      </c>
      <c r="T91" s="9">
        <v>0</v>
      </c>
      <c r="U91" s="9">
        <v>0</v>
      </c>
      <c r="V91" s="9" t="s">
        <v>15</v>
      </c>
      <c r="W91" s="9" t="s">
        <v>212</v>
      </c>
      <c r="X91" s="9">
        <v>0.66666666666666663</v>
      </c>
      <c r="Y91" s="37">
        <v>23.1</v>
      </c>
      <c r="Z91" s="9" t="s">
        <v>457</v>
      </c>
      <c r="AA91" s="9">
        <v>2</v>
      </c>
      <c r="AB91" s="38">
        <v>41334</v>
      </c>
      <c r="AC91" s="9" t="s">
        <v>487</v>
      </c>
      <c r="AD91" s="9" t="s">
        <v>543</v>
      </c>
      <c r="AE91" s="2">
        <v>218</v>
      </c>
      <c r="AF91" s="2">
        <v>6</v>
      </c>
      <c r="AG91"/>
    </row>
    <row r="92" spans="1:33" ht="15" hidden="1" customHeight="1" x14ac:dyDescent="0.25">
      <c r="A92" s="9">
        <v>91</v>
      </c>
      <c r="B92" s="9" t="s">
        <v>214</v>
      </c>
      <c r="C92" s="9" t="s">
        <v>215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211</v>
      </c>
      <c r="T92" s="9">
        <v>0</v>
      </c>
      <c r="U92" s="9">
        <v>0</v>
      </c>
      <c r="V92" s="9" t="s">
        <v>15</v>
      </c>
      <c r="W92" s="9" t="s">
        <v>214</v>
      </c>
      <c r="X92" s="9">
        <v>1.4545454545454546</v>
      </c>
      <c r="Y92" s="37">
        <v>7.2307692307692308</v>
      </c>
      <c r="Z92" s="9" t="s">
        <v>458</v>
      </c>
      <c r="AA92" s="9">
        <v>4</v>
      </c>
      <c r="AB92" s="38">
        <v>41334</v>
      </c>
      <c r="AC92" s="9" t="s">
        <v>487</v>
      </c>
      <c r="AD92" s="9" t="s">
        <v>543</v>
      </c>
      <c r="AE92" s="2">
        <v>92</v>
      </c>
      <c r="AF92" s="2">
        <v>8</v>
      </c>
      <c r="AG92"/>
    </row>
    <row r="93" spans="1:33" ht="15" customHeight="1" x14ac:dyDescent="0.25">
      <c r="A93" s="9">
        <v>92</v>
      </c>
      <c r="B93" s="9" t="s">
        <v>216</v>
      </c>
      <c r="C93" s="9" t="s">
        <v>217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218</v>
      </c>
      <c r="T93" s="9">
        <v>0</v>
      </c>
      <c r="U93" s="9">
        <v>0</v>
      </c>
      <c r="V93" s="9" t="s">
        <v>15</v>
      </c>
      <c r="W93" s="9" t="s">
        <v>216</v>
      </c>
      <c r="X93" s="36">
        <v>2</v>
      </c>
      <c r="Y93" s="37">
        <v>13</v>
      </c>
      <c r="Z93" s="9" t="s">
        <v>455</v>
      </c>
      <c r="AA93" s="9">
        <v>1</v>
      </c>
      <c r="AB93" s="38">
        <v>41334</v>
      </c>
      <c r="AC93" s="9" t="s">
        <v>487</v>
      </c>
      <c r="AD93" s="9" t="s">
        <v>499</v>
      </c>
      <c r="AE93" s="2">
        <v>13</v>
      </c>
      <c r="AF93" s="2">
        <v>2</v>
      </c>
      <c r="AG93"/>
    </row>
    <row r="94" spans="1:33" ht="15" hidden="1" customHeight="1" x14ac:dyDescent="0.25">
      <c r="A94" s="9">
        <v>93</v>
      </c>
      <c r="B94" s="9" t="s">
        <v>219</v>
      </c>
      <c r="C94" s="9" t="s">
        <v>219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218</v>
      </c>
      <c r="T94" s="9">
        <v>0</v>
      </c>
      <c r="U94" s="9">
        <v>0</v>
      </c>
      <c r="V94" s="9" t="s">
        <v>15</v>
      </c>
      <c r="W94" s="9" t="s">
        <v>219</v>
      </c>
      <c r="X94" s="9">
        <v>0</v>
      </c>
      <c r="Y94" s="37">
        <v>2</v>
      </c>
      <c r="Z94" s="9" t="s">
        <v>456</v>
      </c>
      <c r="AA94" s="9">
        <v>1</v>
      </c>
      <c r="AB94" s="38">
        <v>41334</v>
      </c>
      <c r="AC94" s="9" t="s">
        <v>487</v>
      </c>
      <c r="AD94" s="9" t="s">
        <v>499</v>
      </c>
      <c r="AE94" s="2">
        <v>2</v>
      </c>
      <c r="AF94" s="2">
        <v>0</v>
      </c>
      <c r="AG94"/>
    </row>
    <row r="95" spans="1:33" ht="15" hidden="1" customHeight="1" x14ac:dyDescent="0.25">
      <c r="A95" s="9">
        <v>94</v>
      </c>
      <c r="B95" s="9" t="s">
        <v>220</v>
      </c>
      <c r="C95" s="9" t="s">
        <v>221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220</v>
      </c>
      <c r="X95" s="9">
        <v>0.90476190476190477</v>
      </c>
      <c r="Y95" s="37">
        <v>10.791666666666666</v>
      </c>
      <c r="Z95" s="9" t="s">
        <v>457</v>
      </c>
      <c r="AA95" s="9">
        <v>1</v>
      </c>
      <c r="AB95" s="38">
        <v>41334</v>
      </c>
      <c r="AC95" s="9" t="s">
        <v>487</v>
      </c>
      <c r="AD95" s="9" t="s">
        <v>499</v>
      </c>
      <c r="AE95" s="2">
        <v>173</v>
      </c>
      <c r="AF95" s="2">
        <v>10</v>
      </c>
      <c r="AG95"/>
    </row>
    <row r="96" spans="1:33" ht="15" hidden="1" customHeight="1" x14ac:dyDescent="0.25">
      <c r="A96" s="9">
        <v>95</v>
      </c>
      <c r="B96" s="9" t="s">
        <v>222</v>
      </c>
      <c r="C96" s="40" t="s">
        <v>223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222</v>
      </c>
      <c r="X96" s="9">
        <v>0.93333333333333335</v>
      </c>
      <c r="Y96" s="37">
        <v>13.606060606060606</v>
      </c>
      <c r="Z96" s="9" t="s">
        <v>457</v>
      </c>
      <c r="AA96" s="9">
        <v>2</v>
      </c>
      <c r="AB96" s="38">
        <v>41334</v>
      </c>
      <c r="AC96" s="9" t="s">
        <v>487</v>
      </c>
      <c r="AD96" s="9" t="s">
        <v>528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224</v>
      </c>
      <c r="C97" s="9" t="s">
        <v>225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224</v>
      </c>
      <c r="X97" s="9">
        <v>1.4571428571428571</v>
      </c>
      <c r="Y97" s="37">
        <v>11.413043478260869</v>
      </c>
      <c r="Z97" s="9" t="s">
        <v>455</v>
      </c>
      <c r="AA97" s="9">
        <v>1</v>
      </c>
      <c r="AB97" s="38">
        <v>41334</v>
      </c>
      <c r="AC97" s="9" t="s">
        <v>487</v>
      </c>
      <c r="AD97" s="9" t="s">
        <v>528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226</v>
      </c>
      <c r="C98" s="9" t="s">
        <v>227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228</v>
      </c>
      <c r="T98" s="9">
        <v>0</v>
      </c>
      <c r="U98" s="9">
        <v>0</v>
      </c>
      <c r="V98" s="9" t="s">
        <v>15</v>
      </c>
      <c r="W98" s="9" t="s">
        <v>226</v>
      </c>
      <c r="X98" s="9">
        <v>1.2285714285714286</v>
      </c>
      <c r="Y98" s="37">
        <v>13.804347826086957</v>
      </c>
      <c r="Z98" s="9" t="s">
        <v>455</v>
      </c>
      <c r="AA98" s="9">
        <v>2</v>
      </c>
      <c r="AB98" s="38">
        <v>41334</v>
      </c>
      <c r="AC98" s="9" t="s">
        <v>487</v>
      </c>
      <c r="AD98" s="9" t="s">
        <v>528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229</v>
      </c>
      <c r="C99" s="9" t="s">
        <v>230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229</v>
      </c>
      <c r="X99" s="39">
        <v>1.6447368421052631</v>
      </c>
      <c r="Y99" s="37">
        <v>16.143678160919539</v>
      </c>
      <c r="Z99" s="9" t="s">
        <v>460</v>
      </c>
      <c r="AA99" s="9">
        <v>8</v>
      </c>
      <c r="AB99" s="38">
        <v>41334</v>
      </c>
      <c r="AC99" s="9" t="s">
        <v>487</v>
      </c>
      <c r="AD99" s="9" t="s">
        <v>528</v>
      </c>
      <c r="AE99" s="2">
        <v>253</v>
      </c>
      <c r="AF99" s="2">
        <v>26</v>
      </c>
      <c r="AG99" s="3" t="s">
        <v>1089</v>
      </c>
      <c r="AH99" s="34">
        <v>46101</v>
      </c>
    </row>
    <row r="100" spans="1:34" ht="15" hidden="1" customHeight="1" x14ac:dyDescent="0.25">
      <c r="A100" s="9">
        <v>99</v>
      </c>
      <c r="B100" s="9" t="s">
        <v>231</v>
      </c>
      <c r="C100" s="9" t="s">
        <v>232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231</v>
      </c>
      <c r="X100" s="9">
        <v>0.7</v>
      </c>
      <c r="Y100" s="37">
        <v>11.735294117647058</v>
      </c>
      <c r="Z100" s="9" t="s">
        <v>457</v>
      </c>
      <c r="AA100" s="9">
        <v>1</v>
      </c>
      <c r="AB100" s="38">
        <v>41334</v>
      </c>
      <c r="AC100" s="9" t="s">
        <v>487</v>
      </c>
      <c r="AD100" s="9" t="s">
        <v>504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233</v>
      </c>
      <c r="C101" s="9" t="s">
        <v>234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218</v>
      </c>
      <c r="T101" s="9">
        <v>0</v>
      </c>
      <c r="U101" s="9">
        <v>0</v>
      </c>
      <c r="V101" s="9" t="s">
        <v>15</v>
      </c>
      <c r="W101" s="9" t="s">
        <v>233</v>
      </c>
      <c r="X101" s="9">
        <v>1.4</v>
      </c>
      <c r="Y101" s="37">
        <v>5.6</v>
      </c>
      <c r="Z101" s="9" t="s">
        <v>458</v>
      </c>
      <c r="AA101" s="9">
        <v>0</v>
      </c>
      <c r="AB101" s="38">
        <v>41334</v>
      </c>
      <c r="AC101" s="9" t="s">
        <v>487</v>
      </c>
      <c r="AD101" s="9" t="s">
        <v>504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235</v>
      </c>
      <c r="C102" s="9" t="s">
        <v>236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235</v>
      </c>
      <c r="X102" s="9">
        <v>0.7142857142857143</v>
      </c>
      <c r="Y102" s="37">
        <v>8.3076923076923084</v>
      </c>
      <c r="Z102" s="9" t="s">
        <v>456</v>
      </c>
      <c r="AA102" s="9">
        <v>1</v>
      </c>
      <c r="AB102" s="38">
        <v>41334</v>
      </c>
      <c r="AC102" s="9" t="s">
        <v>487</v>
      </c>
      <c r="AD102" s="9" t="s">
        <v>504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237</v>
      </c>
      <c r="C103" s="9" t="s">
        <v>238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239</v>
      </c>
      <c r="T103" s="9">
        <v>0</v>
      </c>
      <c r="U103" s="9">
        <v>0</v>
      </c>
      <c r="V103" s="9" t="s">
        <v>15</v>
      </c>
      <c r="W103" s="9" t="s">
        <v>237</v>
      </c>
      <c r="X103" s="9">
        <v>0</v>
      </c>
      <c r="Y103" s="37">
        <v>2</v>
      </c>
      <c r="Z103" s="9" t="s">
        <v>456</v>
      </c>
      <c r="AA103" s="9">
        <v>0</v>
      </c>
      <c r="AB103" s="38">
        <v>41334</v>
      </c>
      <c r="AC103" s="9" t="s">
        <v>487</v>
      </c>
      <c r="AD103" s="9" t="s">
        <v>488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240</v>
      </c>
      <c r="C104" s="9" t="s">
        <v>241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108</v>
      </c>
      <c r="T104" s="9">
        <v>0</v>
      </c>
      <c r="U104" s="9">
        <v>0</v>
      </c>
      <c r="V104" s="9" t="s">
        <v>15</v>
      </c>
      <c r="W104" s="9" t="s">
        <v>240</v>
      </c>
      <c r="X104" s="9">
        <v>1.4202898550724639</v>
      </c>
      <c r="Y104" s="37">
        <v>11.824175824175825</v>
      </c>
      <c r="Z104" s="9" t="s">
        <v>455</v>
      </c>
      <c r="AA104" s="9">
        <v>2</v>
      </c>
      <c r="AB104" s="38">
        <v>41334</v>
      </c>
      <c r="AC104" s="9" t="s">
        <v>487</v>
      </c>
      <c r="AD104" s="9" t="s">
        <v>488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242</v>
      </c>
      <c r="C105" s="9" t="s">
        <v>243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228</v>
      </c>
      <c r="T105" s="9">
        <v>0</v>
      </c>
      <c r="U105" s="9">
        <v>0</v>
      </c>
      <c r="V105" s="9" t="s">
        <v>15</v>
      </c>
      <c r="W105" s="9" t="s">
        <v>242</v>
      </c>
      <c r="X105" s="9">
        <v>1</v>
      </c>
      <c r="Y105" s="37">
        <v>9.3529411764705888</v>
      </c>
      <c r="Z105" s="9" t="s">
        <v>458</v>
      </c>
      <c r="AA105" s="9">
        <v>0</v>
      </c>
      <c r="AB105" s="38">
        <v>41334</v>
      </c>
      <c r="AC105" s="9" t="s">
        <v>487</v>
      </c>
      <c r="AD105" s="9" t="s">
        <v>488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244</v>
      </c>
      <c r="C106" s="9" t="s">
        <v>244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245</v>
      </c>
      <c r="T106" s="9">
        <v>0</v>
      </c>
      <c r="U106" s="9">
        <v>0</v>
      </c>
      <c r="V106" s="9" t="s">
        <v>15</v>
      </c>
      <c r="W106" s="9" t="s">
        <v>244</v>
      </c>
      <c r="X106" s="36">
        <v>1.8181818181818181</v>
      </c>
      <c r="Y106" s="37">
        <v>14.052631578947368</v>
      </c>
      <c r="Z106" s="9" t="s">
        <v>459</v>
      </c>
      <c r="AA106" s="9">
        <v>1</v>
      </c>
      <c r="AB106" s="38">
        <v>41365</v>
      </c>
      <c r="AC106" s="9" t="s">
        <v>506</v>
      </c>
      <c r="AD106" s="9" t="s">
        <v>562</v>
      </c>
      <c r="AE106" s="2">
        <v>171</v>
      </c>
      <c r="AF106" s="2">
        <v>11</v>
      </c>
      <c r="AG106"/>
    </row>
    <row r="107" spans="1:34" ht="15" hidden="1" customHeight="1" x14ac:dyDescent="0.25">
      <c r="A107" s="9">
        <v>106</v>
      </c>
      <c r="B107" s="9" t="s">
        <v>246</v>
      </c>
      <c r="C107" s="9" t="s">
        <v>247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246</v>
      </c>
      <c r="X107" s="36">
        <v>1.5</v>
      </c>
      <c r="Y107" s="37">
        <v>11.8125</v>
      </c>
      <c r="Z107" s="9" t="s">
        <v>455</v>
      </c>
      <c r="AA107" s="9">
        <v>2</v>
      </c>
      <c r="AB107" s="38">
        <v>41365</v>
      </c>
      <c r="AC107" s="9" t="s">
        <v>506</v>
      </c>
      <c r="AD107" s="9" t="s">
        <v>562</v>
      </c>
      <c r="AE107" s="2">
        <v>189</v>
      </c>
      <c r="AF107" s="2">
        <v>14</v>
      </c>
      <c r="AG107"/>
    </row>
    <row r="108" spans="1:34" ht="15" customHeight="1" x14ac:dyDescent="0.25">
      <c r="A108" s="9">
        <v>107</v>
      </c>
      <c r="B108" s="9" t="s">
        <v>248</v>
      </c>
      <c r="C108" s="9" t="s">
        <v>249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250</v>
      </c>
      <c r="T108" s="9">
        <v>0</v>
      </c>
      <c r="U108" s="9">
        <v>0</v>
      </c>
      <c r="V108" s="9" t="s">
        <v>15</v>
      </c>
      <c r="W108" s="9" t="s">
        <v>248</v>
      </c>
      <c r="X108" s="36">
        <v>1.8</v>
      </c>
      <c r="Y108" s="37">
        <v>12.818181818181818</v>
      </c>
      <c r="Z108" s="9" t="s">
        <v>455</v>
      </c>
      <c r="AA108" s="9">
        <v>1</v>
      </c>
      <c r="AB108" s="38">
        <v>41365</v>
      </c>
      <c r="AC108" s="9" t="s">
        <v>506</v>
      </c>
      <c r="AD108" s="9" t="s">
        <v>563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251</v>
      </c>
      <c r="C109" s="9" t="s">
        <v>252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253</v>
      </c>
      <c r="T109" s="9">
        <v>0</v>
      </c>
      <c r="U109" s="9">
        <v>0</v>
      </c>
      <c r="V109" s="9" t="s">
        <v>15</v>
      </c>
      <c r="W109" s="9" t="s">
        <v>251</v>
      </c>
      <c r="X109" s="9">
        <v>0.77777777777777779</v>
      </c>
      <c r="Y109" s="37">
        <v>5.7857142857142856</v>
      </c>
      <c r="Z109" s="9" t="s">
        <v>456</v>
      </c>
      <c r="AA109" s="9">
        <v>2</v>
      </c>
      <c r="AB109" s="38">
        <v>41365</v>
      </c>
      <c r="AC109" s="9" t="s">
        <v>506</v>
      </c>
      <c r="AD109" s="9" t="s">
        <v>563</v>
      </c>
      <c r="AE109" s="2">
        <v>52</v>
      </c>
      <c r="AF109" s="2">
        <v>7</v>
      </c>
      <c r="AG109"/>
    </row>
    <row r="110" spans="1:34" ht="15" hidden="1" customHeight="1" x14ac:dyDescent="0.25">
      <c r="A110" s="9">
        <v>109</v>
      </c>
      <c r="B110" s="9" t="s">
        <v>254</v>
      </c>
      <c r="C110" s="9" t="s">
        <v>255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250</v>
      </c>
      <c r="T110" s="9">
        <v>0</v>
      </c>
      <c r="U110" s="9">
        <v>0</v>
      </c>
      <c r="V110" s="9" t="s">
        <v>15</v>
      </c>
      <c r="W110" s="9" t="s">
        <v>254</v>
      </c>
      <c r="X110" s="36">
        <v>3</v>
      </c>
      <c r="Y110" s="37">
        <v>3.5</v>
      </c>
      <c r="Z110" s="9" t="s">
        <v>458</v>
      </c>
      <c r="AA110" s="9">
        <v>1</v>
      </c>
      <c r="AB110" s="38">
        <v>41365</v>
      </c>
      <c r="AC110" s="9" t="s">
        <v>506</v>
      </c>
      <c r="AD110" s="9" t="s">
        <v>563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256</v>
      </c>
      <c r="C111" s="9" t="s">
        <v>257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239</v>
      </c>
      <c r="T111" s="9">
        <v>0</v>
      </c>
      <c r="U111" s="9">
        <v>0</v>
      </c>
      <c r="V111" s="9" t="s">
        <v>15</v>
      </c>
      <c r="W111" s="9" t="s">
        <v>256</v>
      </c>
      <c r="X111" s="36">
        <v>1.75</v>
      </c>
      <c r="Y111" s="37">
        <v>7.666666666666667</v>
      </c>
      <c r="Z111" s="9" t="s">
        <v>458</v>
      </c>
      <c r="AA111" s="9">
        <v>0</v>
      </c>
      <c r="AB111" s="38">
        <v>41365</v>
      </c>
      <c r="AC111" s="9" t="s">
        <v>506</v>
      </c>
      <c r="AD111" s="9" t="s">
        <v>564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258</v>
      </c>
      <c r="C112" s="9" t="s">
        <v>259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245</v>
      </c>
      <c r="T112" s="9">
        <v>0</v>
      </c>
      <c r="U112" s="9">
        <v>0</v>
      </c>
      <c r="V112" s="9" t="s">
        <v>15</v>
      </c>
      <c r="W112" s="9" t="s">
        <v>258</v>
      </c>
      <c r="X112" s="36">
        <v>1.5714285714285714</v>
      </c>
      <c r="Y112" s="37">
        <v>5.8571428571428568</v>
      </c>
      <c r="Z112" s="9" t="s">
        <v>458</v>
      </c>
      <c r="AA112" s="9">
        <v>1</v>
      </c>
      <c r="AB112" s="38">
        <v>41365</v>
      </c>
      <c r="AC112" s="9" t="s">
        <v>506</v>
      </c>
      <c r="AD112" s="9" t="s">
        <v>564</v>
      </c>
      <c r="AE112" s="2">
        <v>31</v>
      </c>
      <c r="AF112" s="2">
        <v>10</v>
      </c>
      <c r="AG112"/>
    </row>
    <row r="113" spans="1:33" ht="15" hidden="1" customHeight="1" x14ac:dyDescent="0.25">
      <c r="A113" s="9">
        <v>112</v>
      </c>
      <c r="B113" s="9" t="s">
        <v>260</v>
      </c>
      <c r="C113" s="9" t="s">
        <v>261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260</v>
      </c>
      <c r="X113" s="36">
        <v>2</v>
      </c>
      <c r="Y113" s="37">
        <v>0</v>
      </c>
      <c r="Z113" s="9" t="s">
        <v>458</v>
      </c>
      <c r="AA113" s="9">
        <v>2</v>
      </c>
      <c r="AB113" s="38">
        <v>41395</v>
      </c>
      <c r="AC113" s="9" t="s">
        <v>479</v>
      </c>
      <c r="AD113" s="9" t="s">
        <v>565</v>
      </c>
      <c r="AE113" s="2">
        <v>0</v>
      </c>
      <c r="AF113" s="2">
        <v>2</v>
      </c>
      <c r="AG113"/>
    </row>
    <row r="114" spans="1:33" ht="15" hidden="1" customHeight="1" x14ac:dyDescent="0.25">
      <c r="A114" s="9">
        <v>113</v>
      </c>
      <c r="B114" s="9" t="s">
        <v>262</v>
      </c>
      <c r="C114" s="9" t="s">
        <v>263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264</v>
      </c>
      <c r="T114" s="9">
        <v>0</v>
      </c>
      <c r="U114" s="9">
        <v>0</v>
      </c>
      <c r="V114" s="9" t="s">
        <v>15</v>
      </c>
      <c r="W114" s="9" t="s">
        <v>262</v>
      </c>
      <c r="X114" s="9">
        <v>1</v>
      </c>
      <c r="Y114" s="37">
        <v>6.8181818181818183</v>
      </c>
      <c r="Z114" s="9" t="s">
        <v>458</v>
      </c>
      <c r="AA114" s="9">
        <v>2</v>
      </c>
      <c r="AB114" s="38">
        <v>41395</v>
      </c>
      <c r="AC114" s="9" t="s">
        <v>479</v>
      </c>
      <c r="AD114" s="9" t="s">
        <v>566</v>
      </c>
      <c r="AE114" s="2">
        <v>36</v>
      </c>
      <c r="AF114" s="2">
        <v>5</v>
      </c>
    </row>
    <row r="115" spans="1:33" ht="15" hidden="1" customHeight="1" x14ac:dyDescent="0.25">
      <c r="A115" s="9">
        <v>114</v>
      </c>
      <c r="B115" s="9" t="s">
        <v>265</v>
      </c>
      <c r="C115" s="9" t="s">
        <v>266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245</v>
      </c>
      <c r="T115" s="9">
        <v>0</v>
      </c>
      <c r="U115" s="9">
        <v>0</v>
      </c>
      <c r="V115" s="9" t="s">
        <v>15</v>
      </c>
      <c r="W115" s="9" t="s">
        <v>265</v>
      </c>
      <c r="X115" s="36">
        <v>1.6666666666666667</v>
      </c>
      <c r="Y115" s="37">
        <v>4.8</v>
      </c>
      <c r="Z115" s="9" t="s">
        <v>458</v>
      </c>
      <c r="AA115" s="9">
        <v>0</v>
      </c>
      <c r="AB115" s="38">
        <v>41395</v>
      </c>
      <c r="AC115" s="9" t="s">
        <v>479</v>
      </c>
      <c r="AD115" s="9" t="s">
        <v>567</v>
      </c>
      <c r="AE115" s="2">
        <v>24</v>
      </c>
      <c r="AF115" s="2">
        <v>5</v>
      </c>
      <c r="AG115"/>
    </row>
    <row r="116" spans="1:33" ht="15" hidden="1" customHeight="1" x14ac:dyDescent="0.25">
      <c r="A116" s="9">
        <v>115</v>
      </c>
      <c r="B116" s="9" t="s">
        <v>267</v>
      </c>
      <c r="C116" s="9" t="s">
        <v>268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267</v>
      </c>
      <c r="X116" s="9">
        <v>0.8571428571428571</v>
      </c>
      <c r="Y116" s="37">
        <v>8.5833333333333339</v>
      </c>
      <c r="Z116" s="9" t="s">
        <v>456</v>
      </c>
      <c r="AA116" s="9">
        <v>0</v>
      </c>
      <c r="AB116" s="38">
        <v>41395</v>
      </c>
      <c r="AC116" s="9" t="s">
        <v>479</v>
      </c>
      <c r="AD116" s="9" t="s">
        <v>567</v>
      </c>
      <c r="AE116" s="2">
        <v>64</v>
      </c>
      <c r="AF116" s="2">
        <v>4</v>
      </c>
      <c r="AG116"/>
    </row>
    <row r="117" spans="1:33" ht="15" hidden="1" customHeight="1" x14ac:dyDescent="0.25">
      <c r="A117" s="9">
        <v>116</v>
      </c>
      <c r="B117" s="9" t="s">
        <v>269</v>
      </c>
      <c r="C117" s="9" t="s">
        <v>270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245</v>
      </c>
      <c r="T117" s="9">
        <v>0</v>
      </c>
      <c r="U117" s="9">
        <v>0</v>
      </c>
      <c r="V117" s="9" t="s">
        <v>15</v>
      </c>
      <c r="W117" s="9" t="s">
        <v>269</v>
      </c>
      <c r="X117" s="9">
        <v>1</v>
      </c>
      <c r="Y117" s="37">
        <v>8</v>
      </c>
      <c r="Z117" s="9" t="s">
        <v>458</v>
      </c>
      <c r="AA117" s="9">
        <v>0</v>
      </c>
      <c r="AB117" s="38">
        <v>41395</v>
      </c>
      <c r="AC117" s="9" t="s">
        <v>479</v>
      </c>
      <c r="AD117" s="9" t="s">
        <v>568</v>
      </c>
      <c r="AE117" s="2">
        <v>32</v>
      </c>
      <c r="AF117" s="2">
        <v>3</v>
      </c>
      <c r="AG117"/>
    </row>
    <row r="118" spans="1:33" ht="15" hidden="1" customHeight="1" x14ac:dyDescent="0.25">
      <c r="A118" s="9">
        <v>117</v>
      </c>
      <c r="B118" s="9" t="s">
        <v>271</v>
      </c>
      <c r="C118" s="9" t="s">
        <v>272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245</v>
      </c>
      <c r="T118" s="9">
        <v>0</v>
      </c>
      <c r="U118" s="9">
        <v>0</v>
      </c>
      <c r="V118" s="9" t="s">
        <v>15</v>
      </c>
      <c r="W118" s="9" t="s">
        <v>271</v>
      </c>
      <c r="X118" s="9">
        <v>0</v>
      </c>
      <c r="Y118" s="37">
        <v>7</v>
      </c>
      <c r="Z118" s="9" t="s">
        <v>456</v>
      </c>
      <c r="AA118" s="9">
        <v>0</v>
      </c>
      <c r="AB118" s="38">
        <v>41395</v>
      </c>
      <c r="AC118" s="9" t="s">
        <v>479</v>
      </c>
      <c r="AD118" s="9" t="s">
        <v>569</v>
      </c>
      <c r="AE118" s="2">
        <v>7</v>
      </c>
      <c r="AF118" s="2">
        <v>0</v>
      </c>
      <c r="AG118"/>
    </row>
    <row r="119" spans="1:33" ht="15" hidden="1" customHeight="1" x14ac:dyDescent="0.25">
      <c r="A119" s="9">
        <v>118</v>
      </c>
      <c r="B119" s="9" t="s">
        <v>273</v>
      </c>
      <c r="C119" s="9" t="s">
        <v>274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239</v>
      </c>
      <c r="T119" s="9">
        <v>0</v>
      </c>
      <c r="U119" s="9">
        <v>0</v>
      </c>
      <c r="V119" s="9" t="s">
        <v>15</v>
      </c>
      <c r="W119" s="9" t="s">
        <v>273</v>
      </c>
      <c r="X119" s="9">
        <v>1</v>
      </c>
      <c r="Y119" s="37">
        <v>8.6</v>
      </c>
      <c r="Z119" s="9" t="s">
        <v>458</v>
      </c>
      <c r="AA119" s="9">
        <v>1</v>
      </c>
      <c r="AB119" s="38">
        <v>41395</v>
      </c>
      <c r="AC119" s="9" t="s">
        <v>479</v>
      </c>
      <c r="AD119" s="9" t="s">
        <v>570</v>
      </c>
      <c r="AE119" s="2">
        <v>43</v>
      </c>
      <c r="AF119" s="2">
        <v>4</v>
      </c>
      <c r="AG119"/>
    </row>
    <row r="120" spans="1:33" ht="15" hidden="1" customHeight="1" x14ac:dyDescent="0.25">
      <c r="A120" s="9">
        <v>119</v>
      </c>
      <c r="B120" s="9" t="s">
        <v>275</v>
      </c>
      <c r="C120" s="9" t="s">
        <v>276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264</v>
      </c>
      <c r="T120" s="9">
        <v>1</v>
      </c>
      <c r="U120" s="9">
        <v>1</v>
      </c>
      <c r="V120" s="9" t="s">
        <v>15</v>
      </c>
      <c r="W120" s="9" t="s">
        <v>275</v>
      </c>
      <c r="X120" s="36">
        <v>3.5</v>
      </c>
      <c r="Y120" s="37">
        <v>11.722222222222221</v>
      </c>
      <c r="Z120" s="9" t="s">
        <v>455</v>
      </c>
      <c r="AA120" s="9">
        <v>2</v>
      </c>
      <c r="AB120" s="38">
        <v>41395</v>
      </c>
      <c r="AC120" s="9" t="s">
        <v>479</v>
      </c>
      <c r="AD120" s="9" t="s">
        <v>571</v>
      </c>
      <c r="AE120" s="2">
        <v>148</v>
      </c>
      <c r="AF120" s="2">
        <v>24</v>
      </c>
      <c r="AG120"/>
    </row>
    <row r="121" spans="1:33" ht="15" hidden="1" customHeight="1" x14ac:dyDescent="0.25">
      <c r="A121" s="9">
        <v>120</v>
      </c>
      <c r="B121" s="9" t="s">
        <v>277</v>
      </c>
      <c r="C121" s="9" t="s">
        <v>278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279</v>
      </c>
      <c r="T121" s="9">
        <v>0</v>
      </c>
      <c r="U121" s="9">
        <v>0</v>
      </c>
      <c r="V121" s="9" t="s">
        <v>15</v>
      </c>
      <c r="W121" s="9" t="s">
        <v>277</v>
      </c>
      <c r="X121" s="9">
        <v>0.94444444444444442</v>
      </c>
      <c r="Y121" s="37">
        <v>13.952380952380953</v>
      </c>
      <c r="Z121" s="9" t="s">
        <v>457</v>
      </c>
      <c r="AA121" s="9">
        <v>1</v>
      </c>
      <c r="AB121" s="38">
        <v>41395</v>
      </c>
      <c r="AC121" s="9" t="s">
        <v>479</v>
      </c>
      <c r="AD121" s="9" t="s">
        <v>572</v>
      </c>
      <c r="AE121" s="2">
        <v>114</v>
      </c>
      <c r="AF121" s="2">
        <v>6</v>
      </c>
      <c r="AG121"/>
    </row>
    <row r="122" spans="1:33" ht="15" hidden="1" customHeight="1" x14ac:dyDescent="0.25">
      <c r="A122" s="9">
        <v>121</v>
      </c>
      <c r="B122" s="9" t="s">
        <v>280</v>
      </c>
      <c r="C122" s="9" t="s">
        <v>281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282</v>
      </c>
      <c r="T122" s="9">
        <v>0</v>
      </c>
      <c r="U122" s="9">
        <v>0</v>
      </c>
      <c r="V122" s="9" t="s">
        <v>15</v>
      </c>
      <c r="W122" s="9" t="s">
        <v>280</v>
      </c>
      <c r="X122" s="9">
        <v>1.05</v>
      </c>
      <c r="Y122" s="37">
        <v>10.909090909090908</v>
      </c>
      <c r="Z122" s="9" t="s">
        <v>455</v>
      </c>
      <c r="AA122" s="9">
        <v>0</v>
      </c>
      <c r="AB122" s="38">
        <v>41426</v>
      </c>
      <c r="AC122" s="9" t="s">
        <v>483</v>
      </c>
      <c r="AD122" s="9" t="s">
        <v>542</v>
      </c>
      <c r="AE122" s="2">
        <v>73</v>
      </c>
      <c r="AF122" s="2">
        <v>8</v>
      </c>
      <c r="AG122"/>
    </row>
    <row r="123" spans="1:33" ht="15" hidden="1" customHeight="1" x14ac:dyDescent="0.25">
      <c r="A123" s="9">
        <v>122</v>
      </c>
      <c r="B123" s="9" t="s">
        <v>283</v>
      </c>
      <c r="C123" s="9" t="s">
        <v>284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283</v>
      </c>
      <c r="X123" s="9">
        <v>1.0975609756097562</v>
      </c>
      <c r="Y123" s="37">
        <v>12.221052631578948</v>
      </c>
      <c r="Z123" s="9" t="s">
        <v>455</v>
      </c>
      <c r="AA123" s="9">
        <v>3</v>
      </c>
      <c r="AB123" s="38">
        <v>41395</v>
      </c>
      <c r="AC123" s="9" t="s">
        <v>479</v>
      </c>
      <c r="AD123" s="9" t="s">
        <v>573</v>
      </c>
      <c r="AE123" s="2">
        <v>242</v>
      </c>
      <c r="AF123" s="2">
        <v>14</v>
      </c>
      <c r="AG123"/>
    </row>
    <row r="124" spans="1:33" ht="15" hidden="1" customHeight="1" x14ac:dyDescent="0.25">
      <c r="A124" s="9">
        <v>123</v>
      </c>
      <c r="B124" s="9" t="s">
        <v>285</v>
      </c>
      <c r="C124" s="9" t="s">
        <v>286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287</v>
      </c>
      <c r="T124" s="9">
        <v>0</v>
      </c>
      <c r="U124" s="9">
        <v>0</v>
      </c>
      <c r="V124" s="9" t="s">
        <v>15</v>
      </c>
      <c r="W124" s="9" t="s">
        <v>285</v>
      </c>
      <c r="X124" s="36">
        <v>1.7272727272727273</v>
      </c>
      <c r="Y124" s="37">
        <v>12</v>
      </c>
      <c r="Z124" s="9" t="s">
        <v>455</v>
      </c>
      <c r="AA124" s="9">
        <v>1</v>
      </c>
      <c r="AB124" s="38">
        <v>41426</v>
      </c>
      <c r="AC124" s="9" t="s">
        <v>483</v>
      </c>
      <c r="AD124" s="9" t="s">
        <v>574</v>
      </c>
      <c r="AE124" s="2">
        <v>79</v>
      </c>
      <c r="AF124" s="2">
        <v>10</v>
      </c>
      <c r="AG124"/>
    </row>
    <row r="125" spans="1:33" ht="15" hidden="1" customHeight="1" x14ac:dyDescent="0.25">
      <c r="A125" s="9">
        <v>124</v>
      </c>
      <c r="B125" s="9" t="s">
        <v>288</v>
      </c>
      <c r="C125" s="9" t="s">
        <v>289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239</v>
      </c>
      <c r="T125" s="9">
        <v>0</v>
      </c>
      <c r="U125" s="9">
        <v>0</v>
      </c>
      <c r="V125" s="9" t="s">
        <v>15</v>
      </c>
      <c r="W125" s="9" t="s">
        <v>288</v>
      </c>
      <c r="X125" s="39">
        <v>1.5</v>
      </c>
      <c r="Y125" s="37">
        <v>35.5</v>
      </c>
      <c r="Z125" s="9" t="s">
        <v>460</v>
      </c>
      <c r="AA125" s="9">
        <v>0</v>
      </c>
      <c r="AB125" s="38">
        <v>41426</v>
      </c>
      <c r="AC125" s="9" t="s">
        <v>483</v>
      </c>
      <c r="AD125" s="9" t="s">
        <v>575</v>
      </c>
      <c r="AE125" s="2">
        <v>71</v>
      </c>
      <c r="AF125" s="2">
        <v>3</v>
      </c>
      <c r="AG125"/>
    </row>
    <row r="126" spans="1:33" ht="15" hidden="1" customHeight="1" x14ac:dyDescent="0.25">
      <c r="A126" s="9">
        <v>125</v>
      </c>
      <c r="B126" s="9" t="s">
        <v>290</v>
      </c>
      <c r="C126" s="9" t="s">
        <v>291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264</v>
      </c>
      <c r="T126" s="9">
        <v>0</v>
      </c>
      <c r="U126" s="9">
        <v>0</v>
      </c>
      <c r="V126" s="9" t="s">
        <v>15</v>
      </c>
      <c r="W126" s="9" t="s">
        <v>290</v>
      </c>
      <c r="X126" s="9">
        <v>1.75</v>
      </c>
      <c r="Y126" s="37">
        <v>4.8</v>
      </c>
      <c r="Z126" s="9" t="s">
        <v>458</v>
      </c>
      <c r="AA126" s="9">
        <v>1</v>
      </c>
      <c r="AB126" s="38">
        <v>41426</v>
      </c>
      <c r="AC126" s="9" t="s">
        <v>483</v>
      </c>
      <c r="AD126" s="9" t="s">
        <v>576</v>
      </c>
      <c r="AE126" s="2">
        <v>21</v>
      </c>
      <c r="AF126" s="2">
        <v>4</v>
      </c>
      <c r="AG126"/>
    </row>
    <row r="127" spans="1:33" ht="15" hidden="1" customHeight="1" x14ac:dyDescent="0.25">
      <c r="A127" s="9">
        <v>126</v>
      </c>
      <c r="B127" s="9" t="s">
        <v>292</v>
      </c>
      <c r="C127" s="9" t="s">
        <v>293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294</v>
      </c>
      <c r="T127" s="9">
        <v>0</v>
      </c>
      <c r="U127" s="9">
        <v>0</v>
      </c>
      <c r="V127" s="9" t="s">
        <v>15</v>
      </c>
      <c r="W127" s="9" t="s">
        <v>292</v>
      </c>
      <c r="X127" s="9">
        <v>0.33333333333333331</v>
      </c>
      <c r="Y127" s="37">
        <v>11</v>
      </c>
      <c r="Z127" s="9" t="s">
        <v>457</v>
      </c>
      <c r="AA127" s="9">
        <v>1</v>
      </c>
      <c r="AB127" s="38">
        <v>41456</v>
      </c>
      <c r="AC127" s="9" t="s">
        <v>477</v>
      </c>
      <c r="AD127" s="9" t="s">
        <v>577</v>
      </c>
      <c r="AE127" s="2">
        <v>153</v>
      </c>
      <c r="AF127" s="2">
        <v>4</v>
      </c>
      <c r="AG127"/>
    </row>
    <row r="128" spans="1:33" ht="15" hidden="1" customHeight="1" x14ac:dyDescent="0.25">
      <c r="A128" s="9">
        <v>127</v>
      </c>
      <c r="B128" s="9" t="s">
        <v>295</v>
      </c>
      <c r="C128" s="9" t="s">
        <v>296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228</v>
      </c>
      <c r="T128" s="9">
        <v>0</v>
      </c>
      <c r="U128" s="9">
        <v>0</v>
      </c>
      <c r="V128" s="9" t="s">
        <v>15</v>
      </c>
      <c r="W128" s="9" t="s">
        <v>295</v>
      </c>
      <c r="X128" s="9">
        <v>0.76923076923076927</v>
      </c>
      <c r="Y128" s="37">
        <v>10</v>
      </c>
      <c r="Z128" s="9" t="s">
        <v>456</v>
      </c>
      <c r="AA128" s="9">
        <v>0</v>
      </c>
      <c r="AB128" s="38">
        <v>41456</v>
      </c>
      <c r="AC128" s="9" t="s">
        <v>475</v>
      </c>
      <c r="AD128" s="9" t="s">
        <v>578</v>
      </c>
      <c r="AE128" s="2">
        <v>115</v>
      </c>
      <c r="AF128" s="2">
        <v>7</v>
      </c>
      <c r="AG128"/>
    </row>
    <row r="129" spans="1:33" ht="15" hidden="1" customHeight="1" x14ac:dyDescent="0.25">
      <c r="A129" s="9">
        <v>128</v>
      </c>
      <c r="B129" s="9" t="s">
        <v>297</v>
      </c>
      <c r="C129" s="9" t="s">
        <v>298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297</v>
      </c>
      <c r="X129" s="9">
        <v>1.2592592592592593</v>
      </c>
      <c r="Y129" s="37">
        <v>12.861538461538462</v>
      </c>
      <c r="Z129" s="9" t="s">
        <v>455</v>
      </c>
      <c r="AA129" s="9">
        <v>1</v>
      </c>
      <c r="AB129" s="38">
        <v>41456</v>
      </c>
      <c r="AC129" s="9" t="s">
        <v>475</v>
      </c>
      <c r="AD129" s="9" t="s">
        <v>578</v>
      </c>
      <c r="AE129" s="2">
        <v>214</v>
      </c>
      <c r="AF129" s="2">
        <v>17</v>
      </c>
      <c r="AG129"/>
    </row>
    <row r="130" spans="1:33" ht="15" hidden="1" customHeight="1" x14ac:dyDescent="0.25">
      <c r="A130" s="9">
        <v>129</v>
      </c>
      <c r="B130" s="9" t="s">
        <v>299</v>
      </c>
      <c r="C130" s="40" t="s">
        <v>300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299</v>
      </c>
      <c r="X130" s="36">
        <v>0.89393939393939392</v>
      </c>
      <c r="Y130" s="37">
        <v>13.358974358974359</v>
      </c>
      <c r="Z130" s="9" t="s">
        <v>457</v>
      </c>
      <c r="AA130" s="9">
        <v>1</v>
      </c>
      <c r="AB130" s="38">
        <v>41456</v>
      </c>
      <c r="AC130" s="9" t="s">
        <v>475</v>
      </c>
      <c r="AD130" s="9" t="s">
        <v>579</v>
      </c>
      <c r="AE130" s="2">
        <v>271</v>
      </c>
      <c r="AF130" s="2">
        <v>10</v>
      </c>
      <c r="AG130"/>
    </row>
    <row r="131" spans="1:33" ht="15" hidden="1" customHeight="1" x14ac:dyDescent="0.25">
      <c r="A131" s="9">
        <v>130</v>
      </c>
      <c r="B131" s="9" t="s">
        <v>301</v>
      </c>
      <c r="C131" s="9" t="s">
        <v>302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294</v>
      </c>
      <c r="T131" s="9">
        <v>0</v>
      </c>
      <c r="U131" s="9">
        <v>0</v>
      </c>
      <c r="V131" s="9" t="s">
        <v>15</v>
      </c>
      <c r="W131" s="9" t="s">
        <v>301</v>
      </c>
      <c r="X131" s="9">
        <v>0.875</v>
      </c>
      <c r="Y131" s="37">
        <v>8.1538461538461533</v>
      </c>
      <c r="Z131" s="9" t="s">
        <v>456</v>
      </c>
      <c r="AA131" s="9">
        <v>0</v>
      </c>
      <c r="AB131" s="38">
        <v>41456</v>
      </c>
      <c r="AC131" s="9" t="s">
        <v>475</v>
      </c>
      <c r="AD131" s="9" t="s">
        <v>579</v>
      </c>
      <c r="AE131" s="2">
        <v>70</v>
      </c>
      <c r="AF131" s="2">
        <v>9</v>
      </c>
      <c r="AG131"/>
    </row>
    <row r="132" spans="1:33" ht="15" hidden="1" customHeight="1" x14ac:dyDescent="0.25">
      <c r="A132" s="9">
        <v>131</v>
      </c>
      <c r="B132" s="9" t="s">
        <v>303</v>
      </c>
      <c r="C132" s="9" t="s">
        <v>304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303</v>
      </c>
      <c r="X132" s="9">
        <v>1.5142857142857142</v>
      </c>
      <c r="Y132" s="37">
        <v>14.448979591836734</v>
      </c>
      <c r="Z132" s="9" t="s">
        <v>459</v>
      </c>
      <c r="AA132" s="9">
        <v>3</v>
      </c>
      <c r="AB132" s="38">
        <v>41456</v>
      </c>
      <c r="AC132" s="9" t="s">
        <v>477</v>
      </c>
      <c r="AD132" s="9" t="s">
        <v>478</v>
      </c>
      <c r="AE132" s="2">
        <v>312</v>
      </c>
      <c r="AF132" s="2">
        <v>25</v>
      </c>
      <c r="AG132"/>
    </row>
    <row r="133" spans="1:33" ht="15" hidden="1" customHeight="1" x14ac:dyDescent="0.25">
      <c r="A133" s="9">
        <v>132</v>
      </c>
      <c r="B133" s="9" t="s">
        <v>305</v>
      </c>
      <c r="C133" s="9" t="s">
        <v>306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211</v>
      </c>
      <c r="T133" s="9">
        <v>0</v>
      </c>
      <c r="U133" s="9">
        <v>0</v>
      </c>
      <c r="V133" s="9" t="s">
        <v>15</v>
      </c>
      <c r="W133" s="9" t="s">
        <v>305</v>
      </c>
      <c r="X133" s="9">
        <v>1.0952380952380953</v>
      </c>
      <c r="Y133" s="37">
        <v>5.8260869565217392</v>
      </c>
      <c r="Z133" s="9" t="s">
        <v>458</v>
      </c>
      <c r="AA133" s="9">
        <v>0</v>
      </c>
      <c r="AB133" s="38">
        <v>41456</v>
      </c>
      <c r="AC133" s="9" t="s">
        <v>475</v>
      </c>
      <c r="AD133" s="9" t="s">
        <v>476</v>
      </c>
      <c r="AE133" s="2">
        <v>43</v>
      </c>
      <c r="AF133" s="2">
        <v>9</v>
      </c>
      <c r="AG133"/>
    </row>
    <row r="134" spans="1:33" ht="15" hidden="1" customHeight="1" x14ac:dyDescent="0.25">
      <c r="A134" s="9">
        <v>133</v>
      </c>
      <c r="B134" s="9" t="s">
        <v>307</v>
      </c>
      <c r="C134" s="9" t="s">
        <v>308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282</v>
      </c>
      <c r="T134" s="9">
        <v>0</v>
      </c>
      <c r="U134" s="9">
        <v>0</v>
      </c>
      <c r="V134" s="9" t="s">
        <v>15</v>
      </c>
      <c r="W134" s="9" t="s">
        <v>307</v>
      </c>
      <c r="X134" s="39">
        <v>1.1875</v>
      </c>
      <c r="Y134" s="37">
        <v>13.24</v>
      </c>
      <c r="Z134" s="9" t="s">
        <v>455</v>
      </c>
      <c r="AA134" s="9">
        <v>2</v>
      </c>
      <c r="AB134" s="38">
        <v>41456</v>
      </c>
      <c r="AC134" s="9" t="s">
        <v>475</v>
      </c>
      <c r="AD134" s="9" t="s">
        <v>580</v>
      </c>
      <c r="AE134" s="2">
        <v>212</v>
      </c>
      <c r="AF134" s="2">
        <v>11</v>
      </c>
      <c r="AG134"/>
    </row>
    <row r="135" spans="1:33" ht="15" hidden="1" customHeight="1" x14ac:dyDescent="0.25">
      <c r="A135" s="9">
        <v>134</v>
      </c>
      <c r="B135" s="9" t="s">
        <v>309</v>
      </c>
      <c r="C135" s="9" t="s">
        <v>310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287</v>
      </c>
      <c r="T135" s="9">
        <v>0</v>
      </c>
      <c r="U135" s="9">
        <v>0</v>
      </c>
      <c r="V135" s="9" t="s">
        <v>15</v>
      </c>
      <c r="W135" s="9" t="s">
        <v>309</v>
      </c>
      <c r="X135" s="9">
        <v>1</v>
      </c>
      <c r="Y135" s="37">
        <v>12.5</v>
      </c>
      <c r="Z135" s="9" t="s">
        <v>455</v>
      </c>
      <c r="AA135" s="9">
        <v>0</v>
      </c>
      <c r="AB135" s="38">
        <v>41456</v>
      </c>
      <c r="AC135" s="9" t="s">
        <v>475</v>
      </c>
      <c r="AD135" s="9" t="s">
        <v>580</v>
      </c>
      <c r="AE135" s="2">
        <v>25</v>
      </c>
      <c r="AF135" s="2">
        <v>2</v>
      </c>
      <c r="AG135"/>
    </row>
    <row r="136" spans="1:33" ht="15" hidden="1" customHeight="1" x14ac:dyDescent="0.25">
      <c r="A136" s="9">
        <v>135</v>
      </c>
      <c r="B136" s="9" t="s">
        <v>311</v>
      </c>
      <c r="C136" s="9" t="s">
        <v>312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287</v>
      </c>
      <c r="T136" s="9">
        <v>0</v>
      </c>
      <c r="U136" s="9">
        <v>0</v>
      </c>
      <c r="V136" s="9" t="s">
        <v>15</v>
      </c>
      <c r="W136" s="9" t="s">
        <v>311</v>
      </c>
      <c r="X136" s="9">
        <v>0</v>
      </c>
      <c r="Y136" s="37">
        <v>1.5</v>
      </c>
      <c r="Z136" s="9" t="s">
        <v>456</v>
      </c>
      <c r="AA136" s="9">
        <v>0</v>
      </c>
      <c r="AB136" s="38">
        <v>41456</v>
      </c>
      <c r="AC136" s="9" t="s">
        <v>475</v>
      </c>
      <c r="AD136" s="9" t="s">
        <v>481</v>
      </c>
      <c r="AE136" s="2">
        <v>3</v>
      </c>
      <c r="AF136" s="2">
        <v>0</v>
      </c>
      <c r="AG136"/>
    </row>
    <row r="137" spans="1:33" ht="15" hidden="1" customHeight="1" x14ac:dyDescent="0.25">
      <c r="A137" s="9">
        <v>136</v>
      </c>
      <c r="B137" s="9" t="s">
        <v>313</v>
      </c>
      <c r="C137" s="9" t="s">
        <v>314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287</v>
      </c>
      <c r="T137" s="9">
        <v>0</v>
      </c>
      <c r="U137" s="9">
        <v>0</v>
      </c>
      <c r="V137" s="9" t="s">
        <v>15</v>
      </c>
      <c r="W137" s="9" t="s">
        <v>313</v>
      </c>
      <c r="X137" s="9">
        <v>1.5</v>
      </c>
      <c r="Y137" s="37">
        <v>28</v>
      </c>
      <c r="Z137" s="9" t="s">
        <v>460</v>
      </c>
      <c r="AA137" s="9">
        <v>0</v>
      </c>
      <c r="AB137" s="38">
        <v>41456</v>
      </c>
      <c r="AC137" s="9" t="s">
        <v>475</v>
      </c>
      <c r="AD137" s="9" t="s">
        <v>481</v>
      </c>
      <c r="AE137" s="2">
        <v>28</v>
      </c>
      <c r="AF137" s="2">
        <v>3</v>
      </c>
      <c r="AG137"/>
    </row>
    <row r="138" spans="1:33" ht="15" hidden="1" customHeight="1" x14ac:dyDescent="0.25">
      <c r="A138" s="9">
        <v>137</v>
      </c>
      <c r="B138" s="9" t="s">
        <v>315</v>
      </c>
      <c r="C138" s="9" t="s">
        <v>316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287</v>
      </c>
      <c r="T138" s="9">
        <v>0</v>
      </c>
      <c r="U138" s="9">
        <v>0</v>
      </c>
      <c r="V138" s="9" t="s">
        <v>15</v>
      </c>
      <c r="W138" s="9" t="s">
        <v>315</v>
      </c>
      <c r="X138" s="9">
        <v>0</v>
      </c>
      <c r="Y138" s="37">
        <v>2</v>
      </c>
      <c r="Z138" s="9" t="s">
        <v>456</v>
      </c>
      <c r="AA138" s="9">
        <v>0</v>
      </c>
      <c r="AB138" s="38">
        <v>41456</v>
      </c>
      <c r="AC138" s="9" t="s">
        <v>475</v>
      </c>
      <c r="AD138" s="9" t="s">
        <v>581</v>
      </c>
      <c r="AE138" s="2">
        <v>2</v>
      </c>
      <c r="AF138" s="2">
        <v>0</v>
      </c>
      <c r="AG138"/>
    </row>
    <row r="139" spans="1:33" ht="15" hidden="1" customHeight="1" x14ac:dyDescent="0.25">
      <c r="A139" s="9">
        <v>138</v>
      </c>
      <c r="B139" s="9" t="s">
        <v>317</v>
      </c>
      <c r="C139" s="9" t="s">
        <v>318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287</v>
      </c>
      <c r="T139" s="9">
        <v>0</v>
      </c>
      <c r="U139" s="9">
        <v>0</v>
      </c>
      <c r="V139" s="9" t="s">
        <v>15</v>
      </c>
      <c r="W139" s="9" t="s">
        <v>317</v>
      </c>
      <c r="X139" s="9">
        <v>0.5</v>
      </c>
      <c r="Y139" s="37">
        <v>2</v>
      </c>
      <c r="Z139" s="9" t="s">
        <v>456</v>
      </c>
      <c r="AA139" s="9">
        <v>0</v>
      </c>
      <c r="AB139" s="38">
        <v>41456</v>
      </c>
      <c r="AC139" s="9" t="s">
        <v>475</v>
      </c>
      <c r="AD139" s="9" t="s">
        <v>490</v>
      </c>
      <c r="AE139" s="2">
        <v>8</v>
      </c>
      <c r="AF139" s="2">
        <v>1</v>
      </c>
      <c r="AG139"/>
    </row>
    <row r="140" spans="1:33" ht="15" hidden="1" customHeight="1" x14ac:dyDescent="0.25">
      <c r="A140" s="9">
        <v>139</v>
      </c>
      <c r="B140" s="9" t="s">
        <v>319</v>
      </c>
      <c r="C140" s="9" t="s">
        <v>320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319</v>
      </c>
      <c r="X140" s="9">
        <v>1.2647058823529411</v>
      </c>
      <c r="Y140" s="37">
        <v>14.094117647058823</v>
      </c>
      <c r="Z140" s="9" t="s">
        <v>459</v>
      </c>
      <c r="AA140" s="9">
        <v>4</v>
      </c>
      <c r="AB140" s="38">
        <v>41456</v>
      </c>
      <c r="AC140" s="9" t="s">
        <v>475</v>
      </c>
      <c r="AD140" s="9" t="s">
        <v>490</v>
      </c>
      <c r="AE140" s="2">
        <v>269</v>
      </c>
      <c r="AF140" s="2">
        <v>21</v>
      </c>
      <c r="AG140"/>
    </row>
    <row r="141" spans="1:33" ht="15" hidden="1" customHeight="1" x14ac:dyDescent="0.25">
      <c r="A141" s="9">
        <v>140</v>
      </c>
      <c r="B141" s="9" t="s">
        <v>321</v>
      </c>
      <c r="C141" s="9" t="s">
        <v>322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228</v>
      </c>
      <c r="T141" s="9">
        <v>0</v>
      </c>
      <c r="U141" s="9">
        <v>0</v>
      </c>
      <c r="V141" s="9" t="s">
        <v>15</v>
      </c>
      <c r="W141" s="9" t="s">
        <v>321</v>
      </c>
      <c r="X141" s="9">
        <v>0.375</v>
      </c>
      <c r="Y141" s="37">
        <v>17.375</v>
      </c>
      <c r="Z141" s="9" t="s">
        <v>457</v>
      </c>
      <c r="AA141" s="9">
        <v>1</v>
      </c>
      <c r="AB141" s="38">
        <v>41487</v>
      </c>
      <c r="AC141" s="9" t="s">
        <v>491</v>
      </c>
      <c r="AD141" s="9" t="s">
        <v>582</v>
      </c>
      <c r="AE141" s="2">
        <v>139</v>
      </c>
      <c r="AF141" s="2">
        <v>3</v>
      </c>
      <c r="AG141"/>
    </row>
    <row r="142" spans="1:33" ht="15" hidden="1" customHeight="1" x14ac:dyDescent="0.25">
      <c r="A142" s="9">
        <v>141</v>
      </c>
      <c r="B142" s="9" t="s">
        <v>323</v>
      </c>
      <c r="C142" s="9" t="s">
        <v>324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228</v>
      </c>
      <c r="T142" s="9">
        <v>0</v>
      </c>
      <c r="U142" s="9">
        <v>0</v>
      </c>
      <c r="V142" s="9" t="s">
        <v>15</v>
      </c>
      <c r="W142" s="9" t="s">
        <v>323</v>
      </c>
      <c r="X142" s="9">
        <v>0</v>
      </c>
      <c r="Y142" s="37">
        <v>3</v>
      </c>
      <c r="Z142" s="9" t="s">
        <v>456</v>
      </c>
      <c r="AA142" s="9">
        <v>1</v>
      </c>
      <c r="AB142" s="38">
        <v>41487</v>
      </c>
      <c r="AC142" s="9" t="s">
        <v>491</v>
      </c>
      <c r="AD142" s="9" t="s">
        <v>582</v>
      </c>
      <c r="AE142" s="2">
        <v>3</v>
      </c>
      <c r="AF142" s="2">
        <v>0</v>
      </c>
      <c r="AG142"/>
    </row>
    <row r="143" spans="1:33" ht="15" hidden="1" customHeight="1" x14ac:dyDescent="0.25">
      <c r="A143" s="9">
        <v>142</v>
      </c>
      <c r="B143" s="9" t="s">
        <v>325</v>
      </c>
      <c r="C143" s="9" t="s">
        <v>326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327</v>
      </c>
      <c r="T143" s="9">
        <v>0</v>
      </c>
      <c r="U143" s="9">
        <v>0</v>
      </c>
      <c r="V143" s="9" t="s">
        <v>15</v>
      </c>
      <c r="W143" s="9" t="s">
        <v>325</v>
      </c>
      <c r="X143" s="9">
        <v>1</v>
      </c>
      <c r="Y143" s="37">
        <v>9</v>
      </c>
      <c r="Z143" s="9" t="s">
        <v>458</v>
      </c>
      <c r="AA143" s="9">
        <v>0</v>
      </c>
      <c r="AB143" s="38">
        <v>41548</v>
      </c>
      <c r="AC143" s="9" t="s">
        <v>500</v>
      </c>
      <c r="AD143" s="9" t="s">
        <v>583</v>
      </c>
      <c r="AE143" s="2">
        <v>18</v>
      </c>
      <c r="AF143" s="2">
        <v>2</v>
      </c>
      <c r="AG143"/>
    </row>
    <row r="144" spans="1:33" ht="15" hidden="1" customHeight="1" x14ac:dyDescent="0.25">
      <c r="A144" s="9">
        <v>143</v>
      </c>
      <c r="B144" s="9" t="s">
        <v>328</v>
      </c>
      <c r="C144" s="9" t="s">
        <v>329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328</v>
      </c>
      <c r="X144" s="9">
        <v>1.1666666666666667</v>
      </c>
      <c r="Y144" s="37">
        <v>8.6666666666666661</v>
      </c>
      <c r="Z144" s="9" t="s">
        <v>458</v>
      </c>
      <c r="AA144" s="9">
        <v>0</v>
      </c>
      <c r="AB144" s="38">
        <v>41548</v>
      </c>
      <c r="AC144" s="9" t="s">
        <v>500</v>
      </c>
      <c r="AD144" s="9" t="s">
        <v>584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330</v>
      </c>
      <c r="C145" s="9" t="s">
        <v>331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211</v>
      </c>
      <c r="T145" s="9">
        <v>0</v>
      </c>
      <c r="U145" s="9">
        <v>0</v>
      </c>
      <c r="V145" s="9" t="s">
        <v>15</v>
      </c>
      <c r="W145" s="9" t="s">
        <v>330</v>
      </c>
      <c r="X145" s="9">
        <v>0.2</v>
      </c>
      <c r="Y145" s="37">
        <v>14.5</v>
      </c>
      <c r="Z145" s="9" t="s">
        <v>457</v>
      </c>
      <c r="AA145" s="9">
        <v>0</v>
      </c>
      <c r="AB145" s="38">
        <v>41609</v>
      </c>
      <c r="AC145" s="9" t="s">
        <v>502</v>
      </c>
      <c r="AD145" s="9" t="s">
        <v>585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332</v>
      </c>
      <c r="C146" s="9" t="s">
        <v>333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211</v>
      </c>
      <c r="T146" s="9">
        <v>0</v>
      </c>
      <c r="U146" s="9">
        <v>0</v>
      </c>
      <c r="V146" s="9" t="s">
        <v>15</v>
      </c>
      <c r="W146" s="9" t="s">
        <v>332</v>
      </c>
      <c r="X146" s="9">
        <v>1</v>
      </c>
      <c r="Y146" s="37">
        <v>1.6666666666666667</v>
      </c>
      <c r="Z146" s="9" t="s">
        <v>458</v>
      </c>
      <c r="AA146" s="9">
        <v>0</v>
      </c>
      <c r="AB146" s="38">
        <v>41609</v>
      </c>
      <c r="AC146" s="9" t="s">
        <v>502</v>
      </c>
      <c r="AD146" s="9" t="s">
        <v>536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334</v>
      </c>
      <c r="C147" s="9" t="s">
        <v>1098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334</v>
      </c>
      <c r="X147" s="9">
        <v>0.97368421052631582</v>
      </c>
      <c r="Y147" s="37">
        <v>9.8095238095238102</v>
      </c>
      <c r="Z147" s="9" t="s">
        <v>456</v>
      </c>
      <c r="AA147" s="9">
        <v>1</v>
      </c>
      <c r="AB147" s="38">
        <v>41548</v>
      </c>
      <c r="AC147" s="9" t="s">
        <v>500</v>
      </c>
      <c r="AD147" s="9" t="s">
        <v>586</v>
      </c>
      <c r="AE147" s="2">
        <v>86</v>
      </c>
      <c r="AF147" s="2">
        <v>14</v>
      </c>
      <c r="AG147" t="s">
        <v>1104</v>
      </c>
      <c r="AH147" s="34">
        <v>46299</v>
      </c>
    </row>
    <row r="148" spans="1:34" ht="15" hidden="1" customHeight="1" x14ac:dyDescent="0.25">
      <c r="A148" s="9">
        <v>147</v>
      </c>
      <c r="B148" s="9" t="s">
        <v>335</v>
      </c>
      <c r="C148" s="9" t="s">
        <v>336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294</v>
      </c>
      <c r="T148" s="9">
        <v>0</v>
      </c>
      <c r="U148" s="9">
        <v>0</v>
      </c>
      <c r="V148" s="9" t="s">
        <v>15</v>
      </c>
      <c r="W148" s="9" t="s">
        <v>335</v>
      </c>
      <c r="X148" s="9">
        <v>0.89473684210526316</v>
      </c>
      <c r="Y148" s="37">
        <v>6.7272727272727275</v>
      </c>
      <c r="Z148" s="9" t="s">
        <v>456</v>
      </c>
      <c r="AA148" s="9">
        <v>0</v>
      </c>
      <c r="AB148" s="38">
        <v>41609</v>
      </c>
      <c r="AC148" s="9" t="s">
        <v>502</v>
      </c>
      <c r="AD148" s="9" t="s">
        <v>587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337</v>
      </c>
      <c r="C149" s="9" t="s">
        <v>338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279</v>
      </c>
      <c r="T149" s="9">
        <v>0</v>
      </c>
      <c r="U149" s="9">
        <v>0</v>
      </c>
      <c r="V149" s="9" t="s">
        <v>15</v>
      </c>
      <c r="W149" s="9" t="s">
        <v>337</v>
      </c>
      <c r="X149" s="36">
        <v>1.5</v>
      </c>
      <c r="Y149" s="37">
        <v>13.285714285714286</v>
      </c>
      <c r="Z149" s="9" t="s">
        <v>455</v>
      </c>
      <c r="AA149" s="9">
        <v>0</v>
      </c>
      <c r="AB149" s="38">
        <v>41609</v>
      </c>
      <c r="AC149" s="9" t="s">
        <v>502</v>
      </c>
      <c r="AD149" s="9" t="s">
        <v>587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339</v>
      </c>
      <c r="C150" s="9" t="s">
        <v>340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211</v>
      </c>
      <c r="T150" s="9">
        <v>0</v>
      </c>
      <c r="U150" s="9">
        <v>0</v>
      </c>
      <c r="V150" s="9" t="s">
        <v>15</v>
      </c>
      <c r="W150" s="9" t="s">
        <v>339</v>
      </c>
      <c r="X150" s="9">
        <v>0.5</v>
      </c>
      <c r="Y150" s="37">
        <v>1.5</v>
      </c>
      <c r="Z150" s="9" t="s">
        <v>456</v>
      </c>
      <c r="AA150" s="9">
        <v>0</v>
      </c>
      <c r="AB150" s="38">
        <v>41609</v>
      </c>
      <c r="AC150" s="9" t="s">
        <v>502</v>
      </c>
      <c r="AD150" s="9" t="s">
        <v>588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341</v>
      </c>
      <c r="C151" s="9" t="s">
        <v>342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294</v>
      </c>
      <c r="T151" s="9">
        <v>0</v>
      </c>
      <c r="U151" s="9">
        <v>0</v>
      </c>
      <c r="V151" s="9" t="s">
        <v>15</v>
      </c>
      <c r="W151" s="9" t="s">
        <v>341</v>
      </c>
      <c r="X151" s="9">
        <v>0.88235294117647056</v>
      </c>
      <c r="Y151" s="37">
        <v>10.1875</v>
      </c>
      <c r="Z151" s="9" t="s">
        <v>457</v>
      </c>
      <c r="AA151" s="9">
        <v>0</v>
      </c>
      <c r="AB151" s="38">
        <v>41609</v>
      </c>
      <c r="AC151" s="9" t="s">
        <v>502</v>
      </c>
      <c r="AD151" s="9" t="s">
        <v>585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343</v>
      </c>
      <c r="C152" s="9" t="s">
        <v>344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211</v>
      </c>
      <c r="T152" s="9">
        <v>0</v>
      </c>
      <c r="U152" s="9">
        <v>0</v>
      </c>
      <c r="V152" s="9" t="s">
        <v>15</v>
      </c>
      <c r="W152" s="9" t="s">
        <v>343</v>
      </c>
      <c r="X152" s="9">
        <v>1.3333333333333333</v>
      </c>
      <c r="Y152" s="37">
        <v>9.3000000000000007</v>
      </c>
      <c r="Z152" s="9" t="s">
        <v>458</v>
      </c>
      <c r="AA152" s="9">
        <v>1</v>
      </c>
      <c r="AB152" s="38">
        <v>41609</v>
      </c>
      <c r="AC152" s="9" t="s">
        <v>502</v>
      </c>
      <c r="AD152" s="9" t="s">
        <v>589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345</v>
      </c>
      <c r="C153" s="9" t="s">
        <v>346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211</v>
      </c>
      <c r="T153" s="9">
        <v>0</v>
      </c>
      <c r="U153" s="9">
        <v>0</v>
      </c>
      <c r="V153" s="9" t="s">
        <v>15</v>
      </c>
      <c r="W153" s="9" t="s">
        <v>345</v>
      </c>
      <c r="X153" s="9">
        <v>0</v>
      </c>
      <c r="Y153" s="37">
        <v>7</v>
      </c>
      <c r="Z153" s="9" t="s">
        <v>456</v>
      </c>
      <c r="AA153" s="9">
        <v>0</v>
      </c>
      <c r="AB153" s="38">
        <v>41609</v>
      </c>
      <c r="AC153" s="9" t="s">
        <v>502</v>
      </c>
      <c r="AD153" s="9" t="s">
        <v>590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347</v>
      </c>
      <c r="C154" s="9" t="s">
        <v>348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294</v>
      </c>
      <c r="T154" s="9">
        <v>0</v>
      </c>
      <c r="U154" s="9">
        <v>0</v>
      </c>
      <c r="V154" s="9" t="s">
        <v>15</v>
      </c>
      <c r="W154" s="9" t="s">
        <v>347</v>
      </c>
      <c r="X154" s="36">
        <v>1.5</v>
      </c>
      <c r="Y154" s="37">
        <v>7.1818181818181817</v>
      </c>
      <c r="Z154" s="9" t="s">
        <v>458</v>
      </c>
      <c r="AA154" s="9">
        <v>1</v>
      </c>
      <c r="AB154" s="38">
        <v>41699</v>
      </c>
      <c r="AC154" s="9" t="s">
        <v>472</v>
      </c>
      <c r="AD154" s="9" t="s">
        <v>591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349</v>
      </c>
      <c r="C155" s="9" t="s">
        <v>350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349</v>
      </c>
      <c r="X155" s="9">
        <v>0.8571428571428571</v>
      </c>
      <c r="Y155" s="37">
        <v>7.5</v>
      </c>
      <c r="Z155" s="9" t="s">
        <v>456</v>
      </c>
      <c r="AA155" s="9">
        <v>0</v>
      </c>
      <c r="AB155" s="38">
        <v>41699</v>
      </c>
      <c r="AC155" s="9" t="s">
        <v>472</v>
      </c>
      <c r="AD155" s="9" t="s">
        <v>592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351</v>
      </c>
      <c r="C156" s="9" t="s">
        <v>352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351</v>
      </c>
      <c r="X156" s="9">
        <v>1.2916666666666667</v>
      </c>
      <c r="Y156" s="37">
        <v>12.181818181818182</v>
      </c>
      <c r="Z156" s="9" t="s">
        <v>455</v>
      </c>
      <c r="AA156" s="9">
        <v>3</v>
      </c>
      <c r="AB156" s="38">
        <v>41699</v>
      </c>
      <c r="AC156" s="9" t="s">
        <v>472</v>
      </c>
      <c r="AD156" s="9" t="s">
        <v>591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353</v>
      </c>
      <c r="C157" s="9" t="s">
        <v>354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353</v>
      </c>
      <c r="X157" s="9">
        <v>0.94117647058823528</v>
      </c>
      <c r="Y157" s="37">
        <v>10.780487804878049</v>
      </c>
      <c r="Z157" s="9" t="s">
        <v>457</v>
      </c>
      <c r="AA157" s="9">
        <v>2</v>
      </c>
      <c r="AB157" s="38">
        <v>41699</v>
      </c>
      <c r="AC157" s="9" t="s">
        <v>472</v>
      </c>
      <c r="AD157" s="9" t="s">
        <v>593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355</v>
      </c>
      <c r="C158" s="9" t="s">
        <v>356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355</v>
      </c>
      <c r="X158" s="9">
        <v>1.1538461538461537</v>
      </c>
      <c r="Y158" s="37">
        <v>12.181818181818182</v>
      </c>
      <c r="Z158" s="9" t="s">
        <v>455</v>
      </c>
      <c r="AA158" s="9">
        <v>0</v>
      </c>
      <c r="AB158" s="38">
        <v>41791</v>
      </c>
      <c r="AC158" s="9" t="s">
        <v>510</v>
      </c>
      <c r="AD158" s="9" t="s">
        <v>594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357</v>
      </c>
      <c r="C159" s="9" t="s">
        <v>358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357</v>
      </c>
      <c r="X159" s="9">
        <v>1.35</v>
      </c>
      <c r="Y159" s="37">
        <v>14.125</v>
      </c>
      <c r="Z159" s="9" t="s">
        <v>459</v>
      </c>
      <c r="AA159" s="9">
        <v>1</v>
      </c>
      <c r="AB159" s="38">
        <v>41456</v>
      </c>
      <c r="AC159" s="9" t="s">
        <v>475</v>
      </c>
      <c r="AD159" s="9" t="s">
        <v>581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359</v>
      </c>
      <c r="C160" s="9" t="s">
        <v>360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294</v>
      </c>
      <c r="T160" s="9">
        <v>0</v>
      </c>
      <c r="U160" s="9">
        <v>0</v>
      </c>
      <c r="V160" s="9" t="s">
        <v>15</v>
      </c>
      <c r="W160" s="9" t="s">
        <v>359</v>
      </c>
      <c r="X160" s="9">
        <v>1.2222222222222223</v>
      </c>
      <c r="Y160" s="37">
        <v>10.5</v>
      </c>
      <c r="Z160" s="9" t="s">
        <v>455</v>
      </c>
      <c r="AA160" s="9">
        <v>0</v>
      </c>
      <c r="AB160" s="38">
        <v>41791</v>
      </c>
      <c r="AC160" s="9" t="s">
        <v>510</v>
      </c>
      <c r="AD160" s="9" t="s">
        <v>557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361</v>
      </c>
      <c r="C161" s="9" t="s">
        <v>362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294</v>
      </c>
      <c r="T161" s="9">
        <v>0</v>
      </c>
      <c r="U161" s="9">
        <v>0</v>
      </c>
      <c r="V161" s="9" t="s">
        <v>15</v>
      </c>
      <c r="W161" s="9" t="s">
        <v>361</v>
      </c>
      <c r="X161" s="39">
        <v>1.4</v>
      </c>
      <c r="Y161" s="37">
        <v>16.399999999999999</v>
      </c>
      <c r="Z161" s="9" t="s">
        <v>459</v>
      </c>
      <c r="AA161" s="9">
        <v>0</v>
      </c>
      <c r="AB161" s="38">
        <v>41791</v>
      </c>
      <c r="AC161" s="9" t="s">
        <v>510</v>
      </c>
      <c r="AD161" s="9" t="s">
        <v>559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363</v>
      </c>
      <c r="C162" s="9" t="s">
        <v>364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279</v>
      </c>
      <c r="T162" s="9">
        <v>0</v>
      </c>
      <c r="U162" s="9">
        <v>0</v>
      </c>
      <c r="V162" s="9" t="s">
        <v>15</v>
      </c>
      <c r="W162" s="9" t="s">
        <v>363</v>
      </c>
      <c r="X162" s="9">
        <v>1.25</v>
      </c>
      <c r="Y162" s="37">
        <v>10.111111111111111</v>
      </c>
      <c r="Z162" s="9" t="s">
        <v>455</v>
      </c>
      <c r="AA162" s="9">
        <v>0</v>
      </c>
      <c r="AB162" s="38">
        <v>42339</v>
      </c>
      <c r="AC162" s="9" t="s">
        <v>523</v>
      </c>
      <c r="AD162" s="9" t="s">
        <v>595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365</v>
      </c>
      <c r="C163" s="9" t="s">
        <v>366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367</v>
      </c>
      <c r="T163" s="9">
        <v>0</v>
      </c>
      <c r="U163" s="9">
        <v>0</v>
      </c>
      <c r="V163" s="9" t="s">
        <v>15</v>
      </c>
      <c r="W163" s="9" t="s">
        <v>365</v>
      </c>
      <c r="X163" s="9">
        <v>0.5</v>
      </c>
      <c r="Y163" s="37">
        <v>8.125</v>
      </c>
      <c r="Z163" s="9" t="s">
        <v>456</v>
      </c>
      <c r="AA163" s="9">
        <v>1</v>
      </c>
      <c r="AB163" s="38">
        <v>42339</v>
      </c>
      <c r="AC163" s="9" t="s">
        <v>523</v>
      </c>
      <c r="AD163" s="9" t="s">
        <v>596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368</v>
      </c>
      <c r="C164" s="9" t="s">
        <v>369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279</v>
      </c>
      <c r="T164" s="9">
        <v>0</v>
      </c>
      <c r="U164" s="9">
        <v>0</v>
      </c>
      <c r="V164" s="9" t="s">
        <v>15</v>
      </c>
      <c r="W164" s="9" t="s">
        <v>368</v>
      </c>
      <c r="X164" s="39">
        <v>1</v>
      </c>
      <c r="Y164" s="37">
        <v>26.714285714285715</v>
      </c>
      <c r="Z164" s="9" t="s">
        <v>456</v>
      </c>
      <c r="AA164" s="9">
        <v>0</v>
      </c>
      <c r="AB164" s="38">
        <v>42339</v>
      </c>
      <c r="AC164" s="9" t="s">
        <v>523</v>
      </c>
      <c r="AD164" s="9" t="s">
        <v>524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370</v>
      </c>
      <c r="C165" s="9" t="s">
        <v>371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279</v>
      </c>
      <c r="T165" s="9">
        <v>0</v>
      </c>
      <c r="U165" s="9">
        <v>0</v>
      </c>
      <c r="V165" s="9" t="s">
        <v>15</v>
      </c>
      <c r="W165" s="9" t="s">
        <v>370</v>
      </c>
      <c r="X165" s="9">
        <v>0.4</v>
      </c>
      <c r="Y165" s="37">
        <v>12.2</v>
      </c>
      <c r="Z165" s="9" t="s">
        <v>457</v>
      </c>
      <c r="AA165" s="9">
        <v>0</v>
      </c>
      <c r="AB165" s="38">
        <v>42339</v>
      </c>
      <c r="AC165" s="9" t="s">
        <v>523</v>
      </c>
      <c r="AD165" s="9" t="s">
        <v>597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372</v>
      </c>
      <c r="C166" s="9" t="s">
        <v>373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372</v>
      </c>
      <c r="X166" s="9">
        <v>0.84615384615384615</v>
      </c>
      <c r="Y166" s="37">
        <v>6.6923076923076925</v>
      </c>
      <c r="Z166" s="9" t="s">
        <v>456</v>
      </c>
      <c r="AA166" s="9">
        <v>0</v>
      </c>
      <c r="AB166" s="38">
        <v>42339</v>
      </c>
      <c r="AC166" s="9" t="s">
        <v>523</v>
      </c>
      <c r="AD166" s="9" t="s">
        <v>598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374</v>
      </c>
      <c r="C167" s="9" t="s">
        <v>375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279</v>
      </c>
      <c r="T167" s="9">
        <v>0</v>
      </c>
      <c r="U167" s="9">
        <v>0</v>
      </c>
      <c r="V167" s="9" t="s">
        <v>15</v>
      </c>
      <c r="W167" s="9" t="s">
        <v>374</v>
      </c>
      <c r="X167" s="9">
        <v>1.25</v>
      </c>
      <c r="Y167" s="37">
        <v>13.2</v>
      </c>
      <c r="Z167" s="9" t="s">
        <v>455</v>
      </c>
      <c r="AA167" s="9">
        <v>0</v>
      </c>
      <c r="AB167" s="38">
        <v>42339</v>
      </c>
      <c r="AC167" s="9" t="s">
        <v>523</v>
      </c>
      <c r="AD167" s="9" t="s">
        <v>598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376</v>
      </c>
      <c r="C168" s="9" t="s">
        <v>376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279</v>
      </c>
      <c r="T168" s="9">
        <v>0</v>
      </c>
      <c r="U168" s="9">
        <v>0</v>
      </c>
      <c r="V168" s="9" t="s">
        <v>15</v>
      </c>
      <c r="W168" s="9" t="s">
        <v>376</v>
      </c>
      <c r="X168" s="9">
        <v>0</v>
      </c>
      <c r="Y168" s="37">
        <v>0</v>
      </c>
      <c r="Z168" s="9" t="s">
        <v>456</v>
      </c>
      <c r="AA168" s="9">
        <v>0</v>
      </c>
      <c r="AB168" s="38">
        <v>42339</v>
      </c>
      <c r="AC168" s="9" t="s">
        <v>523</v>
      </c>
      <c r="AD168" s="9" t="s">
        <v>599</v>
      </c>
      <c r="AE168" s="2">
        <v>0</v>
      </c>
      <c r="AF168" s="2">
        <v>0</v>
      </c>
      <c r="AG168"/>
    </row>
    <row r="169" spans="1:33" ht="15" hidden="1" customHeight="1" x14ac:dyDescent="0.25">
      <c r="A169" s="9">
        <v>168</v>
      </c>
      <c r="B169" s="9" t="s">
        <v>377</v>
      </c>
      <c r="C169" s="9" t="s">
        <v>378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253</v>
      </c>
      <c r="T169" s="9">
        <v>0</v>
      </c>
      <c r="U169" s="9">
        <v>0</v>
      </c>
      <c r="V169" s="9" t="s">
        <v>15</v>
      </c>
      <c r="W169" s="9" t="s">
        <v>377</v>
      </c>
      <c r="X169" s="9">
        <v>1.1428571428571428</v>
      </c>
      <c r="Y169" s="37">
        <v>14.545454545454545</v>
      </c>
      <c r="Z169" s="9" t="s">
        <v>456</v>
      </c>
      <c r="AA169" s="9">
        <v>2</v>
      </c>
      <c r="AB169" s="38">
        <v>42036</v>
      </c>
      <c r="AC169" s="9" t="s">
        <v>526</v>
      </c>
      <c r="AD169" s="9" t="s">
        <v>547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379</v>
      </c>
      <c r="C170" s="9" t="s">
        <v>380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379</v>
      </c>
      <c r="X170" s="36">
        <v>1.75</v>
      </c>
      <c r="Y170" s="37">
        <v>8.25</v>
      </c>
      <c r="Z170" s="9" t="s">
        <v>458</v>
      </c>
      <c r="AA170" s="9">
        <v>0</v>
      </c>
      <c r="AB170" s="38">
        <v>42036</v>
      </c>
      <c r="AC170" s="9" t="s">
        <v>526</v>
      </c>
      <c r="AD170" s="9" t="s">
        <v>600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381</v>
      </c>
      <c r="C171" s="9" t="s">
        <v>382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381</v>
      </c>
      <c r="X171" s="9">
        <v>1.2439024390243902</v>
      </c>
      <c r="Y171" s="37">
        <v>11.642857142857142</v>
      </c>
      <c r="Z171" s="9" t="s">
        <v>455</v>
      </c>
      <c r="AA171" s="9">
        <v>2</v>
      </c>
      <c r="AB171" s="38">
        <v>42036</v>
      </c>
      <c r="AC171" s="9" t="s">
        <v>526</v>
      </c>
      <c r="AD171" s="9" t="s">
        <v>601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383</v>
      </c>
      <c r="C172" s="9" t="s">
        <v>384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253</v>
      </c>
      <c r="T172" s="9">
        <v>0</v>
      </c>
      <c r="U172" s="9">
        <v>0</v>
      </c>
      <c r="V172" s="9" t="s">
        <v>15</v>
      </c>
      <c r="W172" s="9" t="s">
        <v>383</v>
      </c>
      <c r="X172" s="9">
        <v>0.6</v>
      </c>
      <c r="Y172" s="37">
        <v>8</v>
      </c>
      <c r="Z172" s="9" t="s">
        <v>456</v>
      </c>
      <c r="AA172" s="9">
        <v>0</v>
      </c>
      <c r="AB172" s="38">
        <v>42125</v>
      </c>
      <c r="AC172" s="9" t="s">
        <v>512</v>
      </c>
      <c r="AD172" s="9" t="s">
        <v>602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385</v>
      </c>
      <c r="C173" s="9" t="s">
        <v>386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385</v>
      </c>
      <c r="X173" s="39">
        <v>1</v>
      </c>
      <c r="Y173" s="37">
        <v>18.608695652173914</v>
      </c>
      <c r="Z173" s="9" t="s">
        <v>456</v>
      </c>
      <c r="AA173" s="9">
        <v>0</v>
      </c>
      <c r="AB173" s="38">
        <v>42125</v>
      </c>
      <c r="AC173" s="9" t="s">
        <v>512</v>
      </c>
      <c r="AD173" s="9" t="s">
        <v>603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387</v>
      </c>
      <c r="C174" s="9" t="s">
        <v>388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253</v>
      </c>
      <c r="T174" s="9">
        <v>0</v>
      </c>
      <c r="U174" s="9">
        <v>0</v>
      </c>
      <c r="V174" s="9" t="s">
        <v>15</v>
      </c>
      <c r="W174" s="9" t="s">
        <v>387</v>
      </c>
      <c r="X174" s="9">
        <v>0.66666666666666663</v>
      </c>
      <c r="Y174" s="37">
        <v>14.5</v>
      </c>
      <c r="Z174" s="9" t="s">
        <v>457</v>
      </c>
      <c r="AA174" s="9">
        <v>0</v>
      </c>
      <c r="AB174" s="38">
        <v>42125</v>
      </c>
      <c r="AC174" s="9" t="s">
        <v>512</v>
      </c>
      <c r="AD174" s="9" t="s">
        <v>604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389</v>
      </c>
      <c r="C175" s="9" t="s">
        <v>390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208</v>
      </c>
      <c r="T175" s="9">
        <v>0</v>
      </c>
      <c r="U175" s="9">
        <v>0</v>
      </c>
      <c r="V175" s="9" t="s">
        <v>15</v>
      </c>
      <c r="W175" s="9" t="s">
        <v>389</v>
      </c>
      <c r="X175" s="9">
        <v>0.5</v>
      </c>
      <c r="Y175" s="37">
        <v>17.5</v>
      </c>
      <c r="Z175" s="9" t="s">
        <v>457</v>
      </c>
      <c r="AA175" s="9">
        <v>0</v>
      </c>
      <c r="AB175" s="38">
        <v>42248</v>
      </c>
      <c r="AC175" s="9" t="s">
        <v>531</v>
      </c>
      <c r="AD175" s="9" t="s">
        <v>605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391</v>
      </c>
      <c r="C176" s="9" t="s">
        <v>392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391</v>
      </c>
      <c r="X176" s="9">
        <v>1</v>
      </c>
      <c r="Y176" s="37">
        <v>7</v>
      </c>
      <c r="Z176" s="9" t="s">
        <v>458</v>
      </c>
      <c r="AA176" s="9">
        <v>0</v>
      </c>
      <c r="AB176" s="38">
        <v>42401</v>
      </c>
      <c r="AC176" s="9" t="s">
        <v>497</v>
      </c>
      <c r="AD176" s="9" t="s">
        <v>606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393</v>
      </c>
      <c r="C177" s="9" t="s">
        <v>394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163</v>
      </c>
      <c r="T177" s="9">
        <v>0</v>
      </c>
      <c r="U177" s="9">
        <v>0</v>
      </c>
      <c r="V177" s="9" t="s">
        <v>15</v>
      </c>
      <c r="W177" s="9" t="s">
        <v>393</v>
      </c>
      <c r="X177" s="9">
        <v>1.1666666666666667</v>
      </c>
      <c r="Y177" s="37">
        <v>9.625</v>
      </c>
      <c r="Z177" s="9" t="s">
        <v>458</v>
      </c>
      <c r="AA177" s="9">
        <v>0</v>
      </c>
      <c r="AB177" s="38">
        <v>42401</v>
      </c>
      <c r="AC177" s="9" t="s">
        <v>497</v>
      </c>
      <c r="AD177" s="9" t="s">
        <v>606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395</v>
      </c>
      <c r="C178" s="9" t="s">
        <v>396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395</v>
      </c>
      <c r="X178" s="9">
        <v>0</v>
      </c>
      <c r="Y178" s="37">
        <v>5</v>
      </c>
      <c r="Z178" s="9" t="s">
        <v>456</v>
      </c>
      <c r="AA178" s="9">
        <v>0</v>
      </c>
      <c r="AB178" s="38">
        <v>42401</v>
      </c>
      <c r="AC178" s="9" t="s">
        <v>497</v>
      </c>
      <c r="AD178" s="9" t="s">
        <v>498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397</v>
      </c>
      <c r="C179" s="9" t="s">
        <v>398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163</v>
      </c>
      <c r="T179" s="9">
        <v>0</v>
      </c>
      <c r="U179" s="9">
        <v>0</v>
      </c>
      <c r="V179" s="9" t="s">
        <v>15</v>
      </c>
      <c r="W179" s="9" t="s">
        <v>397</v>
      </c>
      <c r="X179" s="9">
        <v>1.3</v>
      </c>
      <c r="Y179" s="37">
        <v>11.818181818181818</v>
      </c>
      <c r="Z179" s="9" t="s">
        <v>455</v>
      </c>
      <c r="AA179" s="9">
        <v>0</v>
      </c>
      <c r="AB179" s="38">
        <v>42401</v>
      </c>
      <c r="AC179" s="9" t="s">
        <v>497</v>
      </c>
      <c r="AD179" s="9" t="s">
        <v>554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399</v>
      </c>
      <c r="C180" s="9" t="s">
        <v>400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367</v>
      </c>
      <c r="T180" s="9">
        <v>0</v>
      </c>
      <c r="U180" s="9">
        <v>0</v>
      </c>
      <c r="V180" s="9" t="s">
        <v>15</v>
      </c>
      <c r="W180" s="9" t="s">
        <v>399</v>
      </c>
      <c r="X180" s="39">
        <v>1.36</v>
      </c>
      <c r="Y180" s="37">
        <v>15.555555555555555</v>
      </c>
      <c r="Z180" s="9" t="s">
        <v>459</v>
      </c>
      <c r="AA180" s="9">
        <v>0</v>
      </c>
      <c r="AB180" s="38">
        <v>42401</v>
      </c>
      <c r="AC180" s="9" t="s">
        <v>497</v>
      </c>
      <c r="AD180" s="9" t="s">
        <v>606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401</v>
      </c>
      <c r="C181" s="9" t="s">
        <v>402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403</v>
      </c>
      <c r="T181" s="9">
        <v>0</v>
      </c>
      <c r="U181" s="9">
        <v>0</v>
      </c>
      <c r="V181" s="9" t="s">
        <v>15</v>
      </c>
      <c r="W181" s="9" t="s">
        <v>401</v>
      </c>
      <c r="X181" s="9">
        <v>1.2222222222222223</v>
      </c>
      <c r="Y181" s="37">
        <v>8.9130434782608692</v>
      </c>
      <c r="Z181" s="9" t="s">
        <v>458</v>
      </c>
      <c r="AA181" s="9">
        <v>0</v>
      </c>
      <c r="AB181" s="38">
        <v>42401</v>
      </c>
      <c r="AC181" s="9" t="s">
        <v>497</v>
      </c>
      <c r="AD181" s="9" t="s">
        <v>607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404</v>
      </c>
      <c r="C182" s="9" t="s">
        <v>405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404</v>
      </c>
      <c r="X182" s="9">
        <v>1.0727272727272728</v>
      </c>
      <c r="Y182" s="37">
        <v>13.639344262295081</v>
      </c>
      <c r="Z182" s="9" t="s">
        <v>455</v>
      </c>
      <c r="AA182" s="9">
        <v>3</v>
      </c>
      <c r="AB182" s="38">
        <v>43435</v>
      </c>
      <c r="AC182" s="9" t="s">
        <v>608</v>
      </c>
      <c r="AD182" s="9" t="s">
        <v>609</v>
      </c>
      <c r="AE182" s="2">
        <v>214</v>
      </c>
      <c r="AF182" s="2">
        <v>17</v>
      </c>
      <c r="AG182" s="3" t="s">
        <v>1100</v>
      </c>
      <c r="AH182" s="34">
        <v>46124</v>
      </c>
    </row>
    <row r="183" spans="1:34" ht="15" hidden="1" customHeight="1" x14ac:dyDescent="0.25">
      <c r="A183" s="9">
        <v>182</v>
      </c>
      <c r="B183" s="9" t="s">
        <v>406</v>
      </c>
      <c r="C183" s="9" t="s">
        <v>407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163</v>
      </c>
      <c r="T183" s="9">
        <v>0</v>
      </c>
      <c r="U183" s="9">
        <v>0</v>
      </c>
      <c r="V183" s="9" t="s">
        <v>15</v>
      </c>
      <c r="W183" s="9" t="s">
        <v>406</v>
      </c>
      <c r="X183" s="36">
        <v>2</v>
      </c>
      <c r="Y183" s="37">
        <v>3</v>
      </c>
      <c r="Z183" s="9" t="s">
        <v>458</v>
      </c>
      <c r="AA183" s="9">
        <v>0</v>
      </c>
      <c r="AB183" s="38">
        <v>42339</v>
      </c>
      <c r="AC183" s="9" t="s">
        <v>540</v>
      </c>
      <c r="AD183" s="9" t="s">
        <v>610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408</v>
      </c>
      <c r="C184" s="9" t="s">
        <v>409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163</v>
      </c>
      <c r="T184" s="9">
        <v>0</v>
      </c>
      <c r="U184" s="9">
        <v>0</v>
      </c>
      <c r="V184" s="9" t="s">
        <v>15</v>
      </c>
      <c r="W184" s="9" t="s">
        <v>408</v>
      </c>
      <c r="X184" s="9">
        <v>0.83333333333333337</v>
      </c>
      <c r="Y184" s="37">
        <v>11</v>
      </c>
      <c r="Z184" s="9" t="s">
        <v>457</v>
      </c>
      <c r="AA184" s="9">
        <v>0</v>
      </c>
      <c r="AB184" s="38">
        <v>42339</v>
      </c>
      <c r="AC184" s="9" t="s">
        <v>540</v>
      </c>
      <c r="AD184" s="9" t="s">
        <v>610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410</v>
      </c>
      <c r="C185" s="9" t="s">
        <v>411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163</v>
      </c>
      <c r="T185" s="9">
        <v>0</v>
      </c>
      <c r="U185" s="9">
        <v>0</v>
      </c>
      <c r="V185" s="9" t="s">
        <v>15</v>
      </c>
      <c r="W185" s="9" t="s">
        <v>410</v>
      </c>
      <c r="X185" s="9">
        <v>0</v>
      </c>
      <c r="Y185" s="37">
        <v>2</v>
      </c>
      <c r="Z185" s="9" t="s">
        <v>456</v>
      </c>
      <c r="AA185" s="9">
        <v>0</v>
      </c>
      <c r="AB185" s="38">
        <v>42339</v>
      </c>
      <c r="AC185" s="9" t="s">
        <v>540</v>
      </c>
      <c r="AD185" s="9" t="s">
        <v>611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412</v>
      </c>
      <c r="C186" s="9" t="s">
        <v>413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412</v>
      </c>
      <c r="X186" s="9">
        <v>0.88888888888888884</v>
      </c>
      <c r="Y186" s="37">
        <v>17.066666666666666</v>
      </c>
      <c r="Z186" s="9" t="s">
        <v>457</v>
      </c>
      <c r="AA186" s="9">
        <v>0</v>
      </c>
      <c r="AB186" s="38">
        <v>42675</v>
      </c>
      <c r="AC186" s="9" t="s">
        <v>485</v>
      </c>
      <c r="AD186" s="9" t="s">
        <v>612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414</v>
      </c>
      <c r="C187" s="9" t="s">
        <v>415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416</v>
      </c>
      <c r="T187" s="9">
        <v>0</v>
      </c>
      <c r="U187" s="9">
        <v>0</v>
      </c>
      <c r="V187" s="9" t="s">
        <v>15</v>
      </c>
      <c r="W187" s="9" t="s">
        <v>414</v>
      </c>
      <c r="X187" s="9">
        <v>0.61538461538461542</v>
      </c>
      <c r="Y187" s="37">
        <v>15.714285714285714</v>
      </c>
      <c r="Z187" s="9" t="s">
        <v>457</v>
      </c>
      <c r="AA187" s="9">
        <v>0</v>
      </c>
      <c r="AB187" s="38">
        <v>42675</v>
      </c>
      <c r="AC187" s="9" t="s">
        <v>485</v>
      </c>
      <c r="AD187" s="9" t="s">
        <v>613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417</v>
      </c>
      <c r="C188" s="9" t="s">
        <v>418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417</v>
      </c>
      <c r="X188" s="36">
        <v>1.5</v>
      </c>
      <c r="Y188" s="37">
        <v>8</v>
      </c>
      <c r="Z188" s="9" t="s">
        <v>458</v>
      </c>
      <c r="AA188" s="9">
        <v>0</v>
      </c>
      <c r="AB188" s="38">
        <v>43040</v>
      </c>
      <c r="AC188" s="9" t="s">
        <v>514</v>
      </c>
      <c r="AD188" s="9" t="s">
        <v>614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419</v>
      </c>
      <c r="C189" s="9" t="s">
        <v>420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367</v>
      </c>
      <c r="T189" s="9">
        <v>0</v>
      </c>
      <c r="U189" s="9">
        <v>0</v>
      </c>
      <c r="V189" s="9" t="s">
        <v>15</v>
      </c>
      <c r="W189" s="9" t="s">
        <v>419</v>
      </c>
      <c r="X189" s="9">
        <v>0.33333333333333331</v>
      </c>
      <c r="Y189" s="37">
        <v>3.25</v>
      </c>
      <c r="Z189" s="9" t="s">
        <v>456</v>
      </c>
      <c r="AA189" s="9">
        <v>0</v>
      </c>
      <c r="AB189" s="38">
        <v>43435</v>
      </c>
      <c r="AC189" s="9" t="s">
        <v>514</v>
      </c>
      <c r="AD189" s="9" t="s">
        <v>615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421</v>
      </c>
      <c r="C190" s="9" t="s">
        <v>422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367</v>
      </c>
      <c r="T190" s="9">
        <v>0</v>
      </c>
      <c r="U190" s="9">
        <v>0</v>
      </c>
      <c r="V190" s="9" t="s">
        <v>15</v>
      </c>
      <c r="W190" s="9" t="s">
        <v>421</v>
      </c>
      <c r="X190" s="9">
        <v>1</v>
      </c>
      <c r="Y190" s="37">
        <v>13.5</v>
      </c>
      <c r="Z190" s="9" t="s">
        <v>455</v>
      </c>
      <c r="AA190" s="9">
        <v>0</v>
      </c>
      <c r="AB190" s="38">
        <v>43435</v>
      </c>
      <c r="AC190" s="9" t="s">
        <v>514</v>
      </c>
      <c r="AD190" s="9" t="s">
        <v>616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423</v>
      </c>
      <c r="C191" s="9" t="s">
        <v>424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423</v>
      </c>
      <c r="X191" s="9">
        <v>1</v>
      </c>
      <c r="Y191" s="37">
        <v>11.208333333333334</v>
      </c>
      <c r="Z191" s="9" t="s">
        <v>455</v>
      </c>
      <c r="AA191" s="9">
        <v>1</v>
      </c>
      <c r="AB191" s="38">
        <v>44013</v>
      </c>
      <c r="AC191" s="9" t="s">
        <v>495</v>
      </c>
      <c r="AD191" s="9" t="s">
        <v>617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425</v>
      </c>
      <c r="C192" s="9" t="s">
        <v>426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425</v>
      </c>
      <c r="X192" s="9">
        <v>0.95</v>
      </c>
      <c r="Y192" s="37">
        <v>7.333333333333333</v>
      </c>
      <c r="Z192" s="9" t="s">
        <v>456</v>
      </c>
      <c r="AA192" s="9">
        <v>0</v>
      </c>
      <c r="AB192" s="38">
        <v>44013</v>
      </c>
      <c r="AC192" s="9" t="s">
        <v>495</v>
      </c>
      <c r="AD192" s="9" t="s">
        <v>618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427</v>
      </c>
      <c r="C193" s="9" t="s">
        <v>428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427</v>
      </c>
      <c r="X193" s="9">
        <v>0.82352941176470584</v>
      </c>
      <c r="Y193" s="37">
        <v>7.166666666666667</v>
      </c>
      <c r="Z193" s="9" t="s">
        <v>456</v>
      </c>
      <c r="AA193" s="9">
        <v>0</v>
      </c>
      <c r="AB193" s="38">
        <v>44013</v>
      </c>
      <c r="AC193" s="9" t="s">
        <v>495</v>
      </c>
      <c r="AD193" s="9" t="s">
        <v>619</v>
      </c>
      <c r="AE193" s="2">
        <v>57</v>
      </c>
      <c r="AF193" s="2">
        <v>5</v>
      </c>
      <c r="AG193"/>
    </row>
    <row r="194" spans="1:34" ht="15" hidden="1" customHeight="1" x14ac:dyDescent="0.25">
      <c r="A194" s="9">
        <v>193</v>
      </c>
      <c r="B194" s="9" t="s">
        <v>429</v>
      </c>
      <c r="C194" s="9" t="s">
        <v>430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429</v>
      </c>
      <c r="X194" s="9">
        <v>1.0769230769230769</v>
      </c>
      <c r="Y194" s="37">
        <v>12.090909090909092</v>
      </c>
      <c r="Z194" s="9" t="s">
        <v>455</v>
      </c>
      <c r="AA194" s="9">
        <v>0</v>
      </c>
      <c r="AB194" s="38">
        <v>44013</v>
      </c>
      <c r="AC194" s="9" t="s">
        <v>495</v>
      </c>
      <c r="AD194" s="9" t="s">
        <v>620</v>
      </c>
      <c r="AE194" s="2">
        <v>196</v>
      </c>
      <c r="AF194" s="2">
        <v>17</v>
      </c>
      <c r="AG194"/>
    </row>
    <row r="195" spans="1:34" ht="15" hidden="1" customHeight="1" x14ac:dyDescent="0.25">
      <c r="A195" s="9">
        <v>194</v>
      </c>
      <c r="B195" s="9" t="s">
        <v>431</v>
      </c>
      <c r="C195" s="9" t="s">
        <v>432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431</v>
      </c>
      <c r="X195" s="9">
        <v>0.66666666666666663</v>
      </c>
      <c r="Y195" s="37">
        <v>7.2</v>
      </c>
      <c r="Z195" s="9" t="s">
        <v>456</v>
      </c>
      <c r="AA195" s="9">
        <v>0</v>
      </c>
      <c r="AB195" s="38">
        <v>44013</v>
      </c>
      <c r="AC195" s="9" t="s">
        <v>495</v>
      </c>
      <c r="AD195" s="9" t="s">
        <v>621</v>
      </c>
      <c r="AE195" s="2">
        <v>36</v>
      </c>
      <c r="AF195" s="2">
        <v>4</v>
      </c>
      <c r="AG195"/>
    </row>
    <row r="196" spans="1:34" ht="15" hidden="1" customHeight="1" x14ac:dyDescent="0.25">
      <c r="A196" s="9">
        <v>195</v>
      </c>
      <c r="B196" s="9" t="s">
        <v>433</v>
      </c>
      <c r="C196" s="9" t="s">
        <v>434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433</v>
      </c>
      <c r="X196" s="9">
        <v>0.2</v>
      </c>
      <c r="Y196" s="37">
        <v>6.8</v>
      </c>
      <c r="Z196" s="9" t="s">
        <v>456</v>
      </c>
      <c r="AA196" s="9">
        <v>0</v>
      </c>
      <c r="AB196" s="38">
        <v>44013</v>
      </c>
      <c r="AC196" s="9" t="s">
        <v>495</v>
      </c>
      <c r="AD196" s="9" t="s">
        <v>622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435</v>
      </c>
      <c r="C197" s="9" t="s">
        <v>436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282</v>
      </c>
      <c r="T197" s="9">
        <v>0</v>
      </c>
      <c r="U197" s="9">
        <v>0</v>
      </c>
      <c r="V197" s="9" t="s">
        <v>15</v>
      </c>
      <c r="W197" s="9" t="s">
        <v>435</v>
      </c>
      <c r="X197" s="9">
        <v>0</v>
      </c>
      <c r="Y197" s="37">
        <v>6</v>
      </c>
      <c r="Z197" s="9" t="s">
        <v>456</v>
      </c>
      <c r="AA197" s="9">
        <v>0</v>
      </c>
      <c r="AB197" s="38">
        <v>41699</v>
      </c>
      <c r="AC197" s="9" t="s">
        <v>472</v>
      </c>
      <c r="AD197" s="9" t="s">
        <v>592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437</v>
      </c>
      <c r="C198" s="9" t="s">
        <v>438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437</v>
      </c>
      <c r="X198" s="39">
        <v>1.0714285714285714</v>
      </c>
      <c r="Y198" s="37">
        <v>17.375</v>
      </c>
      <c r="Z198" s="9" t="s">
        <v>456</v>
      </c>
      <c r="AA198" s="9">
        <v>0</v>
      </c>
      <c r="AB198" s="38">
        <v>44256</v>
      </c>
      <c r="AC198" s="9" t="s">
        <v>623</v>
      </c>
      <c r="AD198" s="9" t="s">
        <v>624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439</v>
      </c>
      <c r="C199" s="9" t="s">
        <v>440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439</v>
      </c>
      <c r="X199" s="9">
        <v>0.9642857142857143</v>
      </c>
      <c r="Y199" s="37">
        <v>12.318181818181818</v>
      </c>
      <c r="Z199" s="9" t="s">
        <v>457</v>
      </c>
      <c r="AA199" s="9">
        <v>3</v>
      </c>
      <c r="AB199" s="38">
        <v>44256</v>
      </c>
      <c r="AC199" s="9" t="s">
        <v>623</v>
      </c>
      <c r="AD199" s="9" t="s">
        <v>625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441</v>
      </c>
      <c r="C200" s="9" t="s">
        <v>442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441</v>
      </c>
      <c r="X200" s="9">
        <v>1.2222222222222223</v>
      </c>
      <c r="Y200" s="37">
        <v>6.625</v>
      </c>
      <c r="Z200" s="9" t="s">
        <v>458</v>
      </c>
      <c r="AA200" s="9">
        <v>0</v>
      </c>
      <c r="AB200" s="38">
        <v>44374</v>
      </c>
      <c r="AC200" s="9" t="s">
        <v>626</v>
      </c>
      <c r="AD200" s="9" t="s">
        <v>627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443</v>
      </c>
      <c r="C201" s="9" t="s">
        <v>444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443</v>
      </c>
      <c r="X201" s="39">
        <v>1.2857142857142858</v>
      </c>
      <c r="Y201" s="37">
        <v>13.545454545454545</v>
      </c>
      <c r="Z201" s="9" t="s">
        <v>455</v>
      </c>
      <c r="AA201" s="9">
        <v>1</v>
      </c>
      <c r="AB201" s="38">
        <v>44374</v>
      </c>
      <c r="AC201" s="9" t="s">
        <v>626</v>
      </c>
      <c r="AD201" s="9" t="s">
        <v>628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445</v>
      </c>
      <c r="C202" s="9" t="s">
        <v>446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445</v>
      </c>
      <c r="X202" s="39">
        <v>1</v>
      </c>
      <c r="Y202" s="37">
        <v>27</v>
      </c>
      <c r="Z202" s="9" t="s">
        <v>456</v>
      </c>
      <c r="AA202" s="9">
        <v>0</v>
      </c>
      <c r="AB202" s="38">
        <v>44374</v>
      </c>
      <c r="AC202" s="9" t="s">
        <v>626</v>
      </c>
      <c r="AD202" s="9" t="s">
        <v>629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447</v>
      </c>
      <c r="C203" s="9" t="s">
        <v>448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447</v>
      </c>
      <c r="X203" s="39">
        <v>1.48</v>
      </c>
      <c r="Y203" s="37">
        <v>14.441176470588236</v>
      </c>
      <c r="Z203" s="9" t="s">
        <v>459</v>
      </c>
      <c r="AA203" s="9">
        <v>2</v>
      </c>
      <c r="AB203" s="38">
        <v>44374</v>
      </c>
      <c r="AC203" s="9" t="s">
        <v>626</v>
      </c>
      <c r="AD203" s="9" t="s">
        <v>630</v>
      </c>
      <c r="AE203" s="2">
        <v>347</v>
      </c>
      <c r="AF203" s="2">
        <v>20</v>
      </c>
      <c r="AG203"/>
    </row>
    <row r="204" spans="1:34" ht="15" hidden="1" customHeight="1" x14ac:dyDescent="0.25">
      <c r="A204" s="9">
        <v>203</v>
      </c>
      <c r="B204" s="9" t="s">
        <v>449</v>
      </c>
      <c r="C204" s="9" t="s">
        <v>450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449</v>
      </c>
      <c r="X204" s="9">
        <v>1.1904761904761905</v>
      </c>
      <c r="Y204" s="37">
        <v>14.090909090909092</v>
      </c>
      <c r="Z204" s="9" t="s">
        <v>456</v>
      </c>
      <c r="AA204" s="9">
        <v>1</v>
      </c>
      <c r="AB204" s="38">
        <v>44374</v>
      </c>
      <c r="AC204" s="9" t="s">
        <v>626</v>
      </c>
      <c r="AD204" s="9" t="s">
        <v>631</v>
      </c>
      <c r="AE204" s="2">
        <v>157</v>
      </c>
      <c r="AF204" s="2">
        <v>13</v>
      </c>
      <c r="AG204"/>
    </row>
    <row r="205" spans="1:34" ht="15" hidden="1" customHeight="1" x14ac:dyDescent="0.25">
      <c r="A205" s="9">
        <v>204</v>
      </c>
      <c r="B205" s="9" t="s">
        <v>451</v>
      </c>
      <c r="C205" s="9" t="s">
        <v>452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451</v>
      </c>
      <c r="X205" s="9">
        <v>0</v>
      </c>
      <c r="Y205" s="37">
        <v>9.25</v>
      </c>
      <c r="Z205" s="9" t="s">
        <v>456</v>
      </c>
      <c r="AA205" s="9">
        <v>0</v>
      </c>
      <c r="AB205" s="38">
        <v>44374</v>
      </c>
      <c r="AC205" s="9" t="s">
        <v>626</v>
      </c>
      <c r="AD205" s="9" t="s">
        <v>632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453</v>
      </c>
      <c r="C206" s="9" t="s">
        <v>454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453</v>
      </c>
      <c r="X206" s="9">
        <v>0</v>
      </c>
      <c r="Y206" s="37">
        <v>9.3333333333333339</v>
      </c>
      <c r="Z206" s="9" t="s">
        <v>456</v>
      </c>
      <c r="AA206" s="9">
        <v>0</v>
      </c>
      <c r="AB206" s="38">
        <v>44949</v>
      </c>
      <c r="AC206" s="9" t="s">
        <v>633</v>
      </c>
      <c r="AD206" s="9" t="s">
        <v>634</v>
      </c>
      <c r="AE206" s="2">
        <v>28</v>
      </c>
      <c r="AF206" s="2">
        <v>0</v>
      </c>
      <c r="AG206"/>
    </row>
    <row r="207" spans="1:34" ht="15" hidden="1" customHeight="1" x14ac:dyDescent="0.25">
      <c r="A207" s="9">
        <v>206</v>
      </c>
      <c r="B207" s="9" t="s">
        <v>790</v>
      </c>
      <c r="C207" s="9" t="s">
        <v>1097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790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502</v>
      </c>
      <c r="AD207" s="9" t="s">
        <v>789</v>
      </c>
      <c r="AE207" s="2">
        <v>189</v>
      </c>
      <c r="AF207" s="2">
        <v>18</v>
      </c>
      <c r="AH207" s="34">
        <v>46365</v>
      </c>
    </row>
  </sheetData>
  <autoFilter ref="A1:AH207">
    <filterColumn colId="2">
      <filters>
        <filter val="Cryptic Sabbir II"/>
        <filter val="Sabbir Ahmed"/>
        <filter val="Sabbir Ahmed Shuvo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636</v>
      </c>
      <c r="B1" s="9" t="s">
        <v>637</v>
      </c>
      <c r="C1" s="9" t="s">
        <v>638</v>
      </c>
      <c r="D1" s="9" t="s">
        <v>639</v>
      </c>
      <c r="E1" s="9" t="s">
        <v>640</v>
      </c>
      <c r="F1" s="9" t="s">
        <v>641</v>
      </c>
      <c r="G1" s="9" t="s">
        <v>642</v>
      </c>
      <c r="H1" s="9" t="s">
        <v>643</v>
      </c>
      <c r="I1" s="9" t="s">
        <v>644</v>
      </c>
      <c r="J1" s="9" t="s">
        <v>9</v>
      </c>
      <c r="K1" s="9" t="s">
        <v>645</v>
      </c>
      <c r="L1" s="9" t="s">
        <v>646</v>
      </c>
      <c r="M1" s="3" t="s">
        <v>15</v>
      </c>
      <c r="N1" s="3" t="s">
        <v>647</v>
      </c>
      <c r="O1" s="2" t="s">
        <v>648</v>
      </c>
      <c r="P1" s="2" t="s">
        <v>649</v>
      </c>
      <c r="Q1" s="2" t="s">
        <v>650</v>
      </c>
      <c r="R1" s="10" t="s">
        <v>651</v>
      </c>
      <c r="S1" s="2" t="s">
        <v>652</v>
      </c>
      <c r="T1" s="2" t="s">
        <v>653</v>
      </c>
      <c r="U1" s="11" t="s">
        <v>654</v>
      </c>
      <c r="V1" s="12" t="s">
        <v>655</v>
      </c>
      <c r="W1" s="12" t="s">
        <v>656</v>
      </c>
      <c r="X1" s="2" t="s">
        <v>657</v>
      </c>
    </row>
    <row r="2" spans="1:24" s="3" customFormat="1" ht="19.5" customHeight="1" x14ac:dyDescent="0.25">
      <c r="A2" s="9">
        <v>1</v>
      </c>
      <c r="B2" s="13" t="s">
        <v>543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487</v>
      </c>
      <c r="P2" s="14" t="s">
        <v>543</v>
      </c>
      <c r="Q2" s="1">
        <f t="shared" ref="Q2:Q65" si="0">IF(B2="","",1)</f>
        <v>1</v>
      </c>
      <c r="R2" s="2">
        <v>1</v>
      </c>
      <c r="S2" s="2"/>
      <c r="T2" s="2" t="s">
        <v>658</v>
      </c>
      <c r="U2" s="15">
        <v>41334</v>
      </c>
      <c r="V2" s="2"/>
      <c r="W2" s="2"/>
    </row>
    <row r="3" spans="1:24" x14ac:dyDescent="0.25">
      <c r="A3" s="2">
        <v>1</v>
      </c>
      <c r="B3" t="s">
        <v>206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487</v>
      </c>
      <c r="P3" s="16" t="s">
        <v>543</v>
      </c>
      <c r="Q3" s="1">
        <f t="shared" si="0"/>
        <v>1</v>
      </c>
      <c r="R3" s="1">
        <v>1</v>
      </c>
      <c r="T3" s="2" t="s">
        <v>658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153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487</v>
      </c>
      <c r="P4" s="16" t="s">
        <v>543</v>
      </c>
      <c r="Q4" s="1">
        <f t="shared" si="0"/>
        <v>1</v>
      </c>
      <c r="R4" s="1">
        <v>1</v>
      </c>
      <c r="T4" s="2" t="s">
        <v>658</v>
      </c>
      <c r="U4" s="15">
        <v>41334</v>
      </c>
    </row>
    <row r="5" spans="1:24" x14ac:dyDescent="0.25">
      <c r="A5" s="2">
        <f t="shared" ref="A5:A35" si="2">A4</f>
        <v>1</v>
      </c>
      <c r="B5" t="s">
        <v>145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487</v>
      </c>
      <c r="P5" s="16" t="s">
        <v>543</v>
      </c>
      <c r="Q5" s="1">
        <f t="shared" si="0"/>
        <v>1</v>
      </c>
      <c r="R5" s="1">
        <v>1</v>
      </c>
      <c r="S5" s="2" t="s">
        <v>659</v>
      </c>
      <c r="T5" s="2" t="s">
        <v>658</v>
      </c>
      <c r="U5" s="15">
        <v>41334</v>
      </c>
    </row>
    <row r="6" spans="1:24" x14ac:dyDescent="0.25">
      <c r="A6" s="2">
        <f t="shared" si="2"/>
        <v>1</v>
      </c>
      <c r="B6" t="s">
        <v>209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487</v>
      </c>
      <c r="P6" s="16" t="s">
        <v>543</v>
      </c>
      <c r="Q6" s="1">
        <f t="shared" si="0"/>
        <v>1</v>
      </c>
      <c r="R6" s="1">
        <v>1</v>
      </c>
      <c r="T6" s="2" t="s">
        <v>658</v>
      </c>
      <c r="U6" s="15">
        <v>41334</v>
      </c>
    </row>
    <row r="7" spans="1:24" x14ac:dyDescent="0.25">
      <c r="A7" s="2">
        <f t="shared" si="2"/>
        <v>1</v>
      </c>
      <c r="B7" t="s">
        <v>212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487</v>
      </c>
      <c r="P7" s="16" t="s">
        <v>543</v>
      </c>
      <c r="Q7" s="1">
        <f t="shared" si="0"/>
        <v>1</v>
      </c>
      <c r="R7" s="1">
        <v>1</v>
      </c>
      <c r="T7" s="2" t="s">
        <v>658</v>
      </c>
      <c r="U7" s="15">
        <v>41334</v>
      </c>
    </row>
    <row r="8" spans="1:24" x14ac:dyDescent="0.25">
      <c r="A8" s="2">
        <f t="shared" si="2"/>
        <v>1</v>
      </c>
      <c r="B8" t="s">
        <v>214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487</v>
      </c>
      <c r="P8" s="16" t="s">
        <v>543</v>
      </c>
      <c r="Q8" s="1">
        <f t="shared" si="0"/>
        <v>1</v>
      </c>
      <c r="R8" s="1">
        <v>1</v>
      </c>
      <c r="T8" s="2" t="s">
        <v>658</v>
      </c>
      <c r="U8" s="15">
        <v>41334</v>
      </c>
    </row>
    <row r="9" spans="1:24" x14ac:dyDescent="0.25">
      <c r="A9" s="2">
        <f t="shared" si="2"/>
        <v>1</v>
      </c>
      <c r="B9" s="17" t="s">
        <v>499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487</v>
      </c>
      <c r="P9" s="16" t="s">
        <v>499</v>
      </c>
      <c r="Q9" s="1">
        <f t="shared" si="0"/>
        <v>1</v>
      </c>
      <c r="R9" s="1">
        <v>2</v>
      </c>
      <c r="T9" s="2" t="s">
        <v>660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487</v>
      </c>
      <c r="P10" s="16" t="s">
        <v>499</v>
      </c>
      <c r="Q10" s="1">
        <f t="shared" si="0"/>
        <v>1</v>
      </c>
      <c r="R10" s="1">
        <v>2</v>
      </c>
      <c r="T10" s="2" t="s">
        <v>660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487</v>
      </c>
      <c r="P11" s="16" t="s">
        <v>499</v>
      </c>
      <c r="Q11" s="1">
        <f t="shared" si="0"/>
        <v>1</v>
      </c>
      <c r="R11" s="1">
        <v>2</v>
      </c>
      <c r="T11" s="2" t="s">
        <v>660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487</v>
      </c>
      <c r="P12" s="16" t="s">
        <v>499</v>
      </c>
      <c r="Q12" s="1">
        <f t="shared" si="0"/>
        <v>1</v>
      </c>
      <c r="R12" s="1">
        <v>2</v>
      </c>
      <c r="T12" s="2" t="s">
        <v>660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216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487</v>
      </c>
      <c r="P13" s="16" t="s">
        <v>499</v>
      </c>
      <c r="Q13" s="1">
        <f t="shared" si="0"/>
        <v>1</v>
      </c>
      <c r="R13" s="1">
        <v>2</v>
      </c>
      <c r="T13" s="2" t="s">
        <v>660</v>
      </c>
      <c r="U13" s="15">
        <v>41334</v>
      </c>
    </row>
    <row r="14" spans="1:24" x14ac:dyDescent="0.25">
      <c r="A14" s="2">
        <f t="shared" si="2"/>
        <v>1</v>
      </c>
      <c r="B14" t="s">
        <v>219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487</v>
      </c>
      <c r="P14" s="16" t="s">
        <v>499</v>
      </c>
      <c r="Q14" s="1">
        <f t="shared" si="0"/>
        <v>1</v>
      </c>
      <c r="R14" s="1">
        <v>2</v>
      </c>
      <c r="T14" s="2" t="s">
        <v>660</v>
      </c>
      <c r="U14" s="15">
        <v>41334</v>
      </c>
    </row>
    <row r="15" spans="1:24" x14ac:dyDescent="0.25">
      <c r="A15" s="2">
        <f t="shared" si="2"/>
        <v>1</v>
      </c>
      <c r="B15" t="s">
        <v>220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487</v>
      </c>
      <c r="P15" s="16" t="s">
        <v>499</v>
      </c>
      <c r="Q15" s="1">
        <f t="shared" si="0"/>
        <v>1</v>
      </c>
      <c r="R15" s="1">
        <v>2</v>
      </c>
      <c r="T15" s="2" t="s">
        <v>660</v>
      </c>
      <c r="U15" s="15">
        <v>41334</v>
      </c>
    </row>
    <row r="16" spans="1:24" x14ac:dyDescent="0.25">
      <c r="A16" s="2">
        <f t="shared" si="2"/>
        <v>1</v>
      </c>
      <c r="B16" s="17" t="s">
        <v>528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487</v>
      </c>
      <c r="P16" s="16" t="s">
        <v>528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222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487</v>
      </c>
      <c r="P17" s="16" t="s">
        <v>528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224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487</v>
      </c>
      <c r="P18" s="16" t="s">
        <v>528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226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487</v>
      </c>
      <c r="P19" s="16" t="s">
        <v>528</v>
      </c>
      <c r="Q19" s="1">
        <f t="shared" si="0"/>
        <v>1</v>
      </c>
      <c r="R19" s="1">
        <v>3</v>
      </c>
      <c r="S19" s="2" t="s">
        <v>661</v>
      </c>
      <c r="U19" s="8">
        <v>41334</v>
      </c>
    </row>
    <row r="20" spans="1:23" x14ac:dyDescent="0.25">
      <c r="A20" s="2">
        <f t="shared" si="2"/>
        <v>1</v>
      </c>
      <c r="B20" t="s">
        <v>229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487</v>
      </c>
      <c r="P20" s="16" t="s">
        <v>528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119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487</v>
      </c>
      <c r="P21" s="16" t="s">
        <v>528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504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487</v>
      </c>
      <c r="P22" s="16" t="s">
        <v>504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487</v>
      </c>
      <c r="P23" s="16" t="s">
        <v>504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231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487</v>
      </c>
      <c r="P24" s="16" t="s">
        <v>504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487</v>
      </c>
      <c r="P25" s="16" t="s">
        <v>504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233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487</v>
      </c>
      <c r="P26" s="16" t="s">
        <v>504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235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487</v>
      </c>
      <c r="P27" s="16" t="s">
        <v>504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184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487</v>
      </c>
      <c r="P28" s="16" t="s">
        <v>504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488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487</v>
      </c>
      <c r="P29" s="16" t="s">
        <v>488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113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487</v>
      </c>
      <c r="P30" s="16" t="s">
        <v>488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662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487</v>
      </c>
      <c r="P31" s="16" t="s">
        <v>488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240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487</v>
      </c>
      <c r="P32" s="16" t="s">
        <v>488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242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487</v>
      </c>
      <c r="P33" s="16" t="s">
        <v>488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204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487</v>
      </c>
      <c r="P34" s="16" t="s">
        <v>488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237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487</v>
      </c>
      <c r="P35" s="16" t="s">
        <v>488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562</v>
      </c>
      <c r="J36" s="1"/>
      <c r="O36" s="2" t="s">
        <v>506</v>
      </c>
      <c r="P36" s="16" t="s">
        <v>562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506</v>
      </c>
      <c r="P37" s="16" t="s">
        <v>562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506</v>
      </c>
      <c r="P38" s="16" t="s">
        <v>562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244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506</v>
      </c>
      <c r="P39" s="16" t="s">
        <v>562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246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506</v>
      </c>
      <c r="P40" s="16" t="s">
        <v>562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113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506</v>
      </c>
      <c r="P41" s="16" t="s">
        <v>562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206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506</v>
      </c>
      <c r="P42" s="16" t="s">
        <v>562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663</v>
      </c>
      <c r="J43" s="1"/>
      <c r="M43" t="s">
        <v>15</v>
      </c>
      <c r="N43" t="str">
        <f>IFERROR(VLOOKUP(B43,'[1]All Player'!$B$2:$C$1992,2,0),"")</f>
        <v/>
      </c>
      <c r="O43" s="2" t="s">
        <v>506</v>
      </c>
      <c r="P43" s="16" t="s">
        <v>663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240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506</v>
      </c>
      <c r="P44" s="16" t="s">
        <v>663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229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506</v>
      </c>
      <c r="P45" s="16" t="s">
        <v>663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506</v>
      </c>
      <c r="P46" s="16" t="s">
        <v>663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231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506</v>
      </c>
      <c r="P47" s="16" t="s">
        <v>663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224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506</v>
      </c>
      <c r="P48" s="16" t="s">
        <v>663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119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506</v>
      </c>
      <c r="P49" s="16" t="s">
        <v>663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226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506</v>
      </c>
      <c r="P50" s="16" t="s">
        <v>663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563</v>
      </c>
      <c r="J51" s="1"/>
      <c r="M51" t="s">
        <v>15</v>
      </c>
      <c r="N51" t="str">
        <f>IFERROR(VLOOKUP(B51,'[1]All Player'!$B$2:$C$1992,2,0),"")</f>
        <v/>
      </c>
      <c r="O51" s="2" t="s">
        <v>506</v>
      </c>
      <c r="P51" s="16" t="s">
        <v>563</v>
      </c>
      <c r="Q51" s="1">
        <f t="shared" si="0"/>
        <v>1</v>
      </c>
      <c r="R51" s="1">
        <v>8</v>
      </c>
      <c r="T51" s="1" t="s">
        <v>658</v>
      </c>
      <c r="U51" s="8">
        <v>41365</v>
      </c>
    </row>
    <row r="52" spans="1:21" x14ac:dyDescent="0.25">
      <c r="A52" s="2">
        <f t="shared" si="3"/>
        <v>2</v>
      </c>
      <c r="B52" t="s">
        <v>248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506</v>
      </c>
      <c r="P52" s="16" t="s">
        <v>563</v>
      </c>
      <c r="Q52" s="1">
        <f t="shared" si="0"/>
        <v>1</v>
      </c>
      <c r="R52" s="1">
        <v>8</v>
      </c>
      <c r="T52" s="1" t="s">
        <v>658</v>
      </c>
      <c r="U52" s="8">
        <v>41365</v>
      </c>
    </row>
    <row r="53" spans="1:21" x14ac:dyDescent="0.25">
      <c r="A53" s="2">
        <f t="shared" si="3"/>
        <v>2</v>
      </c>
      <c r="B53" t="s">
        <v>145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506</v>
      </c>
      <c r="P53" s="16" t="s">
        <v>563</v>
      </c>
      <c r="Q53" s="1">
        <f t="shared" si="0"/>
        <v>1</v>
      </c>
      <c r="R53" s="1">
        <v>8</v>
      </c>
      <c r="S53" s="2" t="s">
        <v>661</v>
      </c>
      <c r="T53" s="1" t="s">
        <v>658</v>
      </c>
      <c r="U53" s="8">
        <v>41365</v>
      </c>
    </row>
    <row r="54" spans="1:21" x14ac:dyDescent="0.25">
      <c r="A54" s="2">
        <f t="shared" si="3"/>
        <v>2</v>
      </c>
      <c r="B54" t="s">
        <v>251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506</v>
      </c>
      <c r="P54" s="16" t="s">
        <v>563</v>
      </c>
      <c r="Q54" s="1">
        <f t="shared" si="0"/>
        <v>1</v>
      </c>
      <c r="R54" s="1">
        <v>8</v>
      </c>
      <c r="T54" s="1" t="s">
        <v>658</v>
      </c>
      <c r="U54" s="8">
        <v>41365</v>
      </c>
    </row>
    <row r="55" spans="1:21" x14ac:dyDescent="0.25">
      <c r="A55" s="2">
        <f t="shared" si="3"/>
        <v>2</v>
      </c>
      <c r="B55" t="s">
        <v>214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506</v>
      </c>
      <c r="P55" s="16" t="s">
        <v>563</v>
      </c>
      <c r="Q55" s="1">
        <f t="shared" si="0"/>
        <v>1</v>
      </c>
      <c r="R55" s="1">
        <v>8</v>
      </c>
      <c r="T55" s="1" t="s">
        <v>658</v>
      </c>
      <c r="U55" s="8">
        <v>41365</v>
      </c>
    </row>
    <row r="56" spans="1:21" x14ac:dyDescent="0.25">
      <c r="A56" s="2">
        <f t="shared" si="3"/>
        <v>2</v>
      </c>
      <c r="B56" t="s">
        <v>254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506</v>
      </c>
      <c r="P56" s="16" t="s">
        <v>563</v>
      </c>
      <c r="Q56" s="1">
        <f t="shared" si="0"/>
        <v>1</v>
      </c>
      <c r="R56" s="1">
        <v>8</v>
      </c>
      <c r="T56" s="1" t="s">
        <v>658</v>
      </c>
      <c r="U56" s="8">
        <v>41365</v>
      </c>
    </row>
    <row r="57" spans="1:21" x14ac:dyDescent="0.25">
      <c r="A57" s="2">
        <f t="shared" si="3"/>
        <v>2</v>
      </c>
      <c r="B57" s="17" t="s">
        <v>564</v>
      </c>
      <c r="J57" s="1"/>
      <c r="M57" t="s">
        <v>15</v>
      </c>
      <c r="N57" t="str">
        <f>IFERROR(VLOOKUP(B57,'[1]All Player'!$B$2:$C$1992,2,0),"")</f>
        <v/>
      </c>
      <c r="O57" s="2" t="s">
        <v>506</v>
      </c>
      <c r="P57" s="16" t="s">
        <v>564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153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506</v>
      </c>
      <c r="P58" s="16" t="s">
        <v>564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662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506</v>
      </c>
      <c r="P59" s="16" t="s">
        <v>564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256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506</v>
      </c>
      <c r="P60" s="16" t="s">
        <v>564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258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506</v>
      </c>
      <c r="P61" s="16" t="s">
        <v>564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507</v>
      </c>
      <c r="J62" s="1"/>
      <c r="M62" t="s">
        <v>15</v>
      </c>
      <c r="N62" t="str">
        <f>IFERROR(VLOOKUP(B62,'[1]All Player'!$B$2:$C$1992,2,0),"")</f>
        <v/>
      </c>
      <c r="O62" s="2" t="s">
        <v>506</v>
      </c>
      <c r="P62" s="16" t="s">
        <v>507</v>
      </c>
      <c r="Q62" s="1">
        <f t="shared" si="0"/>
        <v>1</v>
      </c>
      <c r="R62" s="1">
        <v>10</v>
      </c>
      <c r="T62" s="1" t="s">
        <v>660</v>
      </c>
      <c r="U62" s="8">
        <v>41365</v>
      </c>
    </row>
    <row r="63" spans="1:21" x14ac:dyDescent="0.25">
      <c r="A63" s="2">
        <f t="shared" si="3"/>
        <v>2</v>
      </c>
      <c r="B63" t="s">
        <v>222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506</v>
      </c>
      <c r="P63" s="16" t="s">
        <v>507</v>
      </c>
      <c r="Q63" s="1">
        <f t="shared" si="0"/>
        <v>1</v>
      </c>
      <c r="R63" s="1">
        <v>10</v>
      </c>
      <c r="T63" s="1" t="s">
        <v>660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506</v>
      </c>
      <c r="P64" s="16" t="s">
        <v>507</v>
      </c>
      <c r="Q64" s="1">
        <f t="shared" si="0"/>
        <v>1</v>
      </c>
      <c r="R64" s="1">
        <v>10</v>
      </c>
      <c r="T64" s="1" t="s">
        <v>660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506</v>
      </c>
      <c r="P65" s="16" t="s">
        <v>507</v>
      </c>
      <c r="Q65" s="1">
        <f t="shared" si="0"/>
        <v>1</v>
      </c>
      <c r="R65" s="1">
        <v>10</v>
      </c>
      <c r="T65" s="1" t="s">
        <v>660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506</v>
      </c>
      <c r="P66" s="16" t="s">
        <v>507</v>
      </c>
      <c r="Q66" s="1">
        <f t="shared" ref="Q66:Q129" si="4">IF(B66="","",1)</f>
        <v>1</v>
      </c>
      <c r="R66" s="1">
        <v>10</v>
      </c>
      <c r="S66" s="2" t="s">
        <v>659</v>
      </c>
      <c r="T66" s="1" t="s">
        <v>660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480</v>
      </c>
      <c r="J67" s="1"/>
      <c r="M67" t="s">
        <v>15</v>
      </c>
      <c r="N67" t="str">
        <f>IFERROR(VLOOKUP(B67,'[1]All Player'!$B$2:$C$1992,2,0),"")</f>
        <v/>
      </c>
      <c r="O67" s="2" t="s">
        <v>479</v>
      </c>
      <c r="P67" s="16" t="s">
        <v>480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479</v>
      </c>
      <c r="P68" s="16" t="s">
        <v>480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246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479</v>
      </c>
      <c r="P69" s="16" t="s">
        <v>480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479</v>
      </c>
      <c r="P70" s="16" t="s">
        <v>480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565</v>
      </c>
      <c r="J71" s="1"/>
      <c r="M71" t="s">
        <v>15</v>
      </c>
      <c r="N71" t="str">
        <f>IFERROR(VLOOKUP(B71,'[1]All Player'!$B$2:$C$1992,2,0),"")</f>
        <v/>
      </c>
      <c r="O71" s="2" t="s">
        <v>479</v>
      </c>
      <c r="P71" s="16" t="s">
        <v>565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479</v>
      </c>
      <c r="P72" s="16" t="s">
        <v>565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479</v>
      </c>
      <c r="P73" s="16" t="s">
        <v>565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260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479</v>
      </c>
      <c r="P74" s="16" t="s">
        <v>565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664</v>
      </c>
      <c r="J75" s="1"/>
      <c r="M75" t="s">
        <v>15</v>
      </c>
      <c r="N75" t="str">
        <f>IFERROR(VLOOKUP(B75,'[1]All Player'!$B$2:$C$1992,2,0),"")</f>
        <v/>
      </c>
      <c r="O75" s="2" t="s">
        <v>479</v>
      </c>
      <c r="P75" s="16" t="s">
        <v>664</v>
      </c>
      <c r="Q75" s="1">
        <f t="shared" si="4"/>
        <v>1</v>
      </c>
      <c r="R75" s="1">
        <v>13</v>
      </c>
      <c r="T75" s="1" t="s">
        <v>658</v>
      </c>
      <c r="U75" s="8">
        <v>41395</v>
      </c>
    </row>
    <row r="76" spans="1:23" x14ac:dyDescent="0.25">
      <c r="A76" s="2">
        <f t="shared" si="3"/>
        <v>3</v>
      </c>
      <c r="B76" t="s">
        <v>229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479</v>
      </c>
      <c r="P76" s="16" t="s">
        <v>664</v>
      </c>
      <c r="Q76" s="1">
        <f t="shared" si="4"/>
        <v>1</v>
      </c>
      <c r="R76" s="1">
        <v>13</v>
      </c>
      <c r="T76" s="1" t="s">
        <v>658</v>
      </c>
      <c r="U76" s="8">
        <v>41395</v>
      </c>
    </row>
    <row r="77" spans="1:23" x14ac:dyDescent="0.25">
      <c r="A77" s="2">
        <f t="shared" si="3"/>
        <v>3</v>
      </c>
      <c r="B77" t="s">
        <v>153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479</v>
      </c>
      <c r="P77" s="16" t="s">
        <v>664</v>
      </c>
      <c r="Q77" s="1">
        <f t="shared" si="4"/>
        <v>1</v>
      </c>
      <c r="R77" s="1">
        <v>13</v>
      </c>
      <c r="S77" s="2" t="s">
        <v>661</v>
      </c>
      <c r="T77" s="1" t="s">
        <v>658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214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479</v>
      </c>
      <c r="P78" s="16" t="s">
        <v>664</v>
      </c>
      <c r="Q78" s="1">
        <f t="shared" si="4"/>
        <v>1</v>
      </c>
      <c r="R78" s="1">
        <v>13</v>
      </c>
      <c r="T78" s="1" t="s">
        <v>658</v>
      </c>
      <c r="U78" s="8">
        <v>41395</v>
      </c>
    </row>
    <row r="79" spans="1:23" ht="15.75" x14ac:dyDescent="0.25">
      <c r="A79" s="2">
        <f t="shared" si="3"/>
        <v>3</v>
      </c>
      <c r="B79" s="18" t="s">
        <v>566</v>
      </c>
      <c r="J79" s="1"/>
      <c r="M79" t="s">
        <v>15</v>
      </c>
      <c r="N79" t="str">
        <f>IFERROR(VLOOKUP(B79,'[1]All Player'!$B$2:$C$1992,2,0),"")</f>
        <v/>
      </c>
      <c r="O79" s="2" t="s">
        <v>479</v>
      </c>
      <c r="P79" s="16" t="s">
        <v>566</v>
      </c>
      <c r="Q79" s="1">
        <f t="shared" si="4"/>
        <v>1</v>
      </c>
      <c r="R79" s="1">
        <v>14</v>
      </c>
      <c r="T79" s="1" t="s">
        <v>660</v>
      </c>
      <c r="U79" s="8">
        <v>41395</v>
      </c>
    </row>
    <row r="80" spans="1:23" x14ac:dyDescent="0.25">
      <c r="A80" s="2">
        <f t="shared" si="3"/>
        <v>3</v>
      </c>
      <c r="B80" t="s">
        <v>244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479</v>
      </c>
      <c r="P80" s="16" t="s">
        <v>566</v>
      </c>
      <c r="Q80" s="1">
        <f t="shared" si="4"/>
        <v>1</v>
      </c>
      <c r="R80" s="1">
        <v>14</v>
      </c>
      <c r="T80" s="1" t="s">
        <v>660</v>
      </c>
      <c r="U80" s="8">
        <v>41395</v>
      </c>
    </row>
    <row r="81" spans="1:23" x14ac:dyDescent="0.25">
      <c r="A81" s="2">
        <f t="shared" si="3"/>
        <v>3</v>
      </c>
      <c r="B81" t="s">
        <v>258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479</v>
      </c>
      <c r="P81" s="16" t="s">
        <v>566</v>
      </c>
      <c r="Q81" s="1">
        <f t="shared" si="4"/>
        <v>1</v>
      </c>
      <c r="R81" s="1">
        <v>14</v>
      </c>
      <c r="T81" s="1" t="s">
        <v>660</v>
      </c>
      <c r="U81" s="8">
        <v>41395</v>
      </c>
    </row>
    <row r="82" spans="1:23" x14ac:dyDescent="0.25">
      <c r="A82" s="2">
        <f t="shared" si="3"/>
        <v>3</v>
      </c>
      <c r="B82" t="s">
        <v>262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479</v>
      </c>
      <c r="P82" s="16" t="s">
        <v>566</v>
      </c>
      <c r="Q82" s="1">
        <f t="shared" si="4"/>
        <v>1</v>
      </c>
      <c r="R82" s="1">
        <v>14</v>
      </c>
      <c r="T82" s="1" t="s">
        <v>660</v>
      </c>
      <c r="U82" s="8">
        <v>41395</v>
      </c>
    </row>
    <row r="83" spans="1:23" ht="15.75" x14ac:dyDescent="0.25">
      <c r="A83" s="2">
        <f t="shared" si="3"/>
        <v>3</v>
      </c>
      <c r="B83" s="18" t="s">
        <v>567</v>
      </c>
      <c r="J83" s="1"/>
      <c r="M83" t="s">
        <v>15</v>
      </c>
      <c r="N83" t="str">
        <f>IFERROR(VLOOKUP(B83,'[1]All Player'!$B$2:$C$1992,2,0),"")</f>
        <v/>
      </c>
      <c r="O83" s="2" t="s">
        <v>479</v>
      </c>
      <c r="P83" s="16" t="s">
        <v>567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113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479</v>
      </c>
      <c r="P84" s="16" t="s">
        <v>567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265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479</v>
      </c>
      <c r="P85" s="16" t="s">
        <v>567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267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479</v>
      </c>
      <c r="P86" s="16" t="s">
        <v>567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568</v>
      </c>
      <c r="J87" s="1"/>
      <c r="M87" t="s">
        <v>15</v>
      </c>
      <c r="N87" t="str">
        <f>IFERROR(VLOOKUP(B87,'[1]All Player'!$B$2:$C$1992,2,0),"")</f>
        <v/>
      </c>
      <c r="O87" s="2" t="s">
        <v>479</v>
      </c>
      <c r="P87" s="16" t="s">
        <v>568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479</v>
      </c>
      <c r="P88" s="16" t="s">
        <v>568</v>
      </c>
      <c r="Q88" s="1">
        <f t="shared" si="4"/>
        <v>1</v>
      </c>
      <c r="R88" s="1">
        <v>16</v>
      </c>
      <c r="S88" s="2" t="s">
        <v>659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479</v>
      </c>
      <c r="P89" s="16" t="s">
        <v>568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269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479</v>
      </c>
      <c r="P90" s="16" t="s">
        <v>568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508</v>
      </c>
      <c r="J91" s="1"/>
      <c r="M91" t="s">
        <v>15</v>
      </c>
      <c r="N91" t="str">
        <f>IFERROR(VLOOKUP(B91,'[1]All Player'!$B$2:$C$1992,2,0),"")</f>
        <v/>
      </c>
      <c r="O91" s="2" t="s">
        <v>479</v>
      </c>
      <c r="P91" s="16" t="s">
        <v>508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479</v>
      </c>
      <c r="P92" s="16" t="s">
        <v>508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479</v>
      </c>
      <c r="P93" s="16" t="s">
        <v>508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479</v>
      </c>
      <c r="P94" s="16" t="s">
        <v>508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569</v>
      </c>
      <c r="J95" s="1"/>
      <c r="M95" t="s">
        <v>15</v>
      </c>
      <c r="N95" t="str">
        <f>IFERROR(VLOOKUP(B95,'[1]All Player'!$B$2:$C$1992,2,0),"")</f>
        <v/>
      </c>
      <c r="O95" s="2" t="s">
        <v>479</v>
      </c>
      <c r="P95" s="16" t="s">
        <v>569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662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479</v>
      </c>
      <c r="P96" s="16" t="s">
        <v>569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226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479</v>
      </c>
      <c r="P97" s="16" t="s">
        <v>569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271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479</v>
      </c>
      <c r="P98" s="16" t="s">
        <v>569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570</v>
      </c>
      <c r="J99" s="1"/>
      <c r="M99" t="s">
        <v>15</v>
      </c>
      <c r="N99" t="str">
        <f>IFERROR(VLOOKUP(B99,'[1]All Player'!$B$2:$C$1992,2,0),"")</f>
        <v/>
      </c>
      <c r="O99" s="2" t="s">
        <v>479</v>
      </c>
      <c r="P99" s="16" t="s">
        <v>570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240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479</v>
      </c>
      <c r="P100" s="16" t="s">
        <v>570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119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479</v>
      </c>
      <c r="P101" s="16" t="s">
        <v>570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273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479</v>
      </c>
      <c r="P102" s="16" t="s">
        <v>570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571</v>
      </c>
      <c r="J103" s="1"/>
      <c r="M103" t="s">
        <v>15</v>
      </c>
      <c r="N103" t="str">
        <f>IFERROR(VLOOKUP(B103,'[1]All Player'!$B$2:$C$1992,2,0),"")</f>
        <v/>
      </c>
      <c r="O103" s="2" t="s">
        <v>479</v>
      </c>
      <c r="P103" s="16" t="s">
        <v>571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145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479</v>
      </c>
      <c r="P104" s="16" t="s">
        <v>571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222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479</v>
      </c>
      <c r="P105" s="16" t="s">
        <v>571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275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479</v>
      </c>
      <c r="P106" s="16" t="s">
        <v>571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573</v>
      </c>
      <c r="J107" s="1"/>
      <c r="M107" t="s">
        <v>15</v>
      </c>
      <c r="N107" t="str">
        <f>IFERROR(VLOOKUP(B107,'[1]All Player'!$B$2:$C$1992,2,0),"")</f>
        <v/>
      </c>
      <c r="O107" s="2" t="s">
        <v>479</v>
      </c>
      <c r="P107" s="16" t="s">
        <v>573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256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479</v>
      </c>
      <c r="P108" s="16" t="s">
        <v>573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665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479</v>
      </c>
      <c r="P109" s="16" t="s">
        <v>573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206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479</v>
      </c>
      <c r="P110" s="16" t="s">
        <v>573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572</v>
      </c>
      <c r="J111" s="1"/>
      <c r="M111" t="s">
        <v>15</v>
      </c>
      <c r="N111" t="str">
        <f>IFERROR(VLOOKUP(B111,'[1]All Player'!$B$2:$C$1992,2,0),"")</f>
        <v/>
      </c>
      <c r="O111" s="2" t="s">
        <v>479</v>
      </c>
      <c r="P111" s="16" t="s">
        <v>572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224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479</v>
      </c>
      <c r="P112" s="16" t="s">
        <v>572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277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479</v>
      </c>
      <c r="P113" s="16" t="s">
        <v>572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561</v>
      </c>
      <c r="J114" s="1"/>
      <c r="N114" t="str">
        <f>IFERROR(VLOOKUP(B114,'[1]All Player'!$B$2:$C$1992,2,0),"")</f>
        <v/>
      </c>
      <c r="O114" s="2" t="s">
        <v>483</v>
      </c>
      <c r="P114" s="16" t="s">
        <v>561</v>
      </c>
      <c r="Q114" s="1">
        <f t="shared" si="4"/>
        <v>1</v>
      </c>
      <c r="R114" s="1">
        <v>22</v>
      </c>
      <c r="T114" s="1" t="s">
        <v>660</v>
      </c>
      <c r="U114" s="8">
        <v>41426</v>
      </c>
    </row>
    <row r="115" spans="1:23" x14ac:dyDescent="0.25">
      <c r="A115" s="2">
        <f t="shared" si="5"/>
        <v>4</v>
      </c>
      <c r="B115" t="s">
        <v>224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483</v>
      </c>
      <c r="P115" s="16" t="s">
        <v>561</v>
      </c>
      <c r="Q115" s="1">
        <f t="shared" si="4"/>
        <v>1</v>
      </c>
      <c r="R115" s="1">
        <v>22</v>
      </c>
      <c r="T115" s="1" t="s">
        <v>660</v>
      </c>
      <c r="U115" s="8">
        <v>41426</v>
      </c>
    </row>
    <row r="116" spans="1:23" x14ac:dyDescent="0.25">
      <c r="A116" s="2">
        <f t="shared" si="5"/>
        <v>4</v>
      </c>
      <c r="B116" t="s">
        <v>212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483</v>
      </c>
      <c r="P116" s="16" t="s">
        <v>561</v>
      </c>
      <c r="Q116" s="1">
        <f t="shared" si="4"/>
        <v>1</v>
      </c>
      <c r="R116" s="1">
        <v>22</v>
      </c>
      <c r="T116" s="1" t="s">
        <v>660</v>
      </c>
      <c r="U116" s="8">
        <v>41426</v>
      </c>
    </row>
    <row r="117" spans="1:23" x14ac:dyDescent="0.25">
      <c r="A117" s="2">
        <f t="shared" si="5"/>
        <v>4</v>
      </c>
      <c r="B117" t="s">
        <v>260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483</v>
      </c>
      <c r="P117" s="16" t="s">
        <v>561</v>
      </c>
      <c r="Q117" s="1">
        <f t="shared" si="4"/>
        <v>1</v>
      </c>
      <c r="R117" s="1">
        <v>22</v>
      </c>
      <c r="T117" s="1" t="s">
        <v>660</v>
      </c>
      <c r="U117" s="8">
        <v>41426</v>
      </c>
    </row>
    <row r="118" spans="1:23" x14ac:dyDescent="0.25">
      <c r="A118" s="2">
        <f t="shared" si="5"/>
        <v>4</v>
      </c>
      <c r="B118" t="s">
        <v>202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483</v>
      </c>
      <c r="P118" s="16" t="s">
        <v>561</v>
      </c>
      <c r="Q118" s="1">
        <f t="shared" si="4"/>
        <v>1</v>
      </c>
      <c r="R118" s="1">
        <v>22</v>
      </c>
      <c r="S118" s="2" t="s">
        <v>659</v>
      </c>
      <c r="T118" s="1" t="s">
        <v>660</v>
      </c>
      <c r="U118" s="8">
        <v>41426</v>
      </c>
    </row>
    <row r="119" spans="1:23" x14ac:dyDescent="0.25">
      <c r="A119" s="2">
        <f t="shared" si="5"/>
        <v>4</v>
      </c>
      <c r="B119" t="s">
        <v>275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483</v>
      </c>
      <c r="P119" s="16" t="s">
        <v>561</v>
      </c>
      <c r="Q119" s="1">
        <f t="shared" si="4"/>
        <v>1</v>
      </c>
      <c r="R119" s="1">
        <v>22</v>
      </c>
      <c r="S119" s="2" t="s">
        <v>661</v>
      </c>
      <c r="T119" s="1" t="s">
        <v>660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484</v>
      </c>
      <c r="J120" s="1"/>
      <c r="M120" t="s">
        <v>15</v>
      </c>
      <c r="N120" t="str">
        <f>IFERROR(VLOOKUP(B120,'[1]All Player'!$B$2:$C$1992,2,0),"")</f>
        <v/>
      </c>
      <c r="O120" s="2" t="s">
        <v>483</v>
      </c>
      <c r="P120" s="16" t="s">
        <v>484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483</v>
      </c>
      <c r="P121" s="16" t="s">
        <v>484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240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483</v>
      </c>
      <c r="P122" s="16" t="s">
        <v>484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665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483</v>
      </c>
      <c r="P123" s="16" t="s">
        <v>484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666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483</v>
      </c>
      <c r="P124" s="16" t="s">
        <v>484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662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483</v>
      </c>
      <c r="P125" s="16" t="s">
        <v>484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542</v>
      </c>
      <c r="J126" s="1"/>
      <c r="M126" t="s">
        <v>15</v>
      </c>
      <c r="N126" t="str">
        <f>IFERROR(VLOOKUP(B126,'[1]All Player'!$B$2:$C$1992,2,0),"")</f>
        <v/>
      </c>
      <c r="O126" s="2" t="s">
        <v>483</v>
      </c>
      <c r="P126" s="16" t="s">
        <v>542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206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483</v>
      </c>
      <c r="P127" s="16" t="s">
        <v>542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667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483</v>
      </c>
      <c r="P128" s="16" t="s">
        <v>542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226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483</v>
      </c>
      <c r="P129" s="16" t="s">
        <v>542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280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483</v>
      </c>
      <c r="P130" s="16" t="s">
        <v>542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143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483</v>
      </c>
      <c r="P131" s="16" t="s">
        <v>542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574</v>
      </c>
      <c r="J132" s="1"/>
      <c r="M132" t="s">
        <v>15</v>
      </c>
      <c r="N132" t="str">
        <f>IFERROR(VLOOKUP(B132,'[1]All Player'!$B$2:$C$1992,2,0),"")</f>
        <v/>
      </c>
      <c r="O132" s="2" t="s">
        <v>483</v>
      </c>
      <c r="P132" s="16" t="s">
        <v>574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246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483</v>
      </c>
      <c r="P133" s="16" t="s">
        <v>574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668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483</v>
      </c>
      <c r="P134" s="16" t="s">
        <v>574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262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483</v>
      </c>
      <c r="P135" s="16" t="s">
        <v>574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285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483</v>
      </c>
      <c r="P136" s="16" t="s">
        <v>574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222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483</v>
      </c>
      <c r="P137" s="16" t="s">
        <v>574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669</v>
      </c>
      <c r="J138" s="1"/>
      <c r="M138" t="s">
        <v>15</v>
      </c>
      <c r="N138" t="str">
        <f>IFERROR(VLOOKUP(B138,'[1]All Player'!$B$2:$C$1992,2,0),"")</f>
        <v/>
      </c>
      <c r="O138" s="2" t="s">
        <v>483</v>
      </c>
      <c r="P138" s="16" t="s">
        <v>669</v>
      </c>
      <c r="Q138" s="1">
        <f t="shared" si="6"/>
        <v>1</v>
      </c>
      <c r="R138" s="1">
        <v>26</v>
      </c>
      <c r="T138" s="1" t="s">
        <v>658</v>
      </c>
      <c r="U138" s="8">
        <v>41426</v>
      </c>
    </row>
    <row r="139" spans="1:21" x14ac:dyDescent="0.25">
      <c r="A139" s="2">
        <f>A138</f>
        <v>4</v>
      </c>
      <c r="B139" t="s">
        <v>670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483</v>
      </c>
      <c r="P139" s="16" t="s">
        <v>669</v>
      </c>
      <c r="Q139" s="1">
        <f t="shared" si="6"/>
        <v>1</v>
      </c>
      <c r="R139" s="1">
        <v>26</v>
      </c>
      <c r="T139" s="1" t="s">
        <v>658</v>
      </c>
      <c r="U139" s="8">
        <v>41426</v>
      </c>
    </row>
    <row r="140" spans="1:21" x14ac:dyDescent="0.25">
      <c r="A140" s="2">
        <f t="shared" si="7"/>
        <v>4</v>
      </c>
      <c r="B140" t="s">
        <v>277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483</v>
      </c>
      <c r="P140" s="16" t="s">
        <v>669</v>
      </c>
      <c r="Q140" s="1">
        <f t="shared" si="6"/>
        <v>1</v>
      </c>
      <c r="R140" s="1">
        <v>26</v>
      </c>
      <c r="T140" s="1" t="s">
        <v>658</v>
      </c>
      <c r="U140" s="8">
        <v>41426</v>
      </c>
    </row>
    <row r="141" spans="1:21" x14ac:dyDescent="0.25">
      <c r="A141" s="2">
        <f t="shared" si="7"/>
        <v>4</v>
      </c>
      <c r="B141" t="s">
        <v>671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483</v>
      </c>
      <c r="P141" s="16" t="s">
        <v>669</v>
      </c>
      <c r="Q141" s="1">
        <f t="shared" si="6"/>
        <v>1</v>
      </c>
      <c r="R141" s="1">
        <v>26</v>
      </c>
      <c r="T141" s="1" t="s">
        <v>658</v>
      </c>
      <c r="U141" s="8">
        <v>41426</v>
      </c>
    </row>
    <row r="142" spans="1:21" x14ac:dyDescent="0.25">
      <c r="A142" s="2">
        <f t="shared" si="7"/>
        <v>4</v>
      </c>
      <c r="B142" t="s">
        <v>229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483</v>
      </c>
      <c r="P142" s="16" t="s">
        <v>669</v>
      </c>
      <c r="Q142" s="1">
        <f t="shared" si="6"/>
        <v>1</v>
      </c>
      <c r="R142" s="1">
        <v>26</v>
      </c>
      <c r="T142" s="1" t="s">
        <v>658</v>
      </c>
      <c r="U142" s="8">
        <v>41426</v>
      </c>
    </row>
    <row r="143" spans="1:21" x14ac:dyDescent="0.25">
      <c r="A143" s="2">
        <f t="shared" si="7"/>
        <v>4</v>
      </c>
      <c r="B143" t="s">
        <v>145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483</v>
      </c>
      <c r="P143" s="16" t="s">
        <v>669</v>
      </c>
      <c r="Q143" s="1">
        <f t="shared" si="6"/>
        <v>1</v>
      </c>
      <c r="R143" s="1">
        <v>26</v>
      </c>
      <c r="S143" s="2" t="s">
        <v>659</v>
      </c>
      <c r="T143" s="1" t="s">
        <v>658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575</v>
      </c>
      <c r="C144" s="2" t="s">
        <v>672</v>
      </c>
      <c r="J144" s="1"/>
      <c r="M144" t="s">
        <v>15</v>
      </c>
      <c r="N144" t="str">
        <f>IFERROR(VLOOKUP(B144,'[1]All Player'!$B$2:$C$1992,2,0),"")</f>
        <v/>
      </c>
      <c r="O144" s="2" t="s">
        <v>483</v>
      </c>
      <c r="P144" s="16" t="s">
        <v>575</v>
      </c>
      <c r="Q144" s="1">
        <f t="shared" si="6"/>
        <v>1</v>
      </c>
      <c r="R144" s="1">
        <v>27</v>
      </c>
      <c r="T144" s="1" t="s">
        <v>673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483</v>
      </c>
      <c r="P145" s="16" t="s">
        <v>575</v>
      </c>
      <c r="Q145" s="1">
        <f t="shared" si="6"/>
        <v>1</v>
      </c>
      <c r="R145" s="1">
        <v>27</v>
      </c>
      <c r="T145" s="1" t="s">
        <v>673</v>
      </c>
      <c r="U145" s="8">
        <v>41426</v>
      </c>
    </row>
    <row r="146" spans="1:21" x14ac:dyDescent="0.25">
      <c r="A146" s="2">
        <f t="shared" si="7"/>
        <v>4</v>
      </c>
      <c r="B146" t="s">
        <v>113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483</v>
      </c>
      <c r="P146" s="16" t="s">
        <v>575</v>
      </c>
      <c r="Q146" s="1">
        <f t="shared" si="6"/>
        <v>1</v>
      </c>
      <c r="R146" s="1">
        <v>27</v>
      </c>
      <c r="T146" s="1" t="s">
        <v>673</v>
      </c>
      <c r="U146" s="8">
        <v>41426</v>
      </c>
    </row>
    <row r="147" spans="1:21" x14ac:dyDescent="0.25">
      <c r="A147" s="2">
        <f t="shared" si="7"/>
        <v>4</v>
      </c>
      <c r="B147" t="s">
        <v>267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483</v>
      </c>
      <c r="P147" s="16" t="s">
        <v>575</v>
      </c>
      <c r="Q147" s="1">
        <f t="shared" si="6"/>
        <v>1</v>
      </c>
      <c r="R147" s="1">
        <v>27</v>
      </c>
      <c r="T147" s="1" t="s">
        <v>673</v>
      </c>
      <c r="U147" s="8">
        <v>41426</v>
      </c>
    </row>
    <row r="148" spans="1:21" x14ac:dyDescent="0.25">
      <c r="A148" s="2">
        <f t="shared" si="7"/>
        <v>4</v>
      </c>
      <c r="B148" t="s">
        <v>288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483</v>
      </c>
      <c r="P148" s="16" t="s">
        <v>575</v>
      </c>
      <c r="Q148" s="1">
        <f t="shared" si="6"/>
        <v>1</v>
      </c>
      <c r="R148" s="1">
        <v>27</v>
      </c>
      <c r="T148" s="1" t="s">
        <v>673</v>
      </c>
      <c r="U148" s="8">
        <v>41426</v>
      </c>
    </row>
    <row r="149" spans="1:21" x14ac:dyDescent="0.25">
      <c r="A149" s="2">
        <f t="shared" si="7"/>
        <v>4</v>
      </c>
      <c r="B149" t="s">
        <v>209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483</v>
      </c>
      <c r="P149" s="16" t="s">
        <v>575</v>
      </c>
      <c r="Q149" s="1">
        <f t="shared" si="6"/>
        <v>1</v>
      </c>
      <c r="R149" s="1">
        <v>27</v>
      </c>
      <c r="T149" s="1" t="s">
        <v>673</v>
      </c>
      <c r="U149" s="8">
        <v>41426</v>
      </c>
    </row>
    <row r="150" spans="1:21" x14ac:dyDescent="0.25">
      <c r="A150" s="2">
        <f t="shared" si="7"/>
        <v>4</v>
      </c>
      <c r="B150" t="s">
        <v>674</v>
      </c>
      <c r="J150" s="1"/>
      <c r="M150" t="s">
        <v>15</v>
      </c>
      <c r="N150" t="str">
        <f>IFERROR(VLOOKUP(B150,'[1]All Player'!$B$2:$C$1992,2,0),"")</f>
        <v/>
      </c>
      <c r="O150" s="2" t="s">
        <v>483</v>
      </c>
      <c r="P150" s="16" t="s">
        <v>674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483</v>
      </c>
      <c r="P151" s="16" t="s">
        <v>674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675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483</v>
      </c>
      <c r="P152" s="16" t="s">
        <v>674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676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483</v>
      </c>
      <c r="P153" s="16" t="s">
        <v>674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677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483</v>
      </c>
      <c r="P154" s="16" t="s">
        <v>674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678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483</v>
      </c>
      <c r="P155" s="16" t="s">
        <v>674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576</v>
      </c>
      <c r="J156" s="1"/>
      <c r="M156" t="s">
        <v>15</v>
      </c>
      <c r="N156" t="str">
        <f>IFERROR(VLOOKUP(B156,'[1]All Player'!$B$2:$C$1992,2,0),"")</f>
        <v/>
      </c>
      <c r="O156" s="2" t="s">
        <v>483</v>
      </c>
      <c r="P156" s="16" t="s">
        <v>576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214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483</v>
      </c>
      <c r="P157" s="16" t="s">
        <v>576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290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483</v>
      </c>
      <c r="P158" s="16" t="s">
        <v>576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153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483</v>
      </c>
      <c r="P159" s="16" t="s">
        <v>576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231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483</v>
      </c>
      <c r="P160" s="16" t="s">
        <v>576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483</v>
      </c>
      <c r="P161" s="16" t="s">
        <v>576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679</v>
      </c>
      <c r="J162" s="1"/>
      <c r="N162" t="str">
        <f>IFERROR(VLOOKUP(B162,'[1]All Player'!$B$2:$C$1992,2,0),"")</f>
        <v/>
      </c>
      <c r="O162" s="2" t="s">
        <v>483</v>
      </c>
      <c r="P162" s="16" t="s">
        <v>576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184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483</v>
      </c>
      <c r="P163" s="16" t="s">
        <v>576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285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483</v>
      </c>
      <c r="P164" s="16" t="s">
        <v>576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483</v>
      </c>
      <c r="P165" s="16" t="s">
        <v>680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246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483</v>
      </c>
      <c r="P166" s="16" t="s">
        <v>680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478</v>
      </c>
      <c r="J167" s="1"/>
      <c r="M167" t="s">
        <v>15</v>
      </c>
      <c r="N167" t="str">
        <f>IFERROR(VLOOKUP(B167,'[1]All Player'!$B$2:$C$1992,2,0),"")</f>
        <v/>
      </c>
      <c r="O167" s="2" t="s">
        <v>477</v>
      </c>
      <c r="P167" s="16" t="s">
        <v>478</v>
      </c>
      <c r="Q167" s="1">
        <f t="shared" si="6"/>
        <v>1</v>
      </c>
      <c r="R167" s="1">
        <v>31</v>
      </c>
      <c r="T167" s="1" t="s">
        <v>658</v>
      </c>
      <c r="U167" s="8">
        <v>41456</v>
      </c>
    </row>
    <row r="168" spans="1:23" x14ac:dyDescent="0.25">
      <c r="A168" s="2">
        <f t="shared" si="7"/>
        <v>5</v>
      </c>
      <c r="B168" t="s">
        <v>275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477</v>
      </c>
      <c r="P168" s="16" t="s">
        <v>478</v>
      </c>
      <c r="Q168" s="1">
        <f t="shared" si="6"/>
        <v>1</v>
      </c>
      <c r="R168" s="1">
        <v>31</v>
      </c>
      <c r="T168" s="1" t="s">
        <v>658</v>
      </c>
      <c r="U168" s="8">
        <v>41456</v>
      </c>
    </row>
    <row r="169" spans="1:23" x14ac:dyDescent="0.25">
      <c r="A169" s="2">
        <f t="shared" si="7"/>
        <v>5</v>
      </c>
      <c r="B169" t="s">
        <v>681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477</v>
      </c>
      <c r="P169" s="16" t="s">
        <v>478</v>
      </c>
      <c r="Q169" s="1">
        <f t="shared" si="6"/>
        <v>1</v>
      </c>
      <c r="R169" s="1">
        <v>31</v>
      </c>
      <c r="T169" s="1" t="s">
        <v>658</v>
      </c>
      <c r="U169" s="8">
        <v>41456</v>
      </c>
    </row>
    <row r="170" spans="1:23" x14ac:dyDescent="0.25">
      <c r="A170" s="2">
        <f t="shared" si="7"/>
        <v>5</v>
      </c>
      <c r="B170" t="s">
        <v>682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477</v>
      </c>
      <c r="P170" s="16" t="s">
        <v>478</v>
      </c>
      <c r="Q170" s="1">
        <f t="shared" si="6"/>
        <v>1</v>
      </c>
      <c r="R170" s="1">
        <v>31</v>
      </c>
      <c r="T170" s="1" t="s">
        <v>658</v>
      </c>
      <c r="U170" s="8">
        <v>41456</v>
      </c>
    </row>
    <row r="171" spans="1:23" x14ac:dyDescent="0.25">
      <c r="A171" s="2">
        <f t="shared" si="7"/>
        <v>5</v>
      </c>
      <c r="B171" t="s">
        <v>683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477</v>
      </c>
      <c r="P171" s="16" t="s">
        <v>478</v>
      </c>
      <c r="Q171" s="1">
        <f t="shared" si="6"/>
        <v>1</v>
      </c>
      <c r="R171" s="1">
        <v>31</v>
      </c>
      <c r="T171" s="1" t="s">
        <v>658</v>
      </c>
      <c r="U171" s="8">
        <v>41456</v>
      </c>
    </row>
    <row r="172" spans="1:23" x14ac:dyDescent="0.25">
      <c r="A172" s="2">
        <f t="shared" si="7"/>
        <v>5</v>
      </c>
      <c r="B172" t="s">
        <v>303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477</v>
      </c>
      <c r="P172" s="16" t="s">
        <v>478</v>
      </c>
      <c r="Q172" s="1">
        <f t="shared" si="6"/>
        <v>1</v>
      </c>
      <c r="R172" s="1">
        <v>31</v>
      </c>
      <c r="T172" s="1" t="s">
        <v>658</v>
      </c>
      <c r="U172" s="8">
        <v>41456</v>
      </c>
    </row>
    <row r="173" spans="1:23" x14ac:dyDescent="0.25">
      <c r="A173" s="2">
        <f t="shared" si="7"/>
        <v>5</v>
      </c>
      <c r="B173" t="s">
        <v>684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477</v>
      </c>
      <c r="P173" s="16" t="s">
        <v>478</v>
      </c>
      <c r="Q173" s="1">
        <f t="shared" si="6"/>
        <v>1</v>
      </c>
      <c r="R173" s="1">
        <v>31</v>
      </c>
      <c r="S173" s="2" t="s">
        <v>661</v>
      </c>
      <c r="T173" s="1" t="s">
        <v>658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685</v>
      </c>
      <c r="J174" s="1"/>
      <c r="N174" t="str">
        <f>IFERROR(VLOOKUP(B174,'[1]All Player'!$B$2:$C$1992,2,0),"")</f>
        <v/>
      </c>
      <c r="O174" s="2" t="s">
        <v>477</v>
      </c>
      <c r="P174" s="16" t="s">
        <v>685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477</v>
      </c>
      <c r="P175" s="16" t="s">
        <v>685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686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477</v>
      </c>
      <c r="P176" s="16" t="s">
        <v>685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687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477</v>
      </c>
      <c r="P177" s="16" t="s">
        <v>685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688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477</v>
      </c>
      <c r="P178" s="16" t="s">
        <v>685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689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477</v>
      </c>
      <c r="P179" s="16" t="s">
        <v>685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690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477</v>
      </c>
      <c r="P180" s="16" t="s">
        <v>685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577</v>
      </c>
      <c r="J181" s="1"/>
      <c r="N181" t="str">
        <f>IFERROR(VLOOKUP(B181,'[1]All Player'!$B$2:$C$1992,2,0),"")</f>
        <v/>
      </c>
      <c r="O181" s="2" t="s">
        <v>477</v>
      </c>
      <c r="P181" s="16" t="s">
        <v>577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206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477</v>
      </c>
      <c r="P182" s="16" t="s">
        <v>577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691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477</v>
      </c>
      <c r="P183" s="16" t="s">
        <v>577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692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477</v>
      </c>
      <c r="P184" s="16" t="s">
        <v>577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693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477</v>
      </c>
      <c r="P185" s="16" t="s">
        <v>577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694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477</v>
      </c>
      <c r="P186" s="16" t="s">
        <v>577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695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477</v>
      </c>
      <c r="P187" s="16" t="s">
        <v>577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551</v>
      </c>
      <c r="J188" s="1"/>
      <c r="N188" t="str">
        <f>IFERROR(VLOOKUP(B188,'[1]All Player'!$B$2:$C$1992,2,0),"")</f>
        <v/>
      </c>
      <c r="O188" s="2" t="s">
        <v>477</v>
      </c>
      <c r="P188" s="16" t="s">
        <v>551</v>
      </c>
      <c r="Q188" s="1">
        <f t="shared" si="6"/>
        <v>1</v>
      </c>
      <c r="R188" s="1">
        <v>34</v>
      </c>
      <c r="T188" s="1" t="s">
        <v>660</v>
      </c>
      <c r="U188" s="8">
        <v>41456</v>
      </c>
    </row>
    <row r="189" spans="1:21" x14ac:dyDescent="0.25">
      <c r="A189" s="2">
        <f t="shared" si="7"/>
        <v>5</v>
      </c>
      <c r="B189" t="s">
        <v>229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477</v>
      </c>
      <c r="P189" s="16" t="s">
        <v>551</v>
      </c>
      <c r="Q189" s="1">
        <f t="shared" si="6"/>
        <v>1</v>
      </c>
      <c r="R189" s="1">
        <v>34</v>
      </c>
      <c r="T189" s="1" t="s">
        <v>660</v>
      </c>
      <c r="U189" s="8">
        <v>41456</v>
      </c>
    </row>
    <row r="190" spans="1:21" x14ac:dyDescent="0.25">
      <c r="A190" s="2">
        <f t="shared" si="7"/>
        <v>5</v>
      </c>
      <c r="B190" t="s">
        <v>696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477</v>
      </c>
      <c r="P190" s="16" t="s">
        <v>551</v>
      </c>
      <c r="Q190" s="1">
        <f t="shared" si="6"/>
        <v>1</v>
      </c>
      <c r="R190" s="1">
        <v>34</v>
      </c>
      <c r="S190" s="2" t="s">
        <v>659</v>
      </c>
      <c r="T190" s="1" t="s">
        <v>660</v>
      </c>
      <c r="U190" s="8">
        <v>41456</v>
      </c>
    </row>
    <row r="191" spans="1:21" x14ac:dyDescent="0.25">
      <c r="A191" s="2">
        <f t="shared" si="7"/>
        <v>5</v>
      </c>
      <c r="B191" t="s">
        <v>697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477</v>
      </c>
      <c r="P191" s="16" t="s">
        <v>551</v>
      </c>
      <c r="Q191" s="1">
        <f t="shared" si="6"/>
        <v>1</v>
      </c>
      <c r="R191" s="1">
        <v>34</v>
      </c>
      <c r="T191" s="1" t="s">
        <v>660</v>
      </c>
      <c r="U191" s="8">
        <v>41456</v>
      </c>
    </row>
    <row r="192" spans="1:21" x14ac:dyDescent="0.25">
      <c r="A192" s="2">
        <f t="shared" si="7"/>
        <v>5</v>
      </c>
      <c r="B192" t="s">
        <v>698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477</v>
      </c>
      <c r="P192" s="16" t="s">
        <v>551</v>
      </c>
      <c r="Q192" s="1">
        <f t="shared" si="6"/>
        <v>1</v>
      </c>
      <c r="R192" s="1">
        <v>34</v>
      </c>
      <c r="T192" s="1" t="s">
        <v>660</v>
      </c>
      <c r="U192" s="8">
        <v>41456</v>
      </c>
    </row>
    <row r="193" spans="1:23" x14ac:dyDescent="0.25">
      <c r="A193" s="2">
        <f t="shared" si="7"/>
        <v>5</v>
      </c>
      <c r="B193" t="s">
        <v>699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477</v>
      </c>
      <c r="P193" s="16" t="s">
        <v>551</v>
      </c>
      <c r="Q193" s="1">
        <f t="shared" si="6"/>
        <v>1</v>
      </c>
      <c r="R193" s="1">
        <v>34</v>
      </c>
      <c r="T193" s="1" t="s">
        <v>660</v>
      </c>
      <c r="U193" s="8">
        <v>41456</v>
      </c>
    </row>
    <row r="194" spans="1:23" x14ac:dyDescent="0.25">
      <c r="A194" s="2">
        <f t="shared" si="7"/>
        <v>5</v>
      </c>
      <c r="B194" t="s">
        <v>700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477</v>
      </c>
      <c r="P194" s="16" t="s">
        <v>551</v>
      </c>
      <c r="Q194" s="1">
        <f t="shared" ref="Q194:Q257" si="8">IF(B194="","",1)</f>
        <v>1</v>
      </c>
      <c r="R194" s="1">
        <v>34</v>
      </c>
      <c r="T194" s="1" t="s">
        <v>660</v>
      </c>
      <c r="U194" s="8">
        <v>41456</v>
      </c>
    </row>
    <row r="195" spans="1:23" x14ac:dyDescent="0.25">
      <c r="A195" s="2">
        <f t="shared" si="7"/>
        <v>5</v>
      </c>
      <c r="B195" t="s">
        <v>701</v>
      </c>
      <c r="J195" s="1"/>
      <c r="N195" t="str">
        <f>IFERROR(VLOOKUP(B195,'[1]All Player'!$B$2:$C$1992,2,0),"")</f>
        <v/>
      </c>
      <c r="O195" s="2" t="s">
        <v>477</v>
      </c>
      <c r="P195" s="16" t="s">
        <v>701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665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477</v>
      </c>
      <c r="P196" s="16" t="s">
        <v>701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702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477</v>
      </c>
      <c r="P197" s="16" t="s">
        <v>701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280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477</v>
      </c>
      <c r="P198" s="16" t="s">
        <v>701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703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477</v>
      </c>
      <c r="P199" s="16" t="s">
        <v>701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212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477</v>
      </c>
      <c r="P200" s="16" t="s">
        <v>701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704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477</v>
      </c>
      <c r="P201" s="16" t="s">
        <v>701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504</v>
      </c>
      <c r="J202" s="1"/>
      <c r="N202" t="str">
        <f>IFERROR(VLOOKUP(B202,'[1]All Player'!$B$2:$C$1992,2,0),"")</f>
        <v/>
      </c>
      <c r="O202" s="2" t="s">
        <v>477</v>
      </c>
      <c r="P202" s="16" t="s">
        <v>504</v>
      </c>
      <c r="Q202" s="1">
        <f t="shared" si="8"/>
        <v>1</v>
      </c>
      <c r="R202" s="1">
        <v>36</v>
      </c>
      <c r="T202" s="1" t="s">
        <v>660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477</v>
      </c>
      <c r="P203" s="16" t="s">
        <v>504</v>
      </c>
      <c r="Q203" s="1">
        <f t="shared" si="8"/>
        <v>1</v>
      </c>
      <c r="R203" s="21">
        <v>36</v>
      </c>
      <c r="T203" s="1" t="s">
        <v>660</v>
      </c>
      <c r="U203" s="8">
        <v>41456</v>
      </c>
    </row>
    <row r="204" spans="1:23" x14ac:dyDescent="0.25">
      <c r="A204" s="2">
        <f t="shared" si="9"/>
        <v>5</v>
      </c>
      <c r="B204" t="s">
        <v>705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477</v>
      </c>
      <c r="P204" s="16" t="s">
        <v>504</v>
      </c>
      <c r="Q204" s="1">
        <f t="shared" si="8"/>
        <v>1</v>
      </c>
      <c r="R204" s="1">
        <v>36</v>
      </c>
      <c r="T204" s="1" t="s">
        <v>660</v>
      </c>
      <c r="U204" s="8">
        <v>41456</v>
      </c>
    </row>
    <row r="205" spans="1:23" x14ac:dyDescent="0.25">
      <c r="A205" s="2">
        <f t="shared" si="9"/>
        <v>5</v>
      </c>
      <c r="B205" t="s">
        <v>706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477</v>
      </c>
      <c r="P205" s="16" t="s">
        <v>504</v>
      </c>
      <c r="Q205" s="1">
        <f t="shared" si="8"/>
        <v>1</v>
      </c>
      <c r="R205" s="1">
        <v>36</v>
      </c>
      <c r="T205" s="1" t="s">
        <v>660</v>
      </c>
      <c r="U205" s="8">
        <v>41456</v>
      </c>
    </row>
    <row r="206" spans="1:23" x14ac:dyDescent="0.25">
      <c r="A206" s="2">
        <f t="shared" si="9"/>
        <v>5</v>
      </c>
      <c r="B206" t="s">
        <v>707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477</v>
      </c>
      <c r="P206" s="16" t="s">
        <v>504</v>
      </c>
      <c r="Q206" s="1">
        <f t="shared" si="8"/>
        <v>1</v>
      </c>
      <c r="R206" s="1">
        <v>36</v>
      </c>
      <c r="T206" s="1" t="s">
        <v>660</v>
      </c>
      <c r="U206" s="8">
        <v>41456</v>
      </c>
    </row>
    <row r="207" spans="1:23" x14ac:dyDescent="0.25">
      <c r="A207" s="2">
        <f t="shared" si="9"/>
        <v>5</v>
      </c>
      <c r="B207" t="s">
        <v>708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477</v>
      </c>
      <c r="P207" s="16" t="s">
        <v>504</v>
      </c>
      <c r="Q207" s="1">
        <f t="shared" si="8"/>
        <v>1</v>
      </c>
      <c r="R207" s="1">
        <v>36</v>
      </c>
      <c r="T207" s="1" t="s">
        <v>660</v>
      </c>
      <c r="U207" s="8">
        <v>41456</v>
      </c>
    </row>
    <row r="208" spans="1:23" x14ac:dyDescent="0.25">
      <c r="A208" s="2">
        <f t="shared" si="9"/>
        <v>5</v>
      </c>
      <c r="B208" t="s">
        <v>709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477</v>
      </c>
      <c r="P208" s="16" t="s">
        <v>504</v>
      </c>
      <c r="Q208" s="1">
        <f t="shared" si="8"/>
        <v>1</v>
      </c>
      <c r="R208" s="1">
        <v>36</v>
      </c>
      <c r="T208" s="1" t="s">
        <v>660</v>
      </c>
      <c r="U208" s="8">
        <v>41456</v>
      </c>
    </row>
    <row r="209" spans="1:21" x14ac:dyDescent="0.25">
      <c r="A209" s="2">
        <v>6</v>
      </c>
      <c r="B209" t="s">
        <v>710</v>
      </c>
      <c r="J209" s="1"/>
      <c r="M209" t="s">
        <v>15</v>
      </c>
      <c r="N209" t="str">
        <f>IFERROR(VLOOKUP(B209,'[1]All Player'!$B$2:$C$1992,2,0),"")</f>
        <v/>
      </c>
      <c r="O209" s="2" t="s">
        <v>475</v>
      </c>
      <c r="P209" s="16" t="s">
        <v>529</v>
      </c>
      <c r="Q209" s="1">
        <f t="shared" si="8"/>
        <v>1</v>
      </c>
      <c r="R209" s="1">
        <v>37</v>
      </c>
      <c r="T209" s="1" t="s">
        <v>660</v>
      </c>
      <c r="U209" s="8">
        <v>41456</v>
      </c>
    </row>
    <row r="210" spans="1:21" x14ac:dyDescent="0.25">
      <c r="A210" s="2">
        <f t="shared" si="9"/>
        <v>6</v>
      </c>
      <c r="B210" t="s">
        <v>711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475</v>
      </c>
      <c r="P210" s="16" t="s">
        <v>529</v>
      </c>
      <c r="Q210" s="1">
        <f t="shared" si="8"/>
        <v>1</v>
      </c>
      <c r="R210" s="1">
        <v>37</v>
      </c>
      <c r="T210" s="1" t="s">
        <v>660</v>
      </c>
      <c r="U210" s="8">
        <v>41456</v>
      </c>
    </row>
    <row r="211" spans="1:21" x14ac:dyDescent="0.25">
      <c r="A211" s="2">
        <f t="shared" si="9"/>
        <v>6</v>
      </c>
      <c r="B211" t="s">
        <v>688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475</v>
      </c>
      <c r="P211" s="16" t="s">
        <v>529</v>
      </c>
      <c r="Q211" s="1">
        <f t="shared" si="8"/>
        <v>1</v>
      </c>
      <c r="R211" s="1">
        <v>37</v>
      </c>
      <c r="T211" s="1" t="s">
        <v>660</v>
      </c>
      <c r="U211" s="8">
        <v>41456</v>
      </c>
    </row>
    <row r="212" spans="1:21" x14ac:dyDescent="0.25">
      <c r="A212" s="2">
        <f t="shared" si="9"/>
        <v>6</v>
      </c>
      <c r="B212" t="s">
        <v>712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475</v>
      </c>
      <c r="P212" s="16" t="s">
        <v>529</v>
      </c>
      <c r="Q212" s="1">
        <f t="shared" si="8"/>
        <v>1</v>
      </c>
      <c r="R212" s="1">
        <v>37</v>
      </c>
      <c r="T212" s="1" t="s">
        <v>660</v>
      </c>
      <c r="U212" s="8">
        <v>41456</v>
      </c>
    </row>
    <row r="213" spans="1:21" x14ac:dyDescent="0.25">
      <c r="A213" s="2">
        <f t="shared" si="9"/>
        <v>6</v>
      </c>
      <c r="B213" t="s">
        <v>713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475</v>
      </c>
      <c r="P213" s="16" t="s">
        <v>529</v>
      </c>
      <c r="Q213" s="1">
        <f t="shared" si="8"/>
        <v>1</v>
      </c>
      <c r="R213" s="1">
        <v>37</v>
      </c>
      <c r="T213" s="1" t="s">
        <v>660</v>
      </c>
      <c r="U213" s="8">
        <v>41456</v>
      </c>
    </row>
    <row r="214" spans="1:21" x14ac:dyDescent="0.25">
      <c r="A214" s="2">
        <f t="shared" si="9"/>
        <v>6</v>
      </c>
      <c r="B214" t="s">
        <v>714</v>
      </c>
      <c r="J214" s="1"/>
      <c r="M214" t="s">
        <v>15</v>
      </c>
      <c r="N214" t="str">
        <f>IFERROR(VLOOKUP(B214,'[1]All Player'!$B$2:$C$1992,2,0),"")</f>
        <v/>
      </c>
      <c r="O214" s="2" t="s">
        <v>475</v>
      </c>
      <c r="P214" s="16" t="s">
        <v>578</v>
      </c>
      <c r="Q214" s="1">
        <f t="shared" si="8"/>
        <v>1</v>
      </c>
      <c r="R214" s="1">
        <v>38</v>
      </c>
      <c r="T214" s="1" t="s">
        <v>673</v>
      </c>
      <c r="U214" s="8">
        <v>41456</v>
      </c>
    </row>
    <row r="215" spans="1:21" x14ac:dyDescent="0.25">
      <c r="A215" s="2">
        <f t="shared" si="9"/>
        <v>6</v>
      </c>
      <c r="B215" t="s">
        <v>715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475</v>
      </c>
      <c r="P215" s="16" t="s">
        <v>578</v>
      </c>
      <c r="Q215" s="1">
        <f t="shared" si="8"/>
        <v>1</v>
      </c>
      <c r="R215" s="1">
        <v>38</v>
      </c>
      <c r="T215" s="1" t="s">
        <v>673</v>
      </c>
      <c r="U215" s="8">
        <v>41456</v>
      </c>
    </row>
    <row r="216" spans="1:21" x14ac:dyDescent="0.25">
      <c r="A216" s="2">
        <f t="shared" si="9"/>
        <v>6</v>
      </c>
      <c r="B216" t="s">
        <v>683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475</v>
      </c>
      <c r="P216" s="16" t="s">
        <v>578</v>
      </c>
      <c r="Q216" s="1">
        <f t="shared" si="8"/>
        <v>1</v>
      </c>
      <c r="R216" s="1">
        <v>38</v>
      </c>
      <c r="T216" s="1" t="s">
        <v>673</v>
      </c>
      <c r="U216" s="8">
        <v>41456</v>
      </c>
    </row>
    <row r="217" spans="1:21" x14ac:dyDescent="0.25">
      <c r="A217" s="2">
        <f t="shared" si="9"/>
        <v>6</v>
      </c>
      <c r="B217" t="s">
        <v>716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475</v>
      </c>
      <c r="P217" s="16" t="s">
        <v>578</v>
      </c>
      <c r="Q217" s="1">
        <f t="shared" si="8"/>
        <v>1</v>
      </c>
      <c r="R217" s="1">
        <v>38</v>
      </c>
      <c r="T217" s="1" t="s">
        <v>673</v>
      </c>
      <c r="U217" s="8">
        <v>41456</v>
      </c>
    </row>
    <row r="218" spans="1:21" x14ac:dyDescent="0.25">
      <c r="A218" s="2">
        <f t="shared" si="9"/>
        <v>6</v>
      </c>
      <c r="B218" t="s">
        <v>717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475</v>
      </c>
      <c r="P218" s="16" t="s">
        <v>578</v>
      </c>
      <c r="Q218" s="1">
        <f t="shared" si="8"/>
        <v>1</v>
      </c>
      <c r="R218" s="1">
        <v>38</v>
      </c>
      <c r="T218" s="1" t="s">
        <v>673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475</v>
      </c>
      <c r="P219" s="16" t="s">
        <v>578</v>
      </c>
      <c r="Q219" s="1">
        <f t="shared" si="8"/>
        <v>1</v>
      </c>
      <c r="R219" s="1">
        <v>38</v>
      </c>
      <c r="T219" s="1" t="s">
        <v>673</v>
      </c>
      <c r="U219" s="8">
        <v>41456</v>
      </c>
    </row>
    <row r="220" spans="1:21" x14ac:dyDescent="0.25">
      <c r="A220" s="2">
        <f t="shared" si="9"/>
        <v>6</v>
      </c>
      <c r="B220" t="s">
        <v>718</v>
      </c>
      <c r="J220" s="1"/>
      <c r="M220" t="s">
        <v>15</v>
      </c>
      <c r="N220" t="str">
        <f>IFERROR(VLOOKUP(B220,'[1]All Player'!$B$2:$C$1992,2,0),"")</f>
        <v/>
      </c>
      <c r="O220" s="2" t="s">
        <v>475</v>
      </c>
      <c r="P220" s="16" t="s">
        <v>579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702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475</v>
      </c>
      <c r="P221" s="16" t="s">
        <v>579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681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475</v>
      </c>
      <c r="P222" s="16" t="s">
        <v>579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719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475</v>
      </c>
      <c r="P223" s="16" t="s">
        <v>579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720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475</v>
      </c>
      <c r="P224" s="16" t="s">
        <v>579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301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475</v>
      </c>
      <c r="P225" s="16" t="s">
        <v>579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721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475</v>
      </c>
      <c r="P226" s="16" t="s">
        <v>579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722</v>
      </c>
      <c r="J227" s="1"/>
      <c r="M227" t="s">
        <v>15</v>
      </c>
      <c r="N227" t="str">
        <f>IFERROR(VLOOKUP(B227,'[1]All Player'!$B$2:$C$1992,2,0),"")</f>
        <v/>
      </c>
      <c r="O227" s="2" t="s">
        <v>475</v>
      </c>
      <c r="P227" s="16" t="s">
        <v>476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697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475</v>
      </c>
      <c r="P228" s="16" t="s">
        <v>476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303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475</v>
      </c>
      <c r="P229" s="16" t="s">
        <v>476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723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475</v>
      </c>
      <c r="P230" s="16" t="s">
        <v>476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242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475</v>
      </c>
      <c r="P231" s="16" t="s">
        <v>476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724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475</v>
      </c>
      <c r="P232" s="16" t="s">
        <v>476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725</v>
      </c>
      <c r="J233" s="1"/>
      <c r="M233" t="s">
        <v>15</v>
      </c>
      <c r="N233" t="str">
        <f>IFERROR(VLOOKUP(B233,'[1]All Player'!$B$2:$C$1992,2,0),"")</f>
        <v/>
      </c>
      <c r="O233" s="2" t="s">
        <v>475</v>
      </c>
      <c r="P233" s="16" t="s">
        <v>580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698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475</v>
      </c>
      <c r="P234" s="16" t="s">
        <v>580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708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475</v>
      </c>
      <c r="P235" s="16" t="s">
        <v>580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726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475</v>
      </c>
      <c r="P236" s="16" t="s">
        <v>580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727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475</v>
      </c>
      <c r="P237" s="16" t="s">
        <v>580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309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475</v>
      </c>
      <c r="P238" s="16" t="s">
        <v>580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728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475</v>
      </c>
      <c r="P239" s="16" t="s">
        <v>580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729</v>
      </c>
      <c r="J240" s="1"/>
      <c r="M240" t="s">
        <v>15</v>
      </c>
      <c r="N240" t="str">
        <f>IFERROR(VLOOKUP(B240,'[1]All Player'!$B$2:$C$1992,2,0),"")</f>
        <v/>
      </c>
      <c r="O240" s="2" t="s">
        <v>475</v>
      </c>
      <c r="P240" s="16" t="s">
        <v>481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246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475</v>
      </c>
      <c r="P241" s="16" t="s">
        <v>481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730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475</v>
      </c>
      <c r="P242" s="16" t="s">
        <v>481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731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475</v>
      </c>
      <c r="P243" s="16" t="s">
        <v>481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732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475</v>
      </c>
      <c r="P244" s="16" t="s">
        <v>481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733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475</v>
      </c>
      <c r="P245" s="16" t="s">
        <v>481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734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475</v>
      </c>
      <c r="P246" s="16" t="s">
        <v>481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735</v>
      </c>
      <c r="J247" s="1"/>
      <c r="M247" t="s">
        <v>15</v>
      </c>
      <c r="N247" t="str">
        <f>IFERROR(VLOOKUP(B247,'[1]All Player'!$B$2:$C$1992,2,0),"")</f>
        <v/>
      </c>
      <c r="O247" s="2" t="s">
        <v>475</v>
      </c>
      <c r="P247" s="16" t="s">
        <v>539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736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475</v>
      </c>
      <c r="P248" s="16" t="s">
        <v>539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690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475</v>
      </c>
      <c r="P249" s="16" t="s">
        <v>539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737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475</v>
      </c>
      <c r="P250" s="16" t="s">
        <v>539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738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475</v>
      </c>
      <c r="P251" s="16" t="s">
        <v>539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739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475</v>
      </c>
      <c r="P252" s="16" t="s">
        <v>539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740</v>
      </c>
      <c r="J253" s="1"/>
      <c r="M253" t="s">
        <v>15</v>
      </c>
      <c r="N253" t="str">
        <f>IFERROR(VLOOKUP(B253,'[1]All Player'!$B$2:$C$1992,2,0),"")</f>
        <v/>
      </c>
      <c r="O253" s="2" t="s">
        <v>475</v>
      </c>
      <c r="P253" s="16" t="s">
        <v>530</v>
      </c>
      <c r="Q253" s="1">
        <f t="shared" si="8"/>
        <v>1</v>
      </c>
      <c r="R253" s="1">
        <v>44</v>
      </c>
      <c r="T253" s="1" t="s">
        <v>658</v>
      </c>
      <c r="U253" s="8">
        <v>41456</v>
      </c>
    </row>
    <row r="254" spans="1:21" x14ac:dyDescent="0.25">
      <c r="A254" s="2">
        <f t="shared" si="9"/>
        <v>6</v>
      </c>
      <c r="B254" t="s">
        <v>700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475</v>
      </c>
      <c r="P254" s="16" t="s">
        <v>530</v>
      </c>
      <c r="Q254" s="1">
        <f t="shared" si="8"/>
        <v>1</v>
      </c>
      <c r="R254" s="1">
        <v>44</v>
      </c>
      <c r="T254" s="1" t="s">
        <v>658</v>
      </c>
      <c r="U254" s="8">
        <v>41456</v>
      </c>
    </row>
    <row r="255" spans="1:21" x14ac:dyDescent="0.25">
      <c r="A255" s="2">
        <f t="shared" si="9"/>
        <v>6</v>
      </c>
      <c r="B255" t="s">
        <v>231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475</v>
      </c>
      <c r="P255" s="16" t="s">
        <v>530</v>
      </c>
      <c r="Q255" s="1">
        <f t="shared" si="8"/>
        <v>1</v>
      </c>
      <c r="R255" s="1">
        <v>44</v>
      </c>
      <c r="T255" s="1" t="s">
        <v>658</v>
      </c>
      <c r="U255" s="8">
        <v>41456</v>
      </c>
    </row>
    <row r="256" spans="1:21" x14ac:dyDescent="0.25">
      <c r="A256" s="2">
        <f t="shared" si="9"/>
        <v>6</v>
      </c>
      <c r="B256" t="s">
        <v>741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475</v>
      </c>
      <c r="P256" s="16" t="s">
        <v>530</v>
      </c>
      <c r="Q256" s="1">
        <f t="shared" si="8"/>
        <v>1</v>
      </c>
      <c r="R256" s="1">
        <v>44</v>
      </c>
      <c r="T256" s="1" t="s">
        <v>658</v>
      </c>
      <c r="U256" s="8">
        <v>41456</v>
      </c>
    </row>
    <row r="257" spans="1:23" x14ac:dyDescent="0.25">
      <c r="A257" s="2">
        <f t="shared" si="9"/>
        <v>6</v>
      </c>
      <c r="B257" t="s">
        <v>742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475</v>
      </c>
      <c r="P257" s="16" t="s">
        <v>530</v>
      </c>
      <c r="Q257" s="1">
        <f t="shared" si="8"/>
        <v>1</v>
      </c>
      <c r="R257" s="1">
        <v>44</v>
      </c>
      <c r="S257" s="2" t="s">
        <v>659</v>
      </c>
      <c r="T257" s="1" t="s">
        <v>658</v>
      </c>
      <c r="U257" s="8">
        <v>41456</v>
      </c>
    </row>
    <row r="258" spans="1:23" x14ac:dyDescent="0.25">
      <c r="A258" s="2">
        <f t="shared" si="9"/>
        <v>6</v>
      </c>
      <c r="B258" t="s">
        <v>743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475</v>
      </c>
      <c r="P258" s="16" t="s">
        <v>530</v>
      </c>
      <c r="Q258" s="1">
        <f t="shared" ref="Q258:Q321" si="10">IF(B258="","",1)</f>
        <v>1</v>
      </c>
      <c r="R258" s="1">
        <v>44</v>
      </c>
      <c r="T258" s="1" t="s">
        <v>658</v>
      </c>
      <c r="U258" s="8">
        <v>41456</v>
      </c>
    </row>
    <row r="259" spans="1:23" x14ac:dyDescent="0.25">
      <c r="A259" s="2">
        <f t="shared" si="9"/>
        <v>6</v>
      </c>
      <c r="B259" t="s">
        <v>744</v>
      </c>
      <c r="J259" s="1"/>
      <c r="M259" t="s">
        <v>15</v>
      </c>
      <c r="N259" t="str">
        <f>IFERROR(VLOOKUP(B259,'[1]All Player'!$B$2:$C$1992,2,0),"")</f>
        <v/>
      </c>
      <c r="O259" s="2" t="s">
        <v>475</v>
      </c>
      <c r="P259" s="16" t="s">
        <v>509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745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475</v>
      </c>
      <c r="P260" s="16" t="s">
        <v>509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703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475</v>
      </c>
      <c r="P261" s="16" t="s">
        <v>509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746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475</v>
      </c>
      <c r="P262" s="16" t="s">
        <v>509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747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475</v>
      </c>
      <c r="P263" s="16" t="s">
        <v>509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748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475</v>
      </c>
      <c r="P264" s="16" t="s">
        <v>509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749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475</v>
      </c>
      <c r="P265" s="16" t="s">
        <v>509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750</v>
      </c>
      <c r="J266" s="1"/>
      <c r="M266" t="s">
        <v>15</v>
      </c>
      <c r="N266" t="str">
        <f>IFERROR(VLOOKUP(B266,'[1]All Player'!$B$2:$C$1992,2,0),"")</f>
        <v/>
      </c>
      <c r="O266" s="2" t="s">
        <v>475</v>
      </c>
      <c r="P266" s="16" t="s">
        <v>581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751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475</v>
      </c>
      <c r="P267" s="16" t="s">
        <v>581</v>
      </c>
      <c r="Q267" s="1">
        <f t="shared" si="10"/>
        <v>1</v>
      </c>
      <c r="R267" s="22">
        <v>46</v>
      </c>
      <c r="S267" s="2" t="s">
        <v>661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705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475</v>
      </c>
      <c r="P268" s="16" t="s">
        <v>581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693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475</v>
      </c>
      <c r="P269" s="16" t="s">
        <v>581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357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475</v>
      </c>
      <c r="P270" s="16" t="s">
        <v>581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752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475</v>
      </c>
      <c r="P271" s="16" t="s">
        <v>581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704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475</v>
      </c>
      <c r="P272" s="16" t="s">
        <v>581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753</v>
      </c>
      <c r="J273" s="1"/>
      <c r="M273" t="s">
        <v>15</v>
      </c>
      <c r="N273" t="str">
        <f>IFERROR(VLOOKUP(B273,'[1]All Player'!$B$2:$C$1992,2,0),"")</f>
        <v/>
      </c>
      <c r="O273" s="2" t="s">
        <v>475</v>
      </c>
      <c r="P273" s="16" t="s">
        <v>489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687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475</v>
      </c>
      <c r="P274" s="16" t="s">
        <v>489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684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475</v>
      </c>
      <c r="P275" s="16" t="s">
        <v>489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754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475</v>
      </c>
      <c r="P276" s="16" t="s">
        <v>489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475</v>
      </c>
      <c r="P277" s="16" t="s">
        <v>489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755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475</v>
      </c>
      <c r="P278" s="16" t="s">
        <v>489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756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475</v>
      </c>
      <c r="P279" s="16" t="s">
        <v>489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757</v>
      </c>
      <c r="J280" s="1"/>
      <c r="M280" t="s">
        <v>15</v>
      </c>
      <c r="N280" t="str">
        <f>IFERROR(VLOOKUP(B280,'[1]All Player'!$B$2:$C$1992,2,0),"")</f>
        <v/>
      </c>
      <c r="O280" s="2" t="s">
        <v>475</v>
      </c>
      <c r="P280" s="16" t="s">
        <v>490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696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475</v>
      </c>
      <c r="P281" s="16" t="s">
        <v>490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758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475</v>
      </c>
      <c r="P282" s="16" t="s">
        <v>490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707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475</v>
      </c>
      <c r="P283" s="16" t="s">
        <v>490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759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475</v>
      </c>
      <c r="P284" s="16" t="s">
        <v>490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760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475</v>
      </c>
      <c r="P285" s="16" t="s">
        <v>490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761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475</v>
      </c>
      <c r="P286" s="16" t="s">
        <v>490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762</v>
      </c>
      <c r="J287" s="1"/>
      <c r="M287" t="s">
        <v>15</v>
      </c>
      <c r="N287" t="str">
        <f>IFERROR(VLOOKUP(B287,'[1]All Player'!$B$2:$C$1992,2,0),"")</f>
        <v/>
      </c>
      <c r="O287" s="2" t="s">
        <v>491</v>
      </c>
      <c r="P287" s="16" t="s">
        <v>492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491</v>
      </c>
      <c r="P288" s="16" t="s">
        <v>492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206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491</v>
      </c>
      <c r="P289" s="16" t="s">
        <v>492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209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491</v>
      </c>
      <c r="P290" s="16" t="s">
        <v>492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747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491</v>
      </c>
      <c r="P291" s="16" t="s">
        <v>492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242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491</v>
      </c>
      <c r="P292" s="16" t="s">
        <v>492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763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491</v>
      </c>
      <c r="P293" s="16" t="s">
        <v>492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764</v>
      </c>
      <c r="J294" s="1"/>
      <c r="M294" t="s">
        <v>15</v>
      </c>
      <c r="N294" t="str">
        <f>IFERROR(VLOOKUP(B294,'[1]All Player'!$B$2:$C$1992,2,0),"")</f>
        <v/>
      </c>
      <c r="O294" s="2" t="s">
        <v>491</v>
      </c>
      <c r="P294" s="16" t="s">
        <v>765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231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491</v>
      </c>
      <c r="P295" s="16" t="s">
        <v>765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277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491</v>
      </c>
      <c r="P296" s="16" t="s">
        <v>765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319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491</v>
      </c>
      <c r="P297" s="16" t="s">
        <v>765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119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491</v>
      </c>
      <c r="P298" s="16" t="s">
        <v>765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491</v>
      </c>
      <c r="P299" s="16" t="s">
        <v>765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491</v>
      </c>
      <c r="P300" s="16" t="s">
        <v>765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766</v>
      </c>
      <c r="J301" s="1"/>
      <c r="M301" t="s">
        <v>15</v>
      </c>
      <c r="N301" t="str">
        <f>IFERROR(VLOOKUP(B301,'[1]All Player'!$B$2:$C$1992,2,0),"")</f>
        <v/>
      </c>
      <c r="O301" s="2" t="s">
        <v>491</v>
      </c>
      <c r="P301" s="16" t="s">
        <v>582</v>
      </c>
      <c r="Q301" s="1">
        <f t="shared" si="10"/>
        <v>1</v>
      </c>
      <c r="R301" s="1">
        <v>51</v>
      </c>
      <c r="T301" s="1" t="s">
        <v>660</v>
      </c>
      <c r="U301" s="8">
        <v>41487</v>
      </c>
    </row>
    <row r="302" spans="1:21" x14ac:dyDescent="0.25">
      <c r="A302" s="2">
        <f>A301</f>
        <v>7</v>
      </c>
      <c r="B302" t="s">
        <v>226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491</v>
      </c>
      <c r="P302" s="16" t="s">
        <v>582</v>
      </c>
      <c r="Q302" s="1">
        <f t="shared" si="10"/>
        <v>1</v>
      </c>
      <c r="R302" s="1">
        <v>51</v>
      </c>
      <c r="T302" s="1" t="s">
        <v>660</v>
      </c>
      <c r="U302" s="8">
        <v>41487</v>
      </c>
    </row>
    <row r="303" spans="1:21" x14ac:dyDescent="0.25">
      <c r="A303" s="2">
        <f t="shared" si="11"/>
        <v>7</v>
      </c>
      <c r="B303" t="s">
        <v>202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491</v>
      </c>
      <c r="P303" s="16" t="s">
        <v>582</v>
      </c>
      <c r="Q303" s="1">
        <f t="shared" si="10"/>
        <v>1</v>
      </c>
      <c r="R303" s="1">
        <v>51</v>
      </c>
      <c r="T303" s="1" t="s">
        <v>660</v>
      </c>
      <c r="U303" s="8">
        <v>41487</v>
      </c>
    </row>
    <row r="304" spans="1:21" x14ac:dyDescent="0.25">
      <c r="A304" s="2">
        <f t="shared" si="11"/>
        <v>7</v>
      </c>
      <c r="B304" t="s">
        <v>297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491</v>
      </c>
      <c r="P304" s="16" t="s">
        <v>582</v>
      </c>
      <c r="Q304" s="1">
        <f t="shared" si="10"/>
        <v>1</v>
      </c>
      <c r="R304" s="1">
        <v>51</v>
      </c>
      <c r="S304" s="2" t="s">
        <v>661</v>
      </c>
      <c r="T304" s="1" t="s">
        <v>660</v>
      </c>
      <c r="U304" s="8">
        <v>41487</v>
      </c>
    </row>
    <row r="305" spans="1:21" x14ac:dyDescent="0.25">
      <c r="A305" s="2">
        <f t="shared" si="11"/>
        <v>7</v>
      </c>
      <c r="B305" t="s">
        <v>321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491</v>
      </c>
      <c r="P305" s="16" t="s">
        <v>582</v>
      </c>
      <c r="Q305" s="1">
        <f t="shared" si="10"/>
        <v>1</v>
      </c>
      <c r="R305" s="1">
        <v>51</v>
      </c>
      <c r="T305" s="1" t="s">
        <v>660</v>
      </c>
      <c r="U305" s="8">
        <v>41487</v>
      </c>
    </row>
    <row r="306" spans="1:21" x14ac:dyDescent="0.25">
      <c r="A306" s="2">
        <f t="shared" si="11"/>
        <v>7</v>
      </c>
      <c r="B306" t="s">
        <v>736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491</v>
      </c>
      <c r="P306" s="16" t="s">
        <v>582</v>
      </c>
      <c r="Q306" s="1">
        <f t="shared" si="10"/>
        <v>1</v>
      </c>
      <c r="R306" s="1">
        <v>51</v>
      </c>
      <c r="T306" s="1" t="s">
        <v>660</v>
      </c>
      <c r="U306" s="8">
        <v>41487</v>
      </c>
    </row>
    <row r="307" spans="1:21" x14ac:dyDescent="0.25">
      <c r="A307" s="2">
        <f t="shared" si="11"/>
        <v>7</v>
      </c>
      <c r="B307" t="s">
        <v>229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491</v>
      </c>
      <c r="P307" s="16" t="s">
        <v>582</v>
      </c>
      <c r="Q307" s="1">
        <f t="shared" si="10"/>
        <v>1</v>
      </c>
      <c r="R307" s="1">
        <v>51</v>
      </c>
      <c r="S307" s="2" t="s">
        <v>659</v>
      </c>
      <c r="T307" s="1" t="s">
        <v>660</v>
      </c>
      <c r="U307" s="8">
        <v>41487</v>
      </c>
    </row>
    <row r="308" spans="1:21" x14ac:dyDescent="0.25">
      <c r="A308" s="2">
        <f t="shared" si="11"/>
        <v>7</v>
      </c>
      <c r="B308" t="s">
        <v>323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491</v>
      </c>
      <c r="P308" s="16" t="s">
        <v>582</v>
      </c>
      <c r="Q308" s="1">
        <f t="shared" si="10"/>
        <v>1</v>
      </c>
      <c r="R308" s="1">
        <v>51</v>
      </c>
      <c r="T308" s="1" t="s">
        <v>660</v>
      </c>
      <c r="U308" s="8">
        <v>41487</v>
      </c>
    </row>
    <row r="309" spans="1:21" x14ac:dyDescent="0.25">
      <c r="A309" s="2">
        <f>A308</f>
        <v>7</v>
      </c>
      <c r="B309" s="17" t="s">
        <v>767</v>
      </c>
      <c r="J309" s="1"/>
      <c r="M309" t="s">
        <v>15</v>
      </c>
      <c r="N309" t="str">
        <f>IFERROR(VLOOKUP(B309,'[1]All Player'!$B$2:$C$1992,2,0),"")</f>
        <v/>
      </c>
      <c r="O309" s="2" t="s">
        <v>491</v>
      </c>
      <c r="P309" s="16" t="s">
        <v>768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159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491</v>
      </c>
      <c r="P310" s="16" t="s">
        <v>768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769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491</v>
      </c>
      <c r="P311" s="16" t="s">
        <v>768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295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491</v>
      </c>
      <c r="P312" s="16" t="s">
        <v>768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153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491</v>
      </c>
      <c r="P313" s="16" t="s">
        <v>768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184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491</v>
      </c>
      <c r="P314" s="16" t="s">
        <v>768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770</v>
      </c>
      <c r="J315" s="1"/>
      <c r="M315" t="s">
        <v>15</v>
      </c>
      <c r="N315" t="str">
        <f>IFERROR(VLOOKUP(B315,'[1]All Player'!$B$2:$C$1992,2,0),"")</f>
        <v/>
      </c>
      <c r="O315" s="2" t="s">
        <v>491</v>
      </c>
      <c r="P315" s="16" t="s">
        <v>771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305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491</v>
      </c>
      <c r="P316" s="16" t="s">
        <v>771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147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491</v>
      </c>
      <c r="P317" s="16" t="s">
        <v>771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491</v>
      </c>
      <c r="P318" s="16" t="s">
        <v>771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180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491</v>
      </c>
      <c r="P319" s="16" t="s">
        <v>771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491</v>
      </c>
      <c r="P320" s="16" t="s">
        <v>771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491</v>
      </c>
      <c r="P321" s="16" t="s">
        <v>771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738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491</v>
      </c>
      <c r="P322" s="16" t="s">
        <v>771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772</v>
      </c>
      <c r="J323" s="1"/>
      <c r="M323" t="s">
        <v>15</v>
      </c>
      <c r="N323" t="str">
        <f>IFERROR(VLOOKUP(B323,'[1]All Player'!$B$2:$C$1992,2,0),"")</f>
        <v/>
      </c>
      <c r="O323" s="2" t="s">
        <v>491</v>
      </c>
      <c r="P323" s="16" t="s">
        <v>546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773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491</v>
      </c>
      <c r="P324" s="16" t="s">
        <v>546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299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491</v>
      </c>
      <c r="P325" s="16" t="s">
        <v>546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121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491</v>
      </c>
      <c r="P326" s="16" t="s">
        <v>546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491</v>
      </c>
      <c r="P327" s="16" t="s">
        <v>546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204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491</v>
      </c>
      <c r="P328" s="16" t="s">
        <v>546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491</v>
      </c>
      <c r="P329" s="16" t="s">
        <v>546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155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491</v>
      </c>
      <c r="P330" s="16" t="s">
        <v>546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774</v>
      </c>
      <c r="J331" s="1"/>
      <c r="M331" t="s">
        <v>15</v>
      </c>
      <c r="N331" t="str">
        <f>IFERROR(VLOOKUP(B331,'[1]All Player'!$B$2:$C$1992,2,0),"")</f>
        <v/>
      </c>
      <c r="O331" s="2" t="s">
        <v>491</v>
      </c>
      <c r="P331" s="16" t="s">
        <v>775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139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491</v>
      </c>
      <c r="P332" s="16" t="s">
        <v>775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123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491</v>
      </c>
      <c r="P333" s="16" t="s">
        <v>775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280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491</v>
      </c>
      <c r="P334" s="16" t="s">
        <v>775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145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491</v>
      </c>
      <c r="P335" s="16" t="s">
        <v>775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283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491</v>
      </c>
      <c r="P336" s="16" t="s">
        <v>775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170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491</v>
      </c>
      <c r="P337" s="16" t="s">
        <v>775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292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491</v>
      </c>
      <c r="P338" s="16" t="s">
        <v>775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776</v>
      </c>
      <c r="J339" s="1"/>
      <c r="M339" t="s">
        <v>15</v>
      </c>
      <c r="N339" t="str">
        <f>IFERROR(VLOOKUP(B339,'[1]All Player'!$B$2:$C$1992,2,0),"")</f>
        <v/>
      </c>
      <c r="O339" s="2" t="s">
        <v>491</v>
      </c>
      <c r="P339" s="16" t="s">
        <v>776</v>
      </c>
      <c r="Q339" s="1">
        <f t="shared" si="13"/>
        <v>1</v>
      </c>
      <c r="R339" s="1">
        <v>56</v>
      </c>
      <c r="T339" s="1" t="s">
        <v>658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491</v>
      </c>
      <c r="P340" s="16" t="s">
        <v>776</v>
      </c>
      <c r="Q340" s="1">
        <f t="shared" si="13"/>
        <v>1</v>
      </c>
      <c r="R340" s="1">
        <v>56</v>
      </c>
      <c r="T340" s="1" t="s">
        <v>658</v>
      </c>
      <c r="U340" s="8">
        <v>41487</v>
      </c>
    </row>
    <row r="341" spans="1:23" x14ac:dyDescent="0.25">
      <c r="A341" s="2">
        <f t="shared" si="12"/>
        <v>7</v>
      </c>
      <c r="B341" t="s">
        <v>246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491</v>
      </c>
      <c r="P341" s="16" t="s">
        <v>776</v>
      </c>
      <c r="Q341" s="1">
        <f t="shared" si="13"/>
        <v>1</v>
      </c>
      <c r="R341" s="1">
        <v>56</v>
      </c>
      <c r="T341" s="1" t="s">
        <v>658</v>
      </c>
      <c r="U341" s="8">
        <v>41487</v>
      </c>
    </row>
    <row r="342" spans="1:23" x14ac:dyDescent="0.25">
      <c r="A342" s="2">
        <f t="shared" si="12"/>
        <v>7</v>
      </c>
      <c r="B342" t="s">
        <v>307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491</v>
      </c>
      <c r="P342" s="16" t="s">
        <v>776</v>
      </c>
      <c r="Q342" s="1">
        <f t="shared" si="13"/>
        <v>1</v>
      </c>
      <c r="R342" s="1">
        <v>56</v>
      </c>
      <c r="T342" s="1" t="s">
        <v>658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491</v>
      </c>
      <c r="P343" s="16" t="s">
        <v>776</v>
      </c>
      <c r="Q343" s="1">
        <f t="shared" si="13"/>
        <v>1</v>
      </c>
      <c r="R343" s="1">
        <v>56</v>
      </c>
      <c r="T343" s="1" t="s">
        <v>658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491</v>
      </c>
      <c r="P344" s="16" t="s">
        <v>776</v>
      </c>
      <c r="Q344" s="1">
        <f t="shared" si="13"/>
        <v>1</v>
      </c>
      <c r="R344" s="1">
        <v>56</v>
      </c>
      <c r="T344" s="1" t="s">
        <v>658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491</v>
      </c>
      <c r="P345" s="16" t="s">
        <v>776</v>
      </c>
      <c r="Q345" s="1">
        <f t="shared" si="13"/>
        <v>1</v>
      </c>
      <c r="R345" s="1">
        <v>56</v>
      </c>
      <c r="T345" s="1" t="s">
        <v>658</v>
      </c>
      <c r="U345" s="8">
        <v>41487</v>
      </c>
    </row>
    <row r="346" spans="1:23" x14ac:dyDescent="0.25">
      <c r="A346" s="2">
        <v>8</v>
      </c>
      <c r="B346" s="17" t="s">
        <v>777</v>
      </c>
      <c r="J346" s="1"/>
      <c r="M346" t="s">
        <v>15</v>
      </c>
      <c r="N346" t="str">
        <f>IFERROR(VLOOKUP(B346,'[1]All Player'!$B$2:$C$1992,2,0),"")</f>
        <v/>
      </c>
      <c r="O346" s="2" t="s">
        <v>500</v>
      </c>
      <c r="P346" s="16" t="s">
        <v>777</v>
      </c>
      <c r="Q346" s="1">
        <f t="shared" si="13"/>
        <v>1</v>
      </c>
      <c r="R346" s="1">
        <v>57</v>
      </c>
      <c r="T346" s="1" t="s">
        <v>658</v>
      </c>
      <c r="U346" s="8">
        <v>41548</v>
      </c>
    </row>
    <row r="347" spans="1:23" x14ac:dyDescent="0.25">
      <c r="A347" s="2">
        <f t="shared" si="12"/>
        <v>8</v>
      </c>
      <c r="B347" t="s">
        <v>184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500</v>
      </c>
      <c r="P347" s="16" t="s">
        <v>777</v>
      </c>
      <c r="Q347" s="1">
        <f t="shared" si="13"/>
        <v>1</v>
      </c>
      <c r="R347" s="1">
        <v>57</v>
      </c>
      <c r="S347" s="2" t="s">
        <v>661</v>
      </c>
      <c r="T347" s="1" t="s">
        <v>658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119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500</v>
      </c>
      <c r="P348" s="16" t="s">
        <v>777</v>
      </c>
      <c r="Q348" s="1">
        <f t="shared" si="13"/>
        <v>1</v>
      </c>
      <c r="R348" s="1">
        <v>57</v>
      </c>
      <c r="T348" s="1" t="s">
        <v>658</v>
      </c>
      <c r="U348" s="8">
        <v>41548</v>
      </c>
    </row>
    <row r="349" spans="1:23" x14ac:dyDescent="0.25">
      <c r="A349" s="2">
        <f t="shared" si="12"/>
        <v>8</v>
      </c>
      <c r="B349" t="s">
        <v>319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500</v>
      </c>
      <c r="P349" s="16" t="s">
        <v>777</v>
      </c>
      <c r="Q349" s="1">
        <f t="shared" si="13"/>
        <v>1</v>
      </c>
      <c r="R349" s="1">
        <v>57</v>
      </c>
      <c r="T349" s="1" t="s">
        <v>658</v>
      </c>
      <c r="U349" s="8">
        <v>41548</v>
      </c>
    </row>
    <row r="350" spans="1:23" x14ac:dyDescent="0.25">
      <c r="A350" s="2">
        <f t="shared" si="12"/>
        <v>8</v>
      </c>
      <c r="B350" t="s">
        <v>769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500</v>
      </c>
      <c r="P350" s="16" t="s">
        <v>777</v>
      </c>
      <c r="Q350" s="1">
        <f t="shared" si="13"/>
        <v>1</v>
      </c>
      <c r="R350" s="1">
        <v>57</v>
      </c>
      <c r="T350" s="1" t="s">
        <v>658</v>
      </c>
      <c r="U350" s="8">
        <v>41548</v>
      </c>
    </row>
    <row r="351" spans="1:23" x14ac:dyDescent="0.25">
      <c r="A351" s="2">
        <f t="shared" si="12"/>
        <v>8</v>
      </c>
      <c r="B351" t="s">
        <v>357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500</v>
      </c>
      <c r="P351" s="16" t="s">
        <v>777</v>
      </c>
      <c r="Q351" s="1">
        <f t="shared" si="13"/>
        <v>1</v>
      </c>
      <c r="R351" s="1">
        <v>57</v>
      </c>
      <c r="T351" s="1" t="s">
        <v>658</v>
      </c>
      <c r="U351" s="8">
        <v>41548</v>
      </c>
    </row>
    <row r="352" spans="1:23" x14ac:dyDescent="0.25">
      <c r="A352" s="2">
        <f t="shared" si="12"/>
        <v>8</v>
      </c>
      <c r="B352" s="17" t="s">
        <v>586</v>
      </c>
      <c r="J352" s="1"/>
      <c r="M352" t="s">
        <v>15</v>
      </c>
      <c r="N352" t="str">
        <f>IFERROR(VLOOKUP(B352,'[1]All Player'!$B$2:$C$1992,2,0),"")</f>
        <v/>
      </c>
      <c r="O352" s="2" t="s">
        <v>500</v>
      </c>
      <c r="P352" s="16" t="s">
        <v>586</v>
      </c>
      <c r="Q352" s="1">
        <f t="shared" si="13"/>
        <v>1</v>
      </c>
      <c r="R352" s="1">
        <v>58</v>
      </c>
      <c r="T352" s="1" t="s">
        <v>660</v>
      </c>
      <c r="U352" s="8">
        <v>41548</v>
      </c>
    </row>
    <row r="353" spans="1:21" x14ac:dyDescent="0.25">
      <c r="A353" s="2">
        <f t="shared" si="12"/>
        <v>8</v>
      </c>
      <c r="B353" t="s">
        <v>283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500</v>
      </c>
      <c r="P353" s="16" t="s">
        <v>586</v>
      </c>
      <c r="Q353" s="1">
        <f t="shared" si="13"/>
        <v>1</v>
      </c>
      <c r="R353" s="1">
        <v>58</v>
      </c>
      <c r="T353" s="1" t="s">
        <v>660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500</v>
      </c>
      <c r="P354" s="16" t="s">
        <v>586</v>
      </c>
      <c r="Q354" s="1">
        <f t="shared" si="13"/>
        <v>1</v>
      </c>
      <c r="R354" s="1">
        <v>58</v>
      </c>
      <c r="T354" s="1" t="s">
        <v>660</v>
      </c>
      <c r="U354" s="8">
        <v>41548</v>
      </c>
    </row>
    <row r="355" spans="1:21" x14ac:dyDescent="0.25">
      <c r="A355" s="2">
        <f t="shared" si="12"/>
        <v>8</v>
      </c>
      <c r="B355" t="s">
        <v>299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500</v>
      </c>
      <c r="P355" s="16" t="s">
        <v>586</v>
      </c>
      <c r="Q355" s="1">
        <f t="shared" si="13"/>
        <v>1</v>
      </c>
      <c r="R355" s="1">
        <v>58</v>
      </c>
      <c r="T355" s="1" t="s">
        <v>660</v>
      </c>
      <c r="U355" s="8">
        <v>41548</v>
      </c>
    </row>
    <row r="356" spans="1:21" x14ac:dyDescent="0.25">
      <c r="A356" s="2">
        <f t="shared" si="12"/>
        <v>8</v>
      </c>
      <c r="B356" t="s">
        <v>334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500</v>
      </c>
      <c r="P356" s="16" t="s">
        <v>586</v>
      </c>
      <c r="Q356" s="1">
        <f t="shared" si="13"/>
        <v>1</v>
      </c>
      <c r="R356" s="1">
        <v>58</v>
      </c>
      <c r="T356" s="1" t="s">
        <v>660</v>
      </c>
      <c r="U356" s="8">
        <v>41548</v>
      </c>
    </row>
    <row r="357" spans="1:21" x14ac:dyDescent="0.25">
      <c r="A357" s="2">
        <f t="shared" si="12"/>
        <v>8</v>
      </c>
      <c r="B357" t="s">
        <v>159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500</v>
      </c>
      <c r="P357" s="16" t="s">
        <v>586</v>
      </c>
      <c r="Q357" s="1">
        <f t="shared" si="13"/>
        <v>1</v>
      </c>
      <c r="R357" s="1">
        <v>58</v>
      </c>
      <c r="T357" s="1" t="s">
        <v>660</v>
      </c>
      <c r="U357" s="8">
        <v>41548</v>
      </c>
    </row>
    <row r="358" spans="1:21" x14ac:dyDescent="0.25">
      <c r="A358" s="2">
        <f t="shared" si="12"/>
        <v>8</v>
      </c>
      <c r="B358" t="s">
        <v>209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500</v>
      </c>
      <c r="P358" s="16" t="s">
        <v>586</v>
      </c>
      <c r="Q358" s="1">
        <f t="shared" si="13"/>
        <v>1</v>
      </c>
      <c r="R358" s="1">
        <v>58</v>
      </c>
      <c r="T358" s="1" t="s">
        <v>660</v>
      </c>
      <c r="U358" s="8">
        <v>41548</v>
      </c>
    </row>
    <row r="359" spans="1:21" ht="15.75" x14ac:dyDescent="0.25">
      <c r="A359" s="2">
        <f>A358</f>
        <v>8</v>
      </c>
      <c r="B359" s="18" t="s">
        <v>535</v>
      </c>
      <c r="J359" s="1"/>
      <c r="M359" t="s">
        <v>15</v>
      </c>
      <c r="N359" t="str">
        <f>IFERROR(VLOOKUP(B359,'[1]All Player'!$B$2:$C$1992,2,0),"")</f>
        <v/>
      </c>
      <c r="O359" s="2" t="s">
        <v>500</v>
      </c>
      <c r="P359" s="16" t="s">
        <v>535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145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500</v>
      </c>
      <c r="P360" s="16" t="s">
        <v>535</v>
      </c>
      <c r="Q360" s="1">
        <f t="shared" si="13"/>
        <v>1</v>
      </c>
      <c r="R360" s="1">
        <v>59</v>
      </c>
      <c r="S360" s="2" t="s">
        <v>659</v>
      </c>
      <c r="U360" s="8">
        <v>41548</v>
      </c>
    </row>
    <row r="361" spans="1:21" x14ac:dyDescent="0.25">
      <c r="A361" s="2">
        <f t="shared" si="12"/>
        <v>8</v>
      </c>
      <c r="B361" t="s">
        <v>206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500</v>
      </c>
      <c r="P361" s="16" t="s">
        <v>535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202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500</v>
      </c>
      <c r="P362" s="16" t="s">
        <v>535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180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500</v>
      </c>
      <c r="P363" s="16" t="s">
        <v>535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147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500</v>
      </c>
      <c r="P364" s="16" t="s">
        <v>535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131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500</v>
      </c>
      <c r="P365" s="16" t="s">
        <v>535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501</v>
      </c>
      <c r="J366" s="1"/>
      <c r="M366" t="s">
        <v>15</v>
      </c>
      <c r="N366" t="str">
        <f>IFERROR(VLOOKUP(B366,'[1]All Player'!$B$2:$C$1992,2,0),"")</f>
        <v/>
      </c>
      <c r="O366" s="2" t="s">
        <v>500</v>
      </c>
      <c r="P366" s="16" t="s">
        <v>501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500</v>
      </c>
      <c r="P367" s="16" t="s">
        <v>501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500</v>
      </c>
      <c r="P368" s="16" t="s">
        <v>501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500</v>
      </c>
      <c r="P369" s="16" t="s">
        <v>501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500</v>
      </c>
      <c r="P370" s="16" t="s">
        <v>501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305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500</v>
      </c>
      <c r="P371" s="16" t="s">
        <v>501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280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500</v>
      </c>
      <c r="P372" s="16" t="s">
        <v>501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500</v>
      </c>
      <c r="P373" s="16" t="s">
        <v>501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583</v>
      </c>
      <c r="J374" s="1"/>
      <c r="M374" t="s">
        <v>15</v>
      </c>
      <c r="N374" t="str">
        <f>IFERROR(VLOOKUP(B374,'[1]All Player'!$B$2:$C$1992,2,0),"")</f>
        <v/>
      </c>
      <c r="O374" s="2" t="s">
        <v>500</v>
      </c>
      <c r="P374" s="16" t="s">
        <v>583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500</v>
      </c>
      <c r="P375" s="16" t="s">
        <v>583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123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500</v>
      </c>
      <c r="P376" s="16" t="s">
        <v>583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500</v>
      </c>
      <c r="P377" s="16" t="s">
        <v>583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500</v>
      </c>
      <c r="P378" s="16" t="s">
        <v>583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773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500</v>
      </c>
      <c r="P379" s="16" t="s">
        <v>583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325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500</v>
      </c>
      <c r="P380" s="16" t="s">
        <v>583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584</v>
      </c>
      <c r="J381" s="1"/>
      <c r="M381" t="s">
        <v>15</v>
      </c>
      <c r="N381" t="str">
        <f>IFERROR(VLOOKUP(B381,'[1]All Player'!$B$2:$C$1992,2,0),"")</f>
        <v/>
      </c>
      <c r="O381" s="2" t="s">
        <v>500</v>
      </c>
      <c r="P381" s="16" t="s">
        <v>584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153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500</v>
      </c>
      <c r="P382" s="16" t="s">
        <v>584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121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500</v>
      </c>
      <c r="P383" s="16" t="s">
        <v>584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500</v>
      </c>
      <c r="P384" s="16" t="s">
        <v>584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155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500</v>
      </c>
      <c r="P385" s="16" t="s">
        <v>584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297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500</v>
      </c>
      <c r="P386" s="16" t="s">
        <v>584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328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500</v>
      </c>
      <c r="P387" s="16" t="s">
        <v>584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500</v>
      </c>
      <c r="P388" s="16" t="s">
        <v>584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778</v>
      </c>
      <c r="J389" s="1"/>
      <c r="M389" t="s">
        <v>15</v>
      </c>
      <c r="N389" t="str">
        <f>IFERROR(VLOOKUP(B389,'[1]All Player'!$B$2:$C$1992,2,0),"")</f>
        <v/>
      </c>
      <c r="O389" s="2" t="s">
        <v>500</v>
      </c>
      <c r="P389" s="16" t="s">
        <v>778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246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500</v>
      </c>
      <c r="P390" s="16" t="s">
        <v>778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500</v>
      </c>
      <c r="P391" s="16" t="s">
        <v>778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779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500</v>
      </c>
      <c r="P392" s="16" t="s">
        <v>778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500</v>
      </c>
      <c r="P393" s="16" t="s">
        <v>778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139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500</v>
      </c>
      <c r="P394" s="16" t="s">
        <v>778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780</v>
      </c>
      <c r="J395" s="1"/>
      <c r="M395" t="s">
        <v>15</v>
      </c>
      <c r="N395" t="str">
        <f>IFERROR(VLOOKUP(B395,'[1]All Player'!$B$2:$C$1992,2,0),"")</f>
        <v/>
      </c>
      <c r="O395" s="2" t="s">
        <v>502</v>
      </c>
      <c r="P395" s="16" t="s">
        <v>781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139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502</v>
      </c>
      <c r="P396" s="16" t="s">
        <v>781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131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502</v>
      </c>
      <c r="P397" s="16" t="s">
        <v>781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204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502</v>
      </c>
      <c r="P398" s="16" t="s">
        <v>781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537</v>
      </c>
      <c r="J399" s="1"/>
      <c r="M399" t="s">
        <v>15</v>
      </c>
      <c r="N399" t="str">
        <f>IFERROR(VLOOKUP(B399,'[1]All Player'!$B$2:$C$1992,2,0),"")</f>
        <v/>
      </c>
      <c r="O399" s="2" t="s">
        <v>502</v>
      </c>
      <c r="P399" s="16" t="s">
        <v>537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502</v>
      </c>
      <c r="P400" s="16" t="s">
        <v>537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502</v>
      </c>
      <c r="P401" s="16" t="s">
        <v>537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773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502</v>
      </c>
      <c r="P402" s="16" t="s">
        <v>537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135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502</v>
      </c>
      <c r="P403" s="16" t="s">
        <v>537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782</v>
      </c>
      <c r="J404" s="1"/>
      <c r="M404" t="s">
        <v>15</v>
      </c>
      <c r="N404" t="str">
        <f>IFERROR(VLOOKUP(B404,'[1]All Player'!$B$2:$C$1992,2,0),"")</f>
        <v/>
      </c>
      <c r="O404" s="2" t="s">
        <v>502</v>
      </c>
      <c r="P404" s="16" t="s">
        <v>520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184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502</v>
      </c>
      <c r="P405" s="16" t="s">
        <v>520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170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502</v>
      </c>
      <c r="P406" s="16" t="s">
        <v>520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783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502</v>
      </c>
      <c r="P407" s="16" t="s">
        <v>520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502</v>
      </c>
      <c r="P408" s="16" t="s">
        <v>520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180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502</v>
      </c>
      <c r="P409" s="16" t="s">
        <v>520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784</v>
      </c>
      <c r="J410" s="1"/>
      <c r="M410" t="s">
        <v>15</v>
      </c>
      <c r="N410" t="str">
        <f>IFERROR(VLOOKUP(B410,'[1]All Player'!$B$2:$C$1992,2,0),"")</f>
        <v/>
      </c>
      <c r="O410" s="2" t="s">
        <v>502</v>
      </c>
      <c r="P410" s="16" t="s">
        <v>516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502</v>
      </c>
      <c r="P411" s="16" t="s">
        <v>516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779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502</v>
      </c>
      <c r="P412" s="16" t="s">
        <v>516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502</v>
      </c>
      <c r="P413" s="16" t="s">
        <v>516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502</v>
      </c>
      <c r="P414" s="16" t="s">
        <v>516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785</v>
      </c>
      <c r="J415" s="1"/>
      <c r="M415" t="s">
        <v>15</v>
      </c>
      <c r="N415" t="str">
        <f>IFERROR(VLOOKUP(B415,'[1]All Player'!$B$2:$C$1992,2,0),"")</f>
        <v/>
      </c>
      <c r="O415" s="2" t="s">
        <v>502</v>
      </c>
      <c r="P415" s="16" t="s">
        <v>587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335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502</v>
      </c>
      <c r="P416" s="16" t="s">
        <v>587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123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502</v>
      </c>
      <c r="P417" s="16" t="s">
        <v>587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337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502</v>
      </c>
      <c r="P418" s="16" t="s">
        <v>587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502</v>
      </c>
      <c r="P419" s="16" t="s">
        <v>587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786</v>
      </c>
      <c r="J420" s="1"/>
      <c r="M420" t="s">
        <v>15</v>
      </c>
      <c r="N420" t="str">
        <f>IFERROR(VLOOKUP(B420,'[1]All Player'!$B$2:$C$1992,2,0),"")</f>
        <v/>
      </c>
      <c r="O420" s="2" t="s">
        <v>502</v>
      </c>
      <c r="P420" s="16" t="s">
        <v>503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246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502</v>
      </c>
      <c r="P421" s="16" t="s">
        <v>503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769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502</v>
      </c>
      <c r="P422" s="16" t="s">
        <v>503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502</v>
      </c>
      <c r="P423" s="16" t="s">
        <v>503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339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502</v>
      </c>
      <c r="P424" s="16" t="s">
        <v>588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787</v>
      </c>
      <c r="J425" s="1"/>
      <c r="M425" t="s">
        <v>15</v>
      </c>
      <c r="N425" t="str">
        <f>IFERROR(VLOOKUP(B425,'[1]All Player'!$B$2:$C$1992,2,0),"")</f>
        <v/>
      </c>
      <c r="O425" s="2" t="s">
        <v>502</v>
      </c>
      <c r="P425" s="16" t="s">
        <v>588</v>
      </c>
      <c r="Q425" s="1">
        <f t="shared" si="15"/>
        <v>1</v>
      </c>
      <c r="R425" s="1">
        <v>70</v>
      </c>
      <c r="T425" s="1" t="s">
        <v>658</v>
      </c>
      <c r="U425" s="8">
        <v>41609</v>
      </c>
    </row>
    <row r="426" spans="1:21" x14ac:dyDescent="0.25">
      <c r="A426" s="2">
        <f t="shared" si="14"/>
        <v>9</v>
      </c>
      <c r="B426" t="s">
        <v>145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502</v>
      </c>
      <c r="P426" s="16" t="s">
        <v>588</v>
      </c>
      <c r="Q426" s="1">
        <f t="shared" si="15"/>
        <v>1</v>
      </c>
      <c r="R426" s="1">
        <v>70</v>
      </c>
      <c r="S426" s="2" t="s">
        <v>659</v>
      </c>
      <c r="T426" s="1" t="s">
        <v>658</v>
      </c>
      <c r="U426" s="8">
        <v>41609</v>
      </c>
    </row>
    <row r="427" spans="1:21" x14ac:dyDescent="0.25">
      <c r="A427" s="2">
        <f t="shared" si="14"/>
        <v>9</v>
      </c>
      <c r="B427" t="s">
        <v>303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502</v>
      </c>
      <c r="P427" s="16" t="s">
        <v>588</v>
      </c>
      <c r="Q427" s="1">
        <f t="shared" si="15"/>
        <v>1</v>
      </c>
      <c r="R427" s="1">
        <v>70</v>
      </c>
      <c r="T427" s="1" t="s">
        <v>658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502</v>
      </c>
      <c r="P428" s="16" t="s">
        <v>588</v>
      </c>
      <c r="Q428" s="1">
        <f t="shared" si="15"/>
        <v>1</v>
      </c>
      <c r="R428" s="1">
        <v>70</v>
      </c>
      <c r="T428" s="1" t="s">
        <v>658</v>
      </c>
      <c r="U428" s="8">
        <v>41609</v>
      </c>
    </row>
    <row r="429" spans="1:21" x14ac:dyDescent="0.25">
      <c r="A429" s="2">
        <f t="shared" si="16"/>
        <v>9</v>
      </c>
      <c r="B429" t="s">
        <v>147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502</v>
      </c>
      <c r="P429" s="16" t="s">
        <v>588</v>
      </c>
      <c r="Q429" s="1">
        <f t="shared" si="15"/>
        <v>1</v>
      </c>
      <c r="R429" s="1">
        <v>70</v>
      </c>
      <c r="T429" s="1" t="s">
        <v>658</v>
      </c>
      <c r="U429" s="8">
        <v>41609</v>
      </c>
    </row>
    <row r="430" spans="1:21" x14ac:dyDescent="0.25">
      <c r="A430" s="2">
        <f t="shared" si="16"/>
        <v>9</v>
      </c>
      <c r="B430" t="s">
        <v>292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502</v>
      </c>
      <c r="P430" s="16" t="s">
        <v>588</v>
      </c>
      <c r="Q430" s="1">
        <f t="shared" si="15"/>
        <v>1</v>
      </c>
      <c r="R430" s="1">
        <v>70</v>
      </c>
      <c r="T430" s="1" t="s">
        <v>658</v>
      </c>
      <c r="U430" s="8">
        <v>41609</v>
      </c>
    </row>
    <row r="431" spans="1:21" x14ac:dyDescent="0.25">
      <c r="A431" s="2">
        <f t="shared" si="16"/>
        <v>9</v>
      </c>
      <c r="B431" t="s">
        <v>788</v>
      </c>
      <c r="J431" s="1"/>
      <c r="M431" t="s">
        <v>15</v>
      </c>
      <c r="N431" t="str">
        <f>IFERROR(VLOOKUP(B431,'[1]All Player'!$B$2:$C$1992,2,0),"")</f>
        <v/>
      </c>
      <c r="O431" s="2" t="s">
        <v>502</v>
      </c>
      <c r="P431" s="16" t="s">
        <v>789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502</v>
      </c>
      <c r="P432" s="16" t="s">
        <v>789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502</v>
      </c>
      <c r="P433" s="16" t="s">
        <v>789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790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502</v>
      </c>
      <c r="P434" s="16" t="s">
        <v>789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791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502</v>
      </c>
      <c r="P435" s="16" t="s">
        <v>789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792</v>
      </c>
      <c r="J436" s="1"/>
      <c r="M436" t="s">
        <v>15</v>
      </c>
      <c r="N436" t="str">
        <f>IFERROR(VLOOKUP(B436,'[1]All Player'!$B$2:$C$1992,2,0),"")</f>
        <v/>
      </c>
      <c r="O436" s="2" t="s">
        <v>502</v>
      </c>
      <c r="P436" s="16" t="s">
        <v>585</v>
      </c>
      <c r="Q436" s="1">
        <f t="shared" si="15"/>
        <v>1</v>
      </c>
      <c r="R436" s="1">
        <v>72</v>
      </c>
      <c r="T436" s="1" t="s">
        <v>793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502</v>
      </c>
      <c r="P437" s="16" t="s">
        <v>585</v>
      </c>
      <c r="Q437" s="1">
        <f t="shared" si="15"/>
        <v>1</v>
      </c>
      <c r="R437" s="1">
        <v>72</v>
      </c>
      <c r="T437" s="1" t="s">
        <v>793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502</v>
      </c>
      <c r="P438" s="16" t="s">
        <v>585</v>
      </c>
      <c r="Q438" s="1">
        <f t="shared" si="15"/>
        <v>1</v>
      </c>
      <c r="R438" s="1">
        <v>72</v>
      </c>
      <c r="S438" s="2" t="s">
        <v>661</v>
      </c>
      <c r="T438" s="1" t="s">
        <v>793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341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502</v>
      </c>
      <c r="P439" s="16" t="s">
        <v>585</v>
      </c>
      <c r="Q439" s="1">
        <f t="shared" si="15"/>
        <v>1</v>
      </c>
      <c r="R439" s="1">
        <v>72</v>
      </c>
      <c r="T439" s="1" t="s">
        <v>793</v>
      </c>
      <c r="U439" s="8">
        <v>41609</v>
      </c>
    </row>
    <row r="440" spans="1:23" x14ac:dyDescent="0.25">
      <c r="A440" s="2">
        <f t="shared" si="16"/>
        <v>9</v>
      </c>
      <c r="B440" t="s">
        <v>330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502</v>
      </c>
      <c r="P440" s="16" t="s">
        <v>585</v>
      </c>
      <c r="Q440" s="1">
        <f t="shared" si="15"/>
        <v>1</v>
      </c>
      <c r="R440" s="1">
        <v>72</v>
      </c>
      <c r="T440" s="1" t="s">
        <v>793</v>
      </c>
      <c r="U440" s="8">
        <v>41609</v>
      </c>
    </row>
    <row r="441" spans="1:23" x14ac:dyDescent="0.25">
      <c r="A441" s="2">
        <f t="shared" si="16"/>
        <v>9</v>
      </c>
      <c r="B441" t="s">
        <v>794</v>
      </c>
      <c r="J441" s="1"/>
      <c r="M441" t="s">
        <v>15</v>
      </c>
      <c r="N441" t="str">
        <f>IFERROR(VLOOKUP(B441,'[1]All Player'!$B$2:$C$1992,2,0),"")</f>
        <v/>
      </c>
      <c r="O441" s="2" t="s">
        <v>502</v>
      </c>
      <c r="P441" s="16" t="s">
        <v>589</v>
      </c>
      <c r="Q441" s="1">
        <f t="shared" si="15"/>
        <v>1</v>
      </c>
      <c r="R441" s="1">
        <v>73</v>
      </c>
      <c r="T441" s="1" t="s">
        <v>660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502</v>
      </c>
      <c r="P442" s="16" t="s">
        <v>589</v>
      </c>
      <c r="Q442" s="1">
        <f t="shared" si="15"/>
        <v>1</v>
      </c>
      <c r="R442" s="1">
        <v>73</v>
      </c>
      <c r="T442" s="1" t="s">
        <v>660</v>
      </c>
      <c r="U442" s="8">
        <v>41609</v>
      </c>
    </row>
    <row r="443" spans="1:23" x14ac:dyDescent="0.25">
      <c r="A443" s="2">
        <f t="shared" si="16"/>
        <v>9</v>
      </c>
      <c r="B443" t="s">
        <v>319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502</v>
      </c>
      <c r="P443" s="16" t="s">
        <v>589</v>
      </c>
      <c r="Q443" s="1">
        <f t="shared" si="15"/>
        <v>1</v>
      </c>
      <c r="R443" s="1">
        <v>73</v>
      </c>
      <c r="T443" s="1" t="s">
        <v>660</v>
      </c>
      <c r="U443" s="8">
        <v>41609</v>
      </c>
    </row>
    <row r="444" spans="1:23" x14ac:dyDescent="0.25">
      <c r="A444" s="2">
        <f t="shared" si="16"/>
        <v>9</v>
      </c>
      <c r="B444" t="s">
        <v>214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502</v>
      </c>
      <c r="P444" s="16" t="s">
        <v>589</v>
      </c>
      <c r="Q444" s="1">
        <f t="shared" si="15"/>
        <v>1</v>
      </c>
      <c r="R444" s="1">
        <v>73</v>
      </c>
      <c r="T444" s="1" t="s">
        <v>660</v>
      </c>
      <c r="U444" s="8">
        <v>41609</v>
      </c>
    </row>
    <row r="445" spans="1:23" x14ac:dyDescent="0.25">
      <c r="A445" s="2">
        <f t="shared" si="16"/>
        <v>9</v>
      </c>
      <c r="B445" t="s">
        <v>343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502</v>
      </c>
      <c r="P445" s="16" t="s">
        <v>589</v>
      </c>
      <c r="Q445" s="1">
        <f t="shared" si="15"/>
        <v>1</v>
      </c>
      <c r="R445" s="1">
        <v>73</v>
      </c>
      <c r="T445" s="1" t="s">
        <v>660</v>
      </c>
      <c r="U445" s="8">
        <v>41609</v>
      </c>
    </row>
    <row r="446" spans="1:23" x14ac:dyDescent="0.25">
      <c r="A446" s="2">
        <f t="shared" si="16"/>
        <v>9</v>
      </c>
      <c r="B446" t="s">
        <v>795</v>
      </c>
      <c r="J446" s="1"/>
      <c r="M446" t="s">
        <v>15</v>
      </c>
      <c r="N446" t="str">
        <f>IFERROR(VLOOKUP(B446,'[1]All Player'!$B$2:$C$1992,2,0),"")</f>
        <v/>
      </c>
      <c r="O446" s="2" t="s">
        <v>502</v>
      </c>
      <c r="P446" s="16" t="s">
        <v>590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299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502</v>
      </c>
      <c r="P447" s="16" t="s">
        <v>590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119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502</v>
      </c>
      <c r="P448" s="16" t="s">
        <v>590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297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502</v>
      </c>
      <c r="P449" s="16" t="s">
        <v>590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345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502</v>
      </c>
      <c r="P450" s="16" t="s">
        <v>590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796</v>
      </c>
      <c r="J451" s="1"/>
      <c r="M451" t="s">
        <v>15</v>
      </c>
      <c r="N451" t="str">
        <f>IFERROR(VLOOKUP(B451,'[1]All Player'!$B$2:$C$1992,2,0),"")</f>
        <v/>
      </c>
      <c r="O451" s="2" t="s">
        <v>502</v>
      </c>
      <c r="P451" s="16" t="s">
        <v>521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502</v>
      </c>
      <c r="P452" s="16" t="s">
        <v>521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224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502</v>
      </c>
      <c r="P453" s="16" t="s">
        <v>521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502</v>
      </c>
      <c r="P454" s="16" t="s">
        <v>521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157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502</v>
      </c>
      <c r="P455" s="16" t="s">
        <v>521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797</v>
      </c>
      <c r="J456" s="1"/>
      <c r="M456" t="s">
        <v>15</v>
      </c>
      <c r="N456" t="str">
        <f>IFERROR(VLOOKUP(B456,'[1]All Player'!$B$2:$C$1992,2,0),"")</f>
        <v/>
      </c>
      <c r="O456" s="2" t="s">
        <v>502</v>
      </c>
      <c r="P456" s="16" t="s">
        <v>798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159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502</v>
      </c>
      <c r="P457" s="16" t="s">
        <v>798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121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502</v>
      </c>
      <c r="P458" s="16" t="s">
        <v>798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307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502</v>
      </c>
      <c r="P459" s="16" t="s">
        <v>798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799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502</v>
      </c>
      <c r="P460" s="16" t="s">
        <v>798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280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502</v>
      </c>
      <c r="P461" s="16" t="s">
        <v>798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800</v>
      </c>
      <c r="J462" s="1"/>
      <c r="M462" t="s">
        <v>15</v>
      </c>
      <c r="N462" t="str">
        <f>IFERROR(VLOOKUP(B462,'[1]All Player'!$B$2:$C$1992,2,0),"")</f>
        <v/>
      </c>
      <c r="O462" s="2" t="s">
        <v>502</v>
      </c>
      <c r="P462" s="16" t="s">
        <v>801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139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502</v>
      </c>
      <c r="P463" s="16" t="s">
        <v>801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209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502</v>
      </c>
      <c r="P464" s="16" t="s">
        <v>801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305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502</v>
      </c>
      <c r="P465" s="16" t="s">
        <v>801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502</v>
      </c>
      <c r="P466" s="16" t="s">
        <v>801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802</v>
      </c>
      <c r="J467" s="1"/>
      <c r="M467" t="s">
        <v>15</v>
      </c>
      <c r="N467" t="str">
        <f>IFERROR(VLOOKUP(B467,'[1]All Player'!$B$2:$C$1992,2,0),"")</f>
        <v/>
      </c>
      <c r="O467" s="2" t="s">
        <v>502</v>
      </c>
      <c r="P467" s="16" t="s">
        <v>803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240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502</v>
      </c>
      <c r="P468" s="16" t="s">
        <v>803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222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502</v>
      </c>
      <c r="P469" s="16" t="s">
        <v>803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212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502</v>
      </c>
      <c r="P470" s="16" t="s">
        <v>803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229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502</v>
      </c>
      <c r="P471" s="16" t="s">
        <v>803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502</v>
      </c>
      <c r="P472" s="16" t="s">
        <v>803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804</v>
      </c>
      <c r="J473" s="1"/>
      <c r="M473" t="s">
        <v>15</v>
      </c>
      <c r="N473" t="str">
        <f>IFERROR(VLOOKUP(B473,'[1]All Player'!$B$2:$C$1992,2,0),"")</f>
        <v/>
      </c>
      <c r="O473" s="2" t="s">
        <v>502</v>
      </c>
      <c r="P473" s="16" t="s">
        <v>536</v>
      </c>
      <c r="Q473" s="1">
        <f t="shared" si="17"/>
        <v>1</v>
      </c>
      <c r="R473" s="1">
        <v>79</v>
      </c>
      <c r="T473" s="2" t="s">
        <v>673</v>
      </c>
      <c r="U473" s="8">
        <v>41609</v>
      </c>
    </row>
    <row r="474" spans="1:22" x14ac:dyDescent="0.25">
      <c r="A474" s="2">
        <f t="shared" si="16"/>
        <v>9</v>
      </c>
      <c r="B474" t="s">
        <v>153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502</v>
      </c>
      <c r="P474" s="16" t="s">
        <v>536</v>
      </c>
      <c r="Q474" s="1">
        <f t="shared" si="17"/>
        <v>1</v>
      </c>
      <c r="R474" s="1">
        <v>79</v>
      </c>
      <c r="T474" s="2" t="s">
        <v>673</v>
      </c>
      <c r="U474" s="8">
        <v>41609</v>
      </c>
    </row>
    <row r="475" spans="1:22" x14ac:dyDescent="0.25">
      <c r="A475" s="2">
        <f t="shared" si="16"/>
        <v>9</v>
      </c>
      <c r="B475" t="s">
        <v>155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502</v>
      </c>
      <c r="P475" s="16" t="s">
        <v>536</v>
      </c>
      <c r="Q475" s="1">
        <f t="shared" si="17"/>
        <v>1</v>
      </c>
      <c r="R475" s="1">
        <v>79</v>
      </c>
      <c r="T475" s="2" t="s">
        <v>673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332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502</v>
      </c>
      <c r="P476" s="16" t="s">
        <v>536</v>
      </c>
      <c r="Q476" s="1">
        <f t="shared" si="17"/>
        <v>1</v>
      </c>
      <c r="R476" s="1">
        <v>79</v>
      </c>
      <c r="T476" s="2" t="s">
        <v>673</v>
      </c>
      <c r="U476" s="8">
        <v>41609</v>
      </c>
    </row>
    <row r="477" spans="1:22" x14ac:dyDescent="0.25">
      <c r="A477" s="2">
        <f t="shared" si="16"/>
        <v>9</v>
      </c>
      <c r="B477" t="s">
        <v>133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502</v>
      </c>
      <c r="P477" s="16" t="s">
        <v>536</v>
      </c>
      <c r="Q477" s="1">
        <f t="shared" si="17"/>
        <v>1</v>
      </c>
      <c r="R477" s="1">
        <v>79</v>
      </c>
      <c r="T477" s="2" t="s">
        <v>673</v>
      </c>
      <c r="U477" s="8">
        <v>41609</v>
      </c>
    </row>
    <row r="478" spans="1:22" x14ac:dyDescent="0.25">
      <c r="A478" s="2">
        <v>10</v>
      </c>
      <c r="B478" t="s">
        <v>805</v>
      </c>
      <c r="J478" s="1"/>
      <c r="M478" t="s">
        <v>15</v>
      </c>
      <c r="N478" t="str">
        <f>IFERROR(VLOOKUP(B478,'[1]All Player'!$B$2:$C$1992,2,0),"")</f>
        <v/>
      </c>
      <c r="O478" s="2" t="s">
        <v>472</v>
      </c>
      <c r="P478" s="16" t="s">
        <v>805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229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472</v>
      </c>
      <c r="P479" s="16" t="s">
        <v>805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159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472</v>
      </c>
      <c r="P480" s="16" t="s">
        <v>805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299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472</v>
      </c>
      <c r="P481" s="16" t="s">
        <v>805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337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472</v>
      </c>
      <c r="P482" s="16" t="s">
        <v>805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133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472</v>
      </c>
      <c r="P483" s="16" t="s">
        <v>805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472</v>
      </c>
      <c r="P484" s="16" t="s">
        <v>805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474</v>
      </c>
      <c r="C485" s="2" t="s">
        <v>806</v>
      </c>
      <c r="J485" s="1"/>
      <c r="M485" t="s">
        <v>15</v>
      </c>
      <c r="N485" t="str">
        <f>IFERROR(VLOOKUP(B485,'[1]All Player'!$B$2:$C$1992,2,0),"")</f>
        <v/>
      </c>
      <c r="O485" s="2" t="s">
        <v>472</v>
      </c>
      <c r="P485" s="16" t="s">
        <v>474</v>
      </c>
      <c r="Q485" s="1">
        <f t="shared" si="17"/>
        <v>1</v>
      </c>
      <c r="R485" s="1">
        <v>81</v>
      </c>
      <c r="T485" s="1" t="s">
        <v>673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472</v>
      </c>
      <c r="P486" s="16" t="s">
        <v>474</v>
      </c>
      <c r="Q486" s="1">
        <f t="shared" si="17"/>
        <v>1</v>
      </c>
      <c r="R486" s="1">
        <v>81</v>
      </c>
      <c r="T486" s="1" t="s">
        <v>673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472</v>
      </c>
      <c r="P487" s="16" t="s">
        <v>474</v>
      </c>
      <c r="Q487" s="1">
        <f t="shared" si="17"/>
        <v>1</v>
      </c>
      <c r="R487" s="1">
        <v>81</v>
      </c>
      <c r="S487" s="2" t="s">
        <v>661</v>
      </c>
      <c r="T487" s="1" t="s">
        <v>673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472</v>
      </c>
      <c r="P488" s="16" t="s">
        <v>474</v>
      </c>
      <c r="Q488" s="1">
        <f t="shared" si="17"/>
        <v>1</v>
      </c>
      <c r="R488" s="1">
        <v>81</v>
      </c>
      <c r="T488" s="1" t="s">
        <v>673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472</v>
      </c>
      <c r="P489" s="16" t="s">
        <v>474</v>
      </c>
      <c r="Q489" s="1">
        <f t="shared" si="17"/>
        <v>1</v>
      </c>
      <c r="R489" s="1">
        <v>81</v>
      </c>
      <c r="T489" s="1" t="s">
        <v>673</v>
      </c>
      <c r="U489" s="8">
        <v>41699</v>
      </c>
    </row>
    <row r="490" spans="1:23" x14ac:dyDescent="0.25">
      <c r="A490" s="2">
        <f t="shared" si="16"/>
        <v>10</v>
      </c>
      <c r="B490" t="s">
        <v>769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472</v>
      </c>
      <c r="P490" s="16" t="s">
        <v>474</v>
      </c>
      <c r="Q490" s="1">
        <f t="shared" si="17"/>
        <v>1</v>
      </c>
      <c r="R490" s="1">
        <v>81</v>
      </c>
      <c r="T490" s="1" t="s">
        <v>673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472</v>
      </c>
      <c r="P491" s="16" t="s">
        <v>474</v>
      </c>
      <c r="Q491" s="1">
        <f t="shared" si="17"/>
        <v>1</v>
      </c>
      <c r="R491" s="1">
        <v>81</v>
      </c>
      <c r="T491" s="1" t="s">
        <v>673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591</v>
      </c>
      <c r="C492" s="2" t="s">
        <v>806</v>
      </c>
      <c r="J492" s="1"/>
      <c r="M492" t="s">
        <v>15</v>
      </c>
      <c r="N492" t="str">
        <f>IFERROR(VLOOKUP(B492,'[1]All Player'!$B$2:$C$1992,2,0),"")</f>
        <v/>
      </c>
      <c r="O492" s="2" t="s">
        <v>472</v>
      </c>
      <c r="P492" s="16" t="s">
        <v>591</v>
      </c>
      <c r="Q492" s="1">
        <f t="shared" si="17"/>
        <v>1</v>
      </c>
      <c r="R492" s="1">
        <v>82</v>
      </c>
      <c r="T492" s="1" t="s">
        <v>660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472</v>
      </c>
      <c r="P493" s="16" t="s">
        <v>591</v>
      </c>
      <c r="Q493" s="1">
        <f t="shared" si="17"/>
        <v>1</v>
      </c>
      <c r="R493" s="1">
        <v>82</v>
      </c>
      <c r="T493" s="1" t="s">
        <v>660</v>
      </c>
      <c r="U493" s="8">
        <v>41699</v>
      </c>
    </row>
    <row r="494" spans="1:23" x14ac:dyDescent="0.25">
      <c r="A494" s="2">
        <f t="shared" si="18"/>
        <v>10</v>
      </c>
      <c r="B494" t="s">
        <v>347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472</v>
      </c>
      <c r="P494" s="16" t="s">
        <v>591</v>
      </c>
      <c r="Q494" s="1">
        <f t="shared" si="17"/>
        <v>1</v>
      </c>
      <c r="R494" s="1">
        <v>82</v>
      </c>
      <c r="T494" s="1" t="s">
        <v>660</v>
      </c>
      <c r="U494" s="8">
        <v>41699</v>
      </c>
    </row>
    <row r="495" spans="1:23" x14ac:dyDescent="0.25">
      <c r="A495" s="2">
        <f t="shared" si="18"/>
        <v>10</v>
      </c>
      <c r="B495" t="s">
        <v>351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472</v>
      </c>
      <c r="P495" s="16" t="s">
        <v>591</v>
      </c>
      <c r="Q495" s="1">
        <f t="shared" si="17"/>
        <v>1</v>
      </c>
      <c r="R495" s="1">
        <v>82</v>
      </c>
      <c r="T495" s="1" t="s">
        <v>660</v>
      </c>
      <c r="U495" s="8">
        <v>41699</v>
      </c>
    </row>
    <row r="496" spans="1:23" x14ac:dyDescent="0.25">
      <c r="A496" s="2">
        <f t="shared" si="18"/>
        <v>10</v>
      </c>
      <c r="B496" t="s">
        <v>135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472</v>
      </c>
      <c r="P496" s="16" t="s">
        <v>591</v>
      </c>
      <c r="Q496" s="1">
        <f t="shared" si="17"/>
        <v>1</v>
      </c>
      <c r="R496" s="1">
        <v>82</v>
      </c>
      <c r="T496" s="1" t="s">
        <v>660</v>
      </c>
      <c r="U496" s="8">
        <v>41699</v>
      </c>
    </row>
    <row r="497" spans="1:21" x14ac:dyDescent="0.25">
      <c r="A497" s="2">
        <f t="shared" si="18"/>
        <v>10</v>
      </c>
      <c r="B497" t="s">
        <v>307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472</v>
      </c>
      <c r="P497" s="16" t="s">
        <v>591</v>
      </c>
      <c r="Q497" s="1">
        <f t="shared" si="17"/>
        <v>1</v>
      </c>
      <c r="R497" s="1">
        <v>82</v>
      </c>
      <c r="T497" s="1" t="s">
        <v>660</v>
      </c>
      <c r="U497" s="8">
        <v>41699</v>
      </c>
    </row>
    <row r="498" spans="1:21" x14ac:dyDescent="0.25">
      <c r="A498" s="2">
        <f t="shared" si="18"/>
        <v>10</v>
      </c>
      <c r="B498" t="s">
        <v>121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472</v>
      </c>
      <c r="P498" s="16" t="s">
        <v>591</v>
      </c>
      <c r="Q498" s="1">
        <f t="shared" si="17"/>
        <v>1</v>
      </c>
      <c r="R498" s="1">
        <v>82</v>
      </c>
      <c r="T498" s="1" t="s">
        <v>660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472</v>
      </c>
      <c r="P499" s="16" t="s">
        <v>591</v>
      </c>
      <c r="Q499" s="1">
        <f t="shared" si="17"/>
        <v>1</v>
      </c>
      <c r="R499" s="1">
        <v>82</v>
      </c>
      <c r="T499" s="1" t="s">
        <v>660</v>
      </c>
      <c r="U499" s="8">
        <v>41699</v>
      </c>
    </row>
    <row r="500" spans="1:21" x14ac:dyDescent="0.25">
      <c r="A500" s="2">
        <f t="shared" si="18"/>
        <v>10</v>
      </c>
      <c r="B500" s="17" t="s">
        <v>473</v>
      </c>
      <c r="C500" s="2" t="s">
        <v>806</v>
      </c>
      <c r="J500" s="1"/>
      <c r="M500" t="s">
        <v>15</v>
      </c>
      <c r="N500" t="str">
        <f>IFERROR(VLOOKUP(B500,'[1]All Player'!$B$2:$C$1992,2,0),"")</f>
        <v/>
      </c>
      <c r="O500" s="2" t="s">
        <v>472</v>
      </c>
      <c r="P500" s="16" t="s">
        <v>473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240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472</v>
      </c>
      <c r="P501" s="16" t="s">
        <v>473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115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472</v>
      </c>
      <c r="P502" s="16" t="s">
        <v>473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472</v>
      </c>
      <c r="P503" s="16" t="s">
        <v>473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170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472</v>
      </c>
      <c r="P504" s="16" t="s">
        <v>473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198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472</v>
      </c>
      <c r="P505" s="16" t="s">
        <v>473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334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472</v>
      </c>
      <c r="P506" s="16" t="s">
        <v>473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482</v>
      </c>
      <c r="C507" s="2" t="s">
        <v>806</v>
      </c>
      <c r="J507" s="1"/>
      <c r="M507" t="s">
        <v>15</v>
      </c>
      <c r="N507" t="str">
        <f>IFERROR(VLOOKUP(B507,'[1]All Player'!$B$2:$C$1992,2,0),"")</f>
        <v/>
      </c>
      <c r="O507" s="2" t="s">
        <v>472</v>
      </c>
      <c r="P507" s="16" t="s">
        <v>482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472</v>
      </c>
      <c r="P508" s="16" t="s">
        <v>482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472</v>
      </c>
      <c r="P509" s="16" t="s">
        <v>482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472</v>
      </c>
      <c r="P510" s="16" t="s">
        <v>482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131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472</v>
      </c>
      <c r="P511" s="16" t="s">
        <v>482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280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472</v>
      </c>
      <c r="P512" s="16" t="s">
        <v>482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472</v>
      </c>
      <c r="P513" s="16" t="s">
        <v>482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593</v>
      </c>
      <c r="C514" s="2" t="s">
        <v>806</v>
      </c>
      <c r="J514" s="1"/>
      <c r="M514" t="s">
        <v>15</v>
      </c>
      <c r="N514" t="str">
        <f>IFERROR(VLOOKUP(B514,'[1]All Player'!$B$2:$C$1992,2,0),"")</f>
        <v/>
      </c>
      <c r="O514" s="2" t="s">
        <v>472</v>
      </c>
      <c r="P514" s="16" t="s">
        <v>593</v>
      </c>
      <c r="Q514" s="1">
        <f t="shared" ref="Q514:Q577" si="19">IF(B514="","",1)</f>
        <v>1</v>
      </c>
      <c r="R514" s="1">
        <v>85</v>
      </c>
      <c r="T514" s="1" t="s">
        <v>658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472</v>
      </c>
      <c r="P515" s="16" t="s">
        <v>593</v>
      </c>
      <c r="Q515" s="1">
        <f t="shared" si="19"/>
        <v>1</v>
      </c>
      <c r="R515" s="1">
        <v>85</v>
      </c>
      <c r="T515" s="1" t="s">
        <v>658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779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472</v>
      </c>
      <c r="P516" s="16" t="s">
        <v>593</v>
      </c>
      <c r="Q516" s="1">
        <f t="shared" si="19"/>
        <v>1</v>
      </c>
      <c r="R516" s="1">
        <v>85</v>
      </c>
      <c r="T516" s="1" t="s">
        <v>658</v>
      </c>
      <c r="U516" s="8">
        <v>41699</v>
      </c>
    </row>
    <row r="517" spans="1:22" x14ac:dyDescent="0.25">
      <c r="A517" s="2">
        <f t="shared" si="18"/>
        <v>10</v>
      </c>
      <c r="B517" t="s">
        <v>180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472</v>
      </c>
      <c r="P517" s="16" t="s">
        <v>593</v>
      </c>
      <c r="Q517" s="1">
        <f t="shared" si="19"/>
        <v>1</v>
      </c>
      <c r="R517" s="1">
        <v>85</v>
      </c>
      <c r="T517" s="1" t="s">
        <v>658</v>
      </c>
      <c r="U517" s="8">
        <v>41699</v>
      </c>
    </row>
    <row r="518" spans="1:22" x14ac:dyDescent="0.25">
      <c r="A518" s="2">
        <f t="shared" si="18"/>
        <v>10</v>
      </c>
      <c r="B518" t="s">
        <v>319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472</v>
      </c>
      <c r="P518" s="16" t="s">
        <v>593</v>
      </c>
      <c r="Q518" s="1">
        <f t="shared" si="19"/>
        <v>1</v>
      </c>
      <c r="R518" s="1">
        <v>85</v>
      </c>
      <c r="S518" s="2" t="s">
        <v>659</v>
      </c>
      <c r="T518" s="1" t="s">
        <v>658</v>
      </c>
      <c r="U518" s="8">
        <v>41699</v>
      </c>
    </row>
    <row r="519" spans="1:22" x14ac:dyDescent="0.25">
      <c r="A519" s="2">
        <f t="shared" si="18"/>
        <v>10</v>
      </c>
      <c r="B519" t="s">
        <v>790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472</v>
      </c>
      <c r="P519" s="16" t="s">
        <v>593</v>
      </c>
      <c r="Q519" s="1">
        <f t="shared" si="19"/>
        <v>1</v>
      </c>
      <c r="R519" s="1">
        <v>85</v>
      </c>
      <c r="T519" s="1" t="s">
        <v>658</v>
      </c>
      <c r="U519" s="8">
        <v>41699</v>
      </c>
    </row>
    <row r="520" spans="1:22" x14ac:dyDescent="0.25">
      <c r="A520" s="2">
        <f t="shared" si="18"/>
        <v>10</v>
      </c>
      <c r="B520" t="s">
        <v>353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472</v>
      </c>
      <c r="P520" s="16" t="s">
        <v>593</v>
      </c>
      <c r="Q520" s="1">
        <f t="shared" si="19"/>
        <v>1</v>
      </c>
      <c r="R520" s="1">
        <v>85</v>
      </c>
      <c r="T520" s="1" t="s">
        <v>658</v>
      </c>
      <c r="U520" s="8">
        <v>41699</v>
      </c>
    </row>
    <row r="521" spans="1:22" x14ac:dyDescent="0.25">
      <c r="A521" s="2">
        <f t="shared" si="18"/>
        <v>10</v>
      </c>
      <c r="B521" s="17" t="s">
        <v>548</v>
      </c>
      <c r="J521" s="1"/>
      <c r="M521" t="s">
        <v>15</v>
      </c>
      <c r="N521" t="str">
        <f>IFERROR(VLOOKUP(B521,'[1]All Player'!$B$2:$C$1992,2,0),"")</f>
        <v/>
      </c>
      <c r="O521" s="2" t="s">
        <v>472</v>
      </c>
      <c r="P521" s="16" t="s">
        <v>548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283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472</v>
      </c>
      <c r="P522" s="16" t="s">
        <v>548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174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472</v>
      </c>
      <c r="P523" s="16" t="s">
        <v>548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297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472</v>
      </c>
      <c r="P524" s="16" t="s">
        <v>548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472</v>
      </c>
      <c r="P525" s="16" t="s">
        <v>548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147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472</v>
      </c>
      <c r="P526" s="16" t="s">
        <v>548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164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472</v>
      </c>
      <c r="P527" s="16" t="s">
        <v>548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592</v>
      </c>
      <c r="C528" s="2" t="s">
        <v>806</v>
      </c>
      <c r="J528" s="1"/>
      <c r="M528" t="s">
        <v>15</v>
      </c>
      <c r="N528" t="str">
        <f>IFERROR(VLOOKUP(B528,'[1]All Player'!$B$2:$C$1992,2,0),"")</f>
        <v/>
      </c>
      <c r="O528" s="2" t="s">
        <v>472</v>
      </c>
      <c r="P528" s="16" t="s">
        <v>592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246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472</v>
      </c>
      <c r="P529" s="16" t="s">
        <v>592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153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472</v>
      </c>
      <c r="P530" s="16" t="s">
        <v>592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145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472</v>
      </c>
      <c r="P531" s="16" t="s">
        <v>592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155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472</v>
      </c>
      <c r="P532" s="16" t="s">
        <v>592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349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472</v>
      </c>
      <c r="P533" s="16" t="s">
        <v>592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435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472</v>
      </c>
      <c r="P534" s="16" t="s">
        <v>592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807</v>
      </c>
      <c r="C535" s="2" t="s">
        <v>806</v>
      </c>
      <c r="J535" s="1"/>
      <c r="M535" t="s">
        <v>15</v>
      </c>
      <c r="N535" t="str">
        <f>IFERROR(VLOOKUP(B535,'[1]All Player'!$B$2:$C$1992,2,0),"")</f>
        <v/>
      </c>
      <c r="O535" s="2" t="s">
        <v>510</v>
      </c>
      <c r="P535" s="16" t="s">
        <v>594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123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510</v>
      </c>
      <c r="P536" s="16" t="s">
        <v>594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246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510</v>
      </c>
      <c r="P537" s="16" t="s">
        <v>594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808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510</v>
      </c>
      <c r="P538" s="16" t="s">
        <v>594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355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510</v>
      </c>
      <c r="P539" s="16" t="s">
        <v>594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351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510</v>
      </c>
      <c r="P540" s="16" t="s">
        <v>594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809</v>
      </c>
      <c r="C541" s="2" t="s">
        <v>806</v>
      </c>
      <c r="J541" s="1"/>
      <c r="M541" t="s">
        <v>15</v>
      </c>
      <c r="N541" t="str">
        <f>IFERROR(VLOOKUP(B541,'[1]All Player'!$B$2:$C$1992,2,0),"")</f>
        <v/>
      </c>
      <c r="O541" s="2" t="s">
        <v>510</v>
      </c>
      <c r="P541" s="16" t="s">
        <v>574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510</v>
      </c>
      <c r="P542" s="16" t="s">
        <v>574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510</v>
      </c>
      <c r="P543" s="16" t="s">
        <v>574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131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510</v>
      </c>
      <c r="P544" s="16" t="s">
        <v>574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810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510</v>
      </c>
      <c r="P545" s="16" t="s">
        <v>574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510</v>
      </c>
      <c r="P546" s="16" t="s">
        <v>574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811</v>
      </c>
      <c r="C547" s="2" t="s">
        <v>806</v>
      </c>
      <c r="J547" s="1"/>
      <c r="M547" t="s">
        <v>15</v>
      </c>
      <c r="N547" t="str">
        <f>IFERROR(VLOOKUP(B547,'[1]All Player'!$B$2:$C$1992,2,0),"")</f>
        <v/>
      </c>
      <c r="O547" s="2" t="s">
        <v>510</v>
      </c>
      <c r="P547" s="16" t="s">
        <v>812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334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510</v>
      </c>
      <c r="P548" s="16" t="s">
        <v>812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790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510</v>
      </c>
      <c r="P549" s="16" t="s">
        <v>812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510</v>
      </c>
      <c r="P550" s="16" t="s">
        <v>812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510</v>
      </c>
      <c r="P551" s="16" t="s">
        <v>812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180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510</v>
      </c>
      <c r="P552" s="16" t="s">
        <v>812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813</v>
      </c>
      <c r="C553" s="2" t="s">
        <v>806</v>
      </c>
      <c r="J553" s="1"/>
      <c r="M553" t="s">
        <v>15</v>
      </c>
      <c r="N553" t="str">
        <f>IFERROR(VLOOKUP(B553,'[1]All Player'!$B$2:$C$1992,2,0),"")</f>
        <v/>
      </c>
      <c r="O553" s="2" t="s">
        <v>510</v>
      </c>
      <c r="P553" s="16" t="s">
        <v>511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510</v>
      </c>
      <c r="P554" s="16" t="s">
        <v>511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510</v>
      </c>
      <c r="P555" s="16" t="s">
        <v>511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510</v>
      </c>
      <c r="P556" s="16" t="s">
        <v>511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510</v>
      </c>
      <c r="P557" s="16" t="s">
        <v>511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510</v>
      </c>
      <c r="P558" s="16" t="s">
        <v>511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814</v>
      </c>
      <c r="C559" s="2" t="s">
        <v>806</v>
      </c>
      <c r="J559" s="1"/>
      <c r="M559" t="s">
        <v>15</v>
      </c>
      <c r="N559" t="str">
        <f>IFERROR(VLOOKUP(B559,'[1]All Player'!$B$2:$C$1992,2,0),"")</f>
        <v/>
      </c>
      <c r="O559" s="2" t="s">
        <v>510</v>
      </c>
      <c r="P559" s="16" t="s">
        <v>815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510</v>
      </c>
      <c r="P560" s="16" t="s">
        <v>815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139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510</v>
      </c>
      <c r="P561" s="16" t="s">
        <v>815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135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510</v>
      </c>
      <c r="P562" s="16" t="s">
        <v>815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297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510</v>
      </c>
      <c r="P563" s="16" t="s">
        <v>815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510</v>
      </c>
      <c r="P564" s="16" t="s">
        <v>815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816</v>
      </c>
      <c r="C565" s="2" t="s">
        <v>806</v>
      </c>
      <c r="J565" s="1"/>
      <c r="M565" t="s">
        <v>15</v>
      </c>
      <c r="N565" t="str">
        <f>IFERROR(VLOOKUP(B565,'[1]All Player'!$B$2:$C$1992,2,0),"")</f>
        <v/>
      </c>
      <c r="O565" s="2" t="s">
        <v>510</v>
      </c>
      <c r="P565" s="16" t="s">
        <v>817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510</v>
      </c>
      <c r="P566" s="16" t="s">
        <v>817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153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510</v>
      </c>
      <c r="P567" s="16" t="s">
        <v>817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184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510</v>
      </c>
      <c r="P568" s="16" t="s">
        <v>817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341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510</v>
      </c>
      <c r="P569" s="16" t="s">
        <v>817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335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510</v>
      </c>
      <c r="P570" s="16" t="s">
        <v>817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557</v>
      </c>
      <c r="C571" s="2" t="s">
        <v>806</v>
      </c>
      <c r="J571" s="1"/>
      <c r="M571" t="s">
        <v>15</v>
      </c>
      <c r="N571" t="str">
        <f>IFERROR(VLOOKUP(B571,'[1]All Player'!$B$2:$C$1992,2,0),"")</f>
        <v/>
      </c>
      <c r="O571" s="2" t="s">
        <v>510</v>
      </c>
      <c r="P571" s="16" t="s">
        <v>557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510</v>
      </c>
      <c r="P572" s="16" t="s">
        <v>557</v>
      </c>
      <c r="Q572" s="1">
        <f t="shared" si="19"/>
        <v>1</v>
      </c>
      <c r="R572" s="1">
        <v>94</v>
      </c>
      <c r="S572" s="2" t="s">
        <v>659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357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510</v>
      </c>
      <c r="P573" s="16" t="s">
        <v>557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359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510</v>
      </c>
      <c r="P574" s="16" t="s">
        <v>557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799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510</v>
      </c>
      <c r="P575" s="16" t="s">
        <v>557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192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510</v>
      </c>
      <c r="P576" s="16" t="s">
        <v>557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818</v>
      </c>
      <c r="C577" s="2" t="s">
        <v>806</v>
      </c>
      <c r="J577" s="1"/>
      <c r="M577" t="s">
        <v>15</v>
      </c>
      <c r="N577" t="str">
        <f>IFERROR(VLOOKUP(B577,'[1]All Player'!$B$2:$C$1992,2,0),"")</f>
        <v/>
      </c>
      <c r="O577" s="2" t="s">
        <v>510</v>
      </c>
      <c r="P577" s="16" t="s">
        <v>818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349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510</v>
      </c>
      <c r="P578" s="16" t="s">
        <v>818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159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510</v>
      </c>
      <c r="P579" s="16" t="s">
        <v>818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510</v>
      </c>
      <c r="P580" s="16" t="s">
        <v>818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121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510</v>
      </c>
      <c r="P581" s="16" t="s">
        <v>818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510</v>
      </c>
      <c r="P582" s="16" t="s">
        <v>818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819</v>
      </c>
      <c r="C583" s="2" t="s">
        <v>806</v>
      </c>
      <c r="J583" s="1"/>
      <c r="M583" t="s">
        <v>15</v>
      </c>
      <c r="N583" t="str">
        <f>IFERROR(VLOOKUP(B583,'[1]All Player'!$B$2:$C$1992,2,0),"")</f>
        <v/>
      </c>
      <c r="O583" s="2" t="s">
        <v>510</v>
      </c>
      <c r="P583" s="16" t="s">
        <v>819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510</v>
      </c>
      <c r="P584" s="16" t="s">
        <v>819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119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510</v>
      </c>
      <c r="P585" s="16" t="s">
        <v>819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779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510</v>
      </c>
      <c r="P586" s="16" t="s">
        <v>819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299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510</v>
      </c>
      <c r="P587" s="16" t="s">
        <v>819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337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510</v>
      </c>
      <c r="P588" s="16" t="s">
        <v>819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522</v>
      </c>
      <c r="C589" s="2" t="s">
        <v>806</v>
      </c>
      <c r="J589" s="1"/>
      <c r="M589" t="s">
        <v>15</v>
      </c>
      <c r="N589" t="str">
        <f>IFERROR(VLOOKUP(B589,'[1]All Player'!$B$2:$C$1992,2,0),"")</f>
        <v/>
      </c>
      <c r="O589" s="2" t="s">
        <v>510</v>
      </c>
      <c r="P589" s="16" t="s">
        <v>522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510</v>
      </c>
      <c r="P590" s="16" t="s">
        <v>522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510</v>
      </c>
      <c r="P591" s="16" t="s">
        <v>522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510</v>
      </c>
      <c r="P592" s="16" t="s">
        <v>522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510</v>
      </c>
      <c r="P593" s="16" t="s">
        <v>522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353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510</v>
      </c>
      <c r="P594" s="16" t="s">
        <v>820</v>
      </c>
      <c r="Q594" s="1">
        <f t="shared" si="21"/>
        <v>1</v>
      </c>
      <c r="R594" s="1">
        <v>98</v>
      </c>
      <c r="T594" s="1" t="s">
        <v>660</v>
      </c>
      <c r="U594" s="8">
        <v>41791</v>
      </c>
    </row>
    <row r="595" spans="1:21" ht="15.75" x14ac:dyDescent="0.25">
      <c r="A595" s="2">
        <f>A594</f>
        <v>11</v>
      </c>
      <c r="B595" s="18" t="s">
        <v>820</v>
      </c>
      <c r="C595" s="2" t="s">
        <v>806</v>
      </c>
      <c r="J595" s="1"/>
      <c r="M595" t="s">
        <v>15</v>
      </c>
      <c r="N595" t="str">
        <f>IFERROR(VLOOKUP(B595,'[1]All Player'!$B$2:$C$1992,2,0),"")</f>
        <v/>
      </c>
      <c r="O595" s="2" t="s">
        <v>510</v>
      </c>
      <c r="P595" s="16" t="s">
        <v>820</v>
      </c>
      <c r="Q595" s="1">
        <f t="shared" si="21"/>
        <v>1</v>
      </c>
      <c r="R595" s="1">
        <v>98</v>
      </c>
      <c r="T595" s="1" t="s">
        <v>660</v>
      </c>
      <c r="U595" s="8">
        <v>41791</v>
      </c>
    </row>
    <row r="596" spans="1:21" x14ac:dyDescent="0.25">
      <c r="A596" s="2">
        <f t="shared" si="20"/>
        <v>11</v>
      </c>
      <c r="B596" t="s">
        <v>202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510</v>
      </c>
      <c r="P596" s="16" t="s">
        <v>820</v>
      </c>
      <c r="Q596" s="1">
        <f t="shared" si="21"/>
        <v>1</v>
      </c>
      <c r="R596" s="1">
        <v>98</v>
      </c>
      <c r="T596" s="1" t="s">
        <v>660</v>
      </c>
      <c r="U596" s="8">
        <v>41791</v>
      </c>
    </row>
    <row r="597" spans="1:21" x14ac:dyDescent="0.25">
      <c r="A597" s="2">
        <f t="shared" si="20"/>
        <v>11</v>
      </c>
      <c r="B597" t="s">
        <v>204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510</v>
      </c>
      <c r="P597" s="16" t="s">
        <v>820</v>
      </c>
      <c r="Q597" s="1">
        <f t="shared" si="21"/>
        <v>1</v>
      </c>
      <c r="R597" s="1">
        <v>98</v>
      </c>
      <c r="T597" s="1" t="s">
        <v>660</v>
      </c>
      <c r="U597" s="8">
        <v>41791</v>
      </c>
    </row>
    <row r="598" spans="1:21" x14ac:dyDescent="0.25">
      <c r="A598" s="2">
        <f t="shared" si="20"/>
        <v>11</v>
      </c>
      <c r="B598" t="s">
        <v>303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510</v>
      </c>
      <c r="P598" s="16" t="s">
        <v>820</v>
      </c>
      <c r="Q598" s="1">
        <f t="shared" si="21"/>
        <v>1</v>
      </c>
      <c r="R598" s="1">
        <v>98</v>
      </c>
      <c r="S598" s="2" t="s">
        <v>661</v>
      </c>
      <c r="T598" s="1" t="s">
        <v>660</v>
      </c>
      <c r="U598" s="8">
        <v>41791</v>
      </c>
    </row>
    <row r="599" spans="1:21" x14ac:dyDescent="0.25">
      <c r="A599" s="2">
        <f t="shared" si="20"/>
        <v>11</v>
      </c>
      <c r="B599" t="s">
        <v>155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510</v>
      </c>
      <c r="P599" s="16" t="s">
        <v>820</v>
      </c>
      <c r="Q599" s="1">
        <f t="shared" si="21"/>
        <v>1</v>
      </c>
      <c r="R599" s="1">
        <v>98</v>
      </c>
      <c r="T599" s="1" t="s">
        <v>660</v>
      </c>
      <c r="U599" s="8">
        <v>41791</v>
      </c>
    </row>
    <row r="600" spans="1:21" x14ac:dyDescent="0.25">
      <c r="A600" s="2">
        <f t="shared" si="20"/>
        <v>11</v>
      </c>
      <c r="B600" t="s">
        <v>319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510</v>
      </c>
      <c r="P600" s="16" t="s">
        <v>820</v>
      </c>
      <c r="Q600" s="1">
        <f t="shared" si="21"/>
        <v>1</v>
      </c>
      <c r="R600" s="1">
        <v>98</v>
      </c>
      <c r="T600" s="1" t="s">
        <v>660</v>
      </c>
      <c r="U600" s="8">
        <v>41791</v>
      </c>
    </row>
    <row r="601" spans="1:21" x14ac:dyDescent="0.25">
      <c r="A601" s="2">
        <f>A600</f>
        <v>11</v>
      </c>
      <c r="B601" s="17" t="s">
        <v>559</v>
      </c>
      <c r="C601" s="2" t="s">
        <v>806</v>
      </c>
      <c r="J601" s="1"/>
      <c r="M601" t="s">
        <v>15</v>
      </c>
      <c r="N601" t="str">
        <f>IFERROR(VLOOKUP(B601,'[1]All Player'!$B$2:$C$1992,2,0),"")</f>
        <v/>
      </c>
      <c r="O601" s="2" t="s">
        <v>510</v>
      </c>
      <c r="P601" s="16" t="s">
        <v>559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147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510</v>
      </c>
      <c r="P602" s="16" t="s">
        <v>559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157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510</v>
      </c>
      <c r="P603" s="16" t="s">
        <v>559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196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510</v>
      </c>
      <c r="P604" s="16" t="s">
        <v>559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361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510</v>
      </c>
      <c r="P605" s="16" t="s">
        <v>559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292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510</v>
      </c>
      <c r="P606" s="16" t="s">
        <v>559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821</v>
      </c>
      <c r="C607" s="2" t="s">
        <v>806</v>
      </c>
      <c r="J607" s="1"/>
      <c r="M607" t="s">
        <v>15</v>
      </c>
      <c r="N607" t="str">
        <f>IFERROR(VLOOKUP(B607,'[1]All Player'!$B$2:$C$1992,2,0),"")</f>
        <v/>
      </c>
      <c r="O607" s="2" t="s">
        <v>510</v>
      </c>
      <c r="P607" s="16" t="s">
        <v>822</v>
      </c>
      <c r="Q607" s="1">
        <f t="shared" si="21"/>
        <v>1</v>
      </c>
      <c r="R607" s="1">
        <v>100</v>
      </c>
      <c r="T607" s="1" t="s">
        <v>658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283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510</v>
      </c>
      <c r="P608" s="16" t="s">
        <v>822</v>
      </c>
      <c r="Q608" s="1">
        <f t="shared" si="21"/>
        <v>1</v>
      </c>
      <c r="R608" s="1">
        <v>100</v>
      </c>
      <c r="T608" s="1" t="s">
        <v>658</v>
      </c>
      <c r="U608" s="8">
        <v>41791</v>
      </c>
    </row>
    <row r="609" spans="1:21" x14ac:dyDescent="0.25">
      <c r="A609" s="2">
        <f t="shared" si="22"/>
        <v>11</v>
      </c>
      <c r="B609" t="s">
        <v>115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510</v>
      </c>
      <c r="P609" s="16" t="s">
        <v>822</v>
      </c>
      <c r="Q609" s="1">
        <f t="shared" si="21"/>
        <v>1</v>
      </c>
      <c r="R609" s="1">
        <v>100</v>
      </c>
      <c r="T609" s="1" t="s">
        <v>658</v>
      </c>
      <c r="U609" s="8">
        <v>41791</v>
      </c>
    </row>
    <row r="610" spans="1:21" x14ac:dyDescent="0.25">
      <c r="A610" s="2">
        <f t="shared" si="22"/>
        <v>11</v>
      </c>
      <c r="B610" t="s">
        <v>170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510</v>
      </c>
      <c r="P610" s="16" t="s">
        <v>822</v>
      </c>
      <c r="Q610" s="1">
        <f t="shared" si="21"/>
        <v>1</v>
      </c>
      <c r="R610" s="1">
        <v>100</v>
      </c>
      <c r="T610" s="1" t="s">
        <v>658</v>
      </c>
      <c r="U610" s="8">
        <v>41791</v>
      </c>
    </row>
    <row r="611" spans="1:21" x14ac:dyDescent="0.25">
      <c r="A611" s="2">
        <f t="shared" si="22"/>
        <v>11</v>
      </c>
      <c r="B611" t="s">
        <v>174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510</v>
      </c>
      <c r="P611" s="16" t="s">
        <v>822</v>
      </c>
      <c r="Q611" s="1">
        <f t="shared" si="21"/>
        <v>1</v>
      </c>
      <c r="R611" s="1">
        <v>100</v>
      </c>
      <c r="T611" s="1" t="s">
        <v>658</v>
      </c>
      <c r="U611" s="8">
        <v>41791</v>
      </c>
    </row>
    <row r="612" spans="1:21" x14ac:dyDescent="0.25">
      <c r="A612" s="2">
        <f t="shared" si="22"/>
        <v>11</v>
      </c>
      <c r="B612" t="s">
        <v>229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510</v>
      </c>
      <c r="P612" s="16" t="s">
        <v>822</v>
      </c>
      <c r="Q612" s="1">
        <f t="shared" si="21"/>
        <v>1</v>
      </c>
      <c r="R612" s="1">
        <v>100</v>
      </c>
      <c r="T612" s="1" t="s">
        <v>658</v>
      </c>
      <c r="U612" s="8">
        <v>41791</v>
      </c>
    </row>
    <row r="613" spans="1:21" x14ac:dyDescent="0.25">
      <c r="A613" s="2">
        <f>A612</f>
        <v>11</v>
      </c>
      <c r="B613" t="s">
        <v>823</v>
      </c>
      <c r="C613" s="2" t="s">
        <v>806</v>
      </c>
      <c r="J613" s="1"/>
      <c r="M613" t="s">
        <v>15</v>
      </c>
      <c r="N613" t="str">
        <f>IFERROR(VLOOKUP(B613,'[1]All Player'!$B$2:$C$1992,2,0),"")</f>
        <v/>
      </c>
      <c r="O613" s="2" t="s">
        <v>510</v>
      </c>
      <c r="P613" s="16" t="s">
        <v>824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224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510</v>
      </c>
      <c r="P614" s="16" t="s">
        <v>824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791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510</v>
      </c>
      <c r="P615" s="16" t="s">
        <v>824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347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510</v>
      </c>
      <c r="P616" s="16" t="s">
        <v>824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510</v>
      </c>
      <c r="P617" s="16" t="s">
        <v>824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773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510</v>
      </c>
      <c r="P618" s="16" t="s">
        <v>824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510</v>
      </c>
      <c r="P619" s="16" t="s">
        <v>824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825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510</v>
      </c>
      <c r="P620" s="16" t="s">
        <v>824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595</v>
      </c>
      <c r="J621" s="1"/>
      <c r="M621" t="s">
        <v>15</v>
      </c>
      <c r="N621" t="str">
        <f>IFERROR(VLOOKUP(B621,'[1]All Player'!$B$2:$C$1992,2,0),"")</f>
        <v/>
      </c>
      <c r="O621" s="2" t="s">
        <v>523</v>
      </c>
      <c r="P621" s="16" t="s">
        <v>595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139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523</v>
      </c>
      <c r="P622" s="16" t="s">
        <v>595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523</v>
      </c>
      <c r="P623" s="16" t="s">
        <v>595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353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523</v>
      </c>
      <c r="P624" s="16" t="s">
        <v>595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363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523</v>
      </c>
      <c r="P625" s="16" t="s">
        <v>595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662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523</v>
      </c>
      <c r="P626" s="16" t="s">
        <v>595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558</v>
      </c>
      <c r="J627" s="1"/>
      <c r="M627" t="s">
        <v>15</v>
      </c>
      <c r="N627" t="str">
        <f>IFERROR(VLOOKUP(B627,'[1]All Player'!$B$2:$C$1992,2,0),"")</f>
        <v/>
      </c>
      <c r="O627" s="2" t="s">
        <v>523</v>
      </c>
      <c r="P627" s="16" t="s">
        <v>558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523</v>
      </c>
      <c r="P628" s="16" t="s">
        <v>558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523</v>
      </c>
      <c r="P629" s="16" t="s">
        <v>558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303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523</v>
      </c>
      <c r="P630" s="16" t="s">
        <v>558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198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523</v>
      </c>
      <c r="P631" s="16" t="s">
        <v>558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194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523</v>
      </c>
      <c r="P632" s="16" t="s">
        <v>558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533</v>
      </c>
      <c r="J633" s="1"/>
      <c r="M633" t="s">
        <v>15</v>
      </c>
      <c r="N633" t="str">
        <f>IFERROR(VLOOKUP(B633,'[1]All Player'!$B$2:$C$1992,2,0),"")</f>
        <v/>
      </c>
      <c r="O633" s="2" t="s">
        <v>523</v>
      </c>
      <c r="P633" s="16" t="s">
        <v>533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523</v>
      </c>
      <c r="P634" s="16" t="s">
        <v>533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127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523</v>
      </c>
      <c r="P635" s="16" t="s">
        <v>533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790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523</v>
      </c>
      <c r="P636" s="16" t="s">
        <v>533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159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523</v>
      </c>
      <c r="P637" s="16" t="s">
        <v>533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299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523</v>
      </c>
      <c r="P638" s="16" t="s">
        <v>533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596</v>
      </c>
      <c r="J639" s="1"/>
      <c r="M639" t="s">
        <v>15</v>
      </c>
      <c r="N639" t="str">
        <f>IFERROR(VLOOKUP(B639,'[1]All Player'!$B$2:$C$1992,2,0),"")</f>
        <v/>
      </c>
      <c r="O639" s="2" t="s">
        <v>523</v>
      </c>
      <c r="P639" s="16" t="s">
        <v>596</v>
      </c>
      <c r="Q639" s="1">
        <f t="shared" si="21"/>
        <v>1</v>
      </c>
      <c r="R639" s="1">
        <v>105</v>
      </c>
      <c r="T639" s="1" t="s">
        <v>658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523</v>
      </c>
      <c r="P640" s="16" t="s">
        <v>596</v>
      </c>
      <c r="Q640" s="1">
        <f t="shared" si="21"/>
        <v>1</v>
      </c>
      <c r="R640" s="1">
        <v>105</v>
      </c>
      <c r="S640" s="2" t="s">
        <v>661</v>
      </c>
      <c r="T640" s="1" t="s">
        <v>658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523</v>
      </c>
      <c r="P641" s="16" t="s">
        <v>596</v>
      </c>
      <c r="Q641" s="1">
        <f t="shared" si="21"/>
        <v>1</v>
      </c>
      <c r="R641" s="1">
        <v>105</v>
      </c>
      <c r="T641" s="1" t="s">
        <v>658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523</v>
      </c>
      <c r="P642" s="16" t="s">
        <v>596</v>
      </c>
      <c r="Q642" s="1">
        <f t="shared" ref="Q642:Q705" si="23">IF(B642="","",1)</f>
        <v>1</v>
      </c>
      <c r="R642" s="1">
        <v>105</v>
      </c>
      <c r="T642" s="1" t="s">
        <v>658</v>
      </c>
      <c r="U642" s="8">
        <v>42339</v>
      </c>
    </row>
    <row r="643" spans="1:23" x14ac:dyDescent="0.25">
      <c r="A643" s="2">
        <f t="shared" si="22"/>
        <v>12</v>
      </c>
      <c r="B643" t="s">
        <v>365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523</v>
      </c>
      <c r="P643" s="16" t="s">
        <v>596</v>
      </c>
      <c r="Q643" s="1">
        <f t="shared" si="23"/>
        <v>1</v>
      </c>
      <c r="R643" s="1">
        <v>105</v>
      </c>
      <c r="T643" s="1" t="s">
        <v>658</v>
      </c>
      <c r="U643" s="8">
        <v>42339</v>
      </c>
    </row>
    <row r="644" spans="1:23" x14ac:dyDescent="0.25">
      <c r="A644" s="2">
        <f t="shared" si="22"/>
        <v>12</v>
      </c>
      <c r="B644" t="s">
        <v>184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523</v>
      </c>
      <c r="P644" s="16" t="s">
        <v>596</v>
      </c>
      <c r="Q644" s="1">
        <f t="shared" si="23"/>
        <v>1</v>
      </c>
      <c r="R644" s="1">
        <v>105</v>
      </c>
      <c r="T644" s="1" t="s">
        <v>658</v>
      </c>
      <c r="U644" s="8">
        <v>42339</v>
      </c>
    </row>
    <row r="645" spans="1:23" x14ac:dyDescent="0.25">
      <c r="A645" s="2">
        <f t="shared" si="22"/>
        <v>12</v>
      </c>
      <c r="B645" t="s">
        <v>826</v>
      </c>
      <c r="J645" s="1"/>
      <c r="M645" t="s">
        <v>15</v>
      </c>
      <c r="N645" t="str">
        <f>IFERROR(VLOOKUP(B645,'[1]All Player'!$B$2:$C$1992,2,0),"")</f>
        <v/>
      </c>
      <c r="O645" s="2" t="s">
        <v>523</v>
      </c>
      <c r="P645" s="16" t="s">
        <v>826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174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523</v>
      </c>
      <c r="P646" s="16" t="s">
        <v>826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145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523</v>
      </c>
      <c r="P647" s="16" t="s">
        <v>826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337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523</v>
      </c>
      <c r="P648" s="16" t="s">
        <v>826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355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523</v>
      </c>
      <c r="P649" s="16" t="s">
        <v>826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523</v>
      </c>
      <c r="P650" s="16" t="s">
        <v>826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827</v>
      </c>
      <c r="J651" s="1"/>
      <c r="M651" t="s">
        <v>15</v>
      </c>
      <c r="N651" t="str">
        <f>IFERROR(VLOOKUP(B651,'[1]All Player'!$B$2:$C$1992,2,0),"")</f>
        <v/>
      </c>
      <c r="O651" s="2" t="s">
        <v>523</v>
      </c>
      <c r="P651" s="16" t="s">
        <v>827</v>
      </c>
      <c r="Q651" s="1">
        <f t="shared" si="23"/>
        <v>1</v>
      </c>
      <c r="R651" s="1">
        <v>107</v>
      </c>
      <c r="T651" s="1" t="s">
        <v>660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523</v>
      </c>
      <c r="P652" s="16" t="s">
        <v>827</v>
      </c>
      <c r="Q652" s="1">
        <f t="shared" si="23"/>
        <v>1</v>
      </c>
      <c r="R652" s="1">
        <v>107</v>
      </c>
      <c r="T652" s="1" t="s">
        <v>660</v>
      </c>
      <c r="U652" s="8">
        <v>42339</v>
      </c>
    </row>
    <row r="653" spans="1:23" x14ac:dyDescent="0.25">
      <c r="A653" s="2">
        <f t="shared" si="22"/>
        <v>12</v>
      </c>
      <c r="B653" t="s">
        <v>246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523</v>
      </c>
      <c r="P653" s="16" t="s">
        <v>827</v>
      </c>
      <c r="Q653" s="1">
        <f t="shared" si="23"/>
        <v>1</v>
      </c>
      <c r="R653" s="1">
        <v>107</v>
      </c>
      <c r="T653" s="1" t="s">
        <v>660</v>
      </c>
      <c r="U653" s="8">
        <v>42339</v>
      </c>
    </row>
    <row r="654" spans="1:23" x14ac:dyDescent="0.25">
      <c r="A654" s="2">
        <f t="shared" si="22"/>
        <v>12</v>
      </c>
      <c r="B654" t="s">
        <v>192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523</v>
      </c>
      <c r="P654" s="16" t="s">
        <v>827</v>
      </c>
      <c r="Q654" s="1">
        <f t="shared" si="23"/>
        <v>1</v>
      </c>
      <c r="R654" s="1">
        <v>107</v>
      </c>
      <c r="T654" s="1" t="s">
        <v>660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523</v>
      </c>
      <c r="P655" s="16" t="s">
        <v>827</v>
      </c>
      <c r="Q655" s="1">
        <f t="shared" si="23"/>
        <v>1</v>
      </c>
      <c r="R655" s="1">
        <v>107</v>
      </c>
      <c r="S655" s="2" t="s">
        <v>659</v>
      </c>
      <c r="T655" s="1" t="s">
        <v>660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523</v>
      </c>
      <c r="P656" s="16" t="s">
        <v>827</v>
      </c>
      <c r="Q656" s="1">
        <f t="shared" si="23"/>
        <v>1</v>
      </c>
      <c r="R656" s="1">
        <v>107</v>
      </c>
      <c r="T656" s="1" t="s">
        <v>660</v>
      </c>
      <c r="U656" s="8">
        <v>42339</v>
      </c>
    </row>
    <row r="657" spans="1:21" x14ac:dyDescent="0.25">
      <c r="A657" s="2">
        <f t="shared" si="22"/>
        <v>12</v>
      </c>
      <c r="B657" t="s">
        <v>828</v>
      </c>
      <c r="J657" s="1"/>
      <c r="M657" t="s">
        <v>15</v>
      </c>
      <c r="N657" t="str">
        <f>IFERROR(VLOOKUP(B657,'[1]All Player'!$B$2:$C$1992,2,0),"")</f>
        <v/>
      </c>
      <c r="O657" s="2" t="s">
        <v>523</v>
      </c>
      <c r="P657" s="16" t="s">
        <v>828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319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523</v>
      </c>
      <c r="P658" s="16" t="s">
        <v>828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808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523</v>
      </c>
      <c r="P659" s="16" t="s">
        <v>828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121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523</v>
      </c>
      <c r="P660" s="16" t="s">
        <v>828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147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523</v>
      </c>
      <c r="P661" s="16" t="s">
        <v>828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829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523</v>
      </c>
      <c r="P662" s="16" t="s">
        <v>828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524</v>
      </c>
      <c r="J663" s="1"/>
      <c r="M663" t="s">
        <v>15</v>
      </c>
      <c r="N663" t="str">
        <f>IFERROR(VLOOKUP(B663,'[1]All Player'!$B$2:$C$1992,2,0),"")</f>
        <v/>
      </c>
      <c r="O663" s="2" t="s">
        <v>523</v>
      </c>
      <c r="P663" s="16" t="s">
        <v>524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170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523</v>
      </c>
      <c r="P664" s="16" t="s">
        <v>524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202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523</v>
      </c>
      <c r="P665" s="16" t="s">
        <v>524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523</v>
      </c>
      <c r="P666" s="16" t="s">
        <v>524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523</v>
      </c>
      <c r="P667" s="16" t="s">
        <v>524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368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523</v>
      </c>
      <c r="P668" s="16" t="s">
        <v>524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597</v>
      </c>
      <c r="J669" s="1"/>
      <c r="M669" t="s">
        <v>15</v>
      </c>
      <c r="N669" t="str">
        <f>IFERROR(VLOOKUP(B669,'[1]All Player'!$B$2:$C$1992,2,0),"")</f>
        <v/>
      </c>
      <c r="O669" s="2" t="s">
        <v>523</v>
      </c>
      <c r="P669" s="16" t="s">
        <v>597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153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523</v>
      </c>
      <c r="P670" s="16" t="s">
        <v>597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115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523</v>
      </c>
      <c r="P671" s="16" t="s">
        <v>597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204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523</v>
      </c>
      <c r="P672" s="16" t="s">
        <v>597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133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523</v>
      </c>
      <c r="P673" s="16" t="s">
        <v>597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370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523</v>
      </c>
      <c r="P674" s="16" t="s">
        <v>597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598</v>
      </c>
      <c r="J675" s="1"/>
      <c r="M675" t="s">
        <v>15</v>
      </c>
      <c r="N675" t="str">
        <f>IFERROR(VLOOKUP(B675,'[1]All Player'!$B$2:$C$1992,2,0),"")</f>
        <v/>
      </c>
      <c r="O675" s="2" t="s">
        <v>523</v>
      </c>
      <c r="P675" s="16" t="s">
        <v>598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523</v>
      </c>
      <c r="P676" s="16" t="s">
        <v>598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155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523</v>
      </c>
      <c r="P677" s="16" t="s">
        <v>598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523</v>
      </c>
      <c r="P678" s="16" t="s">
        <v>598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830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523</v>
      </c>
      <c r="P679" s="16" t="s">
        <v>598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374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523</v>
      </c>
      <c r="P680" s="16" t="s">
        <v>598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538</v>
      </c>
      <c r="J681" s="1"/>
      <c r="M681" t="s">
        <v>15</v>
      </c>
      <c r="N681" t="str">
        <f>IFERROR(VLOOKUP(B681,'[1]All Player'!$B$2:$C$1992,2,0),"")</f>
        <v/>
      </c>
      <c r="O681" s="2" t="s">
        <v>523</v>
      </c>
      <c r="P681" s="16" t="s">
        <v>538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523</v>
      </c>
      <c r="P682" s="16" t="s">
        <v>538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523</v>
      </c>
      <c r="P683" s="16" t="s">
        <v>538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123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523</v>
      </c>
      <c r="P684" s="16" t="s">
        <v>538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137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523</v>
      </c>
      <c r="P685" s="16" t="s">
        <v>538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182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523</v>
      </c>
      <c r="P686" s="16" t="s">
        <v>538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599</v>
      </c>
      <c r="J687" s="1"/>
      <c r="M687" t="s">
        <v>15</v>
      </c>
      <c r="N687" t="str">
        <f>IFERROR(VLOOKUP(B687,'[1]All Player'!$B$2:$C$1992,2,0),"")</f>
        <v/>
      </c>
      <c r="O687" s="2" t="s">
        <v>523</v>
      </c>
      <c r="P687" s="16" t="s">
        <v>599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523</v>
      </c>
      <c r="P688" s="16" t="s">
        <v>599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180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523</v>
      </c>
      <c r="P689" s="16" t="s">
        <v>599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523</v>
      </c>
      <c r="P690" s="16" t="s">
        <v>599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376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523</v>
      </c>
      <c r="P691" s="16" t="s">
        <v>599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277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523</v>
      </c>
      <c r="P692" s="16" t="s">
        <v>599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547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526</v>
      </c>
      <c r="P693" s="16" t="s">
        <v>547</v>
      </c>
      <c r="Q693" s="1">
        <f t="shared" si="23"/>
        <v>1</v>
      </c>
      <c r="R693" s="1">
        <v>114</v>
      </c>
      <c r="T693" s="1" t="s">
        <v>658</v>
      </c>
      <c r="U693" s="8">
        <v>42036</v>
      </c>
    </row>
    <row r="694" spans="1:21" x14ac:dyDescent="0.25">
      <c r="A694" s="2">
        <f t="shared" si="24"/>
        <v>13</v>
      </c>
      <c r="B694" t="s">
        <v>131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526</v>
      </c>
      <c r="P694" s="16" t="s">
        <v>547</v>
      </c>
      <c r="Q694" s="1">
        <f t="shared" si="23"/>
        <v>1</v>
      </c>
      <c r="R694" s="1">
        <v>114</v>
      </c>
      <c r="S694" s="2" t="s">
        <v>659</v>
      </c>
      <c r="T694" s="1" t="s">
        <v>658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123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526</v>
      </c>
      <c r="P695" s="16" t="s">
        <v>547</v>
      </c>
      <c r="Q695" s="1">
        <f t="shared" si="23"/>
        <v>1</v>
      </c>
      <c r="R695" s="1">
        <v>114</v>
      </c>
      <c r="T695" s="1" t="s">
        <v>658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192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526</v>
      </c>
      <c r="P696" s="16" t="s">
        <v>547</v>
      </c>
      <c r="Q696" s="1">
        <f t="shared" si="23"/>
        <v>1</v>
      </c>
      <c r="R696" s="1">
        <v>114</v>
      </c>
      <c r="T696" s="1" t="s">
        <v>658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229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526</v>
      </c>
      <c r="P697" s="16" t="s">
        <v>547</v>
      </c>
      <c r="Q697" s="1">
        <f t="shared" si="23"/>
        <v>1</v>
      </c>
      <c r="R697" s="1">
        <v>114</v>
      </c>
      <c r="T697" s="1" t="s">
        <v>658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377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526</v>
      </c>
      <c r="P698" s="16" t="s">
        <v>547</v>
      </c>
      <c r="Q698" s="1">
        <f t="shared" si="23"/>
        <v>1</v>
      </c>
      <c r="R698" s="1">
        <v>114</v>
      </c>
      <c r="T698" s="1" t="s">
        <v>658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161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526</v>
      </c>
      <c r="P699" s="16" t="s">
        <v>547</v>
      </c>
      <c r="Q699" s="1">
        <f t="shared" si="23"/>
        <v>1</v>
      </c>
      <c r="R699" s="1">
        <v>114</v>
      </c>
      <c r="T699" s="1" t="s">
        <v>658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831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526</v>
      </c>
      <c r="P700" s="16" t="s">
        <v>831</v>
      </c>
      <c r="Q700" s="1">
        <f t="shared" si="23"/>
        <v>1</v>
      </c>
      <c r="R700" s="1">
        <v>115</v>
      </c>
      <c r="T700" s="1" t="s">
        <v>660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526</v>
      </c>
      <c r="P701" s="16" t="s">
        <v>831</v>
      </c>
      <c r="Q701" s="1">
        <f t="shared" si="23"/>
        <v>1</v>
      </c>
      <c r="R701" s="21">
        <v>115</v>
      </c>
      <c r="T701" s="1" t="s">
        <v>660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526</v>
      </c>
      <c r="P702" s="16" t="s">
        <v>831</v>
      </c>
      <c r="Q702" s="1">
        <f t="shared" si="23"/>
        <v>1</v>
      </c>
      <c r="R702" s="1">
        <v>115</v>
      </c>
      <c r="T702" s="1" t="s">
        <v>660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194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526</v>
      </c>
      <c r="P703" s="16" t="s">
        <v>831</v>
      </c>
      <c r="Q703" s="1">
        <f t="shared" si="23"/>
        <v>1</v>
      </c>
      <c r="R703" s="1">
        <v>115</v>
      </c>
      <c r="T703" s="1" t="s">
        <v>660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526</v>
      </c>
      <c r="P704" s="16" t="s">
        <v>831</v>
      </c>
      <c r="Q704" s="1">
        <f t="shared" si="23"/>
        <v>1</v>
      </c>
      <c r="R704" s="1">
        <v>115</v>
      </c>
      <c r="S704" s="2" t="s">
        <v>661</v>
      </c>
      <c r="T704" s="1" t="s">
        <v>660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174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526</v>
      </c>
      <c r="P705" s="16" t="s">
        <v>831</v>
      </c>
      <c r="Q705" s="1">
        <f t="shared" si="23"/>
        <v>1</v>
      </c>
      <c r="R705" s="1">
        <v>115</v>
      </c>
      <c r="T705" s="1" t="s">
        <v>660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351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526</v>
      </c>
      <c r="P706" s="16" t="s">
        <v>831</v>
      </c>
      <c r="Q706" s="1">
        <f t="shared" ref="Q706:Q769" si="26">IF(B706="","",1)</f>
        <v>1</v>
      </c>
      <c r="R706" s="1">
        <v>115</v>
      </c>
      <c r="T706" s="1" t="s">
        <v>660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544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526</v>
      </c>
      <c r="P707" s="16" t="s">
        <v>544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526</v>
      </c>
      <c r="P708" s="16" t="s">
        <v>544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526</v>
      </c>
      <c r="P709" s="16" t="s">
        <v>544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526</v>
      </c>
      <c r="P710" s="16" t="s">
        <v>544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149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526</v>
      </c>
      <c r="P711" s="16" t="s">
        <v>544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127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526</v>
      </c>
      <c r="P712" s="16" t="s">
        <v>544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231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526</v>
      </c>
      <c r="P713" s="16" t="s">
        <v>544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832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526</v>
      </c>
      <c r="P714" s="16" t="s">
        <v>832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790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526</v>
      </c>
      <c r="P715" s="16" t="s">
        <v>832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180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526</v>
      </c>
      <c r="P716" s="16" t="s">
        <v>832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833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526</v>
      </c>
      <c r="P717" s="16" t="s">
        <v>832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202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526</v>
      </c>
      <c r="P718" s="16" t="s">
        <v>832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157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526</v>
      </c>
      <c r="P719" s="16" t="s">
        <v>832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283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526</v>
      </c>
      <c r="P720" s="16" t="s">
        <v>832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600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526</v>
      </c>
      <c r="P721" s="16" t="s">
        <v>600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526</v>
      </c>
      <c r="P722" s="16" t="s">
        <v>600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810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526</v>
      </c>
      <c r="P723" s="16" t="s">
        <v>600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526</v>
      </c>
      <c r="P724" s="16" t="s">
        <v>600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182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526</v>
      </c>
      <c r="P725" s="16" t="s">
        <v>600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526</v>
      </c>
      <c r="P726" s="16" t="s">
        <v>600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379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526</v>
      </c>
      <c r="P727" s="16" t="s">
        <v>600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601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526</v>
      </c>
      <c r="P728" s="16" t="s">
        <v>601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526</v>
      </c>
      <c r="P729" s="16" t="s">
        <v>601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115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526</v>
      </c>
      <c r="P730" s="16" t="s">
        <v>601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381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526</v>
      </c>
      <c r="P731" s="16" t="s">
        <v>601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224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526</v>
      </c>
      <c r="P732" s="16" t="s">
        <v>601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328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526</v>
      </c>
      <c r="P733" s="16" t="s">
        <v>601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526</v>
      </c>
      <c r="P734" s="16" t="s">
        <v>601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834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526</v>
      </c>
      <c r="P735" s="16" t="s">
        <v>834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526</v>
      </c>
      <c r="P736" s="16" t="s">
        <v>834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526</v>
      </c>
      <c r="P737" s="16" t="s">
        <v>834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526</v>
      </c>
      <c r="P738" s="16" t="s">
        <v>834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830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526</v>
      </c>
      <c r="P739" s="16" t="s">
        <v>834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526</v>
      </c>
      <c r="P740" s="16" t="s">
        <v>834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835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526</v>
      </c>
      <c r="P741" s="16" t="s">
        <v>834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836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526</v>
      </c>
      <c r="P742" s="16" t="s">
        <v>836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526</v>
      </c>
      <c r="P743" s="16" t="s">
        <v>836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159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526</v>
      </c>
      <c r="P744" s="16" t="s">
        <v>836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184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526</v>
      </c>
      <c r="P745" s="16" t="s">
        <v>836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299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526</v>
      </c>
      <c r="P746" s="16" t="s">
        <v>836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202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526</v>
      </c>
      <c r="P747" s="16" t="s">
        <v>836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147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526</v>
      </c>
      <c r="P748" s="16" t="s">
        <v>836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837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526</v>
      </c>
      <c r="P749" s="16" t="s">
        <v>837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145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526</v>
      </c>
      <c r="P750" s="16" t="s">
        <v>837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155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526</v>
      </c>
      <c r="P751" s="16" t="s">
        <v>837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353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526</v>
      </c>
      <c r="P752" s="16" t="s">
        <v>837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319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526</v>
      </c>
      <c r="P753" s="16" t="s">
        <v>837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198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526</v>
      </c>
      <c r="P754" s="16" t="s">
        <v>837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334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526</v>
      </c>
      <c r="P755" s="16" t="s">
        <v>837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527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526</v>
      </c>
      <c r="P756" s="16" t="s">
        <v>527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153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526</v>
      </c>
      <c r="P757" s="16" t="s">
        <v>527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240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526</v>
      </c>
      <c r="P758" s="16" t="s">
        <v>527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117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526</v>
      </c>
      <c r="P759" s="16" t="s">
        <v>527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172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526</v>
      </c>
      <c r="P760" s="16" t="s">
        <v>527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526</v>
      </c>
      <c r="P761" s="16" t="s">
        <v>527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349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526</v>
      </c>
      <c r="P762" s="16" t="s">
        <v>527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550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526</v>
      </c>
      <c r="P763" s="16" t="s">
        <v>550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121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526</v>
      </c>
      <c r="P764" s="16" t="s">
        <v>550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526</v>
      </c>
      <c r="P765" s="16" t="s">
        <v>550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168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526</v>
      </c>
      <c r="P766" s="16" t="s">
        <v>550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526</v>
      </c>
      <c r="P767" s="16" t="s">
        <v>550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297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526</v>
      </c>
      <c r="P768" s="16" t="s">
        <v>550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526</v>
      </c>
      <c r="P769" s="16" t="s">
        <v>550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838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526</v>
      </c>
      <c r="P770" s="16" t="s">
        <v>838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303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526</v>
      </c>
      <c r="P771" s="16" t="s">
        <v>838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137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526</v>
      </c>
      <c r="P772" s="16" t="s">
        <v>838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526</v>
      </c>
      <c r="P773" s="16" t="s">
        <v>838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159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526</v>
      </c>
      <c r="P774" s="16" t="s">
        <v>838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526</v>
      </c>
      <c r="P775" s="16" t="s">
        <v>838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526</v>
      </c>
      <c r="P776" s="16" t="s">
        <v>838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513</v>
      </c>
      <c r="J777" s="1"/>
      <c r="M777" t="s">
        <v>15</v>
      </c>
      <c r="N777" t="str">
        <f>IFERROR(VLOOKUP(B777,'[1]All Player'!$B$2:$C$1992,2,0),"")</f>
        <v/>
      </c>
      <c r="O777" s="2" t="s">
        <v>512</v>
      </c>
      <c r="P777" s="16" t="s">
        <v>513</v>
      </c>
      <c r="Q777" s="1">
        <f t="shared" si="29"/>
        <v>1</v>
      </c>
      <c r="R777" s="1">
        <v>126</v>
      </c>
      <c r="T777" s="1" t="s">
        <v>658</v>
      </c>
      <c r="U777" s="8">
        <v>42125</v>
      </c>
    </row>
    <row r="778" spans="1:21" x14ac:dyDescent="0.25">
      <c r="A778" s="2">
        <f t="shared" si="27"/>
        <v>14</v>
      </c>
      <c r="B778" t="s">
        <v>131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512</v>
      </c>
      <c r="P778" s="16" t="s">
        <v>513</v>
      </c>
      <c r="Q778" s="1">
        <f t="shared" si="29"/>
        <v>1</v>
      </c>
      <c r="R778" s="1">
        <v>126</v>
      </c>
      <c r="S778" s="26" t="s">
        <v>661</v>
      </c>
      <c r="T778" s="1" t="s">
        <v>658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512</v>
      </c>
      <c r="P779" s="16" t="s">
        <v>513</v>
      </c>
      <c r="Q779" s="1">
        <f t="shared" si="29"/>
        <v>1</v>
      </c>
      <c r="R779" s="1">
        <v>126</v>
      </c>
      <c r="T779" s="1" t="s">
        <v>658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512</v>
      </c>
      <c r="P780" s="16" t="s">
        <v>513</v>
      </c>
      <c r="Q780" s="1">
        <f t="shared" si="29"/>
        <v>1</v>
      </c>
      <c r="R780" s="1">
        <v>126</v>
      </c>
      <c r="T780" s="1" t="s">
        <v>658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198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512</v>
      </c>
      <c r="P781" s="16" t="s">
        <v>513</v>
      </c>
      <c r="Q781" s="1">
        <f t="shared" si="29"/>
        <v>1</v>
      </c>
      <c r="R781" s="1">
        <v>126</v>
      </c>
      <c r="T781" s="1" t="s">
        <v>658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512</v>
      </c>
      <c r="P782" s="16" t="s">
        <v>513</v>
      </c>
      <c r="Q782" s="1">
        <f t="shared" si="29"/>
        <v>1</v>
      </c>
      <c r="R782" s="1">
        <v>126</v>
      </c>
      <c r="T782" s="1" t="s">
        <v>658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560</v>
      </c>
      <c r="J783" s="1"/>
      <c r="M783" t="s">
        <v>15</v>
      </c>
      <c r="N783" t="str">
        <f>IFERROR(VLOOKUP(B783,'[1]All Player'!$B$2:$C$1992,2,0),"")</f>
        <v/>
      </c>
      <c r="O783" s="2" t="s">
        <v>512</v>
      </c>
      <c r="P783" s="16" t="s">
        <v>560</v>
      </c>
      <c r="Q783" s="1">
        <f t="shared" si="29"/>
        <v>1</v>
      </c>
      <c r="R783" s="1">
        <v>127</v>
      </c>
      <c r="T783" s="1" t="s">
        <v>660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512</v>
      </c>
      <c r="P784" s="16" t="s">
        <v>560</v>
      </c>
      <c r="Q784" s="1">
        <f t="shared" si="29"/>
        <v>1</v>
      </c>
      <c r="R784" s="1">
        <v>127</v>
      </c>
      <c r="T784" s="1" t="s">
        <v>660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512</v>
      </c>
      <c r="P785" s="16" t="s">
        <v>560</v>
      </c>
      <c r="Q785" s="1">
        <f t="shared" si="29"/>
        <v>1</v>
      </c>
      <c r="R785" s="1">
        <v>127</v>
      </c>
      <c r="T785" s="1" t="s">
        <v>660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200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512</v>
      </c>
      <c r="P786" s="16" t="s">
        <v>560</v>
      </c>
      <c r="Q786" s="1">
        <f t="shared" si="29"/>
        <v>1</v>
      </c>
      <c r="R786" s="1">
        <v>127</v>
      </c>
      <c r="T786" s="1" t="s">
        <v>660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182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512</v>
      </c>
      <c r="P787" s="16" t="s">
        <v>560</v>
      </c>
      <c r="Q787" s="1">
        <f t="shared" si="29"/>
        <v>1</v>
      </c>
      <c r="R787" s="1">
        <v>127</v>
      </c>
      <c r="T787" s="1" t="s">
        <v>660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377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512</v>
      </c>
      <c r="P788" s="16" t="s">
        <v>560</v>
      </c>
      <c r="Q788" s="1">
        <f t="shared" si="29"/>
        <v>1</v>
      </c>
      <c r="R788" s="1">
        <v>127</v>
      </c>
      <c r="T788" s="1" t="s">
        <v>660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839</v>
      </c>
      <c r="J789" s="1"/>
      <c r="M789" t="s">
        <v>15</v>
      </c>
      <c r="N789" t="str">
        <f>IFERROR(VLOOKUP(B789,'[1]All Player'!$B$2:$C$1992,2,0),"")</f>
        <v/>
      </c>
      <c r="O789" s="2" t="s">
        <v>512</v>
      </c>
      <c r="P789" s="16" t="s">
        <v>839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512</v>
      </c>
      <c r="P790" s="16" t="s">
        <v>839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319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512</v>
      </c>
      <c r="P791" s="16" t="s">
        <v>839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194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512</v>
      </c>
      <c r="P792" s="16" t="s">
        <v>839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353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512</v>
      </c>
      <c r="P793" s="16" t="s">
        <v>839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155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512</v>
      </c>
      <c r="P794" s="16" t="s">
        <v>839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840</v>
      </c>
      <c r="J795" s="1"/>
      <c r="M795" t="s">
        <v>15</v>
      </c>
      <c r="N795" t="str">
        <f>IFERROR(VLOOKUP(#REF!,'[1]All Player'!$B$2:$C$1992,2,0),"")</f>
        <v/>
      </c>
      <c r="O795" s="2" t="s">
        <v>512</v>
      </c>
      <c r="P795" s="16" t="s">
        <v>840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512</v>
      </c>
      <c r="P796" s="16" t="s">
        <v>840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121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512</v>
      </c>
      <c r="P797" s="16" t="s">
        <v>840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512</v>
      </c>
      <c r="P798" s="16" t="s">
        <v>840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184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512</v>
      </c>
      <c r="P799" s="16" t="s">
        <v>840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220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512</v>
      </c>
      <c r="P800" s="16" t="s">
        <v>840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602</v>
      </c>
      <c r="J801" s="1"/>
      <c r="M801" t="s">
        <v>15</v>
      </c>
      <c r="N801" t="str">
        <f>IFERROR(VLOOKUP(B801,'[1]All Player'!$B$2:$C$1992,2,0),"")</f>
        <v/>
      </c>
      <c r="O801" s="2" t="s">
        <v>512</v>
      </c>
      <c r="P801" s="16" t="s">
        <v>602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512</v>
      </c>
      <c r="P802" s="16" t="s">
        <v>602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512</v>
      </c>
      <c r="P803" s="16" t="s">
        <v>602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240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512</v>
      </c>
      <c r="P804" s="16" t="s">
        <v>602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841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512</v>
      </c>
      <c r="P805" s="16" t="s">
        <v>602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512</v>
      </c>
      <c r="P806" s="16" t="s">
        <v>602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842</v>
      </c>
      <c r="J807" s="1"/>
      <c r="M807" t="s">
        <v>15</v>
      </c>
      <c r="N807" t="str">
        <f>IFERROR(VLOOKUP(B807,'[1]All Player'!$B$2:$C$1992,2,0),"")</f>
        <v/>
      </c>
      <c r="O807" s="2" t="s">
        <v>512</v>
      </c>
      <c r="P807" s="16" t="s">
        <v>842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153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512</v>
      </c>
      <c r="P808" s="16" t="s">
        <v>842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297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512</v>
      </c>
      <c r="P809" s="16" t="s">
        <v>842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117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512</v>
      </c>
      <c r="P810" s="16" t="s">
        <v>842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843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512</v>
      </c>
      <c r="P811" s="16" t="s">
        <v>842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283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512</v>
      </c>
      <c r="P812" s="16" t="s">
        <v>842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844</v>
      </c>
      <c r="J813" s="1"/>
      <c r="M813" t="s">
        <v>15</v>
      </c>
      <c r="N813" t="str">
        <f>IFERROR(VLOOKUP(B813,'[1]All Player'!$B$2:$C$1992,2,0),"")</f>
        <v/>
      </c>
      <c r="O813" s="2" t="s">
        <v>512</v>
      </c>
      <c r="P813" s="16" t="s">
        <v>844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512</v>
      </c>
      <c r="P814" s="16" t="s">
        <v>844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512</v>
      </c>
      <c r="P815" s="16" t="s">
        <v>844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381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512</v>
      </c>
      <c r="P816" s="16" t="s">
        <v>844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147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512</v>
      </c>
      <c r="P817" s="16" t="s">
        <v>844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192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512</v>
      </c>
      <c r="P818" s="16" t="s">
        <v>844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534</v>
      </c>
      <c r="J819" s="1"/>
      <c r="M819" t="s">
        <v>15</v>
      </c>
      <c r="N819" t="str">
        <f>IFERROR(VLOOKUP(B819,'[1]All Player'!$B$2:$C$1992,2,0),"")</f>
        <v/>
      </c>
      <c r="O819" s="2" t="s">
        <v>512</v>
      </c>
      <c r="P819" s="16" t="s">
        <v>534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512</v>
      </c>
      <c r="P820" s="16" t="s">
        <v>534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172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512</v>
      </c>
      <c r="P821" s="16" t="s">
        <v>534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157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512</v>
      </c>
      <c r="P822" s="16" t="s">
        <v>534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168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512</v>
      </c>
      <c r="P823" s="16" t="s">
        <v>534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129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512</v>
      </c>
      <c r="P824" s="16" t="s">
        <v>534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845</v>
      </c>
      <c r="J825" s="1"/>
      <c r="M825" t="s">
        <v>15</v>
      </c>
      <c r="N825" t="str">
        <f>IFERROR(VLOOKUP(B825,'[1]All Player'!$B$2:$C$1992,2,0),"")</f>
        <v/>
      </c>
      <c r="O825" s="2" t="s">
        <v>512</v>
      </c>
      <c r="P825" s="16" t="s">
        <v>845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512</v>
      </c>
      <c r="P826" s="16" t="s">
        <v>845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229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512</v>
      </c>
      <c r="P827" s="16" t="s">
        <v>845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512</v>
      </c>
      <c r="P828" s="16" t="s">
        <v>845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139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512</v>
      </c>
      <c r="P829" s="16" t="s">
        <v>845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512</v>
      </c>
      <c r="P830" s="16" t="s">
        <v>845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603</v>
      </c>
      <c r="J831" s="1"/>
      <c r="M831" t="s">
        <v>15</v>
      </c>
      <c r="N831" t="str">
        <f>IFERROR(VLOOKUP(B831,'[1]All Player'!$B$2:$C$1992,2,0),"")</f>
        <v/>
      </c>
      <c r="O831" s="2" t="s">
        <v>512</v>
      </c>
      <c r="P831" s="16" t="s">
        <v>603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810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512</v>
      </c>
      <c r="P832" s="16" t="s">
        <v>603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385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512</v>
      </c>
      <c r="P833" s="16" t="s">
        <v>603</v>
      </c>
      <c r="Q833" s="1">
        <f t="shared" si="29"/>
        <v>1</v>
      </c>
      <c r="R833" s="1">
        <v>135</v>
      </c>
      <c r="S833" s="24" t="s">
        <v>659</v>
      </c>
      <c r="U833" s="8">
        <f t="shared" si="30"/>
        <v>42125</v>
      </c>
    </row>
    <row r="834" spans="1:22" x14ac:dyDescent="0.25">
      <c r="A834" s="2">
        <v>14</v>
      </c>
      <c r="B834" t="s">
        <v>196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512</v>
      </c>
      <c r="P834" s="16" t="s">
        <v>603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202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512</v>
      </c>
      <c r="P835" s="16" t="s">
        <v>603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512</v>
      </c>
      <c r="P836" s="16" t="s">
        <v>603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519</v>
      </c>
      <c r="J837" s="1"/>
      <c r="M837" t="s">
        <v>15</v>
      </c>
      <c r="N837" t="str">
        <f>IFERROR(VLOOKUP(B837,'[1]All Player'!$B$2:$C$1992,2,0),"")</f>
        <v/>
      </c>
      <c r="O837" s="2" t="s">
        <v>512</v>
      </c>
      <c r="P837" s="16" t="s">
        <v>519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123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512</v>
      </c>
      <c r="P838" s="16" t="s">
        <v>519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180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512</v>
      </c>
      <c r="P839" s="16" t="s">
        <v>519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299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512</v>
      </c>
      <c r="P840" s="16" t="s">
        <v>519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334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512</v>
      </c>
      <c r="P841" s="16" t="s">
        <v>519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512</v>
      </c>
      <c r="P842" s="16" t="s">
        <v>519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846</v>
      </c>
      <c r="J843" s="1"/>
      <c r="M843" t="s">
        <v>15</v>
      </c>
      <c r="N843" t="str">
        <f>IFERROR(VLOOKUP(B843,'[1]All Player'!$B$2:$C$1992,2,0),"")</f>
        <v/>
      </c>
      <c r="O843" s="2" t="s">
        <v>512</v>
      </c>
      <c r="P843" s="16" t="s">
        <v>846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115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512</v>
      </c>
      <c r="P844" s="16" t="s">
        <v>846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149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512</v>
      </c>
      <c r="P845" s="16" t="s">
        <v>846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174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512</v>
      </c>
      <c r="P846" s="16" t="s">
        <v>846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159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512</v>
      </c>
      <c r="P847" s="16" t="s">
        <v>846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353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512</v>
      </c>
      <c r="P848" s="16" t="s">
        <v>846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604</v>
      </c>
      <c r="J849" s="1"/>
      <c r="M849" t="s">
        <v>15</v>
      </c>
      <c r="N849" t="str">
        <f>IFERROR(VLOOKUP(B849,'[1]All Player'!$B$2:$C$1992,2,0),"")</f>
        <v/>
      </c>
      <c r="O849" s="2" t="s">
        <v>512</v>
      </c>
      <c r="P849" s="16" t="s">
        <v>604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512</v>
      </c>
      <c r="P850" s="16" t="s">
        <v>604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145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512</v>
      </c>
      <c r="P851" s="16" t="s">
        <v>604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137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512</v>
      </c>
      <c r="P852" s="16" t="s">
        <v>604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387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512</v>
      </c>
      <c r="P853" s="16" t="s">
        <v>604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512</v>
      </c>
      <c r="P854" s="16" t="s">
        <v>604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847</v>
      </c>
      <c r="J855" s="1"/>
      <c r="M855" t="s">
        <v>15</v>
      </c>
      <c r="N855" t="str">
        <f>IFERROR(VLOOKUP(B855,'[1]All Player'!$B$2:$C$1992,2,0),"")</f>
        <v/>
      </c>
      <c r="O855" s="2" t="s">
        <v>512</v>
      </c>
      <c r="P855" s="16" t="s">
        <v>847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512</v>
      </c>
      <c r="P856" s="16" t="s">
        <v>847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159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512</v>
      </c>
      <c r="P857" s="16" t="s">
        <v>847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127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512</v>
      </c>
      <c r="P858" s="16" t="s">
        <v>847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512</v>
      </c>
      <c r="P859" s="16" t="s">
        <v>847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351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512</v>
      </c>
      <c r="P860" s="16" t="s">
        <v>847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848</v>
      </c>
      <c r="J861" s="1"/>
      <c r="M861" t="s">
        <v>15</v>
      </c>
      <c r="N861" t="str">
        <f>IFERROR(VLOOKUP(B861,'[1]All Player'!$B$2:$C$1992,2,0),"")</f>
        <v/>
      </c>
      <c r="O861" s="2" t="s">
        <v>531</v>
      </c>
      <c r="P861" s="16" t="s">
        <v>848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531</v>
      </c>
      <c r="P862" s="16" t="s">
        <v>848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206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531</v>
      </c>
      <c r="P863" s="16" t="s">
        <v>848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139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531</v>
      </c>
      <c r="P864" s="16" t="s">
        <v>848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283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531</v>
      </c>
      <c r="P865" s="16" t="s">
        <v>848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531</v>
      </c>
      <c r="P866" s="16" t="s">
        <v>848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849</v>
      </c>
      <c r="J867" s="1"/>
      <c r="M867" t="s">
        <v>15</v>
      </c>
      <c r="N867" t="str">
        <f>IFERROR(VLOOKUP(B867,'[1]All Player'!$B$2:$C$1992,2,0),"")</f>
        <v/>
      </c>
      <c r="O867" s="2" t="s">
        <v>531</v>
      </c>
      <c r="P867" s="16" t="s">
        <v>849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115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531</v>
      </c>
      <c r="P868" s="16" t="s">
        <v>849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531</v>
      </c>
      <c r="P869" s="16" t="s">
        <v>849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155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531</v>
      </c>
      <c r="P870" s="16" t="s">
        <v>849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137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531</v>
      </c>
      <c r="P871" s="16" t="s">
        <v>849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605</v>
      </c>
      <c r="J872" s="1"/>
      <c r="M872" t="s">
        <v>15</v>
      </c>
      <c r="N872" t="str">
        <f>IFERROR(VLOOKUP(B872,'[1]All Player'!$B$2:$C$1992,2,0),"")</f>
        <v/>
      </c>
      <c r="O872" s="2" t="s">
        <v>531</v>
      </c>
      <c r="P872" s="16" t="s">
        <v>605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531</v>
      </c>
      <c r="P873" s="16" t="s">
        <v>605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531</v>
      </c>
      <c r="P874" s="16" t="s">
        <v>605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168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531</v>
      </c>
      <c r="P875" s="16" t="s">
        <v>605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389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531</v>
      </c>
      <c r="P876" s="16" t="s">
        <v>605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850</v>
      </c>
      <c r="J877" s="1"/>
      <c r="M877" t="s">
        <v>15</v>
      </c>
      <c r="N877" t="str">
        <f>IFERROR(VLOOKUP(B877,'[1]All Player'!$B$2:$C$1992,2,0),"")</f>
        <v/>
      </c>
      <c r="O877" s="2" t="s">
        <v>531</v>
      </c>
      <c r="P877" s="16" t="s">
        <v>850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531</v>
      </c>
      <c r="P878" s="16" t="s">
        <v>850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121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531</v>
      </c>
      <c r="P879" s="16" t="s">
        <v>850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531</v>
      </c>
      <c r="P880" s="16" t="s">
        <v>850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381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531</v>
      </c>
      <c r="P881" s="16" t="s">
        <v>850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851</v>
      </c>
      <c r="J882" s="1"/>
      <c r="M882" t="s">
        <v>15</v>
      </c>
      <c r="N882" t="str">
        <f>IFERROR(VLOOKUP(B882,'[1]All Player'!$B$2:$C$1992,2,0),"")</f>
        <v/>
      </c>
      <c r="O882" s="2" t="s">
        <v>531</v>
      </c>
      <c r="P882" s="16" t="s">
        <v>851</v>
      </c>
      <c r="Q882" s="1">
        <f t="shared" si="31"/>
        <v>1</v>
      </c>
      <c r="R882" s="1">
        <v>144</v>
      </c>
      <c r="T882" s="1" t="s">
        <v>658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531</v>
      </c>
      <c r="P883" s="16" t="s">
        <v>851</v>
      </c>
      <c r="Q883" s="1">
        <f t="shared" si="31"/>
        <v>1</v>
      </c>
      <c r="R883" s="1">
        <v>144</v>
      </c>
      <c r="T883" s="1" t="s">
        <v>658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531</v>
      </c>
      <c r="P884" s="16" t="s">
        <v>851</v>
      </c>
      <c r="Q884" s="1">
        <f t="shared" si="31"/>
        <v>1</v>
      </c>
      <c r="R884" s="1">
        <v>144</v>
      </c>
      <c r="T884" s="1" t="s">
        <v>658</v>
      </c>
      <c r="U884" s="8">
        <f t="shared" si="33"/>
        <v>42248</v>
      </c>
    </row>
    <row r="885" spans="1:23" x14ac:dyDescent="0.25">
      <c r="A885" s="2">
        <v>15</v>
      </c>
      <c r="B885" t="s">
        <v>198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531</v>
      </c>
      <c r="P885" s="16" t="s">
        <v>851</v>
      </c>
      <c r="Q885" s="1">
        <f t="shared" si="31"/>
        <v>1</v>
      </c>
      <c r="R885" s="1">
        <v>144</v>
      </c>
      <c r="T885" s="1" t="s">
        <v>658</v>
      </c>
      <c r="U885" s="8">
        <f t="shared" si="33"/>
        <v>42248</v>
      </c>
    </row>
    <row r="886" spans="1:23" x14ac:dyDescent="0.25">
      <c r="A886" s="2">
        <v>15</v>
      </c>
      <c r="B886" t="s">
        <v>200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531</v>
      </c>
      <c r="P886" s="16" t="s">
        <v>851</v>
      </c>
      <c r="Q886" s="1">
        <f t="shared" si="31"/>
        <v>1</v>
      </c>
      <c r="R886" s="1">
        <v>144</v>
      </c>
      <c r="S886" s="2" t="s">
        <v>659</v>
      </c>
      <c r="T886" s="1" t="s">
        <v>658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852</v>
      </c>
      <c r="J887" s="1"/>
      <c r="M887" t="s">
        <v>15</v>
      </c>
      <c r="N887" t="str">
        <f>IFERROR(VLOOKUP(B887,'[1]All Player'!$B$2:$C$1992,2,0),"")</f>
        <v/>
      </c>
      <c r="O887" s="2" t="s">
        <v>531</v>
      </c>
      <c r="P887" s="16" t="s">
        <v>852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123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531</v>
      </c>
      <c r="P888" s="16" t="s">
        <v>852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133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531</v>
      </c>
      <c r="P889" s="16" t="s">
        <v>852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182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531</v>
      </c>
      <c r="P890" s="16" t="s">
        <v>852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149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531</v>
      </c>
      <c r="P891" s="16" t="s">
        <v>852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853</v>
      </c>
      <c r="J892" s="1"/>
      <c r="M892" t="s">
        <v>15</v>
      </c>
      <c r="N892" t="str">
        <f>IFERROR(VLOOKUP(B892,'[1]All Player'!$B$2:$C$1992,2,0),"")</f>
        <v/>
      </c>
      <c r="O892" s="2" t="s">
        <v>531</v>
      </c>
      <c r="P892" s="16" t="s">
        <v>853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531</v>
      </c>
      <c r="P893" s="16" t="s">
        <v>853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159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531</v>
      </c>
      <c r="P894" s="16" t="s">
        <v>853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196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531</v>
      </c>
      <c r="P895" s="16" t="s">
        <v>853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194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531</v>
      </c>
      <c r="P896" s="16" t="s">
        <v>853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854</v>
      </c>
      <c r="J897" s="1"/>
      <c r="M897" t="s">
        <v>15</v>
      </c>
      <c r="N897" t="str">
        <f>IFERROR(VLOOKUP(B897,'[1]All Player'!$B$2:$C$1992,2,0),"")</f>
        <v/>
      </c>
      <c r="O897" s="2" t="s">
        <v>531</v>
      </c>
      <c r="P897" s="16" t="s">
        <v>854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299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531</v>
      </c>
      <c r="P898" s="16" t="s">
        <v>854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531</v>
      </c>
      <c r="P899" s="16" t="s">
        <v>854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297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531</v>
      </c>
      <c r="P900" s="16" t="s">
        <v>854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172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531</v>
      </c>
      <c r="P901" s="16" t="s">
        <v>854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855</v>
      </c>
      <c r="J902" s="1"/>
      <c r="M902" t="s">
        <v>15</v>
      </c>
      <c r="N902" t="str">
        <f>IFERROR(VLOOKUP(B902,'[1]All Player'!$B$2:$C$1992,2,0),"")</f>
        <v/>
      </c>
      <c r="O902" s="2" t="s">
        <v>531</v>
      </c>
      <c r="P902" s="16" t="s">
        <v>855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531</v>
      </c>
      <c r="P903" s="16" t="s">
        <v>855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531</v>
      </c>
      <c r="P904" s="16" t="s">
        <v>855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184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531</v>
      </c>
      <c r="P905" s="16" t="s">
        <v>855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531</v>
      </c>
      <c r="P906" s="16" t="s">
        <v>855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856</v>
      </c>
      <c r="J907" s="1"/>
      <c r="M907" t="s">
        <v>15</v>
      </c>
      <c r="N907" t="str">
        <f>IFERROR(VLOOKUP(B907,'[1]All Player'!$B$2:$C$1992,2,0),"")</f>
        <v/>
      </c>
      <c r="O907" s="2" t="s">
        <v>531</v>
      </c>
      <c r="P907" s="16" t="s">
        <v>856</v>
      </c>
      <c r="Q907" s="1">
        <f t="shared" si="34"/>
        <v>1</v>
      </c>
      <c r="R907" s="1">
        <v>149</v>
      </c>
      <c r="T907" s="1" t="s">
        <v>660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531</v>
      </c>
      <c r="P908" s="16" t="s">
        <v>856</v>
      </c>
      <c r="Q908" s="1">
        <f t="shared" si="34"/>
        <v>1</v>
      </c>
      <c r="R908" s="1">
        <v>149</v>
      </c>
      <c r="T908" s="1" t="s">
        <v>660</v>
      </c>
      <c r="U908" s="8">
        <f t="shared" si="33"/>
        <v>42248</v>
      </c>
    </row>
    <row r="909" spans="1:21" x14ac:dyDescent="0.25">
      <c r="A909" s="2">
        <v>15</v>
      </c>
      <c r="B909" t="s">
        <v>145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531</v>
      </c>
      <c r="P909" s="16" t="s">
        <v>856</v>
      </c>
      <c r="Q909" s="1">
        <f t="shared" si="34"/>
        <v>1</v>
      </c>
      <c r="R909" s="1">
        <v>149</v>
      </c>
      <c r="S909" s="2" t="s">
        <v>661</v>
      </c>
      <c r="T909" s="1" t="s">
        <v>660</v>
      </c>
      <c r="U909" s="8">
        <f t="shared" si="33"/>
        <v>42248</v>
      </c>
    </row>
    <row r="910" spans="1:21" x14ac:dyDescent="0.25">
      <c r="A910" s="2">
        <v>15</v>
      </c>
      <c r="B910" t="s">
        <v>192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531</v>
      </c>
      <c r="P910" s="16" t="s">
        <v>856</v>
      </c>
      <c r="Q910" s="1">
        <f t="shared" si="34"/>
        <v>1</v>
      </c>
      <c r="R910" s="1">
        <v>149</v>
      </c>
      <c r="T910" s="1" t="s">
        <v>660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531</v>
      </c>
      <c r="P911" s="16" t="s">
        <v>856</v>
      </c>
      <c r="Q911" s="1">
        <f t="shared" si="34"/>
        <v>1</v>
      </c>
      <c r="R911" s="1">
        <v>149</v>
      </c>
      <c r="T911" s="1" t="s">
        <v>660</v>
      </c>
      <c r="U911" s="8">
        <f t="shared" si="33"/>
        <v>42248</v>
      </c>
    </row>
    <row r="912" spans="1:21" x14ac:dyDescent="0.25">
      <c r="A912" s="2">
        <v>15</v>
      </c>
      <c r="B912" s="17" t="s">
        <v>532</v>
      </c>
      <c r="J912" s="1"/>
      <c r="M912" t="s">
        <v>15</v>
      </c>
      <c r="N912" t="str">
        <f>IFERROR(VLOOKUP(B912,'[1]All Player'!$B$2:$C$1992,2,0),"")</f>
        <v/>
      </c>
      <c r="O912" s="2" t="s">
        <v>531</v>
      </c>
      <c r="P912" s="16" t="s">
        <v>532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131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531</v>
      </c>
      <c r="P913" s="16" t="s">
        <v>532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222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531</v>
      </c>
      <c r="P914" s="16" t="s">
        <v>532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125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531</v>
      </c>
      <c r="P915" s="16" t="s">
        <v>532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240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531</v>
      </c>
      <c r="P916" s="16" t="s">
        <v>532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857</v>
      </c>
      <c r="J917" s="1"/>
      <c r="M917" t="s">
        <v>15</v>
      </c>
      <c r="N917" t="str">
        <f>IFERROR(VLOOKUP(B917,'[1]All Player'!$B$2:$C$1992,2,0),"")</f>
        <v/>
      </c>
      <c r="O917" s="2" t="s">
        <v>531</v>
      </c>
      <c r="P917" s="16" t="s">
        <v>857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531</v>
      </c>
      <c r="P918" s="16" t="s">
        <v>857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531</v>
      </c>
      <c r="P919" s="16" t="s">
        <v>857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531</v>
      </c>
      <c r="P920" s="16" t="s">
        <v>857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157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531</v>
      </c>
      <c r="P921" s="16" t="s">
        <v>857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858</v>
      </c>
      <c r="J922" s="1"/>
      <c r="M922" t="s">
        <v>15</v>
      </c>
      <c r="N922" t="str">
        <f>IFERROR(VLOOKUP(B922,'[1]All Player'!$B$2:$C$1992,2,0),"")</f>
        <v/>
      </c>
      <c r="O922" s="2" t="s">
        <v>497</v>
      </c>
      <c r="P922" s="16" t="s">
        <v>607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192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497</v>
      </c>
      <c r="P923" s="16" t="s">
        <v>607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401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497</v>
      </c>
      <c r="P924" s="16" t="s">
        <v>607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497</v>
      </c>
      <c r="P925" s="16" t="s">
        <v>607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497</v>
      </c>
      <c r="P926" s="16" t="s">
        <v>607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497</v>
      </c>
      <c r="P927" s="16" t="s">
        <v>607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497</v>
      </c>
      <c r="P928" s="16" t="s">
        <v>607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174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497</v>
      </c>
      <c r="P929" s="16" t="s">
        <v>607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859</v>
      </c>
      <c r="J930" s="1"/>
      <c r="M930" t="s">
        <v>15</v>
      </c>
      <c r="N930" t="str">
        <f>IFERROR(VLOOKUP(B930,'[1]All Player'!$B$2:$C$1992,2,0),"")</f>
        <v/>
      </c>
      <c r="O930" s="2" t="s">
        <v>497</v>
      </c>
      <c r="P930" s="16" t="s">
        <v>860</v>
      </c>
      <c r="Q930" s="1">
        <f t="shared" si="34"/>
        <v>1</v>
      </c>
      <c r="R930" s="1">
        <v>153</v>
      </c>
      <c r="T930" s="1" t="s">
        <v>660</v>
      </c>
      <c r="U930" s="8">
        <f t="shared" si="35"/>
        <v>42401</v>
      </c>
    </row>
    <row r="931" spans="1:22" x14ac:dyDescent="0.25">
      <c r="A931" s="2">
        <v>16</v>
      </c>
      <c r="B931" t="s">
        <v>127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497</v>
      </c>
      <c r="P931" s="16" t="s">
        <v>860</v>
      </c>
      <c r="Q931" s="1">
        <f t="shared" si="34"/>
        <v>1</v>
      </c>
      <c r="R931" s="1">
        <v>153</v>
      </c>
      <c r="T931" s="1" t="s">
        <v>660</v>
      </c>
      <c r="U931" s="8">
        <f t="shared" si="35"/>
        <v>42401</v>
      </c>
    </row>
    <row r="932" spans="1:22" x14ac:dyDescent="0.25">
      <c r="A932" s="2">
        <v>16</v>
      </c>
      <c r="B932" t="s">
        <v>125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497</v>
      </c>
      <c r="P932" s="16" t="s">
        <v>860</v>
      </c>
      <c r="Q932" s="1">
        <f t="shared" si="34"/>
        <v>1</v>
      </c>
      <c r="R932" s="1">
        <v>153</v>
      </c>
      <c r="T932" s="1" t="s">
        <v>660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497</v>
      </c>
      <c r="P933" s="16" t="s">
        <v>860</v>
      </c>
      <c r="Q933" s="1">
        <f t="shared" si="34"/>
        <v>1</v>
      </c>
      <c r="R933" s="1">
        <v>153</v>
      </c>
      <c r="S933" s="2" t="s">
        <v>661</v>
      </c>
      <c r="T933" s="1" t="s">
        <v>660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198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497</v>
      </c>
      <c r="P934" s="16" t="s">
        <v>860</v>
      </c>
      <c r="Q934" s="1">
        <f t="shared" si="34"/>
        <v>1</v>
      </c>
      <c r="R934" s="1">
        <v>153</v>
      </c>
      <c r="T934" s="1" t="s">
        <v>660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497</v>
      </c>
      <c r="P935" s="16" t="s">
        <v>860</v>
      </c>
      <c r="Q935" s="1">
        <f t="shared" si="34"/>
        <v>1</v>
      </c>
      <c r="R935" s="1">
        <v>153</v>
      </c>
      <c r="T935" s="1" t="s">
        <v>660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497</v>
      </c>
      <c r="P936" s="16" t="s">
        <v>860</v>
      </c>
      <c r="Q936" s="1">
        <f t="shared" si="34"/>
        <v>1</v>
      </c>
      <c r="R936" s="1">
        <v>153</v>
      </c>
      <c r="T936" s="1" t="s">
        <v>660</v>
      </c>
      <c r="U936" s="8">
        <f t="shared" si="35"/>
        <v>42401</v>
      </c>
    </row>
    <row r="937" spans="1:22" x14ac:dyDescent="0.25">
      <c r="A937" s="2">
        <v>16</v>
      </c>
      <c r="B937" t="s">
        <v>861</v>
      </c>
      <c r="J937" s="1"/>
      <c r="M937" t="s">
        <v>15</v>
      </c>
      <c r="N937" t="str">
        <f>IFERROR(VLOOKUP(B937,'[1]All Player'!$B$2:$C$1992,2,0),"")</f>
        <v/>
      </c>
      <c r="O937" s="2" t="s">
        <v>497</v>
      </c>
      <c r="P937" s="16" t="s">
        <v>498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172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497</v>
      </c>
      <c r="P938" s="16" t="s">
        <v>498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395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497</v>
      </c>
      <c r="P939" s="16" t="s">
        <v>498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497</v>
      </c>
      <c r="P940" s="16" t="s">
        <v>498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497</v>
      </c>
      <c r="P941" s="16" t="s">
        <v>498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497</v>
      </c>
      <c r="P942" s="16" t="s">
        <v>498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200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497</v>
      </c>
      <c r="P943" s="16" t="s">
        <v>498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155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497</v>
      </c>
      <c r="P944" s="16" t="s">
        <v>498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862</v>
      </c>
      <c r="J945" s="1"/>
      <c r="M945" t="s">
        <v>15</v>
      </c>
      <c r="N945" t="str">
        <f>IFERROR(VLOOKUP(B945,'[1]All Player'!$B$2:$C$1992,2,0),"")</f>
        <v/>
      </c>
      <c r="O945" s="2" t="s">
        <v>497</v>
      </c>
      <c r="P945" s="16" t="s">
        <v>863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137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497</v>
      </c>
      <c r="P946" s="16" t="s">
        <v>863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131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497</v>
      </c>
      <c r="P947" s="16" t="s">
        <v>863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334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497</v>
      </c>
      <c r="P948" s="16" t="s">
        <v>863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133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497</v>
      </c>
      <c r="P949" s="16" t="s">
        <v>863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297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497</v>
      </c>
      <c r="P950" s="16" t="s">
        <v>863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121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497</v>
      </c>
      <c r="P951" s="16" t="s">
        <v>863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497</v>
      </c>
      <c r="P952" s="16" t="s">
        <v>863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864</v>
      </c>
      <c r="J953" s="1"/>
      <c r="M953" t="s">
        <v>15</v>
      </c>
      <c r="N953" t="str">
        <f>IFERROR(VLOOKUP(B953,'[1]All Player'!$B$2:$C$1992,2,0),"")</f>
        <v/>
      </c>
      <c r="O953" s="2" t="s">
        <v>497</v>
      </c>
      <c r="P953" s="16" t="s">
        <v>865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497</v>
      </c>
      <c r="P954" s="16" t="s">
        <v>865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117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497</v>
      </c>
      <c r="P955" s="16" t="s">
        <v>865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157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497</v>
      </c>
      <c r="P956" s="16" t="s">
        <v>865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662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497</v>
      </c>
      <c r="P957" s="16" t="s">
        <v>865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497</v>
      </c>
      <c r="P958" s="16" t="s">
        <v>865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351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497</v>
      </c>
      <c r="P959" s="16" t="s">
        <v>865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497</v>
      </c>
      <c r="P960" s="16" t="s">
        <v>865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866</v>
      </c>
      <c r="J961" s="1"/>
      <c r="M961" t="s">
        <v>15</v>
      </c>
      <c r="N961" t="str">
        <f>IFERROR(VLOOKUP(B961,'[1]All Player'!$B$2:$C$1992,2,0),"")</f>
        <v/>
      </c>
      <c r="O961" s="2" t="s">
        <v>497</v>
      </c>
      <c r="P961" s="16" t="s">
        <v>554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149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497</v>
      </c>
      <c r="P962" s="16" t="s">
        <v>554</v>
      </c>
      <c r="Q962" s="1">
        <f t="shared" ref="Q962:Q1025" si="36">IF(B962="","",1)</f>
        <v>1</v>
      </c>
      <c r="R962" s="1">
        <v>157</v>
      </c>
      <c r="S962" s="2" t="s">
        <v>659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145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497</v>
      </c>
      <c r="P963" s="16" t="s">
        <v>554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397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497</v>
      </c>
      <c r="P964" s="16" t="s">
        <v>554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178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497</v>
      </c>
      <c r="P965" s="16" t="s">
        <v>554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139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497</v>
      </c>
      <c r="P966" s="16" t="s">
        <v>554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187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497</v>
      </c>
      <c r="P967" s="16" t="s">
        <v>554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283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497</v>
      </c>
      <c r="P968" s="16" t="s">
        <v>554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867</v>
      </c>
      <c r="J969" s="1"/>
      <c r="M969" t="s">
        <v>15</v>
      </c>
      <c r="N969" t="str">
        <f>IFERROR(VLOOKUP(B969,'[1]All Player'!$B$2:$C$1992,2,0),"")</f>
        <v/>
      </c>
      <c r="O969" s="2" t="s">
        <v>497</v>
      </c>
      <c r="P969" s="16" t="s">
        <v>868</v>
      </c>
      <c r="Q969" s="1">
        <f t="shared" si="36"/>
        <v>1</v>
      </c>
      <c r="R969" s="1">
        <v>158</v>
      </c>
      <c r="T969" s="1" t="s">
        <v>658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497</v>
      </c>
      <c r="P970" s="16" t="s">
        <v>868</v>
      </c>
      <c r="Q970" s="1">
        <f t="shared" si="36"/>
        <v>1</v>
      </c>
      <c r="R970" s="1">
        <v>158</v>
      </c>
      <c r="T970" s="1" t="s">
        <v>658</v>
      </c>
      <c r="U970" s="8">
        <f t="shared" si="35"/>
        <v>42401</v>
      </c>
    </row>
    <row r="971" spans="1:23" x14ac:dyDescent="0.25">
      <c r="A971" s="2">
        <v>16</v>
      </c>
      <c r="B971" t="s">
        <v>240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497</v>
      </c>
      <c r="P971" s="16" t="s">
        <v>868</v>
      </c>
      <c r="Q971" s="1">
        <f t="shared" si="36"/>
        <v>1</v>
      </c>
      <c r="R971" s="1">
        <v>158</v>
      </c>
      <c r="T971" s="1" t="s">
        <v>658</v>
      </c>
      <c r="U971" s="8">
        <f t="shared" si="35"/>
        <v>42401</v>
      </c>
    </row>
    <row r="972" spans="1:23" x14ac:dyDescent="0.25">
      <c r="A972" s="2">
        <v>16</v>
      </c>
      <c r="B972" t="s">
        <v>229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497</v>
      </c>
      <c r="P972" s="16" t="s">
        <v>868</v>
      </c>
      <c r="Q972" s="1">
        <f t="shared" si="36"/>
        <v>1</v>
      </c>
      <c r="R972" s="1">
        <v>158</v>
      </c>
      <c r="T972" s="1" t="s">
        <v>658</v>
      </c>
      <c r="U972" s="8">
        <f t="shared" si="35"/>
        <v>42401</v>
      </c>
    </row>
    <row r="973" spans="1:23" x14ac:dyDescent="0.25">
      <c r="A973" s="2">
        <v>16</v>
      </c>
      <c r="B973" t="s">
        <v>115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497</v>
      </c>
      <c r="P973" s="16" t="s">
        <v>868</v>
      </c>
      <c r="Q973" s="1">
        <f t="shared" si="36"/>
        <v>1</v>
      </c>
      <c r="R973" s="1">
        <v>158</v>
      </c>
      <c r="T973" s="1" t="s">
        <v>658</v>
      </c>
      <c r="U973" s="8">
        <f t="shared" si="35"/>
        <v>42401</v>
      </c>
    </row>
    <row r="974" spans="1:23" x14ac:dyDescent="0.25">
      <c r="A974" s="2">
        <v>16</v>
      </c>
      <c r="B974" t="s">
        <v>129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497</v>
      </c>
      <c r="P974" s="16" t="s">
        <v>868</v>
      </c>
      <c r="Q974" s="1">
        <f t="shared" si="36"/>
        <v>1</v>
      </c>
      <c r="R974" s="1">
        <v>158</v>
      </c>
      <c r="T974" s="1" t="s">
        <v>658</v>
      </c>
      <c r="U974" s="8">
        <f t="shared" si="35"/>
        <v>42401</v>
      </c>
    </row>
    <row r="975" spans="1:23" x14ac:dyDescent="0.25">
      <c r="A975" s="2">
        <v>16</v>
      </c>
      <c r="B975" t="s">
        <v>123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497</v>
      </c>
      <c r="P975" s="16" t="s">
        <v>868</v>
      </c>
      <c r="Q975" s="1">
        <f t="shared" si="36"/>
        <v>1</v>
      </c>
      <c r="R975" s="1">
        <v>158</v>
      </c>
      <c r="T975" s="1" t="s">
        <v>658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497</v>
      </c>
      <c r="P976" s="16" t="s">
        <v>868</v>
      </c>
      <c r="Q976" s="1">
        <f t="shared" si="36"/>
        <v>1</v>
      </c>
      <c r="R976" s="1">
        <v>158</v>
      </c>
      <c r="T976" s="1" t="s">
        <v>658</v>
      </c>
      <c r="U976" s="8">
        <f t="shared" si="35"/>
        <v>42401</v>
      </c>
    </row>
    <row r="977" spans="1:22" x14ac:dyDescent="0.25">
      <c r="A977" s="2">
        <v>16</v>
      </c>
      <c r="B977" t="s">
        <v>869</v>
      </c>
      <c r="J977" s="1"/>
      <c r="M977" t="s">
        <v>15</v>
      </c>
      <c r="N977" t="str">
        <f>IFERROR(VLOOKUP(B977,'[1]All Player'!$B$2:$C$1992,2,0),"")</f>
        <v/>
      </c>
      <c r="O977" s="2" t="s">
        <v>497</v>
      </c>
      <c r="P977" s="16" t="s">
        <v>606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497</v>
      </c>
      <c r="P978" s="16" t="s">
        <v>606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391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497</v>
      </c>
      <c r="P979" s="16" t="s">
        <v>606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497</v>
      </c>
      <c r="P980" s="16" t="s">
        <v>606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497</v>
      </c>
      <c r="P981" s="16" t="s">
        <v>606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497</v>
      </c>
      <c r="P982" s="16" t="s">
        <v>606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399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497</v>
      </c>
      <c r="P983" s="16" t="s">
        <v>606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393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497</v>
      </c>
      <c r="P984" s="16" t="s">
        <v>606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870</v>
      </c>
      <c r="J985" s="1"/>
      <c r="M985" t="s">
        <v>15</v>
      </c>
      <c r="N985" t="str">
        <f>IFERROR(VLOOKUP(B985,'[1]All Player'!$B$2:$C$1992,2,0),"")</f>
        <v/>
      </c>
      <c r="O985" s="2" t="s">
        <v>540</v>
      </c>
      <c r="P985" s="16" t="s">
        <v>870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540</v>
      </c>
      <c r="P986" s="16" t="s">
        <v>870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149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540</v>
      </c>
      <c r="P987" s="16" t="s">
        <v>870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540</v>
      </c>
      <c r="P988" s="16" t="s">
        <v>870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351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540</v>
      </c>
      <c r="P989" s="16" t="s">
        <v>870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871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540</v>
      </c>
      <c r="P990" s="16" t="s">
        <v>870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540</v>
      </c>
      <c r="P991" s="16" t="s">
        <v>870</v>
      </c>
      <c r="Q991" s="1">
        <f t="shared" si="36"/>
        <v>1</v>
      </c>
      <c r="R991" s="1">
        <v>160</v>
      </c>
      <c r="S991" s="2" t="s">
        <v>661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198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540</v>
      </c>
      <c r="P992" s="16" t="s">
        <v>870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872</v>
      </c>
      <c r="J993" s="1"/>
      <c r="M993" t="s">
        <v>15</v>
      </c>
      <c r="N993" t="str">
        <f>IFERROR(VLOOKUP(B993,'[1]All Player'!$B$2:$C$1992,2,0),"")</f>
        <v/>
      </c>
      <c r="O993" s="2" t="s">
        <v>540</v>
      </c>
      <c r="P993" s="16" t="s">
        <v>872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137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540</v>
      </c>
      <c r="P994" s="16" t="s">
        <v>872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540</v>
      </c>
      <c r="P995" s="16" t="s">
        <v>872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155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540</v>
      </c>
      <c r="P996" s="16" t="s">
        <v>872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540</v>
      </c>
      <c r="P997" s="16" t="s">
        <v>872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540</v>
      </c>
      <c r="P998" s="16" t="s">
        <v>872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397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540</v>
      </c>
      <c r="P999" s="16" t="s">
        <v>872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194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540</v>
      </c>
      <c r="P1000" s="16" t="s">
        <v>872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873</v>
      </c>
      <c r="J1001" s="1"/>
      <c r="M1001" t="s">
        <v>15</v>
      </c>
      <c r="N1001" t="str">
        <f>IFERROR(VLOOKUP(B1001,'[1]All Player'!$B$2:$C$1992,2,0),"")</f>
        <v/>
      </c>
      <c r="O1001" s="2" t="s">
        <v>540</v>
      </c>
      <c r="P1001" s="16" t="s">
        <v>873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540</v>
      </c>
      <c r="P1002" s="16" t="s">
        <v>873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131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540</v>
      </c>
      <c r="P1003" s="16" t="s">
        <v>873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540</v>
      </c>
      <c r="P1004" s="16" t="s">
        <v>873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129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540</v>
      </c>
      <c r="P1005" s="16" t="s">
        <v>873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229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540</v>
      </c>
      <c r="P1006" s="16" t="s">
        <v>873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540</v>
      </c>
      <c r="P1007" s="16" t="s">
        <v>873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874</v>
      </c>
      <c r="J1008" s="1"/>
      <c r="M1008" t="s">
        <v>15</v>
      </c>
      <c r="N1008" t="str">
        <f>IFERROR(VLOOKUP(B1008,'[1]All Player'!$B$2:$C$1992,2,0),"")</f>
        <v/>
      </c>
      <c r="O1008" s="2" t="s">
        <v>540</v>
      </c>
      <c r="P1008" s="16" t="s">
        <v>874</v>
      </c>
      <c r="Q1008" s="1">
        <f t="shared" si="36"/>
        <v>1</v>
      </c>
      <c r="R1008" s="1">
        <v>163</v>
      </c>
      <c r="T1008" s="1" t="s">
        <v>660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540</v>
      </c>
      <c r="P1009" s="16" t="s">
        <v>874</v>
      </c>
      <c r="Q1009" s="1">
        <f t="shared" si="36"/>
        <v>1</v>
      </c>
      <c r="R1009" s="1">
        <v>163</v>
      </c>
      <c r="T1009" s="1" t="s">
        <v>660</v>
      </c>
      <c r="U1009" s="8">
        <f t="shared" si="37"/>
        <v>42339</v>
      </c>
    </row>
    <row r="1010" spans="1:21" x14ac:dyDescent="0.25">
      <c r="A1010" s="2">
        <v>17</v>
      </c>
      <c r="B1010" t="s">
        <v>172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540</v>
      </c>
      <c r="P1010" s="16" t="s">
        <v>874</v>
      </c>
      <c r="Q1010" s="1">
        <f t="shared" si="36"/>
        <v>1</v>
      </c>
      <c r="R1010" s="1">
        <v>163</v>
      </c>
      <c r="T1010" s="1" t="s">
        <v>660</v>
      </c>
      <c r="U1010" s="8">
        <f t="shared" si="37"/>
        <v>42339</v>
      </c>
    </row>
    <row r="1011" spans="1:21" x14ac:dyDescent="0.25">
      <c r="A1011" s="2">
        <v>17</v>
      </c>
      <c r="B1011" t="s">
        <v>192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540</v>
      </c>
      <c r="P1011" s="16" t="s">
        <v>874</v>
      </c>
      <c r="Q1011" s="1">
        <f t="shared" si="36"/>
        <v>1</v>
      </c>
      <c r="R1011" s="1">
        <v>163</v>
      </c>
      <c r="T1011" s="1" t="s">
        <v>660</v>
      </c>
      <c r="U1011" s="8">
        <f t="shared" si="37"/>
        <v>42339</v>
      </c>
    </row>
    <row r="1012" spans="1:21" x14ac:dyDescent="0.25">
      <c r="A1012" s="2">
        <v>17</v>
      </c>
      <c r="B1012" s="4" t="s">
        <v>235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540</v>
      </c>
      <c r="P1012" s="16" t="s">
        <v>874</v>
      </c>
      <c r="Q1012" s="1">
        <f t="shared" si="36"/>
        <v>1</v>
      </c>
      <c r="R1012" s="1">
        <v>163</v>
      </c>
      <c r="T1012" s="1" t="s">
        <v>660</v>
      </c>
      <c r="U1012" s="8">
        <f t="shared" si="37"/>
        <v>42339</v>
      </c>
    </row>
    <row r="1013" spans="1:21" x14ac:dyDescent="0.25">
      <c r="A1013" s="2">
        <v>17</v>
      </c>
      <c r="B1013" t="s">
        <v>875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540</v>
      </c>
      <c r="P1013" s="16" t="s">
        <v>874</v>
      </c>
      <c r="Q1013" s="1">
        <f t="shared" si="36"/>
        <v>1</v>
      </c>
      <c r="R1013" s="1">
        <v>163</v>
      </c>
      <c r="T1013" s="1" t="s">
        <v>660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540</v>
      </c>
      <c r="P1014" s="16" t="s">
        <v>874</v>
      </c>
      <c r="Q1014" s="1">
        <f t="shared" si="36"/>
        <v>1</v>
      </c>
      <c r="R1014" s="1">
        <v>163</v>
      </c>
      <c r="T1014" s="1" t="s">
        <v>660</v>
      </c>
      <c r="U1014" s="8">
        <f t="shared" si="37"/>
        <v>42339</v>
      </c>
    </row>
    <row r="1015" spans="1:21" x14ac:dyDescent="0.25">
      <c r="A1015" s="2">
        <v>17</v>
      </c>
      <c r="B1015" s="17" t="s">
        <v>611</v>
      </c>
      <c r="J1015" s="1"/>
      <c r="M1015" t="s">
        <v>15</v>
      </c>
      <c r="N1015" t="str">
        <f>IFERROR(VLOOKUP(B1015,'[1]All Player'!$B$2:$C$1992,2,0),"")</f>
        <v/>
      </c>
      <c r="O1015" s="2" t="s">
        <v>540</v>
      </c>
      <c r="P1015" s="16" t="s">
        <v>611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157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540</v>
      </c>
      <c r="P1016" s="16" t="s">
        <v>611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540</v>
      </c>
      <c r="P1017" s="16" t="s">
        <v>611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410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540</v>
      </c>
      <c r="P1018" s="16" t="s">
        <v>611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401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540</v>
      </c>
      <c r="P1019" s="16" t="s">
        <v>611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540</v>
      </c>
      <c r="P1020" s="16" t="s">
        <v>611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125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540</v>
      </c>
      <c r="P1021" s="16" t="s">
        <v>611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541</v>
      </c>
      <c r="J1022" s="1"/>
      <c r="M1022" t="s">
        <v>15</v>
      </c>
      <c r="N1022" t="str">
        <f>IFERROR(VLOOKUP(B1022,'[1]All Player'!$B$2:$C$1992,2,0),"")</f>
        <v/>
      </c>
      <c r="O1022" s="2" t="s">
        <v>540</v>
      </c>
      <c r="P1022" s="16" t="s">
        <v>541</v>
      </c>
      <c r="Q1022" s="1">
        <f t="shared" si="36"/>
        <v>1</v>
      </c>
      <c r="R1022" s="1">
        <v>165</v>
      </c>
      <c r="T1022" s="1" t="s">
        <v>658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540</v>
      </c>
      <c r="P1023" s="16" t="s">
        <v>541</v>
      </c>
      <c r="Q1023" s="1">
        <f t="shared" si="36"/>
        <v>1</v>
      </c>
      <c r="R1023" s="1">
        <v>165</v>
      </c>
      <c r="T1023" s="1" t="s">
        <v>658</v>
      </c>
      <c r="U1023" s="8">
        <f t="shared" si="37"/>
        <v>42339</v>
      </c>
    </row>
    <row r="1024" spans="1:21" x14ac:dyDescent="0.25">
      <c r="A1024" s="2">
        <v>17</v>
      </c>
      <c r="B1024" t="s">
        <v>115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540</v>
      </c>
      <c r="P1024" s="16" t="s">
        <v>541</v>
      </c>
      <c r="Q1024" s="1">
        <f t="shared" si="36"/>
        <v>1</v>
      </c>
      <c r="R1024" s="1">
        <v>165</v>
      </c>
      <c r="T1024" s="1" t="s">
        <v>658</v>
      </c>
      <c r="U1024" s="8">
        <f t="shared" si="37"/>
        <v>42339</v>
      </c>
    </row>
    <row r="1025" spans="1:23" x14ac:dyDescent="0.25">
      <c r="A1025" s="2">
        <v>17</v>
      </c>
      <c r="B1025" t="s">
        <v>168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540</v>
      </c>
      <c r="P1025" s="16" t="s">
        <v>541</v>
      </c>
      <c r="Q1025" s="1">
        <f t="shared" si="36"/>
        <v>1</v>
      </c>
      <c r="R1025" s="1">
        <v>165</v>
      </c>
      <c r="T1025" s="1" t="s">
        <v>658</v>
      </c>
      <c r="U1025" s="8">
        <f t="shared" si="37"/>
        <v>42339</v>
      </c>
    </row>
    <row r="1026" spans="1:23" x14ac:dyDescent="0.25">
      <c r="A1026" s="2">
        <v>17</v>
      </c>
      <c r="B1026" t="s">
        <v>141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540</v>
      </c>
      <c r="P1026" s="16" t="s">
        <v>541</v>
      </c>
      <c r="Q1026" s="1">
        <f t="shared" ref="Q1026:Q1089" si="38">IF(B1026="","",1)</f>
        <v>1</v>
      </c>
      <c r="R1026" s="1">
        <v>165</v>
      </c>
      <c r="T1026" s="1" t="s">
        <v>658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540</v>
      </c>
      <c r="P1027" s="16" t="s">
        <v>541</v>
      </c>
      <c r="Q1027" s="1">
        <f t="shared" si="38"/>
        <v>1</v>
      </c>
      <c r="R1027" s="1">
        <v>165</v>
      </c>
      <c r="T1027" s="1" t="s">
        <v>658</v>
      </c>
      <c r="U1027" s="8">
        <f t="shared" si="37"/>
        <v>42339</v>
      </c>
    </row>
    <row r="1028" spans="1:23" x14ac:dyDescent="0.25">
      <c r="A1028" s="2">
        <v>17</v>
      </c>
      <c r="B1028" t="s">
        <v>153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540</v>
      </c>
      <c r="P1028" s="16" t="s">
        <v>541</v>
      </c>
      <c r="Q1028" s="1">
        <f t="shared" si="38"/>
        <v>1</v>
      </c>
      <c r="R1028" s="1">
        <v>165</v>
      </c>
      <c r="T1028" s="1" t="s">
        <v>658</v>
      </c>
      <c r="U1028" s="8">
        <f t="shared" si="37"/>
        <v>42339</v>
      </c>
    </row>
    <row r="1029" spans="1:23" x14ac:dyDescent="0.25">
      <c r="A1029" s="2">
        <v>17</v>
      </c>
      <c r="B1029" s="17" t="s">
        <v>876</v>
      </c>
      <c r="J1029" s="1"/>
      <c r="M1029" t="s">
        <v>15</v>
      </c>
      <c r="N1029" t="str">
        <f>IFERROR(VLOOKUP(B1029,'[1]All Player'!$B$2:$C$1992,2,0),"")</f>
        <v/>
      </c>
      <c r="O1029" s="2" t="s">
        <v>540</v>
      </c>
      <c r="P1029" s="16" t="s">
        <v>876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540</v>
      </c>
      <c r="P1030" s="16" t="s">
        <v>876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139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540</v>
      </c>
      <c r="P1031" s="16" t="s">
        <v>876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123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540</v>
      </c>
      <c r="P1032" s="16" t="s">
        <v>876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117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540</v>
      </c>
      <c r="P1033" s="16" t="s">
        <v>876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133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540</v>
      </c>
      <c r="P1034" s="16" t="s">
        <v>876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121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540</v>
      </c>
      <c r="P1035" s="16" t="s">
        <v>876</v>
      </c>
      <c r="Q1035" s="1">
        <f t="shared" si="38"/>
        <v>1</v>
      </c>
      <c r="R1035" s="1">
        <v>166</v>
      </c>
      <c r="S1035" s="2" t="s">
        <v>659</v>
      </c>
      <c r="U1035" s="8">
        <f t="shared" si="37"/>
        <v>42339</v>
      </c>
    </row>
    <row r="1036" spans="1:23" x14ac:dyDescent="0.25">
      <c r="A1036" s="2">
        <v>17</v>
      </c>
      <c r="B1036" s="17" t="s">
        <v>610</v>
      </c>
      <c r="J1036" s="1"/>
      <c r="M1036" t="s">
        <v>15</v>
      </c>
      <c r="N1036" t="str">
        <f>IFERROR(VLOOKUP(B1036,'[1]All Player'!$B$2:$C$1992,2,0),"")</f>
        <v/>
      </c>
      <c r="O1036" s="2" t="s">
        <v>540</v>
      </c>
      <c r="P1036" s="16" t="s">
        <v>610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540</v>
      </c>
      <c r="P1037" s="16" t="s">
        <v>610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540</v>
      </c>
      <c r="P1038" s="16" t="s">
        <v>610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408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540</v>
      </c>
      <c r="P1039" s="16" t="s">
        <v>610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393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540</v>
      </c>
      <c r="P1040" s="16" t="s">
        <v>610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406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540</v>
      </c>
      <c r="P1041" s="16" t="s">
        <v>610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161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540</v>
      </c>
      <c r="P1042" s="16" t="s">
        <v>610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877</v>
      </c>
      <c r="J1043" s="1"/>
      <c r="M1043" t="s">
        <v>15</v>
      </c>
      <c r="N1043" t="str">
        <f>IFERROR(VLOOKUP(B1043,'[1]All Player'!$B$2:$C$1992,2,0),"")</f>
        <v/>
      </c>
      <c r="O1043" s="2" t="s">
        <v>485</v>
      </c>
      <c r="P1043" s="16" t="s">
        <v>555</v>
      </c>
      <c r="Q1043" s="1">
        <f t="shared" si="38"/>
        <v>1</v>
      </c>
      <c r="R1043" s="1">
        <v>168</v>
      </c>
      <c r="T1043" s="1" t="s">
        <v>658</v>
      </c>
      <c r="U1043" s="8">
        <v>42675</v>
      </c>
    </row>
    <row r="1044" spans="1:23" x14ac:dyDescent="0.25">
      <c r="A1044" s="2">
        <v>18</v>
      </c>
      <c r="B1044" t="s">
        <v>662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485</v>
      </c>
      <c r="P1044" s="16" t="s">
        <v>555</v>
      </c>
      <c r="Q1044" s="1">
        <f t="shared" si="38"/>
        <v>1</v>
      </c>
      <c r="R1044" s="1">
        <v>168</v>
      </c>
      <c r="T1044" s="1" t="s">
        <v>658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189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485</v>
      </c>
      <c r="P1045" s="16" t="s">
        <v>555</v>
      </c>
      <c r="Q1045" s="1">
        <f t="shared" si="38"/>
        <v>1</v>
      </c>
      <c r="R1045" s="1">
        <v>168</v>
      </c>
      <c r="T1045" s="1" t="s">
        <v>658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485</v>
      </c>
      <c r="P1046" s="16" t="s">
        <v>555</v>
      </c>
      <c r="Q1046" s="1">
        <f t="shared" si="38"/>
        <v>1</v>
      </c>
      <c r="R1046" s="1">
        <v>168</v>
      </c>
      <c r="T1046" s="1" t="s">
        <v>658</v>
      </c>
      <c r="U1046" s="8">
        <f t="shared" si="39"/>
        <v>42675</v>
      </c>
    </row>
    <row r="1047" spans="1:23" x14ac:dyDescent="0.25">
      <c r="A1047" s="2">
        <v>18</v>
      </c>
      <c r="B1047" t="s">
        <v>184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485</v>
      </c>
      <c r="P1047" s="16" t="s">
        <v>555</v>
      </c>
      <c r="Q1047" s="1">
        <f t="shared" si="38"/>
        <v>1</v>
      </c>
      <c r="R1047" s="28">
        <v>168</v>
      </c>
      <c r="T1047" s="1" t="s">
        <v>658</v>
      </c>
      <c r="U1047" s="8">
        <f t="shared" si="39"/>
        <v>42675</v>
      </c>
    </row>
    <row r="1048" spans="1:23" x14ac:dyDescent="0.25">
      <c r="A1048" s="2">
        <v>18</v>
      </c>
      <c r="B1048" t="s">
        <v>170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485</v>
      </c>
      <c r="P1048" s="16" t="s">
        <v>555</v>
      </c>
      <c r="Q1048" s="1">
        <f t="shared" si="38"/>
        <v>1</v>
      </c>
      <c r="R1048" s="28">
        <v>168</v>
      </c>
      <c r="T1048" s="1" t="s">
        <v>658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485</v>
      </c>
      <c r="P1049" s="16" t="s">
        <v>555</v>
      </c>
      <c r="Q1049" s="1">
        <f t="shared" si="38"/>
        <v>1</v>
      </c>
      <c r="R1049" s="1">
        <v>168</v>
      </c>
      <c r="T1049" s="1" t="s">
        <v>658</v>
      </c>
      <c r="U1049" s="8">
        <f t="shared" si="39"/>
        <v>42675</v>
      </c>
    </row>
    <row r="1050" spans="1:23" x14ac:dyDescent="0.25">
      <c r="A1050" s="2">
        <v>18</v>
      </c>
      <c r="B1050" s="17" t="s">
        <v>878</v>
      </c>
      <c r="J1050" s="1"/>
      <c r="M1050" t="s">
        <v>15</v>
      </c>
      <c r="N1050" t="str">
        <f>IFERROR(VLOOKUP(B1050,'[1]All Player'!$B$2:$C$1992,2,0),"")</f>
        <v/>
      </c>
      <c r="O1050" s="2" t="s">
        <v>485</v>
      </c>
      <c r="P1050" s="16" t="s">
        <v>879</v>
      </c>
      <c r="Q1050" s="1">
        <f t="shared" si="38"/>
        <v>1</v>
      </c>
      <c r="R1050" s="1">
        <v>169</v>
      </c>
      <c r="T1050" s="1" t="s">
        <v>660</v>
      </c>
      <c r="U1050" s="8">
        <f t="shared" si="39"/>
        <v>42675</v>
      </c>
    </row>
    <row r="1051" spans="1:23" x14ac:dyDescent="0.25">
      <c r="A1051" s="2">
        <v>18</v>
      </c>
      <c r="B1051" t="s">
        <v>157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485</v>
      </c>
      <c r="P1051" s="16" t="s">
        <v>879</v>
      </c>
      <c r="Q1051" s="1">
        <f t="shared" si="38"/>
        <v>1</v>
      </c>
      <c r="R1051" s="1">
        <v>169</v>
      </c>
      <c r="S1051" s="2" t="s">
        <v>661</v>
      </c>
      <c r="T1051" s="1" t="s">
        <v>660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485</v>
      </c>
      <c r="P1052" s="16" t="s">
        <v>879</v>
      </c>
      <c r="Q1052" s="1">
        <f t="shared" si="38"/>
        <v>1</v>
      </c>
      <c r="R1052" s="1">
        <v>169</v>
      </c>
      <c r="T1052" s="1" t="s">
        <v>660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485</v>
      </c>
      <c r="P1053" s="16" t="s">
        <v>879</v>
      </c>
      <c r="Q1053" s="1">
        <f t="shared" si="38"/>
        <v>1</v>
      </c>
      <c r="R1053" s="1">
        <v>169</v>
      </c>
      <c r="T1053" s="1" t="s">
        <v>660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485</v>
      </c>
      <c r="P1054" s="16" t="s">
        <v>879</v>
      </c>
      <c r="Q1054" s="1">
        <f t="shared" si="38"/>
        <v>1</v>
      </c>
      <c r="R1054" s="1">
        <v>169</v>
      </c>
      <c r="T1054" s="1" t="s">
        <v>660</v>
      </c>
      <c r="U1054" s="8">
        <f t="shared" si="39"/>
        <v>42675</v>
      </c>
    </row>
    <row r="1055" spans="1:23" x14ac:dyDescent="0.25">
      <c r="A1055" s="2">
        <v>18</v>
      </c>
      <c r="B1055" t="s">
        <v>115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485</v>
      </c>
      <c r="P1055" s="16" t="s">
        <v>879</v>
      </c>
      <c r="Q1055" s="1">
        <f t="shared" si="38"/>
        <v>1</v>
      </c>
      <c r="R1055" s="1">
        <v>169</v>
      </c>
      <c r="T1055" s="1" t="s">
        <v>660</v>
      </c>
      <c r="U1055" s="8">
        <f t="shared" si="39"/>
        <v>42675</v>
      </c>
    </row>
    <row r="1056" spans="1:23" x14ac:dyDescent="0.25">
      <c r="A1056" s="2">
        <v>18</v>
      </c>
      <c r="B1056" s="17" t="s">
        <v>880</v>
      </c>
      <c r="J1056" s="1"/>
      <c r="M1056" t="s">
        <v>15</v>
      </c>
      <c r="N1056" t="str">
        <f>IFERROR(VLOOKUP(B1056,'[1]All Player'!$B$2:$C$1992,2,0),"")</f>
        <v/>
      </c>
      <c r="O1056" s="2" t="s">
        <v>485</v>
      </c>
      <c r="P1056" s="16" t="s">
        <v>612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485</v>
      </c>
      <c r="P1057" s="16" t="s">
        <v>612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412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485</v>
      </c>
      <c r="P1058" s="16" t="s">
        <v>612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178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485</v>
      </c>
      <c r="P1059" s="16" t="s">
        <v>612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485</v>
      </c>
      <c r="P1060" s="16" t="s">
        <v>612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192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485</v>
      </c>
      <c r="P1061" s="16" t="s">
        <v>612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881</v>
      </c>
      <c r="J1062" s="1"/>
      <c r="M1062" t="s">
        <v>15</v>
      </c>
      <c r="N1062" t="str">
        <f>IFERROR(VLOOKUP(B1062,'[1]All Player'!$B$2:$C$1992,2,0),"")</f>
        <v/>
      </c>
      <c r="O1062" s="2" t="s">
        <v>485</v>
      </c>
      <c r="P1062" s="16" t="s">
        <v>882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485</v>
      </c>
      <c r="P1063" s="16" t="s">
        <v>882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790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485</v>
      </c>
      <c r="P1064" s="16" t="s">
        <v>882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485</v>
      </c>
      <c r="P1065" s="16" t="s">
        <v>882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137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485</v>
      </c>
      <c r="P1066" s="16" t="s">
        <v>882</v>
      </c>
      <c r="Q1066" s="1">
        <f t="shared" si="38"/>
        <v>1</v>
      </c>
      <c r="R1066" s="1">
        <v>171</v>
      </c>
      <c r="S1066" s="2" t="s">
        <v>659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485</v>
      </c>
      <c r="P1067" s="16" t="s">
        <v>882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883</v>
      </c>
      <c r="J1068" s="1"/>
      <c r="M1068" t="s">
        <v>15</v>
      </c>
      <c r="N1068" t="str">
        <f>IFERROR(VLOOKUP(B1068,'[1]All Player'!$B$2:$C$1992,2,0),"")</f>
        <v/>
      </c>
      <c r="O1068" s="2" t="s">
        <v>485</v>
      </c>
      <c r="P1068" s="16" t="s">
        <v>884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485</v>
      </c>
      <c r="P1069" s="16" t="s">
        <v>884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399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485</v>
      </c>
      <c r="P1070" s="16" t="s">
        <v>884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229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485</v>
      </c>
      <c r="P1071" s="16" t="s">
        <v>884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485</v>
      </c>
      <c r="P1072" s="16" t="s">
        <v>884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117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485</v>
      </c>
      <c r="P1073" s="16" t="s">
        <v>884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885</v>
      </c>
      <c r="J1074" s="1"/>
      <c r="M1074" t="s">
        <v>15</v>
      </c>
      <c r="N1074" t="str">
        <f>IFERROR(VLOOKUP(B1074,'[1]All Player'!$B$2:$C$1992,2,0),"")</f>
        <v/>
      </c>
      <c r="O1074" s="2" t="s">
        <v>485</v>
      </c>
      <c r="P1074" s="16" t="s">
        <v>613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485</v>
      </c>
      <c r="P1075" s="16" t="s">
        <v>613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414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485</v>
      </c>
      <c r="P1076" s="16" t="s">
        <v>613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125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485</v>
      </c>
      <c r="P1077" s="16" t="s">
        <v>613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485</v>
      </c>
      <c r="P1078" s="16" t="s">
        <v>613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121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485</v>
      </c>
      <c r="P1079" s="16" t="s">
        <v>613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886</v>
      </c>
      <c r="J1080" s="1"/>
      <c r="M1080" t="s">
        <v>15</v>
      </c>
      <c r="N1080" t="str">
        <f>IFERROR(VLOOKUP(B1080,'[1]All Player'!$B$2:$C$1992,2,0),"")</f>
        <v/>
      </c>
      <c r="O1080" s="2" t="s">
        <v>485</v>
      </c>
      <c r="P1080" s="16" t="s">
        <v>486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485</v>
      </c>
      <c r="P1081" s="16" t="s">
        <v>486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485</v>
      </c>
      <c r="P1082" s="16" t="s">
        <v>486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385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485</v>
      </c>
      <c r="P1083" s="16" t="s">
        <v>486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485</v>
      </c>
      <c r="P1084" s="16" t="s">
        <v>486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147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485</v>
      </c>
      <c r="P1085" s="16" t="s">
        <v>486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887</v>
      </c>
      <c r="J1086" s="1"/>
      <c r="M1086" t="s">
        <v>15</v>
      </c>
      <c r="N1086" t="str">
        <f>IFERROR(VLOOKUP(B1086,'[1]All Player'!$B$2:$C$1992,2,0),"")</f>
        <v/>
      </c>
      <c r="O1086" s="2" t="s">
        <v>485</v>
      </c>
      <c r="P1086" s="16" t="s">
        <v>888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139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485</v>
      </c>
      <c r="P1087" s="16" t="s">
        <v>888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182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485</v>
      </c>
      <c r="P1088" s="16" t="s">
        <v>888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172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485</v>
      </c>
      <c r="P1089" s="16" t="s">
        <v>888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131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485</v>
      </c>
      <c r="P1090" s="16" t="s">
        <v>888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174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485</v>
      </c>
      <c r="P1091" s="16" t="s">
        <v>888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889</v>
      </c>
      <c r="J1092" s="1"/>
      <c r="M1092" t="s">
        <v>15</v>
      </c>
      <c r="N1092" t="str">
        <f>IFERROR(VLOOKUP(B1092,'[1]All Player'!$B$2:$C$1992,2,0),"")</f>
        <v/>
      </c>
      <c r="O1092" s="2" t="s">
        <v>485</v>
      </c>
      <c r="P1092" s="16" t="s">
        <v>890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485</v>
      </c>
      <c r="P1093" s="16" t="s">
        <v>890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149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485</v>
      </c>
      <c r="P1094" s="16" t="s">
        <v>890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485</v>
      </c>
      <c r="P1095" s="16" t="s">
        <v>890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123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485</v>
      </c>
      <c r="P1096" s="16" t="s">
        <v>890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299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485</v>
      </c>
      <c r="P1097" s="16" t="s">
        <v>890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891</v>
      </c>
      <c r="J1098" s="1"/>
      <c r="M1098" t="s">
        <v>15</v>
      </c>
      <c r="N1098" t="str">
        <f>IFERROR(VLOOKUP(B1098,'[1]All Player'!$B$2:$C$1992,2,0),"")</f>
        <v/>
      </c>
      <c r="O1098" s="2" t="s">
        <v>485</v>
      </c>
      <c r="P1098" s="16" t="s">
        <v>892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133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485</v>
      </c>
      <c r="P1099" s="16" t="s">
        <v>892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485</v>
      </c>
      <c r="P1100" s="16" t="s">
        <v>892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198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485</v>
      </c>
      <c r="P1101" s="16" t="s">
        <v>892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485</v>
      </c>
      <c r="P1102" s="16" t="s">
        <v>892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485</v>
      </c>
      <c r="P1103" s="16" t="s">
        <v>892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893</v>
      </c>
      <c r="J1104" s="1"/>
      <c r="M1104" t="s">
        <v>15</v>
      </c>
      <c r="N1104" t="str">
        <f>IFERROR(VLOOKUP(B1104,'[1]All Player'!$B$2:$C$1992,2,0),"")</f>
        <v/>
      </c>
      <c r="O1104" s="2" t="s">
        <v>552</v>
      </c>
      <c r="P1104" s="16" t="s">
        <v>893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172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552</v>
      </c>
      <c r="P1105" s="16" t="s">
        <v>893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149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552</v>
      </c>
      <c r="P1106" s="16" t="s">
        <v>893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131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552</v>
      </c>
      <c r="P1107" s="16" t="s">
        <v>893</v>
      </c>
      <c r="Q1107" s="1">
        <f t="shared" si="40"/>
        <v>1</v>
      </c>
      <c r="R1107" s="1">
        <v>178</v>
      </c>
      <c r="S1107" s="2" t="s">
        <v>661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894</v>
      </c>
      <c r="J1108" s="1"/>
      <c r="M1108" t="s">
        <v>15</v>
      </c>
      <c r="N1108" t="str">
        <f>IFERROR(VLOOKUP(B1108,'[1]All Player'!$B$2:$C$1992,2,0),"")</f>
        <v/>
      </c>
      <c r="O1108" s="2" t="s">
        <v>552</v>
      </c>
      <c r="P1108" s="16" t="s">
        <v>894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153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552</v>
      </c>
      <c r="P1109" s="16" t="s">
        <v>894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552</v>
      </c>
      <c r="P1110" s="16" t="s">
        <v>894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174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552</v>
      </c>
      <c r="P1111" s="16" t="s">
        <v>894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895</v>
      </c>
      <c r="J1112" s="1"/>
      <c r="M1112" t="s">
        <v>15</v>
      </c>
      <c r="N1112" t="str">
        <f>IFERROR(VLOOKUP(B1112,'[1]All Player'!$B$2:$C$1992,2,0),"")</f>
        <v/>
      </c>
      <c r="O1112" s="2" t="s">
        <v>552</v>
      </c>
      <c r="P1112" s="16" t="s">
        <v>895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552</v>
      </c>
      <c r="P1113" s="16" t="s">
        <v>895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139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552</v>
      </c>
      <c r="P1114" s="16" t="s">
        <v>895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552</v>
      </c>
      <c r="P1115" s="16" t="s">
        <v>895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896</v>
      </c>
      <c r="J1116" s="1"/>
      <c r="M1116" t="s">
        <v>15</v>
      </c>
      <c r="N1116" t="str">
        <f>IFERROR(VLOOKUP(B1116,'[1]All Player'!$B$2:$C$1992,2,0),"")</f>
        <v/>
      </c>
      <c r="O1116" s="2" t="s">
        <v>552</v>
      </c>
      <c r="P1116" s="16" t="s">
        <v>896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662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552</v>
      </c>
      <c r="P1117" s="16" t="s">
        <v>896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552</v>
      </c>
      <c r="P1118" s="16" t="s">
        <v>896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552</v>
      </c>
      <c r="P1119" s="16" t="s">
        <v>896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553</v>
      </c>
      <c r="J1120" s="1"/>
      <c r="M1120" t="s">
        <v>15</v>
      </c>
      <c r="N1120" t="str">
        <f>IFERROR(VLOOKUP(B1120,'[1]All Player'!$B$2:$C$1992,2,0),"")</f>
        <v/>
      </c>
      <c r="O1120" s="2" t="s">
        <v>552</v>
      </c>
      <c r="P1120" s="16" t="s">
        <v>553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552</v>
      </c>
      <c r="P1121" s="16" t="s">
        <v>553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176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552</v>
      </c>
      <c r="P1122" s="16" t="s">
        <v>553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552</v>
      </c>
      <c r="P1123" s="16" t="s">
        <v>553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897</v>
      </c>
      <c r="J1124" s="1"/>
      <c r="M1124" t="s">
        <v>15</v>
      </c>
      <c r="N1124" t="str">
        <f>IFERROR(VLOOKUP(B1124,'[1]All Player'!$B$2:$C$1992,2,0),"")</f>
        <v/>
      </c>
      <c r="O1124" s="2" t="s">
        <v>552</v>
      </c>
      <c r="P1124" s="16" t="s">
        <v>897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552</v>
      </c>
      <c r="P1125" s="16" t="s">
        <v>897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552</v>
      </c>
      <c r="P1126" s="16" t="s">
        <v>897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117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552</v>
      </c>
      <c r="P1127" s="16" t="s">
        <v>897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898</v>
      </c>
      <c r="J1128" s="1"/>
      <c r="M1128" t="s">
        <v>15</v>
      </c>
      <c r="N1128" t="str">
        <f>IFERROR(VLOOKUP(B1128,'[1]All Player'!$B$2:$C$1992,2,0),"")</f>
        <v/>
      </c>
      <c r="O1128" s="2" t="s">
        <v>552</v>
      </c>
      <c r="P1128" s="16" t="s">
        <v>898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552</v>
      </c>
      <c r="P1129" s="16" t="s">
        <v>898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157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552</v>
      </c>
      <c r="P1130" s="16" t="s">
        <v>898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125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552</v>
      </c>
      <c r="P1131" s="16" t="s">
        <v>898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204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552</v>
      </c>
      <c r="P1132" s="16" t="s">
        <v>898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899</v>
      </c>
      <c r="J1133" s="1"/>
      <c r="M1133" t="s">
        <v>15</v>
      </c>
      <c r="N1133" t="str">
        <f>IFERROR(VLOOKUP(B1133,'[1]All Player'!$B$2:$C$1992,2,0),"")</f>
        <v/>
      </c>
      <c r="O1133" s="2" t="s">
        <v>552</v>
      </c>
      <c r="P1133" s="16" t="s">
        <v>899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552</v>
      </c>
      <c r="P1134" s="16" t="s">
        <v>899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552</v>
      </c>
      <c r="P1135" s="16" t="s">
        <v>899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178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552</v>
      </c>
      <c r="P1136" s="16" t="s">
        <v>899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900</v>
      </c>
      <c r="J1137" s="1"/>
      <c r="M1137" t="s">
        <v>15</v>
      </c>
      <c r="N1137" t="str">
        <f>IFERROR(VLOOKUP(B1137,'[1]All Player'!$B$2:$C$1992,2,0),"")</f>
        <v/>
      </c>
      <c r="O1137" s="2" t="s">
        <v>552</v>
      </c>
      <c r="P1137" s="16" t="s">
        <v>900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552</v>
      </c>
      <c r="P1138" s="16" t="s">
        <v>900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182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552</v>
      </c>
      <c r="P1139" s="16" t="s">
        <v>900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184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552</v>
      </c>
      <c r="P1140" s="16" t="s">
        <v>900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901</v>
      </c>
      <c r="J1141" s="1"/>
      <c r="M1141" t="s">
        <v>15</v>
      </c>
      <c r="N1141" t="str">
        <f>IFERROR(VLOOKUP(B1141,'[1]All Player'!$B$2:$C$1992,2,0),"")</f>
        <v/>
      </c>
      <c r="O1141" s="2" t="s">
        <v>552</v>
      </c>
      <c r="P1141" s="16" t="s">
        <v>901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552</v>
      </c>
      <c r="P1142" s="16" t="s">
        <v>901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552</v>
      </c>
      <c r="P1143" s="16" t="s">
        <v>901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187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552</v>
      </c>
      <c r="P1144" s="16" t="s">
        <v>901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556</v>
      </c>
      <c r="J1145" s="1"/>
      <c r="M1145" t="s">
        <v>15</v>
      </c>
      <c r="N1145" t="str">
        <f>IFERROR(VLOOKUP(B1145,'[1]All Player'!$B$2:$C$1992,2,0),"")</f>
        <v/>
      </c>
      <c r="O1145" s="2" t="s">
        <v>552</v>
      </c>
      <c r="P1145" s="16" t="s">
        <v>556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133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552</v>
      </c>
      <c r="P1146" s="16" t="s">
        <v>556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191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552</v>
      </c>
      <c r="P1147" s="16" t="s">
        <v>556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552</v>
      </c>
      <c r="P1148" s="16" t="s">
        <v>556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902</v>
      </c>
      <c r="J1149" s="1"/>
      <c r="M1149" t="s">
        <v>15</v>
      </c>
      <c r="N1149" t="str">
        <f>IFERROR(VLOOKUP(B1149,'[1]All Player'!$B$2:$C$1992,2,0),"")</f>
        <v/>
      </c>
      <c r="O1149" s="2" t="s">
        <v>552</v>
      </c>
      <c r="P1149" s="16" t="s">
        <v>902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137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552</v>
      </c>
      <c r="P1150" s="16" t="s">
        <v>902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192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552</v>
      </c>
      <c r="P1151" s="16" t="s">
        <v>902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194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552</v>
      </c>
      <c r="P1152" s="16" t="s">
        <v>902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903</v>
      </c>
      <c r="J1153" s="1"/>
      <c r="M1153" t="s">
        <v>15</v>
      </c>
      <c r="N1153" t="str">
        <f>IFERROR(VLOOKUP(B1153,'[1]All Player'!$B$2:$C$1992,2,0),"")</f>
        <v/>
      </c>
      <c r="O1153" s="2" t="s">
        <v>552</v>
      </c>
      <c r="P1153" s="16" t="s">
        <v>903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552</v>
      </c>
      <c r="P1154" s="16" t="s">
        <v>903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189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552</v>
      </c>
      <c r="P1155" s="16" t="s">
        <v>903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552</v>
      </c>
      <c r="P1156" s="16" t="s">
        <v>903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141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552</v>
      </c>
      <c r="P1157" s="16" t="s">
        <v>903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170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552</v>
      </c>
      <c r="P1158" s="16" t="s">
        <v>903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904</v>
      </c>
      <c r="J1159" s="1"/>
      <c r="M1159" t="s">
        <v>15</v>
      </c>
      <c r="N1159" t="str">
        <f>IFERROR(VLOOKUP(B1159,'[1]All Player'!$B$2:$C$1992,2,0),"")</f>
        <v/>
      </c>
      <c r="O1159" s="2" t="s">
        <v>552</v>
      </c>
      <c r="P1159" s="16" t="s">
        <v>904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229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552</v>
      </c>
      <c r="P1160" s="16" t="s">
        <v>904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123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552</v>
      </c>
      <c r="P1161" s="16" t="s">
        <v>904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196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552</v>
      </c>
      <c r="P1162" s="16" t="s">
        <v>904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905</v>
      </c>
      <c r="J1163" s="1"/>
      <c r="M1163" t="s">
        <v>15</v>
      </c>
      <c r="N1163" t="str">
        <f>IFERROR(VLOOKUP(B1163,'[1]All Player'!$B$2:$C$1992,2,0),"")</f>
        <v/>
      </c>
      <c r="O1163" s="2" t="s">
        <v>552</v>
      </c>
      <c r="P1163" s="16" t="s">
        <v>905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202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552</v>
      </c>
      <c r="P1164" s="16" t="s">
        <v>905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127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552</v>
      </c>
      <c r="P1165" s="16" t="s">
        <v>905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552</v>
      </c>
      <c r="P1166" s="16" t="s">
        <v>905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906</v>
      </c>
      <c r="J1167" s="1"/>
      <c r="M1167" t="s">
        <v>15</v>
      </c>
      <c r="N1167" t="str">
        <f>IFERROR(VLOOKUP(B1167,'[1]All Player'!$B$2:$C$1992,2,0),"")</f>
        <v/>
      </c>
      <c r="O1167" s="2" t="s">
        <v>552</v>
      </c>
      <c r="P1167" s="16" t="s">
        <v>906</v>
      </c>
      <c r="Q1167" s="1">
        <f t="shared" si="42"/>
        <v>1</v>
      </c>
      <c r="R1167" s="1">
        <v>193</v>
      </c>
      <c r="T1167" s="1" t="s">
        <v>660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552</v>
      </c>
      <c r="P1168" s="16" t="s">
        <v>906</v>
      </c>
      <c r="Q1168" s="1">
        <f t="shared" si="42"/>
        <v>1</v>
      </c>
      <c r="R1168" s="1">
        <v>193</v>
      </c>
      <c r="T1168" s="1" t="s">
        <v>660</v>
      </c>
      <c r="U1168" s="8">
        <f t="shared" si="41"/>
        <v>42795</v>
      </c>
    </row>
    <row r="1169" spans="1:21" x14ac:dyDescent="0.25">
      <c r="A1169" s="2">
        <v>19</v>
      </c>
      <c r="B1169" t="s">
        <v>180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552</v>
      </c>
      <c r="P1169" s="16" t="s">
        <v>906</v>
      </c>
      <c r="Q1169" s="1">
        <f t="shared" si="42"/>
        <v>1</v>
      </c>
      <c r="R1169" s="1">
        <v>193</v>
      </c>
      <c r="T1169" s="1" t="s">
        <v>660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198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552</v>
      </c>
      <c r="P1170" s="16" t="s">
        <v>906</v>
      </c>
      <c r="Q1170" s="1">
        <f t="shared" si="42"/>
        <v>1</v>
      </c>
      <c r="R1170" s="1">
        <v>193</v>
      </c>
      <c r="T1170" s="1" t="s">
        <v>660</v>
      </c>
      <c r="U1170" s="8">
        <f t="shared" si="43"/>
        <v>42795</v>
      </c>
    </row>
    <row r="1171" spans="1:21" x14ac:dyDescent="0.25">
      <c r="A1171" s="2">
        <v>19</v>
      </c>
      <c r="B1171" t="s">
        <v>907</v>
      </c>
      <c r="J1171" s="1"/>
      <c r="M1171" t="s">
        <v>15</v>
      </c>
      <c r="N1171" t="str">
        <f>IFERROR(VLOOKUP(B1171,'[1]All Player'!$B$2:$C$1992,2,0),"")</f>
        <v/>
      </c>
      <c r="O1171" s="2" t="s">
        <v>552</v>
      </c>
      <c r="P1171" s="16" t="s">
        <v>907</v>
      </c>
      <c r="Q1171" s="1">
        <f t="shared" si="42"/>
        <v>1</v>
      </c>
      <c r="R1171" s="1">
        <v>194</v>
      </c>
      <c r="T1171" s="1" t="s">
        <v>658</v>
      </c>
      <c r="U1171" s="8">
        <f t="shared" si="43"/>
        <v>42795</v>
      </c>
    </row>
    <row r="1172" spans="1:21" x14ac:dyDescent="0.25">
      <c r="A1172" s="2">
        <v>19</v>
      </c>
      <c r="B1172" t="s">
        <v>115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552</v>
      </c>
      <c r="P1172" s="16" t="s">
        <v>907</v>
      </c>
      <c r="Q1172" s="1">
        <f t="shared" si="42"/>
        <v>1</v>
      </c>
      <c r="R1172" s="1">
        <v>194</v>
      </c>
      <c r="S1172" s="2" t="s">
        <v>659</v>
      </c>
      <c r="T1172" s="1" t="s">
        <v>658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552</v>
      </c>
      <c r="P1173" s="16" t="s">
        <v>907</v>
      </c>
      <c r="Q1173" s="1">
        <f t="shared" si="42"/>
        <v>1</v>
      </c>
      <c r="R1173" s="1">
        <v>194</v>
      </c>
      <c r="T1173" s="1" t="s">
        <v>658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552</v>
      </c>
      <c r="P1174" s="16" t="s">
        <v>907</v>
      </c>
      <c r="Q1174" s="1">
        <f t="shared" si="42"/>
        <v>1</v>
      </c>
      <c r="R1174" s="1">
        <v>194</v>
      </c>
      <c r="T1174" s="1" t="s">
        <v>658</v>
      </c>
      <c r="U1174" s="8">
        <f t="shared" si="43"/>
        <v>42795</v>
      </c>
    </row>
    <row r="1175" spans="1:21" x14ac:dyDescent="0.25">
      <c r="A1175" s="2">
        <v>19</v>
      </c>
      <c r="B1175" t="s">
        <v>908</v>
      </c>
      <c r="J1175" s="1"/>
      <c r="M1175" t="s">
        <v>15</v>
      </c>
      <c r="N1175" t="str">
        <f>IFERROR(VLOOKUP(B1175,'[1]All Player'!$B$2:$C$1992,2,0),"")</f>
        <v/>
      </c>
      <c r="O1175" s="2" t="s">
        <v>552</v>
      </c>
      <c r="P1175" s="16" t="s">
        <v>908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552</v>
      </c>
      <c r="P1176" s="16" t="s">
        <v>908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200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552</v>
      </c>
      <c r="P1177" s="16" t="s">
        <v>908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552</v>
      </c>
      <c r="P1178" s="16" t="s">
        <v>908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909</v>
      </c>
      <c r="J1179" s="1"/>
      <c r="M1179" t="s">
        <v>15</v>
      </c>
      <c r="N1179" t="str">
        <f>IFERROR(VLOOKUP(B1179,'[1]All Player'!$B$2:$C$1992,2,0),"")</f>
        <v/>
      </c>
      <c r="O1179" s="2" t="s">
        <v>514</v>
      </c>
      <c r="P1179" s="16" t="s">
        <v>909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514</v>
      </c>
      <c r="P1180" s="16" t="s">
        <v>909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147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514</v>
      </c>
      <c r="P1181" s="16" t="s">
        <v>909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385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514</v>
      </c>
      <c r="P1182" s="16" t="s">
        <v>909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514</v>
      </c>
      <c r="P1183" s="16" t="s">
        <v>909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515</v>
      </c>
      <c r="J1184" s="1"/>
      <c r="M1184" t="s">
        <v>15</v>
      </c>
      <c r="N1184" t="str">
        <f>IFERROR(VLOOKUP(B1184,'[1]All Player'!$B$2:$C$1992,2,0),"")</f>
        <v/>
      </c>
      <c r="O1184" s="2" t="s">
        <v>514</v>
      </c>
      <c r="P1184" s="16" t="s">
        <v>515</v>
      </c>
      <c r="Q1184" s="1">
        <f t="shared" si="42"/>
        <v>1</v>
      </c>
      <c r="R1184" s="1">
        <v>197</v>
      </c>
      <c r="T1184" s="1" t="s">
        <v>658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514</v>
      </c>
      <c r="P1185" s="16" t="s">
        <v>515</v>
      </c>
      <c r="Q1185" s="1">
        <f t="shared" si="42"/>
        <v>1</v>
      </c>
      <c r="R1185" s="1">
        <v>197</v>
      </c>
      <c r="T1185" s="1" t="s">
        <v>658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514</v>
      </c>
      <c r="P1186" s="16" t="s">
        <v>515</v>
      </c>
      <c r="Q1186" s="1">
        <f t="shared" si="42"/>
        <v>1</v>
      </c>
      <c r="R1186" s="1">
        <v>197</v>
      </c>
      <c r="T1186" s="1" t="s">
        <v>658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514</v>
      </c>
      <c r="P1187" s="16" t="s">
        <v>515</v>
      </c>
      <c r="Q1187" s="1">
        <f t="shared" si="42"/>
        <v>1</v>
      </c>
      <c r="R1187" s="1">
        <v>197</v>
      </c>
      <c r="T1187" s="1" t="s">
        <v>658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514</v>
      </c>
      <c r="P1188" s="16" t="s">
        <v>515</v>
      </c>
      <c r="Q1188" s="1">
        <f t="shared" si="42"/>
        <v>1</v>
      </c>
      <c r="R1188" s="1">
        <v>197</v>
      </c>
      <c r="T1188" s="1" t="s">
        <v>658</v>
      </c>
      <c r="U1188" s="8">
        <f t="shared" si="44"/>
        <v>43040</v>
      </c>
    </row>
    <row r="1189" spans="1:23" x14ac:dyDescent="0.25">
      <c r="A1189" s="2">
        <v>20</v>
      </c>
      <c r="B1189" s="17" t="s">
        <v>910</v>
      </c>
      <c r="J1189" s="1"/>
      <c r="M1189" t="s">
        <v>15</v>
      </c>
      <c r="N1189" t="str">
        <f>IFERROR(VLOOKUP(B1189,'[1]All Player'!$B$2:$C$1992,2,0),"")</f>
        <v/>
      </c>
      <c r="O1189" s="2" t="s">
        <v>514</v>
      </c>
      <c r="P1189" s="16" t="s">
        <v>910</v>
      </c>
      <c r="Q1189" s="1">
        <f t="shared" si="42"/>
        <v>1</v>
      </c>
      <c r="R1189" s="1">
        <v>198</v>
      </c>
      <c r="T1189" s="1" t="s">
        <v>660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514</v>
      </c>
      <c r="P1190" s="16" t="s">
        <v>910</v>
      </c>
      <c r="Q1190" s="1">
        <f t="shared" si="42"/>
        <v>1</v>
      </c>
      <c r="R1190" s="1">
        <v>198</v>
      </c>
      <c r="T1190" s="1" t="s">
        <v>660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514</v>
      </c>
      <c r="P1191" s="16" t="s">
        <v>910</v>
      </c>
      <c r="Q1191" s="1">
        <f t="shared" si="42"/>
        <v>1</v>
      </c>
      <c r="R1191" s="1">
        <v>198</v>
      </c>
      <c r="S1191" s="2" t="s">
        <v>659</v>
      </c>
      <c r="T1191" s="1" t="s">
        <v>660</v>
      </c>
      <c r="U1191" s="8">
        <f t="shared" si="44"/>
        <v>43040</v>
      </c>
    </row>
    <row r="1192" spans="1:23" x14ac:dyDescent="0.25">
      <c r="A1192" s="2">
        <v>20</v>
      </c>
      <c r="B1192" t="s">
        <v>149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514</v>
      </c>
      <c r="P1192" s="16" t="s">
        <v>910</v>
      </c>
      <c r="Q1192" s="1">
        <f t="shared" si="42"/>
        <v>1</v>
      </c>
      <c r="R1192" s="1">
        <v>198</v>
      </c>
      <c r="S1192" s="2" t="s">
        <v>661</v>
      </c>
      <c r="T1192" s="1" t="s">
        <v>660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260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514</v>
      </c>
      <c r="P1193" s="16" t="s">
        <v>910</v>
      </c>
      <c r="Q1193" s="1">
        <f t="shared" si="42"/>
        <v>1</v>
      </c>
      <c r="R1193" s="1">
        <v>198</v>
      </c>
      <c r="T1193" s="1" t="s">
        <v>660</v>
      </c>
      <c r="U1193" s="8">
        <f t="shared" si="44"/>
        <v>43040</v>
      </c>
    </row>
    <row r="1194" spans="1:23" x14ac:dyDescent="0.25">
      <c r="A1194" s="2">
        <v>20</v>
      </c>
      <c r="B1194" s="17" t="s">
        <v>911</v>
      </c>
      <c r="J1194" s="1"/>
      <c r="M1194" t="s">
        <v>15</v>
      </c>
      <c r="N1194" t="str">
        <f>IFERROR(VLOOKUP(B1194,'[1]All Player'!$B$2:$C$1992,2,0),"")</f>
        <v/>
      </c>
      <c r="O1194" s="2" t="s">
        <v>514</v>
      </c>
      <c r="P1194" s="16" t="s">
        <v>911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139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514</v>
      </c>
      <c r="P1195" s="16" t="s">
        <v>911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514</v>
      </c>
      <c r="P1196" s="16" t="s">
        <v>911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514</v>
      </c>
      <c r="P1197" s="16" t="s">
        <v>911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514</v>
      </c>
      <c r="P1198" s="16" t="s">
        <v>911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614</v>
      </c>
      <c r="J1199" s="1"/>
      <c r="M1199" t="s">
        <v>15</v>
      </c>
      <c r="N1199" t="str">
        <f>IFERROR(VLOOKUP(B1199,'[1]All Player'!$B$2:$C$1992,2,0),"")</f>
        <v/>
      </c>
      <c r="O1199" s="2" t="s">
        <v>514</v>
      </c>
      <c r="P1199" s="16" t="s">
        <v>614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514</v>
      </c>
      <c r="P1200" s="16" t="s">
        <v>614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157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514</v>
      </c>
      <c r="P1201" s="16" t="s">
        <v>614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417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514</v>
      </c>
      <c r="P1202" s="16" t="s">
        <v>614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170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514</v>
      </c>
      <c r="P1203" s="16" t="s">
        <v>614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912</v>
      </c>
      <c r="J1204" s="1"/>
      <c r="M1204" t="s">
        <v>15</v>
      </c>
      <c r="N1204" t="str">
        <f>IFERROR(VLOOKUP(B1204,'[1]All Player'!$B$2:$C$1992,2,0),"")</f>
        <v/>
      </c>
      <c r="O1204" s="2" t="s">
        <v>514</v>
      </c>
      <c r="P1204" s="16" t="s">
        <v>912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514</v>
      </c>
      <c r="P1205" s="16" t="s">
        <v>912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200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514</v>
      </c>
      <c r="P1206" s="16" t="s">
        <v>912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176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514</v>
      </c>
      <c r="P1207" s="16" t="s">
        <v>912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187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514</v>
      </c>
      <c r="P1208" s="16" t="s">
        <v>912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913</v>
      </c>
      <c r="J1209" s="1"/>
      <c r="M1209" t="s">
        <v>15</v>
      </c>
      <c r="N1209" t="str">
        <f>IFERROR(VLOOKUP(B1209,'[1]All Player'!$B$2:$C$1992,2,0),"")</f>
        <v/>
      </c>
      <c r="O1209" s="2" t="s">
        <v>514</v>
      </c>
      <c r="P1209" s="16" t="s">
        <v>913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141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514</v>
      </c>
      <c r="P1210" s="16" t="s">
        <v>913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412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514</v>
      </c>
      <c r="P1211" s="16" t="s">
        <v>913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125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514</v>
      </c>
      <c r="P1212" s="16" t="s">
        <v>913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514</v>
      </c>
      <c r="P1213" s="16" t="s">
        <v>913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914</v>
      </c>
      <c r="J1214" s="1"/>
      <c r="M1214" t="s">
        <v>15</v>
      </c>
      <c r="N1214" t="str">
        <f>IFERROR(VLOOKUP(B1214,'[1]All Player'!$B$2:$C$1992,2,0),"")</f>
        <v/>
      </c>
      <c r="O1214" s="2" t="s">
        <v>514</v>
      </c>
      <c r="P1214" s="16" t="s">
        <v>914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133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514</v>
      </c>
      <c r="P1215" s="16" t="s">
        <v>914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514</v>
      </c>
      <c r="P1216" s="16" t="s">
        <v>914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198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514</v>
      </c>
      <c r="P1217" s="16" t="s">
        <v>914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131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514</v>
      </c>
      <c r="P1218" s="16" t="s">
        <v>914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184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514</v>
      </c>
      <c r="P1219" s="16" t="s">
        <v>914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915</v>
      </c>
      <c r="J1220" s="1"/>
      <c r="M1220" t="s">
        <v>15</v>
      </c>
      <c r="N1220" t="str">
        <f>IFERROR(VLOOKUP(B1220,'[1]All Player'!$B$2:$C$1992,2,0),"")</f>
        <v/>
      </c>
      <c r="O1220" s="2" t="s">
        <v>608</v>
      </c>
      <c r="P1220" s="16" t="s">
        <v>915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608</v>
      </c>
      <c r="P1221" s="16" t="s">
        <v>915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916</v>
      </c>
      <c r="M1222" t="s">
        <v>15</v>
      </c>
      <c r="N1222" t="str">
        <f>IFERROR(VLOOKUP(B1222,'[1]All Player'!$B$2:$C$1992,2,0),"")</f>
        <v>Foysal Ahmed Jumon</v>
      </c>
      <c r="O1222" s="2" t="s">
        <v>608</v>
      </c>
      <c r="P1222" s="16" t="s">
        <v>915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117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916</v>
      </c>
      <c r="M1223" t="s">
        <v>15</v>
      </c>
      <c r="N1223" t="str">
        <f>IFERROR(VLOOKUP(B1223,'[1]All Player'!$B$2:$C$1992,2,0),"")</f>
        <v>Ahammed Ariful Haq</v>
      </c>
      <c r="O1223" s="2" t="s">
        <v>608</v>
      </c>
      <c r="P1223" s="16" t="s">
        <v>915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176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916</v>
      </c>
      <c r="M1224" t="s">
        <v>15</v>
      </c>
      <c r="N1224" t="str">
        <f>IFERROR(VLOOKUP(B1224,'[1]All Player'!$B$2:$C$1992,2,0),"")</f>
        <v>Wasiq Rahman</v>
      </c>
      <c r="O1224" s="2" t="s">
        <v>608</v>
      </c>
      <c r="P1224" s="16" t="s">
        <v>915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917</v>
      </c>
      <c r="J1225" s="1"/>
      <c r="M1225" t="s">
        <v>15</v>
      </c>
      <c r="N1225" t="str">
        <f>IFERROR(VLOOKUP(B1225,'[1]All Player'!$B$2:$C$1992,2,0),"")</f>
        <v/>
      </c>
      <c r="O1225" s="2" t="s">
        <v>608</v>
      </c>
      <c r="P1225" s="16" t="s">
        <v>917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916</v>
      </c>
      <c r="M1226" t="s">
        <v>15</v>
      </c>
      <c r="N1226" t="str">
        <f>IFERROR(VLOOKUP(B1226,'[1]All Player'!$B$2:$C$1992,2,0),"")</f>
        <v>Shayed Anowar Shanto</v>
      </c>
      <c r="O1226" s="2" t="s">
        <v>608</v>
      </c>
      <c r="P1226" s="16" t="s">
        <v>917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916</v>
      </c>
      <c r="M1227" t="s">
        <v>15</v>
      </c>
      <c r="N1227" t="str">
        <f>IFERROR(VLOOKUP(B1227,'[1]All Player'!$B$2:$C$1992,2,0),"")</f>
        <v>KM Rashedul Islam Rashed</v>
      </c>
      <c r="O1227" s="2" t="s">
        <v>608</v>
      </c>
      <c r="P1227" s="16" t="s">
        <v>917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222</v>
      </c>
      <c r="C1228" s="2">
        <v>3</v>
      </c>
      <c r="D1228" s="2">
        <v>55</v>
      </c>
      <c r="E1228" s="2">
        <v>2</v>
      </c>
      <c r="F1228" s="2">
        <v>5</v>
      </c>
      <c r="G1228" s="2" t="s">
        <v>918</v>
      </c>
      <c r="H1228" s="2">
        <v>4</v>
      </c>
      <c r="I1228" s="2">
        <v>5</v>
      </c>
      <c r="J1228" s="1" t="s">
        <v>916</v>
      </c>
      <c r="M1228" t="s">
        <v>15</v>
      </c>
      <c r="N1228" t="str">
        <f>IFERROR(VLOOKUP(B1228,'[1]All Player'!$B$2:$C$1992,2,0),"")</f>
        <v>Yahya Riyad</v>
      </c>
      <c r="O1228" s="2" t="s">
        <v>608</v>
      </c>
      <c r="P1228" s="16" t="s">
        <v>917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916</v>
      </c>
      <c r="M1229" t="s">
        <v>15</v>
      </c>
      <c r="N1229" t="str">
        <f>IFERROR(VLOOKUP(B1229,'[1]All Player'!$B$2:$C$1992,2,0),"")</f>
        <v>Al Mamun</v>
      </c>
      <c r="O1229" s="2" t="s">
        <v>608</v>
      </c>
      <c r="P1229" s="16" t="s">
        <v>917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609</v>
      </c>
      <c r="J1230" s="1"/>
      <c r="M1230" t="s">
        <v>15</v>
      </c>
      <c r="N1230" t="str">
        <f>IFERROR(VLOOKUP(B1230,'[1]All Player'!$B$2:$C$1992,2,0),"")</f>
        <v/>
      </c>
      <c r="O1230" s="2" t="s">
        <v>608</v>
      </c>
      <c r="P1230" s="16" t="s">
        <v>609</v>
      </c>
      <c r="Q1230" s="1">
        <f t="shared" si="45"/>
        <v>1</v>
      </c>
      <c r="R1230" s="1">
        <v>206</v>
      </c>
      <c r="T1230" s="1" t="s">
        <v>660</v>
      </c>
      <c r="U1230" s="8">
        <f t="shared" si="46"/>
        <v>43435</v>
      </c>
    </row>
    <row r="1231" spans="1:21" x14ac:dyDescent="0.25">
      <c r="A1231" s="2">
        <v>21</v>
      </c>
      <c r="B1231" t="s">
        <v>149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608</v>
      </c>
      <c r="P1231" s="16" t="s">
        <v>609</v>
      </c>
      <c r="Q1231" s="1">
        <f t="shared" si="45"/>
        <v>1</v>
      </c>
      <c r="R1231" s="1">
        <v>206</v>
      </c>
      <c r="T1231" s="1" t="s">
        <v>660</v>
      </c>
      <c r="U1231" s="8">
        <f t="shared" si="46"/>
        <v>43435</v>
      </c>
    </row>
    <row r="1232" spans="1:21" x14ac:dyDescent="0.25">
      <c r="A1232" s="2">
        <v>21</v>
      </c>
      <c r="B1232" t="s">
        <v>147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916</v>
      </c>
      <c r="M1232" t="s">
        <v>15</v>
      </c>
      <c r="N1232" t="str">
        <f>IFERROR(VLOOKUP(B1232,'[1]All Player'!$B$2:$C$1992,2,0),"")</f>
        <v>Nahid Saifullah</v>
      </c>
      <c r="O1232" s="2" t="s">
        <v>608</v>
      </c>
      <c r="P1232" s="16" t="s">
        <v>609</v>
      </c>
      <c r="Q1232" s="1">
        <f t="shared" si="45"/>
        <v>1</v>
      </c>
      <c r="R1232" s="1">
        <v>206</v>
      </c>
      <c r="T1232" s="1" t="s">
        <v>660</v>
      </c>
      <c r="U1232" s="8">
        <f t="shared" si="46"/>
        <v>43435</v>
      </c>
    </row>
    <row r="1233" spans="1:23" x14ac:dyDescent="0.25">
      <c r="A1233" s="2">
        <v>21</v>
      </c>
      <c r="B1233" t="s">
        <v>662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608</v>
      </c>
      <c r="P1233" s="16" t="s">
        <v>609</v>
      </c>
      <c r="Q1233" s="1">
        <f t="shared" si="45"/>
        <v>1</v>
      </c>
      <c r="R1233" s="1">
        <v>206</v>
      </c>
      <c r="T1233" s="1" t="s">
        <v>660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404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916</v>
      </c>
      <c r="M1234" t="s">
        <v>15</v>
      </c>
      <c r="N1234" t="str">
        <f>IFERROR(VLOOKUP(B1234,'[1]All Player'!$B$2:$C$1992,2,0),"")</f>
        <v>Md Siyam Islam</v>
      </c>
      <c r="O1234" s="2" t="s">
        <v>608</v>
      </c>
      <c r="P1234" s="16" t="s">
        <v>609</v>
      </c>
      <c r="Q1234" s="1">
        <f t="shared" si="45"/>
        <v>1</v>
      </c>
      <c r="R1234" s="1">
        <v>206</v>
      </c>
      <c r="S1234" s="2" t="s">
        <v>659</v>
      </c>
      <c r="T1234" s="1" t="s">
        <v>660</v>
      </c>
      <c r="U1234" s="8">
        <f t="shared" si="46"/>
        <v>43435</v>
      </c>
    </row>
    <row r="1235" spans="1:23" x14ac:dyDescent="0.25">
      <c r="A1235" s="2">
        <v>21</v>
      </c>
      <c r="B1235" s="17" t="s">
        <v>919</v>
      </c>
      <c r="J1235" s="1"/>
      <c r="M1235" t="s">
        <v>15</v>
      </c>
      <c r="N1235" t="str">
        <f>IFERROR(VLOOKUP(B1235,'[1]All Player'!$B$2:$C$1992,2,0),"")</f>
        <v/>
      </c>
      <c r="O1235" s="2" t="s">
        <v>608</v>
      </c>
      <c r="P1235" s="16" t="s">
        <v>919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145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916</v>
      </c>
      <c r="M1236" t="s">
        <v>15</v>
      </c>
      <c r="N1236" t="str">
        <f>IFERROR(VLOOKUP(B1236,'[1]All Player'!$B$2:$C$1992,2,0),"")</f>
        <v>Toufiq Ahmed Ovi</v>
      </c>
      <c r="O1236" s="2" t="s">
        <v>608</v>
      </c>
      <c r="P1236" s="16" t="s">
        <v>919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916</v>
      </c>
      <c r="M1237" t="s">
        <v>15</v>
      </c>
      <c r="N1237" t="str">
        <f>IFERROR(VLOOKUP(B1237,'[1]All Player'!$B$2:$C$1992,2,0),"")</f>
        <v>Sumon Ab</v>
      </c>
      <c r="O1237" s="2" t="s">
        <v>608</v>
      </c>
      <c r="P1237" s="16" t="s">
        <v>919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916</v>
      </c>
      <c r="M1238" t="s">
        <v>15</v>
      </c>
      <c r="N1238" t="str">
        <f>IFERROR(VLOOKUP(B1238,'[1]All Player'!$B$2:$C$1992,2,0),"")</f>
        <v>Kamil Ahmed</v>
      </c>
      <c r="O1238" s="2" t="s">
        <v>608</v>
      </c>
      <c r="P1238" s="16" t="s">
        <v>919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127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916</v>
      </c>
      <c r="M1239" t="s">
        <v>15</v>
      </c>
      <c r="N1239" t="str">
        <f>IFERROR(VLOOKUP(B1239,'[1]All Player'!$B$2:$C$1992,2,0),"")</f>
        <v>M R Shakil</v>
      </c>
      <c r="O1239" s="2" t="s">
        <v>608</v>
      </c>
      <c r="P1239" s="16" t="s">
        <v>919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920</v>
      </c>
      <c r="J1240" s="1"/>
      <c r="M1240" t="s">
        <v>15</v>
      </c>
      <c r="N1240" t="str">
        <f>IFERROR(VLOOKUP(B1240,'[1]All Player'!$B$2:$C$1992,2,0),"")</f>
        <v/>
      </c>
      <c r="O1240" s="2" t="s">
        <v>608</v>
      </c>
      <c r="P1240" s="16" t="s">
        <v>920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608</v>
      </c>
      <c r="P1241" s="16" t="s">
        <v>920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133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916</v>
      </c>
      <c r="M1242" t="s">
        <v>15</v>
      </c>
      <c r="N1242" t="str">
        <f>IFERROR(VLOOKUP(B1242,'[1]All Player'!$B$2:$C$1992,2,0),"")</f>
        <v>ShiShir Hossain</v>
      </c>
      <c r="O1242" s="2" t="s">
        <v>608</v>
      </c>
      <c r="P1242" s="16" t="s">
        <v>920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125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916</v>
      </c>
      <c r="M1243" t="s">
        <v>15</v>
      </c>
      <c r="N1243" t="str">
        <f>IFERROR(VLOOKUP(B1243,'[1]All Player'!$B$2:$C$1992,2,0),"")</f>
        <v>Mahbubur Rahman Akash</v>
      </c>
      <c r="O1243" s="2" t="s">
        <v>608</v>
      </c>
      <c r="P1243" s="16" t="s">
        <v>920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141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916</v>
      </c>
      <c r="M1244" t="s">
        <v>15</v>
      </c>
      <c r="N1244" t="str">
        <f>IFERROR(VLOOKUP(B1244,'[1]All Player'!$B$2:$C$1992,2,0),"")</f>
        <v>Monowar Hossain Munna</v>
      </c>
      <c r="O1244" s="2" t="s">
        <v>608</v>
      </c>
      <c r="P1244" s="16" t="s">
        <v>920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921</v>
      </c>
      <c r="J1245" s="1"/>
      <c r="M1245" t="s">
        <v>15</v>
      </c>
      <c r="N1245" t="str">
        <f>IFERROR(VLOOKUP(B1245,'[1]All Player'!$B$2:$C$1992,2,0),"")</f>
        <v/>
      </c>
      <c r="O1245" s="2" t="s">
        <v>608</v>
      </c>
      <c r="P1245" s="16" t="s">
        <v>921</v>
      </c>
      <c r="Q1245" s="1">
        <f t="shared" si="45"/>
        <v>1</v>
      </c>
      <c r="R1245" s="1">
        <v>209</v>
      </c>
      <c r="T1245" s="1" t="s">
        <v>658</v>
      </c>
      <c r="U1245" s="8">
        <f t="shared" si="46"/>
        <v>43435</v>
      </c>
    </row>
    <row r="1246" spans="1:23" x14ac:dyDescent="0.25">
      <c r="A1246" s="2">
        <v>21</v>
      </c>
      <c r="B1246" t="s">
        <v>115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916</v>
      </c>
      <c r="M1246" t="s">
        <v>15</v>
      </c>
      <c r="N1246" t="str">
        <f>IFERROR(VLOOKUP(B1246,'[1]All Player'!$B$2:$C$1992,2,0),"")</f>
        <v>Tanvir Shakib</v>
      </c>
      <c r="O1246" s="2" t="s">
        <v>608</v>
      </c>
      <c r="P1246" s="16" t="s">
        <v>921</v>
      </c>
      <c r="Q1246" s="1">
        <f t="shared" si="45"/>
        <v>1</v>
      </c>
      <c r="R1246" s="1">
        <v>209</v>
      </c>
      <c r="T1246" s="1" t="s">
        <v>658</v>
      </c>
      <c r="U1246" s="8">
        <f t="shared" si="46"/>
        <v>43435</v>
      </c>
    </row>
    <row r="1247" spans="1:23" x14ac:dyDescent="0.25">
      <c r="A1247" s="2">
        <v>21</v>
      </c>
      <c r="B1247" t="s">
        <v>139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916</v>
      </c>
      <c r="M1247" t="s">
        <v>15</v>
      </c>
      <c r="N1247" t="str">
        <f>IFERROR(VLOOKUP(B1247,'[1]All Player'!$B$2:$C$1992,2,0),"")</f>
        <v>Asif Iqbal Khan</v>
      </c>
      <c r="O1247" s="2" t="s">
        <v>608</v>
      </c>
      <c r="P1247" s="16" t="s">
        <v>921</v>
      </c>
      <c r="Q1247" s="1">
        <f t="shared" si="45"/>
        <v>1</v>
      </c>
      <c r="R1247" s="1">
        <v>209</v>
      </c>
      <c r="T1247" s="1" t="s">
        <v>658</v>
      </c>
      <c r="U1247" s="8">
        <f t="shared" si="46"/>
        <v>43435</v>
      </c>
    </row>
    <row r="1248" spans="1:23" x14ac:dyDescent="0.25">
      <c r="A1248" s="2">
        <v>21</v>
      </c>
      <c r="B1248" t="s">
        <v>137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916</v>
      </c>
      <c r="M1248" t="s">
        <v>15</v>
      </c>
      <c r="N1248" t="str">
        <f>IFERROR(VLOOKUP(B1248,'[1]All Player'!$B$2:$C$1992,2,0),"")</f>
        <v>MD Kamal Hossain Kamal</v>
      </c>
      <c r="O1248" s="2" t="s">
        <v>608</v>
      </c>
      <c r="P1248" s="16" t="s">
        <v>921</v>
      </c>
      <c r="Q1248" s="1">
        <f t="shared" si="45"/>
        <v>1</v>
      </c>
      <c r="R1248" s="1">
        <v>209</v>
      </c>
      <c r="T1248" s="1" t="s">
        <v>658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196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916</v>
      </c>
      <c r="M1249" t="s">
        <v>15</v>
      </c>
      <c r="N1249" t="str">
        <f>IFERROR(VLOOKUP(B1249,'[1]All Player'!$B$2:$C$1992,2,0),"")</f>
        <v>Hj Himel</v>
      </c>
      <c r="O1249" s="2" t="s">
        <v>608</v>
      </c>
      <c r="P1249" s="16" t="s">
        <v>921</v>
      </c>
      <c r="Q1249" s="1">
        <f t="shared" si="45"/>
        <v>1</v>
      </c>
      <c r="R1249" s="1">
        <v>209</v>
      </c>
      <c r="S1249" s="2" t="s">
        <v>661</v>
      </c>
      <c r="T1249" s="1" t="s">
        <v>658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922</v>
      </c>
      <c r="J1250" s="1"/>
      <c r="M1250" t="s">
        <v>15</v>
      </c>
      <c r="N1250" t="str">
        <f>IFERROR(VLOOKUP(B1250,'[1]All Player'!$B$2:$C$1992,2,0),"")</f>
        <v/>
      </c>
      <c r="O1250" s="2" t="s">
        <v>608</v>
      </c>
      <c r="P1250" s="16" t="s">
        <v>922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916</v>
      </c>
      <c r="M1251" t="s">
        <v>15</v>
      </c>
      <c r="N1251" t="str">
        <f>IFERROR(VLOOKUP(B1251,'[1]All Player'!$B$2:$C$1992,2,0),"")</f>
        <v>Sadrul Anam</v>
      </c>
      <c r="O1251" s="26" t="s">
        <v>608</v>
      </c>
      <c r="P1251" s="16" t="s">
        <v>922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172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916</v>
      </c>
      <c r="M1252" t="s">
        <v>15</v>
      </c>
      <c r="N1252" t="str">
        <f>IFERROR(VLOOKUP(B1252,'[1]All Player'!$B$2:$C$1992,2,0),"")</f>
        <v>Md. Ruhin</v>
      </c>
      <c r="O1252" s="2" t="s">
        <v>608</v>
      </c>
      <c r="P1252" s="16" t="s">
        <v>922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401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916</v>
      </c>
      <c r="M1253" t="s">
        <v>15</v>
      </c>
      <c r="N1253" t="str">
        <f>IFERROR(VLOOKUP(B1253,'[1]All Player'!$B$2:$C$1992,2,0),"")</f>
        <v>Obak Roxy</v>
      </c>
      <c r="O1253" s="2" t="s">
        <v>608</v>
      </c>
      <c r="P1253" s="16" t="s">
        <v>922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399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916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608</v>
      </c>
      <c r="P1254" s="16" t="s">
        <v>922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615</v>
      </c>
      <c r="J1255" s="1"/>
      <c r="M1255" t="s">
        <v>15</v>
      </c>
      <c r="N1255" t="str">
        <f>IFERROR(VLOOKUP(B1255,'[1]All Player'!$B$2:$C$1992,2,0),"")</f>
        <v/>
      </c>
      <c r="O1255" s="2" t="s">
        <v>514</v>
      </c>
      <c r="P1255" s="16" t="s">
        <v>615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137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514</v>
      </c>
      <c r="P1256" s="16" t="s">
        <v>615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123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514</v>
      </c>
      <c r="P1257" s="16" t="s">
        <v>615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514</v>
      </c>
      <c r="P1258" s="16" t="s">
        <v>615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419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514</v>
      </c>
      <c r="P1259" s="16" t="s">
        <v>615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923</v>
      </c>
      <c r="J1260" s="1"/>
      <c r="M1260" t="s">
        <v>15</v>
      </c>
      <c r="N1260" t="str">
        <f>IFERROR(VLOOKUP(B1260,'[1]All Player'!$B$2:$C$1992,2,0),"")</f>
        <v/>
      </c>
      <c r="O1260" s="2" t="s">
        <v>514</v>
      </c>
      <c r="P1260" s="16" t="s">
        <v>923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174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514</v>
      </c>
      <c r="P1261" s="16" t="s">
        <v>923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514</v>
      </c>
      <c r="P1262" s="16" t="s">
        <v>923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514</v>
      </c>
      <c r="P1263" s="16" t="s">
        <v>923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365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514</v>
      </c>
      <c r="P1264" s="16" t="s">
        <v>923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924</v>
      </c>
      <c r="J1265" s="1"/>
      <c r="M1265" t="s">
        <v>15</v>
      </c>
      <c r="N1265" t="str">
        <f>IFERROR(VLOOKUP(B1265,'[1]All Player'!$B$2:$C$1992,2,0),"")</f>
        <v/>
      </c>
      <c r="O1265" s="2" t="s">
        <v>514</v>
      </c>
      <c r="P1265" s="16" t="s">
        <v>924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127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514</v>
      </c>
      <c r="P1266" s="16" t="s">
        <v>924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514</v>
      </c>
      <c r="P1267" s="16" t="s">
        <v>924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399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514</v>
      </c>
      <c r="P1268" s="16" t="s">
        <v>924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514</v>
      </c>
      <c r="P1269" s="16" t="s">
        <v>924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616</v>
      </c>
      <c r="J1270" s="1"/>
      <c r="M1270" t="s">
        <v>15</v>
      </c>
      <c r="N1270" t="str">
        <f>IFERROR(VLOOKUP(B1270,'[1]All Player'!$B$2:$C$1992,2,0),"")</f>
        <v/>
      </c>
      <c r="O1270" s="2" t="s">
        <v>514</v>
      </c>
      <c r="P1270" s="16" t="s">
        <v>616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229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514</v>
      </c>
      <c r="P1271" s="16" t="s">
        <v>616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514</v>
      </c>
      <c r="P1272" s="16" t="s">
        <v>616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514</v>
      </c>
      <c r="P1273" s="16" t="s">
        <v>616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421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514</v>
      </c>
      <c r="P1274" s="16" t="s">
        <v>616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925</v>
      </c>
      <c r="J1275" s="1"/>
      <c r="M1275" t="s">
        <v>15</v>
      </c>
      <c r="N1275" t="str">
        <f>IFERROR(VLOOKUP(B1275,'[1]All Player'!$B$2:$C$1992,2,0),"")</f>
        <v/>
      </c>
      <c r="O1275" s="2" t="s">
        <v>926</v>
      </c>
      <c r="P1275" s="16" t="s">
        <v>925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135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926</v>
      </c>
      <c r="P1276" s="16" t="s">
        <v>925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926</v>
      </c>
      <c r="P1277" s="16" t="s">
        <v>925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115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926</v>
      </c>
      <c r="P1278" s="16" t="s">
        <v>925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153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926</v>
      </c>
      <c r="P1279" s="16" t="s">
        <v>925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117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926</v>
      </c>
      <c r="P1280" s="16" t="s">
        <v>925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131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926</v>
      </c>
      <c r="P1281" s="16" t="s">
        <v>925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927</v>
      </c>
      <c r="J1282" s="1"/>
      <c r="M1282" t="s">
        <v>15</v>
      </c>
      <c r="N1282" t="str">
        <f>IFERROR(VLOOKUP(B1282,'[1]All Player'!$B$2:$C$1992,2,0),"")</f>
        <v/>
      </c>
      <c r="O1282" s="2" t="s">
        <v>926</v>
      </c>
      <c r="P1282" s="16" t="s">
        <v>927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926</v>
      </c>
      <c r="P1283" s="16" t="s">
        <v>927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926</v>
      </c>
      <c r="P1284" s="16" t="s">
        <v>927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926</v>
      </c>
      <c r="P1285" s="16" t="s">
        <v>927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157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926</v>
      </c>
      <c r="P1286" s="16" t="s">
        <v>927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926</v>
      </c>
      <c r="P1287" s="16" t="s">
        <v>927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926</v>
      </c>
      <c r="P1288" s="16" t="s">
        <v>927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928</v>
      </c>
      <c r="J1289" s="1"/>
      <c r="M1289" t="s">
        <v>15</v>
      </c>
      <c r="N1289" t="str">
        <f>IFERROR(VLOOKUP(B1289,'[1]All Player'!$B$2:$C$1992,2,0),"")</f>
        <v/>
      </c>
      <c r="O1289" s="2" t="s">
        <v>926</v>
      </c>
      <c r="P1289" s="16" t="s">
        <v>928</v>
      </c>
      <c r="Q1289" s="1">
        <f t="shared" si="48"/>
        <v>1</v>
      </c>
      <c r="R1289" s="1">
        <v>217</v>
      </c>
      <c r="T1289" s="1" t="s">
        <v>658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926</v>
      </c>
      <c r="P1290" s="16" t="s">
        <v>928</v>
      </c>
      <c r="Q1290" s="1">
        <f t="shared" si="48"/>
        <v>1</v>
      </c>
      <c r="R1290" s="1">
        <v>217</v>
      </c>
      <c r="T1290" s="1" t="s">
        <v>658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926</v>
      </c>
      <c r="P1291" s="16" t="s">
        <v>928</v>
      </c>
      <c r="Q1291" s="1">
        <f t="shared" si="48"/>
        <v>1</v>
      </c>
      <c r="R1291" s="1">
        <v>217</v>
      </c>
      <c r="T1291" s="1" t="s">
        <v>658</v>
      </c>
      <c r="U1291" s="8">
        <f t="shared" si="47"/>
        <v>43891</v>
      </c>
    </row>
    <row r="1292" spans="1:23" x14ac:dyDescent="0.25">
      <c r="A1292" s="2">
        <v>22</v>
      </c>
      <c r="B1292" t="s">
        <v>184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926</v>
      </c>
      <c r="P1292" s="16" t="s">
        <v>928</v>
      </c>
      <c r="Q1292" s="1">
        <f t="shared" si="48"/>
        <v>1</v>
      </c>
      <c r="R1292" s="1">
        <v>217</v>
      </c>
      <c r="T1292" s="1" t="s">
        <v>658</v>
      </c>
      <c r="U1292" s="8">
        <f t="shared" si="47"/>
        <v>43891</v>
      </c>
    </row>
    <row r="1293" spans="1:23" x14ac:dyDescent="0.25">
      <c r="A1293" s="2">
        <v>22</v>
      </c>
      <c r="B1293" t="s">
        <v>139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926</v>
      </c>
      <c r="P1293" s="16" t="s">
        <v>928</v>
      </c>
      <c r="Q1293" s="1">
        <f t="shared" si="48"/>
        <v>1</v>
      </c>
      <c r="R1293" s="1">
        <v>217</v>
      </c>
      <c r="T1293" s="1" t="s">
        <v>658</v>
      </c>
      <c r="U1293" s="8">
        <f t="shared" si="47"/>
        <v>43891</v>
      </c>
    </row>
    <row r="1294" spans="1:23" x14ac:dyDescent="0.25">
      <c r="A1294" s="2">
        <v>22</v>
      </c>
      <c r="B1294" t="s">
        <v>662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926</v>
      </c>
      <c r="P1294" s="16" t="s">
        <v>928</v>
      </c>
      <c r="Q1294" s="1">
        <f t="shared" si="48"/>
        <v>1</v>
      </c>
      <c r="R1294" s="1">
        <v>217</v>
      </c>
      <c r="T1294" s="1" t="s">
        <v>658</v>
      </c>
      <c r="U1294" s="8">
        <f t="shared" si="47"/>
        <v>43891</v>
      </c>
    </row>
    <row r="1295" spans="1:23" x14ac:dyDescent="0.25">
      <c r="A1295" s="2">
        <v>22</v>
      </c>
      <c r="B1295" t="s">
        <v>141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926</v>
      </c>
      <c r="P1295" s="16" t="s">
        <v>928</v>
      </c>
      <c r="Q1295" s="1">
        <f t="shared" si="48"/>
        <v>1</v>
      </c>
      <c r="R1295" s="1">
        <v>217</v>
      </c>
      <c r="T1295" s="1" t="s">
        <v>658</v>
      </c>
      <c r="U1295" s="8">
        <f t="shared" si="47"/>
        <v>43891</v>
      </c>
    </row>
    <row r="1296" spans="1:23" x14ac:dyDescent="0.25">
      <c r="A1296" s="2">
        <v>22</v>
      </c>
      <c r="B1296" s="17" t="s">
        <v>929</v>
      </c>
      <c r="J1296" s="1"/>
      <c r="M1296" t="s">
        <v>15</v>
      </c>
      <c r="N1296" t="str">
        <f>IFERROR(VLOOKUP(B1296,'[1]All Player'!$B$2:$C$1992,2,0),"")</f>
        <v/>
      </c>
      <c r="O1296" s="2" t="s">
        <v>926</v>
      </c>
      <c r="P1296" s="16" t="s">
        <v>929</v>
      </c>
      <c r="Q1296" s="1">
        <f t="shared" si="48"/>
        <v>1</v>
      </c>
      <c r="R1296" s="1">
        <v>218</v>
      </c>
      <c r="T1296" s="1" t="s">
        <v>660</v>
      </c>
      <c r="U1296" s="8">
        <f t="shared" si="47"/>
        <v>43891</v>
      </c>
    </row>
    <row r="1297" spans="1:23" x14ac:dyDescent="0.25">
      <c r="A1297" s="2">
        <v>22</v>
      </c>
      <c r="B1297" t="s">
        <v>149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926</v>
      </c>
      <c r="P1297" s="16" t="s">
        <v>929</v>
      </c>
      <c r="Q1297" s="1">
        <f t="shared" si="48"/>
        <v>1</v>
      </c>
      <c r="R1297" s="1">
        <v>218</v>
      </c>
      <c r="T1297" s="1" t="s">
        <v>660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926</v>
      </c>
      <c r="P1298" s="16" t="s">
        <v>929</v>
      </c>
      <c r="Q1298" s="1">
        <f t="shared" si="48"/>
        <v>1</v>
      </c>
      <c r="R1298" s="1">
        <v>218</v>
      </c>
      <c r="T1298" s="1" t="s">
        <v>660</v>
      </c>
      <c r="U1298" s="8">
        <f t="shared" si="47"/>
        <v>43891</v>
      </c>
    </row>
    <row r="1299" spans="1:23" x14ac:dyDescent="0.25">
      <c r="A1299" s="2">
        <v>22</v>
      </c>
      <c r="B1299" t="s">
        <v>137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926</v>
      </c>
      <c r="P1299" s="16" t="s">
        <v>929</v>
      </c>
      <c r="Q1299" s="1">
        <f t="shared" si="48"/>
        <v>1</v>
      </c>
      <c r="R1299" s="1">
        <v>218</v>
      </c>
      <c r="S1299" s="2" t="s">
        <v>661</v>
      </c>
      <c r="T1299" s="1" t="s">
        <v>660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143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926</v>
      </c>
      <c r="P1300" s="16" t="s">
        <v>929</v>
      </c>
      <c r="Q1300" s="1">
        <f t="shared" si="48"/>
        <v>1</v>
      </c>
      <c r="R1300" s="1">
        <v>218</v>
      </c>
      <c r="T1300" s="1" t="s">
        <v>660</v>
      </c>
      <c r="U1300" s="8">
        <f t="shared" si="47"/>
        <v>43891</v>
      </c>
    </row>
    <row r="1301" spans="1:23" x14ac:dyDescent="0.25">
      <c r="A1301" s="2">
        <v>22</v>
      </c>
      <c r="B1301" t="s">
        <v>127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926</v>
      </c>
      <c r="P1301" s="16" t="s">
        <v>929</v>
      </c>
      <c r="Q1301" s="1">
        <f t="shared" si="48"/>
        <v>1</v>
      </c>
      <c r="R1301" s="1">
        <v>218</v>
      </c>
      <c r="T1301" s="1" t="s">
        <v>660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926</v>
      </c>
      <c r="P1302" s="16" t="s">
        <v>929</v>
      </c>
      <c r="Q1302" s="1">
        <f t="shared" si="48"/>
        <v>1</v>
      </c>
      <c r="R1302" s="1">
        <v>218</v>
      </c>
      <c r="S1302" s="2" t="s">
        <v>659</v>
      </c>
      <c r="T1302" s="1" t="s">
        <v>660</v>
      </c>
      <c r="U1302" s="8">
        <f t="shared" si="47"/>
        <v>43891</v>
      </c>
    </row>
    <row r="1303" spans="1:23" x14ac:dyDescent="0.25">
      <c r="A1303" s="2">
        <v>23</v>
      </c>
      <c r="B1303" s="17" t="s">
        <v>930</v>
      </c>
      <c r="J1303" s="1"/>
      <c r="M1303" t="s">
        <v>15</v>
      </c>
      <c r="N1303" t="str">
        <f>IFERROR(VLOOKUP(B1303,'[1]All Player'!$B$2:$C$1992,2,0),"")</f>
        <v/>
      </c>
      <c r="O1303" s="2" t="s">
        <v>931</v>
      </c>
      <c r="P1303" s="16" t="s">
        <v>930</v>
      </c>
      <c r="Q1303" s="1">
        <f t="shared" si="48"/>
        <v>1</v>
      </c>
      <c r="R1303" s="1">
        <v>219</v>
      </c>
      <c r="T1303" s="1" t="s">
        <v>658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931</v>
      </c>
      <c r="P1304" s="14" t="s">
        <v>930</v>
      </c>
      <c r="Q1304" s="1">
        <f t="shared" si="48"/>
        <v>1</v>
      </c>
      <c r="R1304" s="1">
        <v>219</v>
      </c>
      <c r="T1304" s="1" t="s">
        <v>658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662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931</v>
      </c>
      <c r="P1305" s="14" t="s">
        <v>930</v>
      </c>
      <c r="Q1305" s="1">
        <f t="shared" si="48"/>
        <v>1</v>
      </c>
      <c r="R1305" s="1">
        <v>219</v>
      </c>
      <c r="T1305" s="1" t="s">
        <v>658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931</v>
      </c>
      <c r="P1306" s="14" t="s">
        <v>930</v>
      </c>
      <c r="Q1306" s="1">
        <f t="shared" si="48"/>
        <v>1</v>
      </c>
      <c r="R1306" s="1">
        <v>219</v>
      </c>
      <c r="S1306" s="2" t="s">
        <v>661</v>
      </c>
      <c r="T1306" s="1" t="s">
        <v>658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931</v>
      </c>
      <c r="P1307" s="14" t="s">
        <v>930</v>
      </c>
      <c r="Q1307" s="1">
        <f t="shared" si="48"/>
        <v>1</v>
      </c>
      <c r="R1307" s="1">
        <v>219</v>
      </c>
      <c r="T1307" s="1" t="s">
        <v>658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931</v>
      </c>
      <c r="P1308" s="14" t="s">
        <v>930</v>
      </c>
      <c r="Q1308" s="1">
        <f t="shared" si="48"/>
        <v>1</v>
      </c>
      <c r="R1308" s="1">
        <v>219</v>
      </c>
      <c r="T1308" s="1" t="s">
        <v>658</v>
      </c>
      <c r="U1308" s="8">
        <f t="shared" si="49"/>
        <v>43922</v>
      </c>
    </row>
    <row r="1309" spans="1:23" x14ac:dyDescent="0.25">
      <c r="A1309" s="2">
        <v>23</v>
      </c>
      <c r="B1309" s="17" t="s">
        <v>932</v>
      </c>
      <c r="J1309" s="1"/>
      <c r="M1309" t="s">
        <v>15</v>
      </c>
      <c r="N1309" t="str">
        <f>IFERROR(VLOOKUP(B1309,'[1]All Player'!$B$2:$C$1992,2,0),"")</f>
        <v/>
      </c>
      <c r="O1309" s="2" t="s">
        <v>931</v>
      </c>
      <c r="P1309" s="14" t="s">
        <v>932</v>
      </c>
      <c r="Q1309" s="1">
        <f t="shared" si="48"/>
        <v>1</v>
      </c>
      <c r="R1309" s="1">
        <v>220</v>
      </c>
      <c r="T1309" s="1" t="s">
        <v>660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931</v>
      </c>
      <c r="P1310" s="14" t="s">
        <v>932</v>
      </c>
      <c r="Q1310" s="1">
        <f t="shared" si="48"/>
        <v>1</v>
      </c>
      <c r="R1310" s="1">
        <v>220</v>
      </c>
      <c r="T1310" s="1" t="s">
        <v>660</v>
      </c>
      <c r="U1310" s="8">
        <f t="shared" si="49"/>
        <v>43922</v>
      </c>
    </row>
    <row r="1311" spans="1:23" x14ac:dyDescent="0.25">
      <c r="A1311" s="2">
        <v>23</v>
      </c>
      <c r="B1311" t="s">
        <v>135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931</v>
      </c>
      <c r="P1311" s="14" t="s">
        <v>932</v>
      </c>
      <c r="Q1311" s="1">
        <f t="shared" si="48"/>
        <v>1</v>
      </c>
      <c r="R1311" s="1">
        <v>220</v>
      </c>
      <c r="T1311" s="1" t="s">
        <v>660</v>
      </c>
      <c r="U1311" s="8">
        <f t="shared" si="49"/>
        <v>43922</v>
      </c>
    </row>
    <row r="1312" spans="1:23" x14ac:dyDescent="0.25">
      <c r="A1312" s="2">
        <v>23</v>
      </c>
      <c r="B1312" t="s">
        <v>115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931</v>
      </c>
      <c r="P1312" s="14" t="s">
        <v>932</v>
      </c>
      <c r="Q1312" s="1">
        <f t="shared" si="48"/>
        <v>1</v>
      </c>
      <c r="R1312" s="1">
        <v>220</v>
      </c>
      <c r="S1312" s="2" t="s">
        <v>659</v>
      </c>
      <c r="T1312" s="1" t="s">
        <v>660</v>
      </c>
      <c r="U1312" s="8">
        <f t="shared" si="49"/>
        <v>43922</v>
      </c>
    </row>
    <row r="1313" spans="1:22" x14ac:dyDescent="0.25">
      <c r="A1313" s="2">
        <v>23</v>
      </c>
      <c r="B1313" t="s">
        <v>139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931</v>
      </c>
      <c r="P1313" s="14" t="s">
        <v>932</v>
      </c>
      <c r="Q1313" s="1">
        <f t="shared" si="48"/>
        <v>1</v>
      </c>
      <c r="R1313" s="1">
        <v>220</v>
      </c>
      <c r="T1313" s="1" t="s">
        <v>660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931</v>
      </c>
      <c r="P1314" s="14" t="s">
        <v>932</v>
      </c>
      <c r="Q1314" s="1">
        <f t="shared" si="48"/>
        <v>1</v>
      </c>
      <c r="R1314" s="1">
        <v>220</v>
      </c>
      <c r="T1314" s="1" t="s">
        <v>660</v>
      </c>
      <c r="U1314" s="8">
        <f t="shared" si="49"/>
        <v>43922</v>
      </c>
    </row>
    <row r="1315" spans="1:22" x14ac:dyDescent="0.25">
      <c r="A1315" s="2">
        <v>23</v>
      </c>
      <c r="B1315" s="17" t="s">
        <v>933</v>
      </c>
      <c r="J1315" s="1"/>
      <c r="M1315" t="s">
        <v>15</v>
      </c>
      <c r="N1315" t="str">
        <f>IFERROR(VLOOKUP(B1315,'[1]All Player'!$B$2:$C$1992,2,0),"")</f>
        <v/>
      </c>
      <c r="O1315" s="2" t="s">
        <v>931</v>
      </c>
      <c r="P1315" s="14" t="s">
        <v>933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931</v>
      </c>
      <c r="P1316" s="14" t="s">
        <v>933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131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931</v>
      </c>
      <c r="P1317" s="14" t="s">
        <v>933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137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931</v>
      </c>
      <c r="P1318" s="14" t="s">
        <v>933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141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931</v>
      </c>
      <c r="P1319" s="14" t="s">
        <v>933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176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931</v>
      </c>
      <c r="P1320" s="14" t="s">
        <v>933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934</v>
      </c>
      <c r="J1321" s="1"/>
      <c r="M1321" t="s">
        <v>15</v>
      </c>
      <c r="N1321" t="str">
        <f>IFERROR(VLOOKUP(B1321,'[1]All Player'!$B$2:$C$1992,2,0),"")</f>
        <v/>
      </c>
      <c r="O1321" s="2" t="s">
        <v>931</v>
      </c>
      <c r="P1321" s="14" t="s">
        <v>934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931</v>
      </c>
      <c r="P1322" s="14" t="s">
        <v>934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931</v>
      </c>
      <c r="P1323" s="14" t="s">
        <v>934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931</v>
      </c>
      <c r="P1324" s="14" t="s">
        <v>934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117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931</v>
      </c>
      <c r="P1325" s="14" t="s">
        <v>934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113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931</v>
      </c>
      <c r="P1326" s="14" t="s">
        <v>934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879</v>
      </c>
      <c r="J1327" s="1"/>
      <c r="M1327" t="s">
        <v>15</v>
      </c>
      <c r="N1327" t="str">
        <f>IFERROR(VLOOKUP(B1327,'[1]All Player'!$B$2:$C$1992,2,0),"")</f>
        <v/>
      </c>
      <c r="O1327" s="2" t="s">
        <v>931</v>
      </c>
      <c r="P1327" s="14" t="s">
        <v>879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157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931</v>
      </c>
      <c r="P1328" s="14" t="s">
        <v>879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149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931</v>
      </c>
      <c r="P1329" s="14" t="s">
        <v>879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931</v>
      </c>
      <c r="P1330" s="14" t="s">
        <v>879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127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931</v>
      </c>
      <c r="P1331" s="14" t="s">
        <v>879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931</v>
      </c>
      <c r="P1332" s="14" t="s">
        <v>879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935</v>
      </c>
      <c r="J1333" s="1"/>
      <c r="M1333" t="s">
        <v>15</v>
      </c>
      <c r="N1333" t="str">
        <f>IFERROR(VLOOKUP(B1333,'[1]All Player'!$B$2:$C$1992,2,0),"")</f>
        <v/>
      </c>
      <c r="O1333" s="2" t="s">
        <v>931</v>
      </c>
      <c r="P1333" s="14" t="s">
        <v>935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931</v>
      </c>
      <c r="P1334" s="14" t="s">
        <v>935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931</v>
      </c>
      <c r="P1335" s="14" t="s">
        <v>935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147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931</v>
      </c>
      <c r="P1336" s="14" t="s">
        <v>935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931</v>
      </c>
      <c r="P1337" s="14" t="s">
        <v>935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174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931</v>
      </c>
      <c r="P1338" s="14" t="s">
        <v>935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936</v>
      </c>
      <c r="J1339" s="1"/>
      <c r="M1339" t="s">
        <v>15</v>
      </c>
      <c r="N1339" t="str">
        <f>IFERROR(VLOOKUP(B1339,'[1]All Player'!$B$2:$C$1992,2,0),"")</f>
        <v/>
      </c>
      <c r="O1339" s="2" t="s">
        <v>931</v>
      </c>
      <c r="P1339" s="14" t="s">
        <v>936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931</v>
      </c>
      <c r="P1340" s="14" t="s">
        <v>936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931</v>
      </c>
      <c r="P1341" s="14" t="s">
        <v>936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153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931</v>
      </c>
      <c r="P1342" s="14" t="s">
        <v>936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404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931</v>
      </c>
      <c r="P1343" s="14" t="s">
        <v>936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931</v>
      </c>
      <c r="P1344" s="14" t="s">
        <v>936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937</v>
      </c>
      <c r="J1345" s="1"/>
      <c r="M1345" t="s">
        <v>15</v>
      </c>
      <c r="N1345" t="str">
        <f>IFERROR(VLOOKUP(B1345,'[1]All Player'!$B$2:$C$1992,2,0),"")</f>
        <v/>
      </c>
      <c r="O1345" s="2" t="s">
        <v>931</v>
      </c>
      <c r="P1345" s="14" t="s">
        <v>937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931</v>
      </c>
      <c r="P1346" s="14" t="s">
        <v>937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931</v>
      </c>
      <c r="P1347" s="14" t="s">
        <v>937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133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931</v>
      </c>
      <c r="P1348" s="14" t="s">
        <v>937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143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931</v>
      </c>
      <c r="P1349" s="14" t="s">
        <v>937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172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931</v>
      </c>
      <c r="P1350" s="14" t="s">
        <v>937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938</v>
      </c>
      <c r="J1351" s="1"/>
      <c r="M1351" t="s">
        <v>15</v>
      </c>
      <c r="N1351" t="str">
        <f>IFERROR(VLOOKUP(B1351,'[1]All Player'!$B$2:$C$1992,2,0),"")</f>
        <v/>
      </c>
      <c r="O1351" s="2" t="s">
        <v>493</v>
      </c>
      <c r="P1351" s="14" t="s">
        <v>938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125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493</v>
      </c>
      <c r="P1352" s="16" t="s">
        <v>938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137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493</v>
      </c>
      <c r="P1353" s="16" t="s">
        <v>938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172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493</v>
      </c>
      <c r="P1354" s="16" t="s">
        <v>938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493</v>
      </c>
      <c r="P1355" s="16" t="s">
        <v>938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196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493</v>
      </c>
      <c r="P1356" s="16" t="s">
        <v>938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505</v>
      </c>
      <c r="J1357" s="1"/>
      <c r="M1357" t="s">
        <v>15</v>
      </c>
      <c r="N1357" t="str">
        <f>IFERROR(VLOOKUP(B1357,'[1]All Player'!$B$2:$C$1992,2,0),"")</f>
        <v/>
      </c>
      <c r="O1357" s="2" t="s">
        <v>493</v>
      </c>
      <c r="P1357" s="16" t="s">
        <v>505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493</v>
      </c>
      <c r="P1358" s="16" t="s">
        <v>505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139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493</v>
      </c>
      <c r="P1359" s="16" t="s">
        <v>505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493</v>
      </c>
      <c r="P1360" s="16" t="s">
        <v>505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493</v>
      </c>
      <c r="P1361" s="16" t="s">
        <v>505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123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493</v>
      </c>
      <c r="P1362" s="16" t="s">
        <v>505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494</v>
      </c>
      <c r="J1363" s="1"/>
      <c r="M1363" t="s">
        <v>15</v>
      </c>
      <c r="N1363" t="str">
        <f>IFERROR(VLOOKUP(B1363,'[1]All Player'!$B$2:$C$1992,2,0),"")</f>
        <v/>
      </c>
      <c r="O1363" s="2" t="s">
        <v>493</v>
      </c>
      <c r="P1363" s="16" t="s">
        <v>494</v>
      </c>
      <c r="Q1363" s="1">
        <f t="shared" si="50"/>
        <v>1</v>
      </c>
      <c r="R1363" s="1">
        <v>229</v>
      </c>
      <c r="T1363" s="1" t="s">
        <v>660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493</v>
      </c>
      <c r="P1364" s="16" t="s">
        <v>494</v>
      </c>
      <c r="Q1364" s="1">
        <f t="shared" si="50"/>
        <v>1</v>
      </c>
      <c r="R1364" s="1">
        <v>229</v>
      </c>
      <c r="T1364" s="1" t="s">
        <v>660</v>
      </c>
      <c r="U1364" s="8">
        <f t="shared" si="51"/>
        <v>43952</v>
      </c>
    </row>
    <row r="1365" spans="1:22" x14ac:dyDescent="0.25">
      <c r="A1365" s="2">
        <v>24</v>
      </c>
      <c r="B1365" t="s">
        <v>662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493</v>
      </c>
      <c r="P1365" s="16" t="s">
        <v>494</v>
      </c>
      <c r="Q1365" s="1">
        <f t="shared" si="50"/>
        <v>1</v>
      </c>
      <c r="R1365" s="1">
        <v>229</v>
      </c>
      <c r="S1365" s="2" t="s">
        <v>659</v>
      </c>
      <c r="T1365" s="1" t="s">
        <v>660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493</v>
      </c>
      <c r="P1366" s="16" t="s">
        <v>494</v>
      </c>
      <c r="Q1366" s="1">
        <f t="shared" si="50"/>
        <v>1</v>
      </c>
      <c r="R1366" s="1">
        <v>229</v>
      </c>
      <c r="T1366" s="1" t="s">
        <v>660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493</v>
      </c>
      <c r="P1367" s="16" t="s">
        <v>494</v>
      </c>
      <c r="Q1367" s="1">
        <f t="shared" si="50"/>
        <v>1</v>
      </c>
      <c r="R1367" s="1">
        <v>229</v>
      </c>
      <c r="T1367" s="1" t="s">
        <v>660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493</v>
      </c>
      <c r="P1368" s="16" t="s">
        <v>494</v>
      </c>
      <c r="Q1368" s="1">
        <f t="shared" si="50"/>
        <v>1</v>
      </c>
      <c r="R1368" s="1">
        <v>229</v>
      </c>
      <c r="T1368" s="1" t="s">
        <v>660</v>
      </c>
      <c r="U1368" s="8">
        <f t="shared" si="51"/>
        <v>43952</v>
      </c>
    </row>
    <row r="1369" spans="1:22" x14ac:dyDescent="0.25">
      <c r="A1369" s="2">
        <v>24</v>
      </c>
      <c r="B1369" t="s">
        <v>545</v>
      </c>
      <c r="J1369" s="1"/>
      <c r="M1369" t="s">
        <v>15</v>
      </c>
      <c r="N1369" t="str">
        <f>IFERROR(VLOOKUP(B1369,'[1]All Player'!$B$2:$C$1992,2,0),"")</f>
        <v/>
      </c>
      <c r="O1369" s="2" t="s">
        <v>493</v>
      </c>
      <c r="P1369" s="16" t="s">
        <v>545</v>
      </c>
      <c r="Q1369" s="1">
        <f t="shared" si="50"/>
        <v>1</v>
      </c>
      <c r="R1369" s="1">
        <v>230</v>
      </c>
      <c r="T1369" s="1" t="s">
        <v>658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493</v>
      </c>
      <c r="P1370" s="16" t="s">
        <v>545</v>
      </c>
      <c r="Q1370" s="1">
        <f t="shared" si="50"/>
        <v>1</v>
      </c>
      <c r="R1370" s="21">
        <v>230</v>
      </c>
      <c r="T1370" s="1" t="s">
        <v>658</v>
      </c>
      <c r="U1370" s="8">
        <f t="shared" si="51"/>
        <v>43952</v>
      </c>
    </row>
    <row r="1371" spans="1:22" x14ac:dyDescent="0.25">
      <c r="A1371" s="2">
        <v>24</v>
      </c>
      <c r="B1371" t="s">
        <v>157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493</v>
      </c>
      <c r="P1371" s="16" t="s">
        <v>545</v>
      </c>
      <c r="Q1371" s="1">
        <f t="shared" si="50"/>
        <v>1</v>
      </c>
      <c r="R1371" s="1">
        <v>230</v>
      </c>
      <c r="T1371" s="1" t="s">
        <v>658</v>
      </c>
      <c r="U1371" s="8">
        <f t="shared" si="51"/>
        <v>43952</v>
      </c>
    </row>
    <row r="1372" spans="1:22" x14ac:dyDescent="0.25">
      <c r="A1372" s="2">
        <v>24</v>
      </c>
      <c r="B1372" t="s">
        <v>113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493</v>
      </c>
      <c r="P1372" s="16" t="s">
        <v>545</v>
      </c>
      <c r="Q1372" s="1">
        <f t="shared" si="50"/>
        <v>1</v>
      </c>
      <c r="R1372" s="1">
        <v>230</v>
      </c>
      <c r="S1372" s="2" t="s">
        <v>661</v>
      </c>
      <c r="T1372" s="1" t="s">
        <v>658</v>
      </c>
      <c r="U1372" s="8">
        <f t="shared" si="51"/>
        <v>43952</v>
      </c>
    </row>
    <row r="1373" spans="1:22" x14ac:dyDescent="0.25">
      <c r="A1373" s="2">
        <v>24</v>
      </c>
      <c r="B1373" t="s">
        <v>168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493</v>
      </c>
      <c r="P1373" s="16" t="s">
        <v>545</v>
      </c>
      <c r="Q1373" s="1">
        <f t="shared" si="50"/>
        <v>1</v>
      </c>
      <c r="R1373" s="1">
        <v>230</v>
      </c>
      <c r="T1373" s="1" t="s">
        <v>658</v>
      </c>
      <c r="U1373" s="8">
        <f t="shared" si="51"/>
        <v>43952</v>
      </c>
    </row>
    <row r="1374" spans="1:22" x14ac:dyDescent="0.25">
      <c r="A1374" s="2">
        <v>24</v>
      </c>
      <c r="B1374" t="s">
        <v>151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493</v>
      </c>
      <c r="P1374" s="16" t="s">
        <v>545</v>
      </c>
      <c r="Q1374" s="1">
        <f t="shared" si="50"/>
        <v>1</v>
      </c>
      <c r="R1374" s="1">
        <v>230</v>
      </c>
      <c r="T1374" s="1" t="s">
        <v>658</v>
      </c>
      <c r="U1374" s="8">
        <f t="shared" si="51"/>
        <v>43952</v>
      </c>
    </row>
    <row r="1375" spans="1:22" x14ac:dyDescent="0.25">
      <c r="A1375" s="2">
        <v>24</v>
      </c>
      <c r="B1375" s="17" t="s">
        <v>939</v>
      </c>
      <c r="J1375" s="1"/>
      <c r="M1375" t="s">
        <v>15</v>
      </c>
      <c r="N1375" t="str">
        <f>IFERROR(VLOOKUP(B1375,'[1]All Player'!$B$2:$C$1992,2,0),"")</f>
        <v/>
      </c>
      <c r="O1375" s="2" t="s">
        <v>493</v>
      </c>
      <c r="P1375" s="16" t="s">
        <v>939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493</v>
      </c>
      <c r="P1376" s="16" t="s">
        <v>939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149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493</v>
      </c>
      <c r="P1377" s="16" t="s">
        <v>939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153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493</v>
      </c>
      <c r="P1378" s="16" t="s">
        <v>939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127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493</v>
      </c>
      <c r="P1379" s="16" t="s">
        <v>939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194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493</v>
      </c>
      <c r="P1380" s="16" t="s">
        <v>939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940</v>
      </c>
      <c r="J1381" s="1"/>
      <c r="M1381" t="s">
        <v>15</v>
      </c>
      <c r="N1381" t="str">
        <f>IFERROR(VLOOKUP(B1381,'[1]All Player'!$B$2:$C$1992,2,0),"")</f>
        <v/>
      </c>
      <c r="O1381" s="2" t="s">
        <v>493</v>
      </c>
      <c r="P1381" s="16" t="s">
        <v>940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493</v>
      </c>
      <c r="P1382" s="16" t="s">
        <v>940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493</v>
      </c>
      <c r="P1383" s="16" t="s">
        <v>940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493</v>
      </c>
      <c r="P1384" s="16" t="s">
        <v>940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404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493</v>
      </c>
      <c r="P1385" s="16" t="s">
        <v>940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129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493</v>
      </c>
      <c r="P1386" s="16" t="s">
        <v>940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941</v>
      </c>
      <c r="J1387" s="1"/>
      <c r="M1387" t="s">
        <v>15</v>
      </c>
      <c r="N1387" t="str">
        <f>IFERROR(VLOOKUP(B1387,'[1]All Player'!$B$2:$C$1992,2,0),"")</f>
        <v/>
      </c>
      <c r="O1387" s="2" t="s">
        <v>493</v>
      </c>
      <c r="P1387" s="16" t="s">
        <v>941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493</v>
      </c>
      <c r="P1388" s="16" t="s">
        <v>941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133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493</v>
      </c>
      <c r="P1389" s="16" t="s">
        <v>941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141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493</v>
      </c>
      <c r="P1390" s="16" t="s">
        <v>941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493</v>
      </c>
      <c r="P1391" s="16" t="s">
        <v>941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121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493</v>
      </c>
      <c r="P1392" s="16" t="s">
        <v>941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942</v>
      </c>
      <c r="J1393" s="1"/>
      <c r="M1393" t="s">
        <v>15</v>
      </c>
      <c r="N1393" t="str">
        <f>IFERROR(VLOOKUP(B1393,'[1]All Player'!$B$2:$C$1992,2,0),"")</f>
        <v/>
      </c>
      <c r="O1393" s="2" t="s">
        <v>493</v>
      </c>
      <c r="P1393" s="16" t="s">
        <v>942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145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493</v>
      </c>
      <c r="P1394" s="16" t="s">
        <v>942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493</v>
      </c>
      <c r="P1395" s="16" t="s">
        <v>942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493</v>
      </c>
      <c r="P1396" s="16" t="s">
        <v>942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222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493</v>
      </c>
      <c r="P1397" s="16" t="s">
        <v>942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493</v>
      </c>
      <c r="P1398" s="16" t="s">
        <v>942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943</v>
      </c>
      <c r="J1399" s="1"/>
      <c r="M1399" t="s">
        <v>15</v>
      </c>
      <c r="N1399" t="str">
        <f>IFERROR(VLOOKUP(B1399,'[1]All Player'!$B$2:$C$1992,2,0),"")</f>
        <v/>
      </c>
      <c r="O1399" s="2" t="s">
        <v>493</v>
      </c>
      <c r="P1399" s="16" t="s">
        <v>943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944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493</v>
      </c>
      <c r="P1400" s="16" t="s">
        <v>943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115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493</v>
      </c>
      <c r="P1401" s="16" t="s">
        <v>943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493</v>
      </c>
      <c r="P1402" s="16" t="s">
        <v>943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155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493</v>
      </c>
      <c r="P1403" s="16" t="s">
        <v>943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240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493</v>
      </c>
      <c r="P1404" s="16" t="s">
        <v>943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945</v>
      </c>
      <c r="J1405" s="1"/>
      <c r="M1405" t="s">
        <v>15</v>
      </c>
      <c r="N1405" t="str">
        <f>IFERROR(VLOOKUP(B1405,'[1]All Player'!$B$2:$C$1992,2,0),"")</f>
        <v/>
      </c>
      <c r="O1405" s="2" t="s">
        <v>493</v>
      </c>
      <c r="P1405" s="16" t="s">
        <v>945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493</v>
      </c>
      <c r="P1406" s="16" t="s">
        <v>945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131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493</v>
      </c>
      <c r="P1407" s="16" t="s">
        <v>945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174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493</v>
      </c>
      <c r="P1408" s="16" t="s">
        <v>945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493</v>
      </c>
      <c r="P1409" s="16" t="s">
        <v>945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493</v>
      </c>
      <c r="P1410" s="16" t="s">
        <v>945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143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493</v>
      </c>
      <c r="P1411" s="16" t="s">
        <v>945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946</v>
      </c>
      <c r="J1412" s="1"/>
      <c r="M1412" t="s">
        <v>15</v>
      </c>
      <c r="N1412" t="str">
        <f>IFERROR(VLOOKUP(B1412,'[1]All Player'!$B$2:$C$1992,2,0),"")</f>
        <v/>
      </c>
      <c r="O1412" s="2" t="s">
        <v>493</v>
      </c>
      <c r="P1412" s="16" t="s">
        <v>946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135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493</v>
      </c>
      <c r="P1413" s="16" t="s">
        <v>946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493</v>
      </c>
      <c r="P1414" s="16" t="s">
        <v>946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147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493</v>
      </c>
      <c r="P1415" s="16" t="s">
        <v>946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119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493</v>
      </c>
      <c r="P1416" s="16" t="s">
        <v>946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493</v>
      </c>
      <c r="P1417" s="16" t="s">
        <v>946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947</v>
      </c>
      <c r="J1418" s="1"/>
      <c r="M1418" t="s">
        <v>15</v>
      </c>
      <c r="N1418" t="str">
        <f>IFERROR(VLOOKUP(B1418,'[1]All Player'!$B$2:$C$1992,2,0),"")</f>
        <v/>
      </c>
      <c r="O1418" s="2" t="s">
        <v>493</v>
      </c>
      <c r="P1418" s="16" t="s">
        <v>947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493</v>
      </c>
      <c r="P1419" s="16" t="s">
        <v>947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493</v>
      </c>
      <c r="P1420" s="16" t="s">
        <v>947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493</v>
      </c>
      <c r="P1421" s="16" t="s">
        <v>947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493</v>
      </c>
      <c r="P1422" s="16" t="s">
        <v>947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117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493</v>
      </c>
      <c r="P1423" s="16" t="s">
        <v>947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617</v>
      </c>
      <c r="J1424" s="1"/>
      <c r="M1424" t="s">
        <v>15</v>
      </c>
      <c r="N1424" t="str">
        <f>IFERROR(VLOOKUP(B1424,'[1]All Player'!$B$2:$C$1992,2,0),"")</f>
        <v/>
      </c>
      <c r="O1424" s="2" t="s">
        <v>495</v>
      </c>
      <c r="P1424" s="16" t="s">
        <v>617</v>
      </c>
      <c r="Q1424" s="1">
        <f t="shared" si="52"/>
        <v>1</v>
      </c>
      <c r="R1424" s="1">
        <v>239</v>
      </c>
      <c r="T1424" s="1" t="s">
        <v>658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495</v>
      </c>
      <c r="P1425" s="16" t="s">
        <v>617</v>
      </c>
      <c r="Q1425" s="1">
        <f t="shared" si="52"/>
        <v>1</v>
      </c>
      <c r="R1425" s="1">
        <v>239</v>
      </c>
      <c r="S1425" s="2" t="s">
        <v>661</v>
      </c>
      <c r="T1425" s="1" t="s">
        <v>948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495</v>
      </c>
      <c r="P1426" s="16" t="s">
        <v>617</v>
      </c>
      <c r="Q1426" s="1">
        <f t="shared" si="52"/>
        <v>1</v>
      </c>
      <c r="R1426" s="1">
        <v>239</v>
      </c>
      <c r="T1426" s="1" t="s">
        <v>948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117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495</v>
      </c>
      <c r="P1427" s="16" t="s">
        <v>617</v>
      </c>
      <c r="Q1427" s="1">
        <f t="shared" si="52"/>
        <v>1</v>
      </c>
      <c r="R1427" s="1">
        <v>239</v>
      </c>
      <c r="T1427" s="1" t="s">
        <v>948</v>
      </c>
      <c r="U1427" s="8">
        <f t="shared" si="54"/>
        <v>44013</v>
      </c>
    </row>
    <row r="1428" spans="1:23" x14ac:dyDescent="0.25">
      <c r="A1428" s="2">
        <v>25</v>
      </c>
      <c r="B1428" t="s">
        <v>381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495</v>
      </c>
      <c r="P1428" s="16" t="s">
        <v>617</v>
      </c>
      <c r="Q1428" s="1">
        <f t="shared" si="52"/>
        <v>1</v>
      </c>
      <c r="R1428" s="1">
        <v>239</v>
      </c>
      <c r="T1428" s="1" t="s">
        <v>948</v>
      </c>
      <c r="U1428" s="8">
        <f t="shared" si="54"/>
        <v>44013</v>
      </c>
    </row>
    <row r="1429" spans="1:23" x14ac:dyDescent="0.25">
      <c r="A1429" s="2">
        <v>25</v>
      </c>
      <c r="B1429" t="s">
        <v>423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495</v>
      </c>
      <c r="P1429" s="16" t="s">
        <v>617</v>
      </c>
      <c r="Q1429" s="1">
        <f t="shared" si="52"/>
        <v>1</v>
      </c>
      <c r="R1429" s="1">
        <v>239</v>
      </c>
      <c r="T1429" s="1" t="s">
        <v>948</v>
      </c>
      <c r="U1429" s="8">
        <f t="shared" si="54"/>
        <v>44013</v>
      </c>
    </row>
    <row r="1430" spans="1:23" x14ac:dyDescent="0.25">
      <c r="A1430" s="2">
        <v>25</v>
      </c>
      <c r="B1430" t="s">
        <v>517</v>
      </c>
      <c r="J1430" s="1"/>
      <c r="M1430" t="s">
        <v>15</v>
      </c>
      <c r="N1430" t="str">
        <f>IFERROR(VLOOKUP(B1430,'[1]All Player'!$B$2:$C$1992,2,0),"")</f>
        <v/>
      </c>
      <c r="O1430" s="2" t="s">
        <v>495</v>
      </c>
      <c r="P1430" s="16" t="s">
        <v>517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495</v>
      </c>
      <c r="P1431" s="16" t="s">
        <v>517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135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495</v>
      </c>
      <c r="P1432" s="16" t="s">
        <v>517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141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495</v>
      </c>
      <c r="P1433" s="16" t="s">
        <v>517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143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495</v>
      </c>
      <c r="P1434" s="16" t="s">
        <v>517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495</v>
      </c>
      <c r="P1435" s="16" t="s">
        <v>517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949</v>
      </c>
      <c r="J1436" s="1"/>
      <c r="M1436" t="s">
        <v>15</v>
      </c>
      <c r="N1436" t="str">
        <f>IFERROR(VLOOKUP(B1436,'[1]All Player'!$B$2:$C$1992,2,0),"")</f>
        <v/>
      </c>
      <c r="O1436" s="2" t="s">
        <v>495</v>
      </c>
      <c r="P1436" s="16" t="s">
        <v>949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495</v>
      </c>
      <c r="P1437" s="16" t="s">
        <v>949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495</v>
      </c>
      <c r="P1438" s="16" t="s">
        <v>949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495</v>
      </c>
      <c r="P1439" s="16" t="s">
        <v>949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319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495</v>
      </c>
      <c r="P1440" s="16" t="s">
        <v>949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220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495</v>
      </c>
      <c r="P1441" s="16" t="s">
        <v>949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618</v>
      </c>
      <c r="J1442" s="1"/>
      <c r="M1442" t="s">
        <v>15</v>
      </c>
      <c r="N1442" t="str">
        <f>IFERROR(VLOOKUP(B1442,'[1]All Player'!$B$2:$C$1992,2,0),"")</f>
        <v/>
      </c>
      <c r="O1442" s="2" t="s">
        <v>495</v>
      </c>
      <c r="P1442" s="16" t="s">
        <v>618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495</v>
      </c>
      <c r="P1443" s="16" t="s">
        <v>618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149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495</v>
      </c>
      <c r="P1444" s="16" t="s">
        <v>618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495</v>
      </c>
      <c r="P1445" s="16" t="s">
        <v>618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182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495</v>
      </c>
      <c r="P1446" s="16" t="s">
        <v>618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425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495</v>
      </c>
      <c r="P1447" s="16" t="s">
        <v>618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194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495</v>
      </c>
      <c r="P1448" s="16" t="s">
        <v>618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619</v>
      </c>
      <c r="J1449" s="1"/>
      <c r="M1449" t="s">
        <v>15</v>
      </c>
      <c r="N1449" t="str">
        <f>IFERROR(VLOOKUP(B1449,'[1]All Player'!$B$2:$C$1992,2,0),"")</f>
        <v/>
      </c>
      <c r="O1449" s="2" t="s">
        <v>495</v>
      </c>
      <c r="P1449" s="16" t="s">
        <v>619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495</v>
      </c>
      <c r="P1450" s="16" t="s">
        <v>619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495</v>
      </c>
      <c r="P1451" s="16" t="s">
        <v>619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495</v>
      </c>
      <c r="P1452" s="16" t="s">
        <v>619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353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495</v>
      </c>
      <c r="P1453" s="16" t="s">
        <v>619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427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495</v>
      </c>
      <c r="P1454" s="16" t="s">
        <v>619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620</v>
      </c>
      <c r="J1455" s="1"/>
      <c r="M1455" t="s">
        <v>15</v>
      </c>
      <c r="N1455" t="str">
        <f>IFERROR(VLOOKUP(B1455,'[1]All Player'!$B$2:$C$1992,2,0),"")</f>
        <v/>
      </c>
      <c r="O1455" s="2" t="s">
        <v>495</v>
      </c>
      <c r="P1455" s="16" t="s">
        <v>620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495</v>
      </c>
      <c r="P1456" s="16" t="s">
        <v>620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131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495</v>
      </c>
      <c r="P1457" s="16" t="s">
        <v>620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495</v>
      </c>
      <c r="P1458" s="16" t="s">
        <v>620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174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495</v>
      </c>
      <c r="P1459" s="16" t="s">
        <v>620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429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495</v>
      </c>
      <c r="P1460" s="16" t="s">
        <v>620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622</v>
      </c>
      <c r="J1461" s="1"/>
      <c r="M1461" t="s">
        <v>15</v>
      </c>
      <c r="N1461" t="str">
        <f>IFERROR(VLOOKUP(B1461,'[1]All Player'!$B$2:$C$1992,2,0),"")</f>
        <v/>
      </c>
      <c r="O1461" s="2" t="s">
        <v>495</v>
      </c>
      <c r="P1461" s="14" t="s">
        <v>622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495</v>
      </c>
      <c r="P1462" s="14" t="s">
        <v>622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495</v>
      </c>
      <c r="P1463" s="14" t="s">
        <v>622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495</v>
      </c>
      <c r="P1464" s="14" t="s">
        <v>622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155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495</v>
      </c>
      <c r="P1465" s="14" t="s">
        <v>622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433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495</v>
      </c>
      <c r="P1466" s="14" t="s">
        <v>622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549</v>
      </c>
      <c r="J1467" s="1"/>
      <c r="M1467" t="s">
        <v>15</v>
      </c>
      <c r="N1467" t="str">
        <f>IFERROR(VLOOKUP(B1467,'[1]All Player'!$B$2:$C$1992,2,0),"")</f>
        <v/>
      </c>
      <c r="O1467" s="2" t="s">
        <v>495</v>
      </c>
      <c r="P1467" s="14" t="s">
        <v>549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139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495</v>
      </c>
      <c r="P1468" s="14" t="s">
        <v>549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495</v>
      </c>
      <c r="P1469" s="14" t="s">
        <v>549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127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495</v>
      </c>
      <c r="P1470" s="14" t="s">
        <v>549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151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495</v>
      </c>
      <c r="P1471" s="14" t="s">
        <v>549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950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495</v>
      </c>
      <c r="P1472" s="14" t="s">
        <v>549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525</v>
      </c>
      <c r="F1473" s="2" t="s">
        <v>951</v>
      </c>
      <c r="J1473" s="1"/>
      <c r="M1473" t="s">
        <v>15</v>
      </c>
      <c r="N1473" t="str">
        <f>IFERROR(VLOOKUP(B1473,'[1]All Player'!$B$2:$C$1992,2,0),"")</f>
        <v/>
      </c>
      <c r="O1473" s="2" t="s">
        <v>495</v>
      </c>
      <c r="P1473" s="14" t="s">
        <v>525</v>
      </c>
      <c r="Q1473" s="1">
        <f t="shared" si="52"/>
        <v>1</v>
      </c>
      <c r="R1473" s="1">
        <v>247</v>
      </c>
      <c r="T1473" s="2" t="s">
        <v>660</v>
      </c>
      <c r="U1473" s="15">
        <f t="shared" si="54"/>
        <v>44013</v>
      </c>
    </row>
    <row r="1474" spans="1:21" x14ac:dyDescent="0.25">
      <c r="A1474" s="2">
        <v>25</v>
      </c>
      <c r="B1474" t="s">
        <v>115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495</v>
      </c>
      <c r="P1474" s="14" t="s">
        <v>525</v>
      </c>
      <c r="Q1474" s="1">
        <f t="shared" ref="Q1474:Q1537" si="55">IF(B1474="","",1)</f>
        <v>1</v>
      </c>
      <c r="R1474" s="1">
        <v>247</v>
      </c>
      <c r="T1474" s="2" t="s">
        <v>660</v>
      </c>
      <c r="U1474" s="15">
        <f t="shared" si="54"/>
        <v>44013</v>
      </c>
    </row>
    <row r="1475" spans="1:21" x14ac:dyDescent="0.25">
      <c r="A1475" s="2">
        <v>25</v>
      </c>
      <c r="B1475" t="s">
        <v>147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495</v>
      </c>
      <c r="P1475" s="14" t="s">
        <v>525</v>
      </c>
      <c r="Q1475" s="1">
        <f t="shared" si="55"/>
        <v>1</v>
      </c>
      <c r="R1475" s="1">
        <v>247</v>
      </c>
      <c r="T1475" s="2" t="s">
        <v>660</v>
      </c>
      <c r="U1475" s="15">
        <f t="shared" si="54"/>
        <v>44013</v>
      </c>
    </row>
    <row r="1476" spans="1:21" x14ac:dyDescent="0.25">
      <c r="A1476" s="2">
        <v>25</v>
      </c>
      <c r="B1476" t="s">
        <v>121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495</v>
      </c>
      <c r="P1476" s="14" t="s">
        <v>525</v>
      </c>
      <c r="Q1476" s="1">
        <f t="shared" si="55"/>
        <v>1</v>
      </c>
      <c r="R1476" s="1">
        <v>247</v>
      </c>
      <c r="T1476" s="2" t="s">
        <v>660</v>
      </c>
      <c r="U1476" s="15">
        <f t="shared" si="54"/>
        <v>44013</v>
      </c>
    </row>
    <row r="1477" spans="1:21" x14ac:dyDescent="0.25">
      <c r="A1477" s="2">
        <v>25</v>
      </c>
      <c r="B1477" t="s">
        <v>109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495</v>
      </c>
      <c r="P1477" s="14" t="s">
        <v>525</v>
      </c>
      <c r="Q1477" s="1">
        <f t="shared" si="55"/>
        <v>1</v>
      </c>
      <c r="R1477" s="1">
        <v>247</v>
      </c>
      <c r="S1477" s="2" t="s">
        <v>659</v>
      </c>
      <c r="T1477" s="2" t="s">
        <v>660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495</v>
      </c>
      <c r="P1478" s="14" t="s">
        <v>525</v>
      </c>
      <c r="Q1478" s="1">
        <f t="shared" si="55"/>
        <v>1</v>
      </c>
      <c r="R1478" s="1">
        <v>247</v>
      </c>
      <c r="T1478" s="2" t="s">
        <v>660</v>
      </c>
      <c r="U1478" s="15">
        <f t="shared" si="54"/>
        <v>44013</v>
      </c>
    </row>
    <row r="1479" spans="1:21" x14ac:dyDescent="0.25">
      <c r="A1479" s="2">
        <v>25</v>
      </c>
      <c r="B1479" t="s">
        <v>621</v>
      </c>
      <c r="J1479" s="1"/>
      <c r="M1479" t="s">
        <v>15</v>
      </c>
      <c r="N1479" t="str">
        <f>IFERROR(VLOOKUP(B1479,'[1]All Player'!$B$2:$C$1992,2,0),"")</f>
        <v/>
      </c>
      <c r="O1479" s="2" t="s">
        <v>495</v>
      </c>
      <c r="P1479" s="14" t="s">
        <v>621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495</v>
      </c>
      <c r="P1480" s="14" t="s">
        <v>621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137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495</v>
      </c>
      <c r="P1481" s="14" t="s">
        <v>621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495</v>
      </c>
      <c r="P1482" s="14" t="s">
        <v>621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952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495</v>
      </c>
      <c r="P1483" s="14" t="s">
        <v>621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431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495</v>
      </c>
      <c r="P1484" s="14" t="s">
        <v>621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496</v>
      </c>
      <c r="J1485" s="1"/>
      <c r="M1485" t="s">
        <v>15</v>
      </c>
      <c r="N1485" t="str">
        <f>IFERROR(VLOOKUP(B1485,'[1]All Player'!$B$2:$C$1992,2,0),"")</f>
        <v/>
      </c>
      <c r="O1485" s="2" t="s">
        <v>495</v>
      </c>
      <c r="P1485" s="14" t="s">
        <v>496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113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495</v>
      </c>
      <c r="P1486" s="14" t="s">
        <v>496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157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495</v>
      </c>
      <c r="P1487" s="14" t="s">
        <v>496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125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495</v>
      </c>
      <c r="P1488" s="14" t="s">
        <v>496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495</v>
      </c>
      <c r="P1489" s="14" t="s">
        <v>496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111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495</v>
      </c>
      <c r="P1490" s="14" t="s">
        <v>496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518</v>
      </c>
      <c r="J1491" s="1"/>
      <c r="M1491" t="s">
        <v>15</v>
      </c>
      <c r="N1491" t="str">
        <f>IFERROR(VLOOKUP(B1491,'[1]All Player'!$B$2:$C$1992,2,0),"")</f>
        <v/>
      </c>
      <c r="O1491" s="2" t="s">
        <v>495</v>
      </c>
      <c r="P1491" s="14" t="s">
        <v>518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495</v>
      </c>
      <c r="P1492" s="14" t="s">
        <v>518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145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495</v>
      </c>
      <c r="P1493" s="14" t="s">
        <v>518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153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495</v>
      </c>
      <c r="P1494" s="14" t="s">
        <v>518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200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495</v>
      </c>
      <c r="P1495" s="14" t="s">
        <v>518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495</v>
      </c>
      <c r="P1496" s="14" t="s">
        <v>518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953</v>
      </c>
      <c r="J1497" s="1"/>
      <c r="M1497" t="s">
        <v>15</v>
      </c>
      <c r="N1497" t="str">
        <f>IFERROR(VLOOKUP(B1497,'[1]All Player'!$B$2:$C$1992,2,0),"")</f>
        <v/>
      </c>
      <c r="O1497" s="2" t="s">
        <v>495</v>
      </c>
      <c r="P1497" s="14" t="s">
        <v>953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495</v>
      </c>
      <c r="P1498" s="14" t="s">
        <v>953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229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495</v>
      </c>
      <c r="P1499" s="14" t="s">
        <v>953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495</v>
      </c>
      <c r="P1500" s="14" t="s">
        <v>953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404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495</v>
      </c>
      <c r="P1501" s="14" t="s">
        <v>953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235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495</v>
      </c>
      <c r="P1502" s="14" t="s">
        <v>953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954</v>
      </c>
      <c r="J1503" s="1"/>
      <c r="M1503" t="s">
        <v>15</v>
      </c>
      <c r="N1503" t="str">
        <f>IFERROR(VLOOKUP(B1503,'[1]All Player'!$B$2:$C$1992,2,0),"")</f>
        <v/>
      </c>
      <c r="O1503" s="2" t="s">
        <v>495</v>
      </c>
      <c r="P1503" s="14" t="s">
        <v>954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495</v>
      </c>
      <c r="P1504" s="14" t="s">
        <v>954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810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495</v>
      </c>
      <c r="P1505" s="14" t="s">
        <v>954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495</v>
      </c>
      <c r="P1506" s="14" t="s">
        <v>954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495</v>
      </c>
      <c r="P1507" s="14" t="s">
        <v>954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357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495</v>
      </c>
      <c r="P1508" s="14" t="s">
        <v>954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955</v>
      </c>
      <c r="J1509" s="1"/>
      <c r="M1509" t="s">
        <v>15</v>
      </c>
      <c r="N1509" t="str">
        <f>IFERROR(VLOOKUP(B1509,'[1]All Player'!$B$2:$C$1992,2,0),"")</f>
        <v/>
      </c>
      <c r="O1509" s="2" t="s">
        <v>623</v>
      </c>
      <c r="P1509" s="14" t="s">
        <v>955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956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623</v>
      </c>
      <c r="P1510" s="14" t="s">
        <v>955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957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623</v>
      </c>
      <c r="P1511" s="14" t="s">
        <v>955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733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623</v>
      </c>
      <c r="P1512" s="14" t="s">
        <v>955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958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623</v>
      </c>
      <c r="P1513" s="14" t="s">
        <v>955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959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623</v>
      </c>
      <c r="P1514" s="14" t="s">
        <v>955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960</v>
      </c>
      <c r="J1515" s="1"/>
      <c r="M1515" t="s">
        <v>15</v>
      </c>
      <c r="N1515" t="str">
        <f>IFERROR(VLOOKUP(B1515,'[1]All Player'!$B$2:$C$1992,2,0),"")</f>
        <v/>
      </c>
      <c r="O1515" s="2" t="s">
        <v>623</v>
      </c>
      <c r="P1515" s="14" t="s">
        <v>960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961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623</v>
      </c>
      <c r="P1516" s="14" t="s">
        <v>960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229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623</v>
      </c>
      <c r="P1517" s="14" t="s">
        <v>960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962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623</v>
      </c>
      <c r="P1518" s="14" t="s">
        <v>960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747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623</v>
      </c>
      <c r="P1519" s="14" t="s">
        <v>960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963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623</v>
      </c>
      <c r="P1520" s="14" t="s">
        <v>960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964</v>
      </c>
      <c r="J1521" s="1"/>
      <c r="M1521" t="s">
        <v>15</v>
      </c>
      <c r="N1521" t="str">
        <f>IFERROR(VLOOKUP(B1521,'[1]All Player'!$B$2:$C$1992,2,0),"")</f>
        <v/>
      </c>
      <c r="O1521" s="2" t="s">
        <v>623</v>
      </c>
      <c r="P1521" s="14" t="s">
        <v>964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965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623</v>
      </c>
      <c r="P1522" s="14" t="s">
        <v>964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966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623</v>
      </c>
      <c r="P1523" s="14" t="s">
        <v>964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967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623</v>
      </c>
      <c r="P1524" s="14" t="s">
        <v>964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968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623</v>
      </c>
      <c r="P1525" s="14" t="s">
        <v>964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969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623</v>
      </c>
      <c r="P1526" s="14" t="s">
        <v>964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625</v>
      </c>
      <c r="J1527" s="1"/>
      <c r="M1527" t="s">
        <v>15</v>
      </c>
      <c r="N1527" t="str">
        <f>IFERROR(VLOOKUP(B1527,'[1]All Player'!$B$2:$C$1992,2,0),"")</f>
        <v/>
      </c>
      <c r="O1527" s="2" t="s">
        <v>623</v>
      </c>
      <c r="P1527" s="14" t="s">
        <v>625</v>
      </c>
      <c r="Q1527" s="1">
        <f t="shared" si="55"/>
        <v>1</v>
      </c>
      <c r="R1527" s="1">
        <v>256</v>
      </c>
      <c r="T1527" s="1" t="s">
        <v>948</v>
      </c>
      <c r="U1527" s="8">
        <v>44256</v>
      </c>
    </row>
    <row r="1528" spans="1:21" x14ac:dyDescent="0.25">
      <c r="A1528" s="2">
        <v>26</v>
      </c>
      <c r="B1528" t="s">
        <v>970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623</v>
      </c>
      <c r="P1528" s="14" t="s">
        <v>625</v>
      </c>
      <c r="Q1528" s="1">
        <f t="shared" si="55"/>
        <v>1</v>
      </c>
      <c r="R1528" s="1">
        <v>256</v>
      </c>
      <c r="T1528" s="1" t="s">
        <v>948</v>
      </c>
      <c r="U1528" s="8">
        <v>44256</v>
      </c>
    </row>
    <row r="1529" spans="1:21" x14ac:dyDescent="0.25">
      <c r="A1529" s="2">
        <v>26</v>
      </c>
      <c r="B1529" t="s">
        <v>971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623</v>
      </c>
      <c r="P1529" s="14" t="s">
        <v>625</v>
      </c>
      <c r="Q1529" s="1">
        <f t="shared" si="55"/>
        <v>1</v>
      </c>
      <c r="R1529" s="1">
        <v>256</v>
      </c>
      <c r="T1529" s="1" t="s">
        <v>948</v>
      </c>
      <c r="U1529" s="8">
        <v>44256</v>
      </c>
    </row>
    <row r="1530" spans="1:21" x14ac:dyDescent="0.25">
      <c r="A1530" s="2">
        <v>26</v>
      </c>
      <c r="B1530" t="s">
        <v>972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623</v>
      </c>
      <c r="P1530" s="14" t="s">
        <v>625</v>
      </c>
      <c r="Q1530" s="1">
        <f t="shared" si="55"/>
        <v>1</v>
      </c>
      <c r="R1530" s="1">
        <v>256</v>
      </c>
      <c r="S1530" s="2" t="s">
        <v>659</v>
      </c>
      <c r="T1530" s="1" t="s">
        <v>948</v>
      </c>
      <c r="U1530" s="8">
        <v>44256</v>
      </c>
    </row>
    <row r="1531" spans="1:21" x14ac:dyDescent="0.25">
      <c r="A1531" s="2">
        <v>26</v>
      </c>
      <c r="B1531" t="s">
        <v>973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623</v>
      </c>
      <c r="P1531" s="14" t="s">
        <v>625</v>
      </c>
      <c r="Q1531" s="1">
        <f t="shared" si="55"/>
        <v>1</v>
      </c>
      <c r="R1531" s="1">
        <v>256</v>
      </c>
      <c r="T1531" s="1" t="s">
        <v>948</v>
      </c>
      <c r="U1531" s="8">
        <v>44256</v>
      </c>
    </row>
    <row r="1532" spans="1:21" x14ac:dyDescent="0.25">
      <c r="A1532" s="2">
        <v>26</v>
      </c>
      <c r="B1532" t="s">
        <v>790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623</v>
      </c>
      <c r="P1532" s="14" t="s">
        <v>625</v>
      </c>
      <c r="Q1532" s="1">
        <f t="shared" si="55"/>
        <v>1</v>
      </c>
      <c r="R1532" s="1">
        <v>256</v>
      </c>
      <c r="T1532" s="1" t="s">
        <v>948</v>
      </c>
      <c r="U1532" s="8">
        <v>44256</v>
      </c>
    </row>
    <row r="1533" spans="1:21" x14ac:dyDescent="0.25">
      <c r="A1533" s="2">
        <v>26</v>
      </c>
      <c r="B1533" t="s">
        <v>974</v>
      </c>
      <c r="J1533" s="1"/>
      <c r="M1533" t="s">
        <v>15</v>
      </c>
      <c r="N1533" t="str">
        <f>IFERROR(VLOOKUP(B1533,'[1]All Player'!$B$2:$C$1992,2,0),"")</f>
        <v/>
      </c>
      <c r="O1533" s="2" t="s">
        <v>623</v>
      </c>
      <c r="P1533" s="14" t="s">
        <v>974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975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623</v>
      </c>
      <c r="P1534" s="14" t="s">
        <v>974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715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623</v>
      </c>
      <c r="P1535" s="14" t="s">
        <v>974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976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623</v>
      </c>
      <c r="P1536" s="14" t="s">
        <v>974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977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623</v>
      </c>
      <c r="P1537" s="14" t="s">
        <v>974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425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623</v>
      </c>
      <c r="P1538" s="14" t="s">
        <v>974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978</v>
      </c>
      <c r="J1539" s="1"/>
      <c r="M1539" t="s">
        <v>15</v>
      </c>
      <c r="N1539" t="str">
        <f>IFERROR(VLOOKUP(B1539,'[1]All Player'!$B$2:$C$1992,2,0),"")</f>
        <v/>
      </c>
      <c r="O1539" s="2" t="s">
        <v>623</v>
      </c>
      <c r="P1539" s="14" t="s">
        <v>978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979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623</v>
      </c>
      <c r="P1540" s="14" t="s">
        <v>978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980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623</v>
      </c>
      <c r="P1541" s="14" t="s">
        <v>978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981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623</v>
      </c>
      <c r="P1542" s="14" t="s">
        <v>978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982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623</v>
      </c>
      <c r="P1543" s="14" t="s">
        <v>978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404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623</v>
      </c>
      <c r="P1544" s="14" t="s">
        <v>978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983</v>
      </c>
      <c r="J1545" s="1"/>
      <c r="M1545" t="s">
        <v>15</v>
      </c>
      <c r="N1545" t="str">
        <f>IFERROR(VLOOKUP(B1545,'[1]All Player'!$B$2:$C$1992,2,0),"")</f>
        <v/>
      </c>
      <c r="O1545" s="2" t="s">
        <v>623</v>
      </c>
      <c r="P1545" s="14" t="s">
        <v>983</v>
      </c>
      <c r="Q1545" s="1">
        <f t="shared" si="57"/>
        <v>1</v>
      </c>
      <c r="R1545" s="1">
        <v>259</v>
      </c>
      <c r="T1545" s="1" t="s">
        <v>660</v>
      </c>
      <c r="U1545" s="8">
        <v>44256</v>
      </c>
    </row>
    <row r="1546" spans="1:23" x14ac:dyDescent="0.25">
      <c r="A1546" s="2">
        <v>26</v>
      </c>
      <c r="B1546" t="s">
        <v>984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623</v>
      </c>
      <c r="P1546" s="14" t="s">
        <v>983</v>
      </c>
      <c r="Q1546" s="1">
        <f t="shared" si="57"/>
        <v>1</v>
      </c>
      <c r="R1546" s="1">
        <v>259</v>
      </c>
      <c r="T1546" s="1" t="s">
        <v>660</v>
      </c>
      <c r="U1546" s="8">
        <v>44256</v>
      </c>
    </row>
    <row r="1547" spans="1:23" x14ac:dyDescent="0.25">
      <c r="A1547" s="2">
        <v>26</v>
      </c>
      <c r="B1547" t="s">
        <v>985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623</v>
      </c>
      <c r="P1547" s="14" t="s">
        <v>983</v>
      </c>
      <c r="Q1547" s="1">
        <f t="shared" si="57"/>
        <v>1</v>
      </c>
      <c r="R1547" s="1">
        <v>259</v>
      </c>
      <c r="T1547" s="1" t="s">
        <v>660</v>
      </c>
      <c r="U1547" s="8">
        <v>44256</v>
      </c>
    </row>
    <row r="1548" spans="1:23" x14ac:dyDescent="0.25">
      <c r="A1548" s="2">
        <v>26</v>
      </c>
      <c r="B1548" t="s">
        <v>986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623</v>
      </c>
      <c r="P1548" s="14" t="s">
        <v>983</v>
      </c>
      <c r="Q1548" s="1">
        <f t="shared" si="57"/>
        <v>1</v>
      </c>
      <c r="R1548" s="1">
        <v>259</v>
      </c>
      <c r="T1548" s="1" t="s">
        <v>660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623</v>
      </c>
      <c r="P1549" s="14" t="s">
        <v>983</v>
      </c>
      <c r="Q1549" s="1">
        <f t="shared" si="57"/>
        <v>1</v>
      </c>
      <c r="R1549" s="1">
        <v>259</v>
      </c>
      <c r="T1549" s="1" t="s">
        <v>660</v>
      </c>
      <c r="U1549" s="8">
        <v>44256</v>
      </c>
    </row>
    <row r="1550" spans="1:23" x14ac:dyDescent="0.25">
      <c r="A1550" s="2">
        <v>26</v>
      </c>
      <c r="B1550" t="s">
        <v>987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623</v>
      </c>
      <c r="P1550" s="14" t="s">
        <v>983</v>
      </c>
      <c r="Q1550" s="1">
        <f t="shared" si="57"/>
        <v>1</v>
      </c>
      <c r="R1550" s="1">
        <v>259</v>
      </c>
      <c r="S1550" s="2" t="s">
        <v>661</v>
      </c>
      <c r="T1550" s="1" t="s">
        <v>660</v>
      </c>
      <c r="U1550" s="8">
        <v>44256</v>
      </c>
    </row>
    <row r="1551" spans="1:23" x14ac:dyDescent="0.25">
      <c r="A1551" s="2">
        <v>26</v>
      </c>
      <c r="B1551" t="s">
        <v>988</v>
      </c>
      <c r="J1551" s="1"/>
      <c r="M1551" t="s">
        <v>15</v>
      </c>
      <c r="N1551" t="str">
        <f>IFERROR(VLOOKUP(B1551,'[1]All Player'!$B$2:$C$1992,2,0),"")</f>
        <v/>
      </c>
      <c r="O1551" s="2" t="s">
        <v>623</v>
      </c>
      <c r="P1551" s="14" t="s">
        <v>988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989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623</v>
      </c>
      <c r="P1552" s="14" t="s">
        <v>988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990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623</v>
      </c>
      <c r="P1553" s="14" t="s">
        <v>988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991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623</v>
      </c>
      <c r="P1554" s="14" t="s">
        <v>988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992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623</v>
      </c>
      <c r="P1555" s="14" t="s">
        <v>988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139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623</v>
      </c>
      <c r="P1556" s="14" t="s">
        <v>988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993</v>
      </c>
      <c r="J1557" s="1"/>
      <c r="M1557" t="s">
        <v>15</v>
      </c>
      <c r="N1557" t="str">
        <f>IFERROR(VLOOKUP(B1557,'[1]All Player'!$B$2:$C$1992,2,0),"")</f>
        <v/>
      </c>
      <c r="O1557" s="2" t="s">
        <v>623</v>
      </c>
      <c r="P1557" s="14" t="s">
        <v>993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727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623</v>
      </c>
      <c r="P1558" s="14" t="s">
        <v>993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688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623</v>
      </c>
      <c r="P1559" s="14" t="s">
        <v>993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623</v>
      </c>
      <c r="P1560" s="14" t="s">
        <v>993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994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623</v>
      </c>
      <c r="P1561" s="14" t="s">
        <v>993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995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623</v>
      </c>
      <c r="P1562" s="14" t="s">
        <v>993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996</v>
      </c>
      <c r="J1563" s="1"/>
      <c r="M1563" t="s">
        <v>15</v>
      </c>
      <c r="N1563" t="str">
        <f>IFERROR(VLOOKUP(B1563,'[1]All Player'!$B$2:$C$1992,2,0),"")</f>
        <v/>
      </c>
      <c r="O1563" s="2" t="s">
        <v>623</v>
      </c>
      <c r="P1563" s="14" t="s">
        <v>996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731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623</v>
      </c>
      <c r="P1564" s="14" t="s">
        <v>996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997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623</v>
      </c>
      <c r="P1565" s="14" t="s">
        <v>996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623</v>
      </c>
      <c r="P1566" s="14" t="s">
        <v>996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998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623</v>
      </c>
      <c r="P1567" s="14" t="s">
        <v>996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999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623</v>
      </c>
      <c r="P1568" s="14" t="s">
        <v>996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624</v>
      </c>
      <c r="J1569" s="1"/>
      <c r="M1569" t="s">
        <v>15</v>
      </c>
      <c r="N1569" t="str">
        <f>IFERROR(VLOOKUP(B1569,'[1]All Player'!$B$2:$C$1992,2,0),"")</f>
        <v/>
      </c>
      <c r="O1569" s="2" t="s">
        <v>623</v>
      </c>
      <c r="P1569" s="14" t="s">
        <v>624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689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623</v>
      </c>
      <c r="P1570" s="14" t="s">
        <v>624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1000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623</v>
      </c>
      <c r="P1571" s="14" t="s">
        <v>624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623</v>
      </c>
      <c r="P1572" s="14" t="s">
        <v>624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681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623</v>
      </c>
      <c r="P1573" s="14" t="s">
        <v>624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437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623</v>
      </c>
      <c r="P1574" s="14" t="s">
        <v>624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297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623</v>
      </c>
      <c r="P1575" s="14" t="s">
        <v>624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1001</v>
      </c>
      <c r="J1576" s="1"/>
      <c r="M1576" t="s">
        <v>15</v>
      </c>
      <c r="N1576" t="str">
        <f>IFERROR(VLOOKUP(B1576,'[1]All Player'!$B$2:$C$1992,2,0),"")</f>
        <v/>
      </c>
      <c r="O1576" s="2" t="s">
        <v>623</v>
      </c>
      <c r="P1576" s="14" t="s">
        <v>1001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1002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623</v>
      </c>
      <c r="P1577" s="14" t="s">
        <v>1001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730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623</v>
      </c>
      <c r="P1578" s="14" t="s">
        <v>1001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1003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623</v>
      </c>
      <c r="P1579" s="14" t="s">
        <v>1001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1004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623</v>
      </c>
      <c r="P1580" s="14" t="s">
        <v>1001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1005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623</v>
      </c>
      <c r="P1581" s="14" t="s">
        <v>1001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1006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626</v>
      </c>
      <c r="P1582" s="14" t="s">
        <v>1006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727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626</v>
      </c>
      <c r="P1583" s="14" t="s">
        <v>1006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966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626</v>
      </c>
      <c r="P1584" s="14" t="s">
        <v>1006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1007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626</v>
      </c>
      <c r="P1585" s="14" t="s">
        <v>1006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1008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626</v>
      </c>
      <c r="P1586" s="14" t="s">
        <v>1006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1003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626</v>
      </c>
      <c r="P1587" s="14" t="s">
        <v>1006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1009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626</v>
      </c>
      <c r="P1588" s="14" t="s">
        <v>1006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629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626</v>
      </c>
      <c r="P1589" s="14" t="s">
        <v>629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715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626</v>
      </c>
      <c r="P1590" s="14" t="s">
        <v>629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689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626</v>
      </c>
      <c r="P1591" s="14" t="s">
        <v>629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959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626</v>
      </c>
      <c r="P1592" s="14" t="s">
        <v>629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994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626</v>
      </c>
      <c r="P1593" s="14" t="s">
        <v>629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977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626</v>
      </c>
      <c r="P1594" s="14" t="s">
        <v>629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445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626</v>
      </c>
      <c r="P1595" s="14" t="s">
        <v>629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630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626</v>
      </c>
      <c r="P1596" s="14" t="s">
        <v>630</v>
      </c>
      <c r="Q1596" s="1">
        <f t="shared" si="57"/>
        <v>1</v>
      </c>
      <c r="R1596" s="1">
        <v>267</v>
      </c>
      <c r="T1596" s="1" t="s">
        <v>660</v>
      </c>
      <c r="U1596" s="8">
        <v>44374</v>
      </c>
    </row>
    <row r="1597" spans="1:23" x14ac:dyDescent="0.25">
      <c r="A1597" s="2">
        <v>27</v>
      </c>
      <c r="B1597" t="s">
        <v>957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626</v>
      </c>
      <c r="P1597" s="14" t="s">
        <v>630</v>
      </c>
      <c r="Q1597" s="1">
        <f t="shared" si="57"/>
        <v>1</v>
      </c>
      <c r="R1597" s="1">
        <v>267</v>
      </c>
      <c r="T1597" s="1" t="s">
        <v>660</v>
      </c>
      <c r="U1597" s="8">
        <v>44374</v>
      </c>
    </row>
    <row r="1598" spans="1:23" x14ac:dyDescent="0.25">
      <c r="A1598" s="2">
        <v>27</v>
      </c>
      <c r="B1598" t="s">
        <v>730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626</v>
      </c>
      <c r="P1598" s="14" t="s">
        <v>630</v>
      </c>
      <c r="Q1598" s="1">
        <f t="shared" si="57"/>
        <v>1</v>
      </c>
      <c r="R1598" s="1">
        <v>267</v>
      </c>
      <c r="T1598" s="1" t="s">
        <v>660</v>
      </c>
      <c r="U1598" s="8">
        <v>44374</v>
      </c>
    </row>
    <row r="1599" spans="1:23" x14ac:dyDescent="0.25">
      <c r="A1599" s="2">
        <v>27</v>
      </c>
      <c r="B1599" t="s">
        <v>963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626</v>
      </c>
      <c r="P1599" s="14" t="s">
        <v>630</v>
      </c>
      <c r="Q1599" s="1">
        <f t="shared" si="57"/>
        <v>1</v>
      </c>
      <c r="R1599" s="1">
        <v>267</v>
      </c>
      <c r="T1599" s="1" t="s">
        <v>660</v>
      </c>
      <c r="U1599" s="8">
        <v>44374</v>
      </c>
    </row>
    <row r="1600" spans="1:23" x14ac:dyDescent="0.25">
      <c r="A1600" s="2">
        <v>27</v>
      </c>
      <c r="B1600" t="s">
        <v>999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626</v>
      </c>
      <c r="P1600" s="16" t="s">
        <v>630</v>
      </c>
      <c r="Q1600" s="1">
        <f t="shared" si="57"/>
        <v>1</v>
      </c>
      <c r="R1600" s="1">
        <v>267</v>
      </c>
      <c r="T1600" s="1" t="s">
        <v>660</v>
      </c>
      <c r="U1600" s="8">
        <v>44374</v>
      </c>
    </row>
    <row r="1601" spans="1:22" x14ac:dyDescent="0.25">
      <c r="A1601" s="2">
        <v>27</v>
      </c>
      <c r="B1601" t="s">
        <v>1010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626</v>
      </c>
      <c r="P1601" s="16" t="s">
        <v>630</v>
      </c>
      <c r="Q1601" s="1">
        <f t="shared" si="57"/>
        <v>1</v>
      </c>
      <c r="R1601" s="1">
        <v>267</v>
      </c>
      <c r="T1601" s="1" t="s">
        <v>660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1011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626</v>
      </c>
      <c r="P1602" s="16" t="s">
        <v>630</v>
      </c>
      <c r="Q1602" s="1">
        <f t="shared" ref="Q1602:Q1665" si="58">IF(B1602="","",1)</f>
        <v>1</v>
      </c>
      <c r="R1602" s="1">
        <v>267</v>
      </c>
      <c r="T1602" s="1" t="s">
        <v>660</v>
      </c>
      <c r="U1602" s="8">
        <v>44374</v>
      </c>
    </row>
    <row r="1603" spans="1:22" x14ac:dyDescent="0.25">
      <c r="A1603" s="2">
        <v>27</v>
      </c>
      <c r="B1603" s="30" t="s">
        <v>1012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626</v>
      </c>
      <c r="P1603" s="14" t="s">
        <v>1012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956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626</v>
      </c>
      <c r="P1604" s="16" t="s">
        <v>1012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1013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626</v>
      </c>
      <c r="P1605" s="16" t="s">
        <v>1012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970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626</v>
      </c>
      <c r="P1606" s="16" t="s">
        <v>1012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992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626</v>
      </c>
      <c r="P1607" s="16" t="s">
        <v>1012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972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626</v>
      </c>
      <c r="P1608" s="16" t="s">
        <v>1012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1014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626</v>
      </c>
      <c r="P1609" s="16" t="s">
        <v>1012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631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626</v>
      </c>
      <c r="P1610" s="14" t="s">
        <v>631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986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626</v>
      </c>
      <c r="P1611" s="16" t="s">
        <v>631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425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626</v>
      </c>
      <c r="P1612" s="16" t="s">
        <v>631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989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626</v>
      </c>
      <c r="P1613" s="16" t="s">
        <v>631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952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626</v>
      </c>
      <c r="P1614" s="16" t="s">
        <v>631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1000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626</v>
      </c>
      <c r="P1615" s="16" t="s">
        <v>631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449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626</v>
      </c>
      <c r="P1616" s="16" t="s">
        <v>631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632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626</v>
      </c>
      <c r="P1617" s="14" t="s">
        <v>632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984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626</v>
      </c>
      <c r="P1618" s="16" t="s">
        <v>632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688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626</v>
      </c>
      <c r="P1619" s="16" t="s">
        <v>632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121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626</v>
      </c>
      <c r="P1620" s="16" t="s">
        <v>632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423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626</v>
      </c>
      <c r="P1621" s="16" t="s">
        <v>632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299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626</v>
      </c>
      <c r="P1622" s="16" t="s">
        <v>632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451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626</v>
      </c>
      <c r="P1623" s="16" t="s">
        <v>632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627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626</v>
      </c>
      <c r="P1624" s="14" t="s">
        <v>627</v>
      </c>
      <c r="Q1624" s="1">
        <f t="shared" si="58"/>
        <v>1</v>
      </c>
      <c r="R1624" s="1">
        <v>271</v>
      </c>
      <c r="T1624" s="1" t="s">
        <v>793</v>
      </c>
      <c r="U1624" s="8">
        <v>44374</v>
      </c>
    </row>
    <row r="1625" spans="1:21" x14ac:dyDescent="0.25">
      <c r="A1625" s="2">
        <v>27</v>
      </c>
      <c r="B1625" t="s">
        <v>229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626</v>
      </c>
      <c r="P1625" s="16" t="s">
        <v>627</v>
      </c>
      <c r="Q1625" s="1">
        <f t="shared" si="58"/>
        <v>1</v>
      </c>
      <c r="R1625" s="1">
        <v>271</v>
      </c>
      <c r="T1625" s="1" t="s">
        <v>793</v>
      </c>
      <c r="U1625" s="8">
        <v>44374</v>
      </c>
    </row>
    <row r="1626" spans="1:21" x14ac:dyDescent="0.25">
      <c r="A1626" s="2">
        <v>27</v>
      </c>
      <c r="B1626" t="s">
        <v>995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626</v>
      </c>
      <c r="P1626" s="16" t="s">
        <v>627</v>
      </c>
      <c r="Q1626" s="1">
        <f t="shared" si="58"/>
        <v>1</v>
      </c>
      <c r="R1626" s="1">
        <v>271</v>
      </c>
      <c r="T1626" s="1" t="s">
        <v>793</v>
      </c>
      <c r="U1626" s="8">
        <v>44374</v>
      </c>
    </row>
    <row r="1627" spans="1:21" x14ac:dyDescent="0.25">
      <c r="A1627" s="2">
        <v>27</v>
      </c>
      <c r="B1627" t="s">
        <v>962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626</v>
      </c>
      <c r="P1627" s="16" t="s">
        <v>627</v>
      </c>
      <c r="Q1627" s="1">
        <f t="shared" si="58"/>
        <v>1</v>
      </c>
      <c r="R1627" s="1">
        <v>271</v>
      </c>
      <c r="T1627" s="1" t="s">
        <v>793</v>
      </c>
      <c r="U1627" s="8">
        <v>44374</v>
      </c>
    </row>
    <row r="1628" spans="1:21" x14ac:dyDescent="0.25">
      <c r="A1628" s="2">
        <v>27</v>
      </c>
      <c r="B1628" t="s">
        <v>976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626</v>
      </c>
      <c r="P1628" s="16" t="s">
        <v>627</v>
      </c>
      <c r="Q1628" s="1">
        <f t="shared" si="58"/>
        <v>1</v>
      </c>
      <c r="R1628" s="1">
        <v>271</v>
      </c>
      <c r="T1628" s="1" t="s">
        <v>793</v>
      </c>
      <c r="U1628" s="8">
        <v>44374</v>
      </c>
    </row>
    <row r="1629" spans="1:21" x14ac:dyDescent="0.25">
      <c r="A1629" s="2">
        <v>27</v>
      </c>
      <c r="B1629" t="s">
        <v>1015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626</v>
      </c>
      <c r="P1629" s="16" t="s">
        <v>627</v>
      </c>
      <c r="Q1629" s="1">
        <f t="shared" si="58"/>
        <v>1</v>
      </c>
      <c r="R1629" s="1">
        <v>271</v>
      </c>
      <c r="T1629" s="1" t="s">
        <v>793</v>
      </c>
      <c r="U1629" s="8">
        <v>44374</v>
      </c>
    </row>
    <row r="1630" spans="1:21" x14ac:dyDescent="0.25">
      <c r="A1630" s="2">
        <v>27</v>
      </c>
      <c r="B1630" t="s">
        <v>1016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626</v>
      </c>
      <c r="P1630" s="16" t="s">
        <v>627</v>
      </c>
      <c r="Q1630" s="1">
        <f t="shared" si="58"/>
        <v>1</v>
      </c>
      <c r="R1630" s="1">
        <v>271</v>
      </c>
      <c r="T1630" s="1" t="s">
        <v>793</v>
      </c>
      <c r="U1630" s="8">
        <v>44374</v>
      </c>
    </row>
    <row r="1631" spans="1:21" x14ac:dyDescent="0.25">
      <c r="A1631" s="2">
        <v>27</v>
      </c>
      <c r="B1631" s="30" t="s">
        <v>1017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626</v>
      </c>
      <c r="P1631" s="14" t="s">
        <v>1017</v>
      </c>
      <c r="Q1631" s="1">
        <f t="shared" si="58"/>
        <v>1</v>
      </c>
      <c r="R1631" s="1">
        <v>272</v>
      </c>
      <c r="T1631" s="1" t="s">
        <v>673</v>
      </c>
      <c r="U1631" s="8">
        <v>44374</v>
      </c>
    </row>
    <row r="1632" spans="1:21" x14ac:dyDescent="0.25">
      <c r="A1632" s="2">
        <v>27</v>
      </c>
      <c r="B1632" t="s">
        <v>965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626</v>
      </c>
      <c r="P1632" s="16" t="s">
        <v>1017</v>
      </c>
      <c r="Q1632" s="1">
        <f t="shared" si="58"/>
        <v>1</v>
      </c>
      <c r="R1632" s="1">
        <v>272</v>
      </c>
      <c r="T1632" s="1" t="s">
        <v>673</v>
      </c>
      <c r="U1632" s="8">
        <v>44374</v>
      </c>
    </row>
    <row r="1633" spans="1:23" x14ac:dyDescent="0.25">
      <c r="A1633" s="2">
        <v>27</v>
      </c>
      <c r="B1633" t="s">
        <v>961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626</v>
      </c>
      <c r="P1633" s="16" t="s">
        <v>1017</v>
      </c>
      <c r="Q1633" s="1">
        <f t="shared" si="58"/>
        <v>1</v>
      </c>
      <c r="R1633" s="1">
        <v>272</v>
      </c>
      <c r="T1633" s="1" t="s">
        <v>673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626</v>
      </c>
      <c r="P1634" s="16" t="s">
        <v>1017</v>
      </c>
      <c r="Q1634" s="1">
        <f t="shared" si="58"/>
        <v>1</v>
      </c>
      <c r="R1634" s="1">
        <v>272</v>
      </c>
      <c r="T1634" s="1" t="s">
        <v>673</v>
      </c>
      <c r="U1634" s="8">
        <v>44374</v>
      </c>
    </row>
    <row r="1635" spans="1:23" x14ac:dyDescent="0.25">
      <c r="A1635" s="2">
        <v>27</v>
      </c>
      <c r="B1635" t="s">
        <v>1005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626</v>
      </c>
      <c r="P1635" s="16" t="s">
        <v>1017</v>
      </c>
      <c r="Q1635" s="1">
        <f t="shared" si="58"/>
        <v>1</v>
      </c>
      <c r="R1635" s="1">
        <v>272</v>
      </c>
      <c r="T1635" s="1" t="s">
        <v>673</v>
      </c>
      <c r="U1635" s="8">
        <v>44374</v>
      </c>
    </row>
    <row r="1636" spans="1:23" x14ac:dyDescent="0.25">
      <c r="A1636" s="2">
        <v>27</v>
      </c>
      <c r="B1636" t="s">
        <v>681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626</v>
      </c>
      <c r="P1636" s="16" t="s">
        <v>1017</v>
      </c>
      <c r="Q1636" s="1">
        <f t="shared" si="58"/>
        <v>1</v>
      </c>
      <c r="R1636" s="1">
        <v>272</v>
      </c>
      <c r="T1636" s="1" t="s">
        <v>673</v>
      </c>
      <c r="U1636" s="8">
        <v>44374</v>
      </c>
    </row>
    <row r="1637" spans="1:23" x14ac:dyDescent="0.25">
      <c r="A1637" s="2">
        <v>27</v>
      </c>
      <c r="B1637" t="s">
        <v>1018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626</v>
      </c>
      <c r="P1637" s="16" t="s">
        <v>1017</v>
      </c>
      <c r="Q1637" s="1">
        <f t="shared" si="58"/>
        <v>1</v>
      </c>
      <c r="R1637" s="1">
        <v>272</v>
      </c>
      <c r="T1637" s="1" t="s">
        <v>673</v>
      </c>
      <c r="U1637" s="8">
        <v>44374</v>
      </c>
    </row>
    <row r="1638" spans="1:23" x14ac:dyDescent="0.25">
      <c r="A1638" s="2">
        <v>27</v>
      </c>
      <c r="B1638" s="30" t="s">
        <v>1019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626</v>
      </c>
      <c r="P1638" s="14" t="s">
        <v>1019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979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626</v>
      </c>
      <c r="P1639" s="16" t="s">
        <v>940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980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626</v>
      </c>
      <c r="P1640" s="16" t="s">
        <v>1019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626</v>
      </c>
      <c r="P1641" s="16" t="s">
        <v>1019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991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626</v>
      </c>
      <c r="P1642" s="16" t="s">
        <v>1019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971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626</v>
      </c>
      <c r="P1643" s="16" t="s">
        <v>1019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1020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626</v>
      </c>
      <c r="P1644" s="16" t="s">
        <v>1019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628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626</v>
      </c>
      <c r="P1645" s="14" t="s">
        <v>628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997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626</v>
      </c>
      <c r="P1646" s="16" t="s">
        <v>628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982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626</v>
      </c>
      <c r="P1647" s="16" t="s">
        <v>628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998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626</v>
      </c>
      <c r="P1648" s="16" t="s">
        <v>628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1021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626</v>
      </c>
      <c r="P1649" s="16" t="s">
        <v>628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973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626</v>
      </c>
      <c r="P1650" s="16" t="s">
        <v>628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1022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626</v>
      </c>
      <c r="P1651" s="16" t="s">
        <v>628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1023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626</v>
      </c>
      <c r="P1652" s="14" t="s">
        <v>1023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987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626</v>
      </c>
      <c r="P1653" s="16" t="s">
        <v>1023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975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626</v>
      </c>
      <c r="P1654" s="16" t="s">
        <v>1023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747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626</v>
      </c>
      <c r="P1655" s="16" t="s">
        <v>1023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990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626</v>
      </c>
      <c r="P1656" s="16" t="s">
        <v>1023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246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626</v>
      </c>
      <c r="P1657" s="16" t="s">
        <v>1023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1024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626</v>
      </c>
      <c r="P1658" s="16" t="s">
        <v>1023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1025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626</v>
      </c>
      <c r="P1659" s="14" t="s">
        <v>1025</v>
      </c>
      <c r="Q1659" s="1">
        <f t="shared" si="58"/>
        <v>1</v>
      </c>
      <c r="R1659" s="1">
        <v>276</v>
      </c>
      <c r="T1659" s="1" t="s">
        <v>948</v>
      </c>
      <c r="U1659" s="8">
        <v>44374</v>
      </c>
    </row>
    <row r="1660" spans="1:23" x14ac:dyDescent="0.25">
      <c r="A1660" s="2">
        <v>27</v>
      </c>
      <c r="B1660" t="s">
        <v>1026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626</v>
      </c>
      <c r="P1660" s="16" t="s">
        <v>1025</v>
      </c>
      <c r="Q1660" s="1">
        <f t="shared" si="58"/>
        <v>1</v>
      </c>
      <c r="R1660" s="1">
        <v>276</v>
      </c>
      <c r="T1660" s="1" t="s">
        <v>948</v>
      </c>
      <c r="U1660" s="8">
        <v>44374</v>
      </c>
    </row>
    <row r="1661" spans="1:23" x14ac:dyDescent="0.25">
      <c r="A1661" s="2">
        <v>27</v>
      </c>
      <c r="B1661" t="s">
        <v>731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626</v>
      </c>
      <c r="P1661" s="16" t="s">
        <v>1027</v>
      </c>
      <c r="Q1661" s="1">
        <f t="shared" si="58"/>
        <v>1</v>
      </c>
      <c r="R1661" s="1">
        <v>276</v>
      </c>
      <c r="T1661" s="1" t="s">
        <v>948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712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626</v>
      </c>
      <c r="P1662" s="16" t="s">
        <v>1025</v>
      </c>
      <c r="Q1662" s="1">
        <f t="shared" si="58"/>
        <v>1</v>
      </c>
      <c r="R1662" s="1">
        <v>276</v>
      </c>
      <c r="T1662" s="1" t="s">
        <v>948</v>
      </c>
      <c r="U1662" s="8">
        <v>44374</v>
      </c>
    </row>
    <row r="1663" spans="1:23" x14ac:dyDescent="0.25">
      <c r="A1663" s="2">
        <v>27</v>
      </c>
      <c r="B1663" t="s">
        <v>1028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626</v>
      </c>
      <c r="P1663" s="16" t="s">
        <v>1025</v>
      </c>
      <c r="Q1663" s="1">
        <f t="shared" si="58"/>
        <v>1</v>
      </c>
      <c r="R1663" s="1">
        <v>276</v>
      </c>
      <c r="T1663" s="1" t="s">
        <v>948</v>
      </c>
      <c r="U1663" s="8">
        <v>44374</v>
      </c>
    </row>
    <row r="1664" spans="1:23" x14ac:dyDescent="0.25">
      <c r="A1664" s="2">
        <v>27</v>
      </c>
      <c r="B1664" t="s">
        <v>1004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626</v>
      </c>
      <c r="P1664" s="16" t="s">
        <v>1025</v>
      </c>
      <c r="Q1664" s="1">
        <f t="shared" si="58"/>
        <v>1</v>
      </c>
      <c r="R1664" s="1">
        <v>276</v>
      </c>
      <c r="T1664" s="1" t="s">
        <v>948</v>
      </c>
      <c r="U1664" s="8">
        <v>44374</v>
      </c>
    </row>
    <row r="1665" spans="1:21" x14ac:dyDescent="0.25">
      <c r="A1665" s="2">
        <v>27</v>
      </c>
      <c r="B1665" t="s">
        <v>404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626</v>
      </c>
      <c r="P1665" s="16" t="s">
        <v>1025</v>
      </c>
      <c r="Q1665" s="1">
        <f t="shared" si="58"/>
        <v>1</v>
      </c>
      <c r="R1665" s="1">
        <v>276</v>
      </c>
      <c r="T1665" s="1" t="s">
        <v>948</v>
      </c>
      <c r="U1665" s="8">
        <v>44374</v>
      </c>
    </row>
    <row r="1666" spans="1:21" x14ac:dyDescent="0.25">
      <c r="A1666" s="2">
        <v>28</v>
      </c>
      <c r="B1666" s="17" t="s">
        <v>634</v>
      </c>
      <c r="J1666" s="1"/>
      <c r="N1666" t="str">
        <f>IFERROR(VLOOKUP(B1666,'[1]All Player'!$B$2:$C$1992,2,0),"")</f>
        <v/>
      </c>
      <c r="O1666" s="2" t="s">
        <v>633</v>
      </c>
      <c r="P1666" s="31" t="s">
        <v>634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980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633</v>
      </c>
      <c r="P1667" s="31" t="s">
        <v>634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976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633</v>
      </c>
      <c r="P1668" s="32" t="s">
        <v>634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1029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633</v>
      </c>
      <c r="P1669" s="32" t="s">
        <v>634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727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633</v>
      </c>
      <c r="P1670" s="32" t="s">
        <v>634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1030</v>
      </c>
      <c r="J1671" s="1"/>
      <c r="N1671" t="str">
        <f>IFERROR(VLOOKUP(B1671,'[1]All Player'!$B$2:$C$1992,2,0),"")</f>
        <v/>
      </c>
      <c r="O1671" s="2" t="s">
        <v>633</v>
      </c>
      <c r="P1671" s="31" t="s">
        <v>1030</v>
      </c>
      <c r="Q1671" s="1">
        <f t="shared" si="59"/>
        <v>1</v>
      </c>
      <c r="R1671" s="1">
        <v>278</v>
      </c>
      <c r="T1671" s="1" t="s">
        <v>948</v>
      </c>
      <c r="U1671" s="8">
        <v>44949</v>
      </c>
    </row>
    <row r="1672" spans="1:21" x14ac:dyDescent="0.25">
      <c r="A1672" s="2">
        <v>28</v>
      </c>
      <c r="B1672" t="s">
        <v>1031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633</v>
      </c>
      <c r="P1672" s="31" t="s">
        <v>1030</v>
      </c>
      <c r="Q1672" s="1">
        <f t="shared" si="59"/>
        <v>1</v>
      </c>
      <c r="R1672" s="1">
        <v>278</v>
      </c>
      <c r="T1672" s="1" t="s">
        <v>948</v>
      </c>
      <c r="U1672" s="8">
        <v>44949</v>
      </c>
    </row>
    <row r="1673" spans="1:21" x14ac:dyDescent="0.25">
      <c r="A1673" s="2">
        <v>28</v>
      </c>
      <c r="B1673" t="s">
        <v>733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633</v>
      </c>
      <c r="P1673" s="32" t="s">
        <v>1030</v>
      </c>
      <c r="Q1673" s="1">
        <f t="shared" si="59"/>
        <v>1</v>
      </c>
      <c r="R1673" s="1">
        <v>278</v>
      </c>
      <c r="T1673" s="1" t="s">
        <v>948</v>
      </c>
      <c r="U1673" s="8">
        <v>44949</v>
      </c>
    </row>
    <row r="1674" spans="1:21" x14ac:dyDescent="0.25">
      <c r="A1674" s="2">
        <v>28</v>
      </c>
      <c r="B1674" t="s">
        <v>1003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633</v>
      </c>
      <c r="P1674" s="32" t="s">
        <v>1030</v>
      </c>
      <c r="Q1674" s="1">
        <f t="shared" si="59"/>
        <v>1</v>
      </c>
      <c r="R1674" s="1">
        <v>278</v>
      </c>
      <c r="T1674" s="1" t="s">
        <v>948</v>
      </c>
      <c r="U1674" s="8">
        <v>44949</v>
      </c>
    </row>
    <row r="1675" spans="1:21" x14ac:dyDescent="0.25">
      <c r="A1675" s="2">
        <v>28</v>
      </c>
      <c r="B1675" t="s">
        <v>229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633</v>
      </c>
      <c r="P1675" s="32" t="s">
        <v>1030</v>
      </c>
      <c r="Q1675" s="1">
        <f t="shared" si="59"/>
        <v>1</v>
      </c>
      <c r="R1675" s="1">
        <v>278</v>
      </c>
      <c r="S1675" s="2" t="s">
        <v>659</v>
      </c>
      <c r="T1675" s="1" t="s">
        <v>948</v>
      </c>
      <c r="U1675" s="8">
        <v>44949</v>
      </c>
    </row>
    <row r="1676" spans="1:21" x14ac:dyDescent="0.25">
      <c r="A1676" s="2">
        <v>28</v>
      </c>
      <c r="B1676" s="17" t="s">
        <v>1032</v>
      </c>
      <c r="J1676" s="1"/>
      <c r="N1676" t="str">
        <f>IFERROR(VLOOKUP(B1676,'[1]All Player'!$B$2:$C$1992,2,0),"")</f>
        <v/>
      </c>
      <c r="O1676" s="2" t="s">
        <v>633</v>
      </c>
      <c r="P1676" s="31" t="s">
        <v>1032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633</v>
      </c>
      <c r="P1677" s="31" t="s">
        <v>1032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963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633</v>
      </c>
      <c r="P1678" s="32" t="s">
        <v>1032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961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633</v>
      </c>
      <c r="P1679" s="32" t="s">
        <v>1032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1026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633</v>
      </c>
      <c r="P1680" s="32" t="s">
        <v>1032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1033</v>
      </c>
      <c r="J1681" s="1"/>
      <c r="N1681" t="str">
        <f>IFERROR(VLOOKUP(B1681,'[1]All Player'!$B$2:$C$1992,2,0),"")</f>
        <v/>
      </c>
      <c r="O1681" s="2" t="s">
        <v>633</v>
      </c>
      <c r="P1681" s="31" t="s">
        <v>1033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194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633</v>
      </c>
      <c r="P1682" s="31" t="s">
        <v>1033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1010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633</v>
      </c>
      <c r="P1683" s="32" t="s">
        <v>1033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984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633</v>
      </c>
      <c r="P1684" s="32" t="s">
        <v>1033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731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633</v>
      </c>
      <c r="P1685" s="32" t="s">
        <v>1033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940</v>
      </c>
      <c r="J1686" s="1"/>
      <c r="N1686" t="str">
        <f>IFERROR(VLOOKUP(B1686,'[1]All Player'!$B$2:$C$1992,2,0),"")</f>
        <v/>
      </c>
      <c r="O1686" s="2" t="s">
        <v>633</v>
      </c>
      <c r="P1686" s="31" t="s">
        <v>940</v>
      </c>
      <c r="Q1686" s="1">
        <f t="shared" si="59"/>
        <v>1</v>
      </c>
      <c r="R1686" s="1">
        <v>281</v>
      </c>
      <c r="T1686" s="1" t="s">
        <v>660</v>
      </c>
      <c r="U1686" s="8">
        <v>44949</v>
      </c>
    </row>
    <row r="1687" spans="1:23" x14ac:dyDescent="0.25">
      <c r="A1687" s="2">
        <v>28</v>
      </c>
      <c r="B1687" t="s">
        <v>973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633</v>
      </c>
      <c r="P1687" s="31" t="s">
        <v>940</v>
      </c>
      <c r="Q1687" s="1">
        <f t="shared" si="59"/>
        <v>1</v>
      </c>
      <c r="R1687" s="1">
        <v>281</v>
      </c>
      <c r="T1687" s="1" t="s">
        <v>660</v>
      </c>
      <c r="U1687" s="8">
        <v>44949</v>
      </c>
    </row>
    <row r="1688" spans="1:23" x14ac:dyDescent="0.25">
      <c r="A1688" s="2">
        <v>28</v>
      </c>
      <c r="B1688" t="s">
        <v>1005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633</v>
      </c>
      <c r="P1688" s="32" t="s">
        <v>940</v>
      </c>
      <c r="Q1688" s="1">
        <f t="shared" si="59"/>
        <v>1</v>
      </c>
      <c r="R1688" s="1">
        <v>281</v>
      </c>
      <c r="T1688" s="1" t="s">
        <v>660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715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633</v>
      </c>
      <c r="P1689" s="32" t="s">
        <v>940</v>
      </c>
      <c r="Q1689" s="1">
        <f t="shared" si="59"/>
        <v>1</v>
      </c>
      <c r="R1689" s="1">
        <v>281</v>
      </c>
      <c r="S1689" s="2" t="s">
        <v>661</v>
      </c>
      <c r="T1689" s="1" t="s">
        <v>660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979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633</v>
      </c>
      <c r="P1690" s="32" t="s">
        <v>940</v>
      </c>
      <c r="Q1690" s="1">
        <f t="shared" si="59"/>
        <v>1</v>
      </c>
      <c r="R1690" s="1">
        <v>281</v>
      </c>
      <c r="T1690" s="1" t="s">
        <v>660</v>
      </c>
      <c r="U1690" s="8">
        <v>44949</v>
      </c>
    </row>
    <row r="1691" spans="1:23" x14ac:dyDescent="0.25">
      <c r="A1691" s="2">
        <v>28</v>
      </c>
      <c r="B1691" s="17" t="s">
        <v>1034</v>
      </c>
      <c r="J1691" s="1"/>
      <c r="N1691" t="str">
        <f>IFERROR(VLOOKUP(B1691,'[1]All Player'!$B$2:$C$1992,2,0),"")</f>
        <v/>
      </c>
      <c r="O1691" s="2" t="s">
        <v>633</v>
      </c>
      <c r="P1691" s="31" t="s">
        <v>1034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1022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633</v>
      </c>
      <c r="P1692" s="31" t="s">
        <v>1034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977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633</v>
      </c>
      <c r="P1693" s="32" t="s">
        <v>1034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957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633</v>
      </c>
      <c r="P1694" s="32" t="s">
        <v>1034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966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633</v>
      </c>
      <c r="P1695" s="32" t="s">
        <v>1034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1035</v>
      </c>
      <c r="J1696" s="1"/>
      <c r="O1696" s="2" t="s">
        <v>633</v>
      </c>
      <c r="P1696" s="31" t="s">
        <v>1035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404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633</v>
      </c>
      <c r="P1697" s="31" t="s">
        <v>1035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975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633</v>
      </c>
      <c r="P1698" s="32" t="s">
        <v>1035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971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633</v>
      </c>
      <c r="P1699" s="32" t="s">
        <v>1035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723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633</v>
      </c>
      <c r="P1700" s="32" t="s">
        <v>1035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1036</v>
      </c>
      <c r="J1701" s="1"/>
      <c r="N1701" t="str">
        <f>IFERROR(VLOOKUP(B1701,'[1]All Player'!$B$2:$C$1992,2,0),"")</f>
        <v/>
      </c>
      <c r="O1701" s="2" t="s">
        <v>633</v>
      </c>
      <c r="P1701" s="31" t="s">
        <v>1036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968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633</v>
      </c>
      <c r="P1702" s="31" t="s">
        <v>1036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956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633</v>
      </c>
      <c r="P1703" s="31" t="s">
        <v>1036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1037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633</v>
      </c>
      <c r="P1704" s="31" t="s">
        <v>1036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965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633</v>
      </c>
      <c r="P1705" s="31" t="s">
        <v>1036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1038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1039</v>
      </c>
      <c r="P1706" s="16" t="s">
        <v>1040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1041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1039</v>
      </c>
      <c r="P1707" s="16" t="s">
        <v>1040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1042</v>
      </c>
      <c r="B1708" t="s">
        <v>117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1039</v>
      </c>
      <c r="P1708" s="16" t="s">
        <v>1040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1043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1039</v>
      </c>
      <c r="P1709" s="16" t="s">
        <v>1040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1044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1039</v>
      </c>
      <c r="P1710" s="16" t="s">
        <v>1045</v>
      </c>
      <c r="Q1710" s="1">
        <v>1</v>
      </c>
      <c r="R1710" s="1">
        <v>286</v>
      </c>
      <c r="T1710" s="1" t="s">
        <v>793</v>
      </c>
      <c r="U1710" s="8">
        <v>45925</v>
      </c>
      <c r="W1710" s="1">
        <v>1</v>
      </c>
    </row>
    <row r="1711" spans="1:23" x14ac:dyDescent="0.25">
      <c r="A1711" s="2" t="s">
        <v>1046</v>
      </c>
      <c r="B1711" t="s">
        <v>133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1039</v>
      </c>
      <c r="P1711" s="16" t="s">
        <v>1045</v>
      </c>
      <c r="Q1711" s="1">
        <v>1</v>
      </c>
      <c r="R1711" s="1">
        <v>286</v>
      </c>
      <c r="T1711" s="1" t="s">
        <v>793</v>
      </c>
      <c r="U1711" s="8">
        <v>45925</v>
      </c>
    </row>
    <row r="1712" spans="1:23" x14ac:dyDescent="0.25">
      <c r="A1712" s="2" t="s">
        <v>1047</v>
      </c>
      <c r="B1712" t="s">
        <v>131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1039</v>
      </c>
      <c r="P1712" s="16" t="s">
        <v>1045</v>
      </c>
      <c r="Q1712" s="1">
        <v>1</v>
      </c>
      <c r="R1712" s="1">
        <v>286</v>
      </c>
      <c r="T1712" s="1" t="s">
        <v>793</v>
      </c>
      <c r="U1712" s="8">
        <v>45925</v>
      </c>
    </row>
    <row r="1713" spans="1:21" x14ac:dyDescent="0.25">
      <c r="A1713" s="2" t="s">
        <v>1048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1039</v>
      </c>
      <c r="P1713" s="16" t="s">
        <v>1045</v>
      </c>
      <c r="Q1713" s="1">
        <v>1</v>
      </c>
      <c r="R1713" s="1">
        <v>286</v>
      </c>
      <c r="T1713" s="1" t="s">
        <v>793</v>
      </c>
      <c r="U1713" s="8">
        <v>45925</v>
      </c>
    </row>
    <row r="1714" spans="1:21" x14ac:dyDescent="0.25">
      <c r="A1714" s="2" t="s">
        <v>1049</v>
      </c>
      <c r="B1714" t="s">
        <v>447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1039</v>
      </c>
      <c r="P1714" s="16" t="s">
        <v>1050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1051</v>
      </c>
      <c r="B1715" t="s">
        <v>115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1039</v>
      </c>
      <c r="P1715" s="16" t="s">
        <v>1050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1052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1039</v>
      </c>
      <c r="P1716" s="16" t="s">
        <v>1050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1053</v>
      </c>
      <c r="B1717" t="s">
        <v>141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1039</v>
      </c>
      <c r="P1717" s="16" t="s">
        <v>1050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1054</v>
      </c>
      <c r="B1718" t="s">
        <v>229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1039</v>
      </c>
      <c r="P1718" s="16" t="s">
        <v>1055</v>
      </c>
      <c r="Q1718" s="1">
        <v>1</v>
      </c>
      <c r="R1718" s="1">
        <v>288</v>
      </c>
      <c r="T1718" s="1" t="s">
        <v>673</v>
      </c>
      <c r="U1718" s="8">
        <v>45925</v>
      </c>
    </row>
    <row r="1719" spans="1:21" x14ac:dyDescent="0.25">
      <c r="A1719" s="2" t="s">
        <v>1056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1039</v>
      </c>
      <c r="P1719" s="16" t="s">
        <v>1055</v>
      </c>
      <c r="Q1719" s="1">
        <v>1</v>
      </c>
      <c r="R1719" s="1">
        <v>288</v>
      </c>
      <c r="T1719" s="1" t="s">
        <v>673</v>
      </c>
      <c r="U1719" s="8">
        <v>45925</v>
      </c>
    </row>
    <row r="1720" spans="1:21" x14ac:dyDescent="0.25">
      <c r="A1720" s="2" t="s">
        <v>1057</v>
      </c>
      <c r="B1720" t="s">
        <v>240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1039</v>
      </c>
      <c r="P1720" s="16" t="s">
        <v>1055</v>
      </c>
      <c r="Q1720" s="1">
        <v>1</v>
      </c>
      <c r="R1720" s="1">
        <v>288</v>
      </c>
      <c r="T1720" s="1" t="s">
        <v>673</v>
      </c>
      <c r="U1720" s="8">
        <v>45925</v>
      </c>
    </row>
    <row r="1721" spans="1:21" x14ac:dyDescent="0.25">
      <c r="A1721" s="2" t="s">
        <v>1058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1039</v>
      </c>
      <c r="P1721" s="16" t="s">
        <v>1055</v>
      </c>
      <c r="Q1721" s="1">
        <v>1</v>
      </c>
      <c r="R1721" s="1">
        <v>288</v>
      </c>
      <c r="T1721" s="1" t="s">
        <v>673</v>
      </c>
      <c r="U1721" s="8">
        <v>45925</v>
      </c>
    </row>
    <row r="1722" spans="1:21" x14ac:dyDescent="0.25">
      <c r="A1722" s="2" t="s">
        <v>1059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1039</v>
      </c>
      <c r="P1722" s="16" t="s">
        <v>1060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1061</v>
      </c>
      <c r="B1723" t="s">
        <v>153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1039</v>
      </c>
      <c r="P1723" s="16" t="s">
        <v>1060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1062</v>
      </c>
      <c r="B1724" t="s">
        <v>137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1039</v>
      </c>
      <c r="P1724" s="16" t="s">
        <v>1060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1063</v>
      </c>
      <c r="B1725" t="s">
        <v>149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1039</v>
      </c>
      <c r="P1725" s="16" t="s">
        <v>1060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1064</v>
      </c>
      <c r="B1726" t="s">
        <v>443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1039</v>
      </c>
      <c r="P1726" s="16" t="s">
        <v>831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1065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1039</v>
      </c>
      <c r="P1727" s="16" t="s">
        <v>831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1066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1039</v>
      </c>
      <c r="P1728" s="16" t="s">
        <v>831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1067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1039</v>
      </c>
      <c r="P1729" s="16" t="s">
        <v>831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1068</v>
      </c>
      <c r="B1730" t="s">
        <v>147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1039</v>
      </c>
      <c r="P1730" s="16" t="s">
        <v>1069</v>
      </c>
      <c r="Q1730" s="1">
        <v>1</v>
      </c>
      <c r="R1730" s="1">
        <v>291</v>
      </c>
      <c r="T1730" s="1" t="s">
        <v>658</v>
      </c>
      <c r="U1730" s="8">
        <v>45925</v>
      </c>
    </row>
    <row r="1731" spans="1:22" x14ac:dyDescent="0.25">
      <c r="A1731" s="2" t="s">
        <v>1070</v>
      </c>
      <c r="B1731" t="s">
        <v>404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1039</v>
      </c>
      <c r="P1731" s="16" t="s">
        <v>1069</v>
      </c>
      <c r="Q1731" s="1">
        <v>1</v>
      </c>
      <c r="R1731" s="1">
        <v>291</v>
      </c>
      <c r="T1731" s="1" t="s">
        <v>658</v>
      </c>
      <c r="U1731" s="8">
        <v>45925</v>
      </c>
    </row>
    <row r="1732" spans="1:22" x14ac:dyDescent="0.25">
      <c r="A1732" s="2" t="s">
        <v>1071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1039</v>
      </c>
      <c r="P1732" s="16" t="s">
        <v>1069</v>
      </c>
      <c r="Q1732" s="1">
        <v>1</v>
      </c>
      <c r="R1732" s="1">
        <v>291</v>
      </c>
      <c r="T1732" s="1" t="s">
        <v>658</v>
      </c>
      <c r="U1732" s="8">
        <v>45925</v>
      </c>
    </row>
    <row r="1733" spans="1:22" x14ac:dyDescent="0.25">
      <c r="A1733" s="2" t="s">
        <v>1072</v>
      </c>
      <c r="B1733" t="s">
        <v>143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1039</v>
      </c>
      <c r="P1733" s="16" t="s">
        <v>1069</v>
      </c>
      <c r="Q1733" s="1">
        <v>1</v>
      </c>
      <c r="R1733" s="1">
        <v>291</v>
      </c>
      <c r="S1733" s="2" t="s">
        <v>661</v>
      </c>
      <c r="T1733" s="1" t="s">
        <v>658</v>
      </c>
      <c r="U1733" s="8">
        <v>45925</v>
      </c>
      <c r="V1733" s="1">
        <v>1</v>
      </c>
    </row>
    <row r="1734" spans="1:22" x14ac:dyDescent="0.25">
      <c r="A1734" s="2" t="s">
        <v>1073</v>
      </c>
      <c r="B1734" t="s">
        <v>139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1039</v>
      </c>
      <c r="P1734" s="16" t="s">
        <v>1074</v>
      </c>
      <c r="Q1734" s="1">
        <v>1</v>
      </c>
      <c r="R1734" s="1">
        <v>292</v>
      </c>
      <c r="T1734" s="1" t="s">
        <v>660</v>
      </c>
      <c r="U1734" s="8">
        <v>45925</v>
      </c>
    </row>
    <row r="1735" spans="1:22" x14ac:dyDescent="0.25">
      <c r="A1735" s="2" t="s">
        <v>1075</v>
      </c>
      <c r="B1735" t="s">
        <v>113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1039</v>
      </c>
      <c r="P1735" s="16" t="s">
        <v>1074</v>
      </c>
      <c r="Q1735" s="1">
        <v>1</v>
      </c>
      <c r="R1735" s="1">
        <v>292</v>
      </c>
      <c r="T1735" s="1" t="s">
        <v>660</v>
      </c>
      <c r="U1735" s="8">
        <v>45925</v>
      </c>
    </row>
    <row r="1736" spans="1:22" x14ac:dyDescent="0.25">
      <c r="A1736" s="2" t="s">
        <v>1076</v>
      </c>
      <c r="B1736" t="s">
        <v>157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1039</v>
      </c>
      <c r="P1736" s="16" t="s">
        <v>1074</v>
      </c>
      <c r="Q1736" s="1">
        <v>1</v>
      </c>
      <c r="R1736" s="1">
        <v>292</v>
      </c>
      <c r="T1736" s="1" t="s">
        <v>660</v>
      </c>
      <c r="U1736" s="8">
        <v>45925</v>
      </c>
    </row>
    <row r="1737" spans="1:22" x14ac:dyDescent="0.25">
      <c r="A1737" s="2" t="s">
        <v>1077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1039</v>
      </c>
      <c r="P1737" s="16" t="s">
        <v>1074</v>
      </c>
      <c r="Q1737" s="1">
        <v>1</v>
      </c>
      <c r="R1737" s="1">
        <v>292</v>
      </c>
      <c r="S1737" s="2" t="s">
        <v>659</v>
      </c>
      <c r="T1737" s="1" t="s">
        <v>660</v>
      </c>
      <c r="U1737" s="8">
        <v>45925</v>
      </c>
    </row>
    <row r="1738" spans="1:22" x14ac:dyDescent="0.25">
      <c r="A1738" s="2">
        <v>1</v>
      </c>
      <c r="B1738" t="s">
        <v>229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1078</v>
      </c>
      <c r="P1738" s="16" t="s">
        <v>1079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121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1078</v>
      </c>
      <c r="P1739" s="16" t="s">
        <v>1079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1078</v>
      </c>
      <c r="P1740" s="16" t="s">
        <v>1079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137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1078</v>
      </c>
      <c r="P1741" s="16" t="s">
        <v>1079</v>
      </c>
      <c r="Q1741" s="1">
        <v>1</v>
      </c>
      <c r="R1741" s="1">
        <f t="shared" si="60"/>
        <v>293</v>
      </c>
      <c r="S1741" s="2" t="s">
        <v>661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1078</v>
      </c>
      <c r="P1742" s="16" t="s">
        <v>1079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1078</v>
      </c>
      <c r="P1743" s="16" t="s">
        <v>1080</v>
      </c>
      <c r="Q1743" s="1">
        <v>1</v>
      </c>
      <c r="R1743" s="1">
        <v>294</v>
      </c>
      <c r="T1743" s="1" t="s">
        <v>660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1078</v>
      </c>
      <c r="P1744" s="16" t="s">
        <v>1080</v>
      </c>
      <c r="Q1744" s="1">
        <v>1</v>
      </c>
      <c r="R1744" s="1">
        <f t="shared" ref="R1744:R1747" si="61">R1743</f>
        <v>294</v>
      </c>
      <c r="T1744" s="1" t="s">
        <v>660</v>
      </c>
      <c r="U1744" s="8">
        <v>46023</v>
      </c>
    </row>
    <row r="1745" spans="1:21" x14ac:dyDescent="0.25">
      <c r="A1745" s="2">
        <v>8</v>
      </c>
      <c r="B1745" t="s">
        <v>439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1078</v>
      </c>
      <c r="P1745" s="16" t="s">
        <v>1080</v>
      </c>
      <c r="Q1745" s="1">
        <v>1</v>
      </c>
      <c r="R1745" s="1">
        <f t="shared" si="61"/>
        <v>294</v>
      </c>
      <c r="T1745" s="1" t="s">
        <v>660</v>
      </c>
      <c r="U1745" s="8">
        <v>46023</v>
      </c>
    </row>
    <row r="1746" spans="1:21" x14ac:dyDescent="0.25">
      <c r="A1746" s="2">
        <v>9</v>
      </c>
      <c r="B1746" t="s">
        <v>443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1078</v>
      </c>
      <c r="P1746" s="16" t="s">
        <v>1080</v>
      </c>
      <c r="Q1746" s="1">
        <v>1</v>
      </c>
      <c r="R1746" s="1">
        <f t="shared" si="61"/>
        <v>294</v>
      </c>
      <c r="T1746" s="1" t="s">
        <v>660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1078</v>
      </c>
      <c r="P1747" s="16" t="s">
        <v>1080</v>
      </c>
      <c r="Q1747" s="1">
        <v>1</v>
      </c>
      <c r="R1747" s="1">
        <f t="shared" si="61"/>
        <v>294</v>
      </c>
      <c r="T1747" s="1" t="s">
        <v>660</v>
      </c>
      <c r="U1747" s="8">
        <v>46023</v>
      </c>
    </row>
    <row r="1748" spans="1:21" x14ac:dyDescent="0.25">
      <c r="A1748" s="2">
        <v>11</v>
      </c>
      <c r="B1748" t="s">
        <v>125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1078</v>
      </c>
      <c r="P1748" s="16" t="s">
        <v>1081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1078</v>
      </c>
      <c r="P1749" s="16" t="s">
        <v>1081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119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1078</v>
      </c>
      <c r="P1750" s="16" t="s">
        <v>1081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1078</v>
      </c>
      <c r="P1751" s="16" t="s">
        <v>1081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1078</v>
      </c>
      <c r="P1752" s="16" t="s">
        <v>1081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1078</v>
      </c>
      <c r="P1753" s="16" t="s">
        <v>1081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1078</v>
      </c>
      <c r="P1754" s="16" t="s">
        <v>1082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299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1078</v>
      </c>
      <c r="P1755" s="16" t="s">
        <v>1082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198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1078</v>
      </c>
      <c r="P1756" s="16" t="s">
        <v>1082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1078</v>
      </c>
      <c r="P1757" s="16" t="s">
        <v>1082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267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1078</v>
      </c>
      <c r="P1758" s="16" t="s">
        <v>1082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1078</v>
      </c>
      <c r="P1759" s="16" t="s">
        <v>1083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1078</v>
      </c>
      <c r="P1760" s="16" t="s">
        <v>1083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131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1078</v>
      </c>
      <c r="P1761" s="16" t="s">
        <v>1083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133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1078</v>
      </c>
      <c r="P1762" s="16" t="s">
        <v>1083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404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1078</v>
      </c>
      <c r="P1763" s="16" t="s">
        <v>1083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147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1078</v>
      </c>
      <c r="P1764" s="16" t="s">
        <v>1084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159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1078</v>
      </c>
      <c r="P1765" s="16" t="s">
        <v>1084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449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1078</v>
      </c>
      <c r="P1766" s="16" t="s">
        <v>1084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157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1078</v>
      </c>
      <c r="P1767" s="16" t="s">
        <v>1084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139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1078</v>
      </c>
      <c r="P1768" s="16" t="s">
        <v>1084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149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1078</v>
      </c>
      <c r="P1769" s="16" t="s">
        <v>1085</v>
      </c>
      <c r="Q1769" s="1">
        <v>1</v>
      </c>
      <c r="R1769" s="1">
        <v>299</v>
      </c>
      <c r="T1769" s="1" t="s">
        <v>948</v>
      </c>
      <c r="U1769" s="8">
        <v>46023</v>
      </c>
    </row>
    <row r="1770" spans="1:23" x14ac:dyDescent="0.25">
      <c r="A1770" s="2">
        <v>33</v>
      </c>
      <c r="B1770" t="s">
        <v>192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1078</v>
      </c>
      <c r="P1770" s="16" t="s">
        <v>1085</v>
      </c>
      <c r="Q1770" s="1">
        <v>1</v>
      </c>
      <c r="R1770" s="1">
        <f t="shared" ref="R1770:R1773" si="66">R1769</f>
        <v>299</v>
      </c>
      <c r="T1770" s="1" t="s">
        <v>948</v>
      </c>
      <c r="U1770" s="8">
        <v>46023</v>
      </c>
    </row>
    <row r="1771" spans="1:23" x14ac:dyDescent="0.25">
      <c r="A1771" s="2">
        <v>34</v>
      </c>
      <c r="B1771" t="s">
        <v>174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1078</v>
      </c>
      <c r="P1771" s="16" t="s">
        <v>1085</v>
      </c>
      <c r="Q1771" s="1">
        <v>1</v>
      </c>
      <c r="R1771" s="1">
        <f t="shared" si="66"/>
        <v>299</v>
      </c>
      <c r="T1771" s="1" t="s">
        <v>948</v>
      </c>
      <c r="U1771" s="8">
        <v>46023</v>
      </c>
    </row>
    <row r="1772" spans="1:23" x14ac:dyDescent="0.25">
      <c r="A1772" s="2">
        <v>35</v>
      </c>
      <c r="B1772" t="s">
        <v>143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1078</v>
      </c>
      <c r="P1772" s="16" t="s">
        <v>1085</v>
      </c>
      <c r="Q1772" s="1">
        <v>1</v>
      </c>
      <c r="R1772" s="1">
        <f t="shared" si="66"/>
        <v>299</v>
      </c>
      <c r="S1772" s="2" t="s">
        <v>659</v>
      </c>
      <c r="T1772" s="1" t="s">
        <v>948</v>
      </c>
      <c r="U1772" s="8">
        <v>46023</v>
      </c>
    </row>
    <row r="1773" spans="1:23" x14ac:dyDescent="0.25">
      <c r="A1773" s="2">
        <v>36</v>
      </c>
      <c r="B1773" t="s">
        <v>447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1078</v>
      </c>
      <c r="P1773" s="16" t="s">
        <v>1085</v>
      </c>
      <c r="Q1773" s="1">
        <v>1</v>
      </c>
      <c r="R1773" s="1">
        <f t="shared" si="66"/>
        <v>299</v>
      </c>
      <c r="T1773" s="1" t="s">
        <v>948</v>
      </c>
      <c r="U1773" s="8">
        <v>46023</v>
      </c>
    </row>
    <row r="1774" spans="1:23" x14ac:dyDescent="0.25">
      <c r="A1774" s="2">
        <v>37</v>
      </c>
      <c r="B1774" t="s">
        <v>113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1078</v>
      </c>
      <c r="P1774" s="16" t="s">
        <v>1086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127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1078</v>
      </c>
      <c r="P1775" s="16" t="s">
        <v>1086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109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1078</v>
      </c>
      <c r="P1776" s="16" t="s">
        <v>1086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1078</v>
      </c>
      <c r="P1777" s="16" t="s">
        <v>1086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1078</v>
      </c>
      <c r="P1778" s="16" t="s">
        <v>1086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115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1078</v>
      </c>
      <c r="P1779" s="16" t="s">
        <v>1087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1078</v>
      </c>
      <c r="P1780" s="16" t="s">
        <v>1087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381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1078</v>
      </c>
      <c r="P1781" s="16" t="s">
        <v>1087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141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1078</v>
      </c>
      <c r="P1782" s="16" t="s">
        <v>1087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117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1078</v>
      </c>
      <c r="P1783" s="16" t="s">
        <v>1087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1078</v>
      </c>
      <c r="P1784" s="16" t="s">
        <v>1088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283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1078</v>
      </c>
      <c r="P1785" s="16" t="s">
        <v>1088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153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1078</v>
      </c>
      <c r="P1786" s="16" t="s">
        <v>1088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1078</v>
      </c>
      <c r="P1787" s="16" t="s">
        <v>1088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1078</v>
      </c>
      <c r="P1788" s="16" t="s">
        <v>1088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2026-10-16T17:08:21Z</dcterms:modified>
</cp:coreProperties>
</file>