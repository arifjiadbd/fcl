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Overall!$A$1:$AH$212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17" i="2" l="1"/>
  <c r="T217" i="2"/>
  <c r="S217" i="2"/>
  <c r="Q217" i="2"/>
  <c r="N217" i="2"/>
  <c r="M217" i="2"/>
  <c r="L217" i="2"/>
  <c r="K217" i="2"/>
  <c r="J217" i="2"/>
  <c r="I217" i="2"/>
  <c r="H217" i="2"/>
  <c r="G217" i="2"/>
  <c r="X217" i="2" s="1"/>
  <c r="F217" i="2"/>
  <c r="Y217" i="2" s="1"/>
  <c r="Z217" i="2" s="1"/>
  <c r="E217" i="2"/>
  <c r="D217" i="2"/>
  <c r="C217" i="2"/>
  <c r="B217" i="2"/>
  <c r="AF217" i="2" s="1"/>
  <c r="O217" i="2" l="1"/>
  <c r="P217" i="2"/>
  <c r="R217" i="2"/>
  <c r="AA217" i="2" s="1"/>
  <c r="AB217" i="2"/>
  <c r="AC217" i="2"/>
  <c r="AD217" i="2"/>
  <c r="AE217" i="2"/>
  <c r="Q3535" i="3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Q1353" i="3"/>
  <c r="N1353" i="3"/>
  <c r="U1352" i="3"/>
  <c r="U1353" i="3" s="1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<sst xmlns="http://schemas.openxmlformats.org/spreadsheetml/2006/main" count="9529" uniqueCount="1156">
  <si>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</si>
  <si>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</si>
  <si>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</si>
  <si>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</si>
  <si>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</si>
  <si>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</si>
  <si>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</si>
  <si>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</si>
  <si>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</si>
  <si>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</si>
  <si>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</si>
  <si>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</si>
  <si>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</si>
  <si>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</si>
  <si>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</si>
  <si>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</si>
  <si>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</si>
  <si>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</si>
  <si>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</si>
  <si>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</si>
  <si>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</si>
  <si>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</si>
  <si>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</si>
  <si>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</si>
  <si>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</si>
  <si>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</si>
  <si>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</si>
  <si>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</si>
  <si>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</si>
  <si>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</si>
  <si>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</si>
  <si>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</si>
  <si>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</si>
  <si>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</si>
  <si>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</si>
  <si>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</si>
  <si>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</si>
  <si>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</si>
  <si>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</si>
  <si>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</si>
  <si>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</si>
  <si>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</si>
  <si>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</si>
  <si>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</si>
  <si>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</si>
  <si>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</si>
  <si>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</si>
  <si>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</si>
  <si>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</si>
  <si>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</si>
  <si>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</si>
  <si>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</si>
  <si>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</si>
  <si>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</si>
  <si>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</si>
  <si>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</si>
  <si>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</si>
  <si>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</si>
  <si>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</si>
  <si>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</si>
  <si>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</si>
  <si>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</si>
  <si>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</si>
  <si>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</si>
  <si>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</si>
  <si>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</si>
  <si>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</si>
  <si>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</si>
  <si>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</si>
  <si>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</si>
  <si>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</si>
  <si>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</si>
  <si>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</si>
  <si>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</si>
  <si>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</si>
  <si>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</si>
  <si>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</si>
  <si>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</si>
  <si>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</si>
  <si>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</si>
  <si>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</si>
  <si>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</si>
  <si>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</si>
  <si>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</si>
  <si>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</si>
  <si>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</si>
  <si>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</si>
  <si>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</si>
  <si>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</si>
  <si>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</si>
  <si>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</si>
  <si>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</si>
  <si>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</si>
  <si>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</si>
  <si>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</si>
  <si>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</si>
  <si>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</si>
  <si>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</si>
  <si>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</si>
  <si>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</si>
  <si>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</si>
  <si>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</si>
  <si>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</si>
  <si>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</si>
  <si>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</si>
  <si>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</si>
  <si>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</si>
  <si>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</si>
  <si>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</si>
  <si>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</si>
  <si>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</si>
  <si>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</si>
  <si>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</si>
  <si>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</si>
  <si>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</si>
  <si>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</si>
  <si>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</si>
  <si>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</si>
  <si>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</si>
  <si>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</si>
  <si>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</si>
  <si>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</si>
  <si>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</si>
  <si>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</si>
  <si>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</si>
  <si>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</si>
  <si>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</si>
  <si>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</si>
  <si>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</si>
  <si>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</si>
  <si>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</si>
  <si>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</si>
  <si>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</si>
  <si>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</si>
  <si>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</si>
  <si>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</si>
  <si>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</si>
  <si>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</si>
  <si>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</si>
  <si>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</si>
  <si>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</si>
  <si>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</si>
  <si>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</si>
  <si>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</si>
  <si>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</si>
  <si>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</si>
  <si>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</si>
  <si>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</si>
  <si>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</si>
  <si>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</si>
  <si>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</si>
  <si>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</si>
  <si>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</si>
  <si>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</si>
  <si>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</si>
  <si>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</si>
  <si>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</si>
  <si>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</si>
  <si>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</si>
  <si>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</si>
  <si>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</si>
  <si>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</si>
  <si>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</si>
  <si>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</si>
  <si>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</si>
  <si>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</si>
  <si>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</si>
  <si>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</si>
  <si>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</si>
  <si>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</si>
  <si>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</si>
  <si>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</si>
  <si>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</si>
  <si>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</si>
  <si>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</si>
  <si>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</si>
  <si>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</si>
  <si>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</si>
  <si>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</si>
  <si>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</si>
  <si>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</si>
  <si>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</si>
  <si>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</si>
  <si>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</si>
  <si>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</si>
  <si>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</si>
  <si>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</si>
  <si>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</si>
  <si>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</si>
  <si>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</si>
  <si>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</si>
  <si>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</si>
  <si>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</si>
  <si>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</si>
  <si>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</si>
  <si>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</si>
  <si>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</si>
  <si>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</si>
  <si>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</si>
  <si>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</si>
  <si>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</si>
  <si>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</si>
  <si>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</si>
  <si>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</si>
  <si>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</si>
  <si>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</si>
  <si>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</si>
  <si>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</si>
  <si>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</si>
  <si>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</si>
  <si>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</si>
  <si>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</si>
  <si>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</si>
  <si>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</si>
  <si>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</si>
  <si>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</si>
  <si>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</si>
  <si>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</si>
  <si>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</si>
  <si>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</si>
  <si>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</si>
  <si>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</si>
  <si>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</si>
  <si>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</si>
  <si>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</si>
  <si>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</si>
  <si>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</si>
  <si>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</si>
  <si>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</si>
  <si>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</si>
  <si>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</si>
  <si>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</si>
  <si>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</si>
  <si>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</si>
  <si>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</si>
  <si>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</si>
  <si>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</si>
  <si>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</si>
  <si>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</si>
  <si>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</si>
  <si>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</si>
  <si>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</si>
  <si>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</si>
  <si>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</si>
  <si>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</si>
  <si>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</si>
  <si>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</si>
  <si>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</si>
  <si>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</si>
  <si>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</si>
  <si>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</si>
  <si>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</si>
  <si>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</si>
  <si>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</si>
  <si>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</si>
  <si>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</si>
  <si>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</si>
  <si>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</si>
  <si>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</si>
  <si>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</si>
  <si>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</si>
  <si>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</si>
  <si>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</si>
  <si>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</si>
  <si>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</si>
  <si>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</si>
  <si>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</si>
  <si>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</si>
  <si>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</si>
  <si>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</si>
  <si>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</si>
  <si>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</si>
  <si>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</si>
  <si>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</si>
  <si>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</si>
  <si>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</si>
  <si>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</si>
  <si>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</si>
  <si>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</si>
  <si>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</si>
  <si>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</si>
  <si>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</si>
  <si>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</si>
  <si>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</si>
  <si>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</si>
  <si>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</si>
  <si>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</si>
  <si>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</si>
  <si>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</si>
  <si>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</si>
  <si>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</si>
  <si>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</si>
  <si>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</si>
  <si>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</si>
  <si>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</si>
  <si>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</si>
  <si>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</si>
  <si>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</si>
  <si>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</si>
  <si>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</si>
  <si>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</si>
  <si>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</si>
  <si>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</si>
  <si>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</si>
  <si>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</si>
  <si>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</si>
  <si>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</si>
  <si>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</si>
  <si>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</si>
  <si>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</si>
  <si>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</si>
  <si>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</si>
  <si>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</si>
  <si>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</si>
  <si>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</si>
  <si>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</si>
  <si>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</si>
  <si>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</si>
  <si>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</si>
  <si>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</si>
  <si>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</si>
  <si>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</si>
  <si>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</si>
  <si>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</si>
  <si>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</si>
  <si>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</si>
  <si>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</si>
  <si>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</si>
  <si>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</si>
  <si>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</si>
  <si>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</si>
  <si>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</si>
  <si>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</si>
  <si>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</si>
  <si>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</si>
  <si>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</si>
  <si>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</si>
  <si>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</si>
  <si>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</si>
  <si>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</si>
  <si>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</si>
  <si>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</si>
  <si>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</si>
  <si>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</si>
  <si>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</si>
  <si>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</si>
  <si>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</si>
  <si>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</si>
  <si>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</si>
  <si>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</si>
  <si>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</si>
  <si>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</si>
  <si>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</si>
  <si>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</si>
  <si>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</si>
  <si>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</si>
  <si>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</si>
  <si>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</si>
  <si>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</si>
  <si>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</si>
  <si>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</si>
  <si>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</si>
  <si>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</si>
  <si>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</si>
  <si>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</si>
  <si>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</si>
  <si>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</si>
  <si>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</si>
  <si>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</si>
  <si>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</si>
  <si>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</si>
  <si>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</si>
  <si>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</si>
  <si>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</si>
  <si>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</si>
  <si>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</si>
  <si>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</si>
  <si>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</si>
  <si>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</si>
  <si>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</si>
  <si>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</si>
  <si>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</si>
  <si>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</si>
  <si>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</si>
  <si>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</si>
  <si>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</si>
  <si>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</si>
  <si>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</si>
  <si>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</si>
  <si>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</si>
  <si>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</si>
  <si>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</si>
  <si>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</si>
  <si>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</si>
  <si>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</si>
  <si>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</si>
  <si>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</si>
  <si>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</si>
  <si>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</si>
  <si>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</si>
  <si>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</si>
  <si>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</si>
  <si>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</si>
  <si>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</si>
  <si>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</si>
  <si>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</si>
  <si>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</si>
  <si>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</si>
  <si>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</si>
  <si>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</si>
  <si>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</si>
  <si>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</si>
  <si>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</si>
  <si>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</si>
  <si>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</si>
  <si>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</si>
  <si>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</si>
  <si>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</si>
  <si>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</si>
  <si>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</si>
  <si>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</si>
  <si>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</si>
  <si>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</si>
  <si>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</si>
  <si>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</si>
  <si>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</si>
  <si>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</si>
  <si>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</si>
  <si>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</si>
  <si>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</si>
  <si>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</si>
  <si>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</si>
  <si>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</si>
  <si>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</si>
  <si>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</si>
  <si>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</si>
  <si>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</si>
  <si>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</si>
  <si>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</si>
  <si>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</si>
  <si>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</si>
  <si>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</si>
  <si>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</si>
  <si>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</si>
  <si>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</si>
  <si>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</si>
  <si>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</si>
  <si>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</si>
  <si>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</si>
  <si>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</si>
  <si>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</si>
  <si>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</si>
  <si>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</si>
  <si>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</si>
  <si>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</si>
  <si>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</si>
  <si>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</si>
  <si>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</si>
  <si>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</si>
  <si>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</si>
  <si>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</si>
  <si>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</si>
  <si>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</si>
  <si>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</si>
  <si>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</si>
  <si>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</si>
  <si>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</si>
  <si>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</si>
  <si>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</si>
  <si>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</si>
  <si>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</si>
  <si>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</si>
  <si>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</si>
  <si>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</si>
  <si>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</si>
  <si>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</si>
  <si>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</si>
  <si>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</si>
  <si>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</si>
  <si>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</si>
  <si>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</si>
  <si>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</si>
  <si>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</si>
  <si>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</si>
  <si>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</si>
  <si>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</si>
  <si>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</si>
  <si>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</si>
  <si>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</si>
  <si>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</si>
  <si>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</si>
  <si>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</si>
  <si>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</si>
  <si>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</si>
  <si>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</si>
  <si>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</si>
  <si>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</si>
  <si>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</si>
  <si>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</si>
  <si>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</si>
  <si>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</si>
  <si>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</si>
  <si>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</si>
  <si>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</si>
  <si>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</si>
  <si>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</si>
  <si>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</si>
  <si>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</si>
  <si>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</si>
  <si>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</si>
  <si>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</si>
  <si>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</si>
  <si>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</si>
  <si>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</si>
  <si>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</si>
  <si>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</si>
  <si>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</si>
  <si>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</si>
  <si>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</si>
  <si>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</si>
  <si>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</si>
  <si>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</si>
  <si>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</si>
  <si>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</si>
  <si>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</si>
  <si>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</si>
  <si>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</si>
  <si>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</si>
  <si>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</si>
  <si>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</si>
  <si>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</si>
  <si>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</si>
  <si>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</si>
  <si>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</si>
  <si>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</si>
  <si>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</si>
  <si>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</si>
  <si>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</si>
  <si>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</si>
  <si>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</si>
  <si>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</si>
  <si>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</si>
  <si>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</si>
  <si>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</si>
  <si>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</si>
  <si>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</si>
  <si>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</si>
  <si>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</si>
  <si>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</si>
  <si>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</si>
  <si>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</si>
  <si>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</si>
  <si>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</si>
  <si>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</si>
  <si>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</si>
  <si>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</si>
  <si>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</si>
  <si>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</si>
  <si>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</si>
  <si>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</si>
  <si>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</si>
  <si>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</si>
  <si>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</si>
  <si>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</si>
  <si>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</si>
  <si>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</si>
  <si>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</si>
  <si>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</si>
  <si>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</si>
  <si>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</si>
  <si>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</si>
  <si>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</si>
  <si>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</si>
  <si>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</si>
  <si>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</si>
  <si>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</si>
  <si>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</si>
  <si>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</si>
  <si>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</si>
  <si>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</si>
  <si>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</si>
  <si>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</si>
  <si>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</si>
  <si>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</si>
  <si>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</si>
  <si>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</si>
  <si>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</si>
  <si>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</si>
  <si>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</si>
  <si>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</si>
  <si>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</si>
  <si>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</si>
  <si>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</si>
  <si>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</si>
  <si>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</si>
  <si>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</si>
  <si>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</si>
  <si>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</si>
  <si>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</si>
  <si>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</si>
  <si>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</si>
  <si>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</si>
  <si>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</si>
  <si>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</si>
  <si>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</si>
  <si>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</si>
  <si>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</si>
  <si>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</si>
  <si>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</si>
  <si>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</si>
  <si>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</si>
  <si>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</si>
  <si>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</si>
  <si>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</si>
  <si>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</si>
  <si>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</si>
  <si>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</si>
  <si>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</si>
  <si>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</si>
  <si>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</si>
  <si>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</si>
  <si>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</si>
  <si>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</si>
  <si>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</si>
  <si>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</si>
  <si>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</si>
  <si>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</si>
  <si>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</si>
  <si>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</si>
  <si>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</si>
  <si>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</si>
  <si>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</si>
  <si>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</si>
  <si>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</si>
  <si>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</si>
  <si>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</si>
  <si>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</si>
  <si>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</si>
  <si>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</si>
  <si>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</si>
  <si>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</si>
  <si>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</si>
  <si>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</si>
  <si>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</si>
  <si>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</si>
  <si>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</si>
  <si>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</si>
  <si>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</si>
  <si>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</si>
  <si>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</si>
  <si>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</si>
  <si>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</si>
  <si>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</si>
  <si>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</si>
  <si>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</si>
  <si>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</si>
  <si>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</si>
  <si>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</si>
  <si>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</si>
  <si>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</si>
  <si>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</si>
  <si>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</si>
  <si>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</si>
  <si>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</si>
  <si>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</si>
  <si>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</si>
  <si>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</si>
  <si>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</si>
  <si>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</si>
  <si>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</si>
  <si>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</si>
  <si>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</si>
  <si>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</si>
  <si>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</si>
  <si>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</si>
  <si>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</si>
  <si>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</si>
  <si>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</si>
  <si>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</si>
  <si>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</si>
  <si>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</si>
  <si>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</si>
  <si>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</si>
  <si>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</si>
  <si>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</si>
  <si>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</si>
  <si>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</si>
  <si>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</si>
  <si>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</si>
  <si>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</si>
  <si>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</si>
  <si>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</si>
  <si>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</si>
  <si>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</si>
  <si>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</si>
  <si>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</si>
  <si>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</si>
  <si>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</si>
  <si>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</si>
  <si>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</si>
  <si>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</si>
  <si>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</si>
  <si>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</si>
  <si>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</si>
  <si>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</si>
  <si>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</si>
  <si>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</si>
  <si>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</si>
  <si>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</si>
  <si>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</si>
  <si>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</si>
  <si>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</si>
  <si>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</si>
  <si>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</si>
  <si>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</si>
  <si>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</si>
  <si>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</si>
  <si>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</si>
  <si>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</si>
  <si>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</si>
  <si>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</si>
  <si>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</si>
  <si>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</si>
  <si>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</si>
  <si>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</si>
  <si>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</si>
  <si>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</si>
  <si>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</si>
  <si>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</si>
  <si>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</si>
  <si>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</si>
  <si>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</si>
  <si>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</si>
  <si>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</si>
  <si>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</si>
  <si>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</si>
  <si>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</si>
  <si>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</si>
  <si>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</si>
  <si>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</si>
  <si>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</si>
  <si>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</si>
  <si>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</si>
  <si>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</si>
  <si>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</si>
  <si>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</si>
  <si>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</si>
  <si>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</si>
  <si>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</si>
  <si>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</si>
  <si>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</si>
  <si>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</si>
  <si>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</si>
  <si>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</si>
  <si>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</si>
  <si>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</si>
  <si>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</si>
  <si>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</si>
  <si>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</si>
  <si>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</si>
  <si>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</si>
  <si>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</si>
  <si>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</si>
  <si>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</si>
  <si>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</si>
  <si>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</si>
  <si>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</si>
  <si>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</si>
  <si>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</si>
  <si>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</si>
  <si>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</si>
  <si>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</si>
  <si>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</si>
  <si>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</si>
  <si>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</si>
  <si>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</si>
  <si>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</si>
  <si>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</si>
  <si>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</si>
  <si>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</si>
  <si>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</si>
  <si>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</si>
  <si>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</si>
  <si>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</si>
  <si>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</si>
  <si>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</si>
  <si>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</si>
  <si>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</si>
  <si>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</si>
  <si>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</si>
  <si>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</si>
  <si>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</si>
  <si>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</si>
  <si>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</si>
  <si>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</si>
  <si>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</si>
  <si>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</si>
  <si>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</si>
  <si>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</si>
  <si>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</si>
  <si>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</si>
  <si>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</si>
  <si>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</si>
  <si>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</si>
  <si>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</si>
  <si>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</si>
  <si>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</si>
  <si>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</si>
  <si>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</si>
  <si>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</si>
  <si>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</si>
  <si>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</si>
  <si>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</si>
  <si>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</si>
  <si>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</si>
  <si>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</si>
  <si>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</si>
  <si>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</si>
  <si>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</si>
  <si>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</si>
  <si>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</si>
  <si>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</si>
  <si>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</si>
  <si>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</si>
  <si>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</si>
  <si>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</si>
  <si>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</si>
  <si>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</si>
  <si>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</si>
  <si>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</si>
  <si>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</si>
  <si>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</si>
  <si>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</si>
  <si>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</si>
  <si>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</si>
  <si>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</si>
  <si>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</si>
  <si>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</si>
  <si>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</si>
  <si>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</si>
  <si>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</si>
  <si>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</si>
  <si>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</si>
  <si>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</si>
  <si>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</si>
  <si>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</si>
  <si>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</si>
  <si>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</si>
  <si>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</si>
  <si>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</si>
  <si>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</si>
  <si>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</si>
  <si>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</si>
  <si>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</si>
  <si>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</si>
  <si>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</si>
  <si>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</si>
  <si>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</si>
  <si>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</si>
  <si>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</si>
  <si>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</si>
  <si>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</si>
  <si>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</si>
  <si>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</si>
  <si>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</si>
  <si>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</si>
  <si>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</si>
  <si>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</si>
  <si>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</si>
  <si>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</si>
  <si>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</si>
  <si>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</si>
  <si>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</si>
  <si>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</si>
  <si>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</si>
  <si>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</si>
  <si>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</si>
  <si>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</si>
  <si>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</si>
  <si>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</si>
  <si>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</si>
  <si>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</si>
  <si>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</si>
  <si>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</si>
  <si>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</si>
  <si>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</si>
  <si>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</si>
  <si>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</si>
  <si>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</si>
  <si>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</si>
  <si>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</si>
  <si>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</si>
  <si>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</si>
  <si>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</si>
  <si>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</si>
  <si>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</si>
  <si>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</si>
  <si>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</si>
  <si>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</si>
  <si>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</si>
  <si>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</si>
  <si>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</si>
  <si>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</si>
  <si>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</si>
  <si>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</si>
  <si>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</si>
  <si>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</si>
  <si>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</si>
  <si>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</si>
  <si>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</si>
  <si>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</si>
  <si>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</si>
  <si>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</si>
  <si>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</si>
  <si>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</si>
  <si>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</si>
  <si>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</si>
  <si>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</si>
  <si>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</si>
  <si>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</si>
  <si>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</si>
  <si>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</si>
  <si>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</si>
  <si>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</si>
  <si>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</si>
  <si>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</si>
  <si>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</si>
  <si>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</si>
  <si>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</si>
  <si>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</si>
  <si>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</si>
  <si>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</si>
  <si>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</si>
  <si>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</si>
  <si>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</si>
  <si>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</si>
  <si>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</si>
  <si>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</si>
  <si>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</si>
  <si>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</si>
  <si>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</si>
  <si>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</si>
  <si>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</si>
  <si>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</si>
  <si>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</si>
  <si>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</si>
  <si>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</si>
  <si>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</si>
  <si>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</si>
  <si>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</si>
  <si>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</si>
  <si>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</si>
  <si>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</si>
  <si>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</si>
  <si>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</si>
  <si>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</si>
  <si>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</si>
  <si>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</si>
  <si>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</si>
  <si>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</si>
  <si>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</si>
  <si>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</si>
  <si>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</si>
  <si>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</si>
  <si>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</si>
  <si>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</si>
  <si>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</si>
  <si>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</si>
  <si>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</si>
  <si>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</si>
  <si>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</si>
  <si>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</si>
  <si>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</si>
  <si>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</si>
  <si>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</si>
  <si>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</si>
  <si>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</si>
  <si>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</si>
  <si>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</si>
  <si>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</si>
  <si>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</si>
  <si>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</si>
  <si>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</si>
  <si>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</si>
  <si>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</si>
  <si>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</si>
  <si>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</si>
  <si>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</si>
  <si>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</si>
  <si>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</si>
  <si>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</si>
  <si>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</si>
  <si>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</si>
  <si>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</si>
  <si>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</si>
  <si>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</si>
  <si>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</si>
  <si>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</si>
  <si>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</si>
  <si>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</si>
  <si>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</si>
  <si>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</si>
  <si>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</si>
  <si>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</si>
  <si>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</si>
  <si>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</si>
  <si>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</si>
  <si>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</si>
  <si>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</si>
  <si>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</si>
  <si>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</si>
  <si>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</si>
  <si>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</si>
  <si>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</si>
  <si>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</si>
  <si>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</si>
  <si>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</si>
  <si>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</si>
  <si>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</si>
  <si>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</si>
  <si>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</si>
  <si>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</si>
  <si>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</si>
  <si>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</si>
  <si>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</si>
  <si>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</si>
  <si>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</si>
  <si>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</si>
  <si>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</si>
  <si>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</si>
  <si>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</si>
  <si>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</si>
  <si>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</si>
  <si>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</si>
  <si>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</si>
  <si>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</si>
  <si>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</si>
  <si>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</si>
  <si>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</si>
  <si>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</si>
  <si>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</si>
  <si>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</si>
  <si>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</si>
  <si>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</si>
  <si>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</si>
  <si>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</si>
  <si>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</si>
  <si>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</si>
  <si>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</si>
  <si>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</si>
  <si>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</si>
  <si>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</si>
  <si>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</si>
  <si>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</si>
  <si>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</si>
  <si>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</si>
  <si>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</si>
  <si>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</si>
  <si>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</si>
  <si>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</si>
  <si>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</si>
  <si>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</si>
  <si>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</si>
  <si>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</si>
  <si>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</si>
  <si>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</si>
  <si>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</si>
  <si>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</si>
  <si>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</si>
  <si>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</si>
  <si>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</si>
  <si>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</si>
  <si>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</si>
  <si>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</si>
  <si>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</si>
  <si>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</si>
  <si>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</si>
  <si>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</si>
  <si>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</si>
  <si>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</si>
  <si>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</si>
  <si>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</si>
  <si>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</si>
  <si>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</si>
  <si>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</si>
  <si>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</si>
  <si>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</si>
  <si>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</si>
  <si>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</si>
  <si>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</si>
  <si>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</si>
  <si>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</si>
  <si>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</si>
  <si>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</si>
  <si>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</si>
  <si>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</si>
  <si>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</si>
  <si>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</si>
  <si>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</si>
  <si>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</si>
  <si>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</si>
  <si>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</si>
  <si>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</si>
  <si>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</si>
  <si>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</si>
  <si>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</si>
  <si>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</si>
  <si>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</si>
  <si>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</si>
  <si>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</si>
  <si>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</si>
  <si>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</si>
  <si>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</si>
  <si>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</si>
  <si>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</si>
  <si>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</si>
  <si>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</si>
  <si>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</si>
  <si>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</si>
  <si>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</si>
  <si>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</si>
  <si>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</si>
  <si>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</si>
  <si>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</si>
  <si>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</si>
  <si>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</si>
  <si>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</si>
  <si>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</si>
  <si>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</si>
  <si>
    <t>KM Rashedul Islam Rashed.jpeg</t>
  </si>
  <si>
    <t>Jøwël Chý</t>
  </si>
  <si>
    <t>DANGEROUS SCORCHERS</t>
  </si>
  <si>
    <t xml:space="preserve">  ROCKET THUNDERS</t>
  </si>
  <si>
    <t xml:space="preserve">  GLORY HUNTERS</t>
  </si>
  <si>
    <t xml:space="preserve">  KNIGHT ROAR</t>
  </si>
  <si>
    <t xml:space="preserve">  LUCK RIDERS</t>
  </si>
  <si>
    <t xml:space="preserve"> KNOCKOUT KINGS.</t>
  </si>
  <si>
    <t xml:space="preserve">  DANGEROUS SCORCHERS</t>
  </si>
  <si>
    <t xml:space="preserve">  KING STÀRS (1RU)</t>
  </si>
  <si>
    <t xml:space="preserve">  EXTREME BOYZ (Champ)</t>
  </si>
  <si>
    <t xml:space="preserve">  BLEED BLUE</t>
  </si>
  <si>
    <t xml:space="preserve"> DANGAROUS DYNAMITS</t>
  </si>
  <si>
    <t xml:space="preserve">  SPARKLING FiRE (2RU)</t>
  </si>
  <si>
    <t xml:space="preserve">  BLAZZING STARS</t>
  </si>
  <si>
    <t xml:space="preserve">  DARK HORSE</t>
  </si>
  <si>
    <t xml:space="preserve">  HiDDEN DRAGONS</t>
  </si>
  <si>
    <t xml:space="preserve"> DIAMOND MINERS</t>
  </si>
  <si>
    <t>FCL FIGHTERS</t>
  </si>
  <si>
    <t>Oli Ullah</t>
  </si>
  <si>
    <t>Sixer Bappi</t>
  </si>
  <si>
    <t>Rahin Superb</t>
  </si>
  <si>
    <t>Mohammed Shafi</t>
  </si>
  <si>
    <t>Md. Abutaleb</t>
  </si>
  <si>
    <t>Soyeb Hossain</t>
  </si>
  <si>
    <t>Cricket Pagla Arman</t>
  </si>
  <si>
    <t>Sukamal Mahajan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</si>
</sst>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  <font>
      <b/>
      <sz val="12"/>
      <color rgb="FF000000"/>
      <name val="Bodoni MT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2" fontId="0" fillId="0" borderId="0" xfId="0" applyNumberFormat="1"/>
    <xf numFmtId="165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1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Data"/>
      <sheetName val="All Player"/>
      <sheetName val="Soft"/>
      <sheetName val="FRS--3 d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>
        <row r="217">
          <cell r="W217" t="str">
            <v>Oli</v>
          </cell>
        </row>
      </sheetData>
      <sheetData sheetId="1">
        <row r="1">
          <cell r="B1" t="str">
            <v>Name</v>
          </cell>
          <cell r="C1" t="str">
            <v>M</v>
          </cell>
          <cell r="D1" t="str">
            <v>RUN</v>
          </cell>
          <cell r="E1" t="str">
            <v>W</v>
          </cell>
          <cell r="F1" t="str">
            <v>IN</v>
          </cell>
          <cell r="G1" t="str">
            <v>NO</v>
          </cell>
          <cell r="H1" t="str">
            <v>4's</v>
          </cell>
          <cell r="I1" t="str">
            <v>6's</v>
          </cell>
          <cell r="J1" t="str">
            <v>Hat-Trick</v>
          </cell>
          <cell r="K1" t="str">
            <v>MOM</v>
          </cell>
          <cell r="L1" t="str">
            <v>CPOM/SAPOM</v>
          </cell>
          <cell r="O1" t="str">
            <v>TOURNAMENT</v>
          </cell>
          <cell r="Q1" t="str">
            <v>Tournament Play</v>
          </cell>
          <cell r="S1" t="str">
            <v>MOT/CPOT</v>
          </cell>
          <cell r="T1" t="str">
            <v>Cham/RU</v>
          </cell>
          <cell r="U1" t="str">
            <v>TOURNAMENT TIME (Month-Year)</v>
          </cell>
          <cell r="V1" t="str">
            <v>TOP SCORER</v>
          </cell>
          <cell r="W1" t="str">
            <v>TOP WICKET</v>
          </cell>
        </row>
        <row r="2">
          <cell r="B2" t="str">
            <v>BPB (BPL POWER BOYS)</v>
          </cell>
          <cell r="O2" t="str">
            <v>FCL-1</v>
          </cell>
          <cell r="P2" t="str">
            <v>BPB (BPL POWER BOYS)</v>
          </cell>
          <cell r="Q2">
            <v>1</v>
          </cell>
          <cell r="R2">
            <v>1</v>
          </cell>
          <cell r="T2" t="str">
            <v>CHAMP</v>
          </cell>
          <cell r="U2">
            <v>41334</v>
          </cell>
        </row>
        <row r="3">
          <cell r="B3" t="str">
            <v>Injamul</v>
          </cell>
          <cell r="C3">
            <v>8</v>
          </cell>
          <cell r="D3">
            <v>183</v>
          </cell>
          <cell r="E3">
            <v>3</v>
          </cell>
          <cell r="F3">
            <v>8</v>
          </cell>
          <cell r="M3" t="str">
            <v>&gt;&gt;</v>
          </cell>
          <cell r="N3" t="str">
            <v>Injamul Haque (Syed Injamul Haque)</v>
          </cell>
          <cell r="O3" t="str">
            <v>FCL-1</v>
          </cell>
          <cell r="P3" t="str">
            <v>BPB (BPL POWER BOYS)</v>
          </cell>
          <cell r="Q3">
            <v>1</v>
          </cell>
          <cell r="R3">
            <v>1</v>
          </cell>
          <cell r="T3" t="str">
            <v>CHAMP</v>
          </cell>
          <cell r="U3">
            <v>41334</v>
          </cell>
        </row>
        <row r="4">
          <cell r="B4" t="str">
            <v>Niamul</v>
          </cell>
          <cell r="C4">
            <v>8</v>
          </cell>
          <cell r="D4">
            <v>49</v>
          </cell>
          <cell r="E4">
            <v>14</v>
          </cell>
          <cell r="F4">
            <v>8</v>
          </cell>
          <cell r="M4" t="str">
            <v>&gt;&gt;</v>
          </cell>
          <cell r="N4" t="str">
            <v>Niamul Habib Setu</v>
          </cell>
          <cell r="O4" t="str">
            <v>FCL-1</v>
          </cell>
          <cell r="P4" t="str">
            <v>BPB (BPL POWER BOYS)</v>
          </cell>
          <cell r="Q4">
            <v>1</v>
          </cell>
          <cell r="R4">
            <v>1</v>
          </cell>
          <cell r="T4" t="str">
            <v>CHAMP</v>
          </cell>
          <cell r="U4">
            <v>41334</v>
          </cell>
        </row>
        <row r="5">
          <cell r="B5" t="str">
            <v>Ovi</v>
          </cell>
          <cell r="C5">
            <v>9</v>
          </cell>
          <cell r="D5">
            <v>217</v>
          </cell>
          <cell r="E5">
            <v>22</v>
          </cell>
          <cell r="F5">
            <v>9</v>
          </cell>
          <cell r="M5" t="str">
            <v>&gt;&gt;</v>
          </cell>
          <cell r="N5" t="str">
            <v>Toufiq Ahmed Ovi</v>
          </cell>
          <cell r="O5" t="str">
            <v>FCL-1</v>
          </cell>
          <cell r="P5" t="str">
            <v>BPB (BPL POWER BOYS)</v>
          </cell>
          <cell r="Q5">
            <v>1</v>
          </cell>
          <cell r="R5">
            <v>1</v>
          </cell>
          <cell r="S5" t="str">
            <v>CPOT</v>
          </cell>
          <cell r="T5" t="str">
            <v>CHAMP</v>
          </cell>
          <cell r="U5">
            <v>41334</v>
          </cell>
        </row>
        <row r="6">
          <cell r="B6" t="str">
            <v>Emon</v>
          </cell>
          <cell r="C6">
            <v>6</v>
          </cell>
          <cell r="D6">
            <v>35</v>
          </cell>
          <cell r="E6">
            <v>7</v>
          </cell>
          <cell r="F6">
            <v>6</v>
          </cell>
          <cell r="M6" t="str">
            <v>&gt;&gt;</v>
          </cell>
          <cell r="N6" t="str">
            <v>Fahim Shahrear Emon</v>
          </cell>
          <cell r="O6" t="str">
            <v>FCL-1</v>
          </cell>
          <cell r="P6" t="str">
            <v>BPB (BPL POWER BOYS)</v>
          </cell>
          <cell r="Q6">
            <v>1</v>
          </cell>
          <cell r="R6">
            <v>1</v>
          </cell>
          <cell r="T6" t="str">
            <v>CHAMP</v>
          </cell>
          <cell r="U6">
            <v>41334</v>
          </cell>
        </row>
        <row r="7">
          <cell r="B7" t="str">
            <v>Back Sakib</v>
          </cell>
          <cell r="C7">
            <v>7</v>
          </cell>
          <cell r="D7">
            <v>218</v>
          </cell>
          <cell r="E7">
            <v>6</v>
          </cell>
          <cell r="F7">
            <v>7</v>
          </cell>
          <cell r="M7" t="str">
            <v>&gt;&gt;</v>
          </cell>
          <cell r="N7" t="str">
            <v>Backbencher Sakib</v>
          </cell>
          <cell r="O7" t="str">
            <v>FCL-1</v>
          </cell>
          <cell r="P7" t="str">
            <v>BPB (BPL POWER BOYS)</v>
          </cell>
          <cell r="Q7">
            <v>1</v>
          </cell>
          <cell r="R7">
            <v>1</v>
          </cell>
          <cell r="T7" t="str">
            <v>CHAMP</v>
          </cell>
          <cell r="U7">
            <v>41334</v>
          </cell>
        </row>
        <row r="8">
          <cell r="B8" t="str">
            <v>RI Akash</v>
          </cell>
          <cell r="C8">
            <v>3</v>
          </cell>
          <cell r="D8">
            <v>3</v>
          </cell>
          <cell r="E8">
            <v>5</v>
          </cell>
          <cell r="F8">
            <v>3</v>
          </cell>
          <cell r="M8" t="str">
            <v>&gt;&gt;</v>
          </cell>
          <cell r="N8" t="str">
            <v>Raihan Islam Akash</v>
          </cell>
          <cell r="O8" t="str">
            <v>FCL-1</v>
          </cell>
          <cell r="P8" t="str">
            <v>BPB (BPL POWER BOYS)</v>
          </cell>
          <cell r="Q8">
            <v>1</v>
          </cell>
          <cell r="R8">
            <v>1</v>
          </cell>
          <cell r="T8" t="str">
            <v>CHAMP</v>
          </cell>
          <cell r="U8">
            <v>41334</v>
          </cell>
        </row>
        <row r="9">
          <cell r="B9" t="str">
            <v>BPL ALL STAR (BAS)</v>
          </cell>
          <cell r="F9">
            <v>0</v>
          </cell>
          <cell r="M9" t="str">
            <v>&gt;&gt;</v>
          </cell>
          <cell r="N9" t="str">
            <v/>
          </cell>
          <cell r="O9" t="str">
            <v>FCL-1</v>
          </cell>
          <cell r="P9" t="str">
            <v>BPL ALL STAR (BAS)</v>
          </cell>
          <cell r="Q9">
            <v>1</v>
          </cell>
          <cell r="R9">
            <v>2</v>
          </cell>
          <cell r="T9" t="str">
            <v>RU</v>
          </cell>
          <cell r="U9">
            <v>41334</v>
          </cell>
        </row>
        <row r="10">
          <cell r="B10" t="str">
            <v>Jahin</v>
          </cell>
          <cell r="C10">
            <v>10</v>
          </cell>
          <cell r="D10">
            <v>265</v>
          </cell>
          <cell r="E10">
            <v>16</v>
          </cell>
          <cell r="F10">
            <v>10</v>
          </cell>
          <cell r="M10" t="str">
            <v>&gt;&gt;</v>
          </cell>
          <cell r="N10" t="str">
            <v>Jahin Shahriar Chowdhury</v>
          </cell>
          <cell r="O10" t="str">
            <v>FCL-1</v>
          </cell>
          <cell r="P10" t="str">
            <v>BPL ALL STAR (BAS)</v>
          </cell>
          <cell r="Q10">
            <v>1</v>
          </cell>
          <cell r="R10">
            <v>2</v>
          </cell>
          <cell r="T10" t="str">
            <v>RU</v>
          </cell>
          <cell r="U10">
            <v>41334</v>
          </cell>
        </row>
        <row r="11">
          <cell r="B11" t="str">
            <v>Zaheed</v>
          </cell>
          <cell r="C11">
            <v>9</v>
          </cell>
          <cell r="D11">
            <v>139</v>
          </cell>
          <cell r="E11">
            <v>19</v>
          </cell>
          <cell r="F11">
            <v>9</v>
          </cell>
          <cell r="J11">
            <v>1</v>
          </cell>
          <cell r="M11" t="str">
            <v>&gt;&gt;</v>
          </cell>
          <cell r="N11" t="str">
            <v>Zaheed Hasan</v>
          </cell>
          <cell r="O11" t="str">
            <v>FCL-1</v>
          </cell>
          <cell r="P11" t="str">
            <v>BPL ALL STAR (BAS)</v>
          </cell>
          <cell r="Q11">
            <v>1</v>
          </cell>
          <cell r="R11">
            <v>2</v>
          </cell>
          <cell r="T11" t="str">
            <v>RU</v>
          </cell>
          <cell r="U11">
            <v>41334</v>
          </cell>
        </row>
        <row r="12">
          <cell r="B12" t="str">
            <v>Rexx</v>
          </cell>
          <cell r="C12">
            <v>10</v>
          </cell>
          <cell r="D12">
            <v>302</v>
          </cell>
          <cell r="E12">
            <v>11</v>
          </cell>
          <cell r="F12">
            <v>10</v>
          </cell>
          <cell r="M12" t="str">
            <v>&gt;&gt;</v>
          </cell>
          <cell r="N12" t="str">
            <v>Bishwajit Sarkar</v>
          </cell>
          <cell r="O12" t="str">
            <v>FCL-1</v>
          </cell>
          <cell r="P12" t="str">
            <v>BPL ALL STAR (BAS)</v>
          </cell>
          <cell r="Q12">
            <v>1</v>
          </cell>
          <cell r="R12">
            <v>2</v>
          </cell>
          <cell r="T12" t="str">
            <v>RU</v>
          </cell>
          <cell r="U12">
            <v>41334</v>
          </cell>
          <cell r="V12">
            <v>1</v>
          </cell>
        </row>
        <row r="13">
          <cell r="B13" t="str">
            <v>SA Shuvo</v>
          </cell>
          <cell r="C13">
            <v>1</v>
          </cell>
          <cell r="D13">
            <v>13</v>
          </cell>
          <cell r="E13">
            <v>2</v>
          </cell>
          <cell r="F13">
            <v>1</v>
          </cell>
          <cell r="M13" t="str">
            <v>&gt;&gt;</v>
          </cell>
          <cell r="N13" t="str">
            <v>Sabbir Ahmed Shuvo</v>
          </cell>
          <cell r="O13" t="str">
            <v>FCL-1</v>
          </cell>
          <cell r="P13" t="str">
            <v>BPL ALL STAR (BAS)</v>
          </cell>
          <cell r="Q13">
            <v>1</v>
          </cell>
          <cell r="R13">
            <v>2</v>
          </cell>
          <cell r="T13" t="str">
            <v>RU</v>
          </cell>
          <cell r="U13">
            <v>41334</v>
          </cell>
        </row>
        <row r="14">
          <cell r="B14" t="str">
            <v>Himu</v>
          </cell>
          <cell r="C14">
            <v>1</v>
          </cell>
          <cell r="D14">
            <v>2</v>
          </cell>
          <cell r="E14">
            <v>0</v>
          </cell>
          <cell r="F14">
            <v>1</v>
          </cell>
          <cell r="M14" t="str">
            <v>&gt;&gt;</v>
          </cell>
          <cell r="N14" t="str">
            <v>Himu</v>
          </cell>
          <cell r="O14" t="str">
            <v>FCL-1</v>
          </cell>
          <cell r="P14" t="str">
            <v>BPL ALL STAR (BAS)</v>
          </cell>
          <cell r="Q14">
            <v>1</v>
          </cell>
          <cell r="R14">
            <v>2</v>
          </cell>
          <cell r="T14" t="str">
            <v>RU</v>
          </cell>
          <cell r="U14">
            <v>41334</v>
          </cell>
        </row>
        <row r="15">
          <cell r="B15" t="str">
            <v>Tuhin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M15" t="str">
            <v>&gt;&gt;</v>
          </cell>
          <cell r="N15" t="str">
            <v>Nasir Ahmed Tuhin</v>
          </cell>
          <cell r="O15" t="str">
            <v>FCL-1</v>
          </cell>
          <cell r="P15" t="str">
            <v>BPL ALL STAR (BAS)</v>
          </cell>
          <cell r="Q15">
            <v>1</v>
          </cell>
          <cell r="R15">
            <v>2</v>
          </cell>
          <cell r="T15" t="str">
            <v>RU</v>
          </cell>
          <cell r="U15">
            <v>41334</v>
          </cell>
        </row>
        <row r="16">
          <cell r="B16" t="str">
            <v>BPL ICONS</v>
          </cell>
          <cell r="F16">
            <v>0</v>
          </cell>
          <cell r="M16" t="str">
            <v>&gt;&gt;</v>
          </cell>
          <cell r="N16" t="str">
            <v/>
          </cell>
          <cell r="O16" t="str">
            <v>FCL-1</v>
          </cell>
          <cell r="P16" t="str">
            <v>BPL ICONS</v>
          </cell>
          <cell r="Q16">
            <v>1</v>
          </cell>
          <cell r="R16">
            <v>3</v>
          </cell>
          <cell r="U16">
            <v>41334</v>
          </cell>
        </row>
        <row r="17">
          <cell r="B17" t="str">
            <v>Yahya</v>
          </cell>
          <cell r="C17">
            <v>8</v>
          </cell>
          <cell r="D17">
            <v>94</v>
          </cell>
          <cell r="E17">
            <v>8</v>
          </cell>
          <cell r="F17">
            <v>8</v>
          </cell>
          <cell r="M17" t="str">
            <v>&gt;&gt;</v>
          </cell>
          <cell r="N17" t="str">
            <v>Yahya Riyad</v>
          </cell>
          <cell r="O17" t="str">
            <v>FCL-1</v>
          </cell>
          <cell r="P17" t="str">
            <v>BPL ICONS</v>
          </cell>
          <cell r="Q17">
            <v>1</v>
          </cell>
          <cell r="R17">
            <v>3</v>
          </cell>
          <cell r="U17">
            <v>41334</v>
          </cell>
        </row>
        <row r="18">
          <cell r="B18" t="str">
            <v>Rahat</v>
          </cell>
          <cell r="C18">
            <v>10</v>
          </cell>
          <cell r="D18">
            <v>158</v>
          </cell>
          <cell r="E18">
            <v>9</v>
          </cell>
          <cell r="F18">
            <v>10</v>
          </cell>
          <cell r="M18" t="str">
            <v>&gt;&gt;</v>
          </cell>
          <cell r="N18" t="str">
            <v>Saiful Rahat</v>
          </cell>
          <cell r="O18" t="str">
            <v>FCL-1</v>
          </cell>
          <cell r="P18" t="str">
            <v>BPL ICONS</v>
          </cell>
          <cell r="Q18">
            <v>1</v>
          </cell>
          <cell r="R18">
            <v>3</v>
          </cell>
          <cell r="U18">
            <v>41334</v>
          </cell>
        </row>
        <row r="19">
          <cell r="B19" t="str">
            <v>Ruvel</v>
          </cell>
          <cell r="C19">
            <v>10</v>
          </cell>
          <cell r="D19">
            <v>297</v>
          </cell>
          <cell r="E19">
            <v>14</v>
          </cell>
          <cell r="F19">
            <v>10</v>
          </cell>
          <cell r="M19" t="str">
            <v>&gt;&gt;</v>
          </cell>
          <cell r="N19" t="str">
            <v>Md Ruvel</v>
          </cell>
          <cell r="O19" t="str">
            <v>FCL-1</v>
          </cell>
          <cell r="P19" t="str">
            <v>BPL ICONS</v>
          </cell>
          <cell r="Q19">
            <v>1</v>
          </cell>
          <cell r="R19">
            <v>3</v>
          </cell>
          <cell r="S19" t="str">
            <v>MOT</v>
          </cell>
          <cell r="U19">
            <v>41334</v>
          </cell>
        </row>
        <row r="20">
          <cell r="B20" t="str">
            <v>Arif</v>
          </cell>
          <cell r="C20">
            <v>5</v>
          </cell>
          <cell r="D20">
            <v>100</v>
          </cell>
          <cell r="E20">
            <v>12</v>
          </cell>
          <cell r="F20">
            <v>5</v>
          </cell>
          <cell r="J20">
            <v>1</v>
          </cell>
          <cell r="M20" t="str">
            <v>&gt;&gt;</v>
          </cell>
          <cell r="N20" t="str">
            <v>Arif Ziad</v>
          </cell>
          <cell r="O20" t="str">
            <v>FCL-1</v>
          </cell>
          <cell r="P20" t="str">
            <v>BPL ICONS</v>
          </cell>
          <cell r="Q20">
            <v>1</v>
          </cell>
          <cell r="R20">
            <v>3</v>
          </cell>
          <cell r="U20">
            <v>41334</v>
          </cell>
        </row>
        <row r="21">
          <cell r="B21" t="str">
            <v>Rinkon</v>
          </cell>
          <cell r="C21">
            <v>4</v>
          </cell>
          <cell r="D21">
            <v>24</v>
          </cell>
          <cell r="E21">
            <v>1</v>
          </cell>
          <cell r="F21">
            <v>4</v>
          </cell>
          <cell r="M21" t="str">
            <v>&gt;&gt;</v>
          </cell>
          <cell r="N21" t="str">
            <v>Rinkon Khan</v>
          </cell>
          <cell r="O21" t="str">
            <v>FCL-1</v>
          </cell>
          <cell r="P21" t="str">
            <v>BPL ICONS</v>
          </cell>
          <cell r="Q21">
            <v>1</v>
          </cell>
          <cell r="R21">
            <v>3</v>
          </cell>
          <cell r="U21">
            <v>41334</v>
          </cell>
        </row>
        <row r="22">
          <cell r="B22" t="str">
            <v>BPL SUPER HEROES (BSH)</v>
          </cell>
          <cell r="F22">
            <v>0</v>
          </cell>
          <cell r="M22" t="str">
            <v>&gt;&gt;</v>
          </cell>
          <cell r="N22" t="str">
            <v/>
          </cell>
          <cell r="O22" t="str">
            <v>FCL-1</v>
          </cell>
          <cell r="P22" t="str">
            <v>BPL SUPER HEROES (BSH)</v>
          </cell>
          <cell r="Q22">
            <v>1</v>
          </cell>
          <cell r="R22">
            <v>4</v>
          </cell>
          <cell r="U22">
            <v>41334</v>
          </cell>
        </row>
        <row r="23">
          <cell r="B23" t="str">
            <v>Sadrul</v>
          </cell>
          <cell r="C23">
            <v>9</v>
          </cell>
          <cell r="D23">
            <v>200</v>
          </cell>
          <cell r="E23">
            <v>13</v>
          </cell>
          <cell r="F23">
            <v>9</v>
          </cell>
          <cell r="M23" t="str">
            <v>&gt;&gt;</v>
          </cell>
          <cell r="N23" t="str">
            <v>Sadrul Anam</v>
          </cell>
          <cell r="O23" t="str">
            <v>FCL-1</v>
          </cell>
          <cell r="P23" t="str">
            <v>BPL SUPER HEROES (BSH)</v>
          </cell>
          <cell r="Q23">
            <v>1</v>
          </cell>
          <cell r="R23">
            <v>4</v>
          </cell>
          <cell r="U23">
            <v>41334</v>
          </cell>
        </row>
        <row r="24">
          <cell r="B24" t="str">
            <v>Tawhid</v>
          </cell>
          <cell r="C24">
            <v>7</v>
          </cell>
          <cell r="D24">
            <v>155</v>
          </cell>
          <cell r="E24">
            <v>1</v>
          </cell>
          <cell r="F24">
            <v>7</v>
          </cell>
          <cell r="M24" t="str">
            <v>&gt;&gt;</v>
          </cell>
          <cell r="N24" t="str">
            <v>S M Tawhid Zihad</v>
          </cell>
          <cell r="O24" t="str">
            <v>FCL-1</v>
          </cell>
          <cell r="P24" t="str">
            <v>BPL SUPER HEROES (BSH)</v>
          </cell>
          <cell r="Q24">
            <v>1</v>
          </cell>
          <cell r="R24">
            <v>4</v>
          </cell>
          <cell r="U24">
            <v>41334</v>
          </cell>
        </row>
        <row r="25">
          <cell r="B25" t="str">
            <v>Sakib Sr.</v>
          </cell>
          <cell r="C25">
            <v>8</v>
          </cell>
          <cell r="D25">
            <v>163</v>
          </cell>
          <cell r="E25">
            <v>15</v>
          </cell>
          <cell r="F25">
            <v>8</v>
          </cell>
          <cell r="I25">
            <v>0</v>
          </cell>
          <cell r="M25" t="str">
            <v>&gt;&gt;</v>
          </cell>
          <cell r="N25" t="str">
            <v>Ahmad Sakib Abdullah</v>
          </cell>
          <cell r="O25" t="str">
            <v>FCL-1</v>
          </cell>
          <cell r="P25" t="str">
            <v>BPL SUPER HEROES (BSH)</v>
          </cell>
          <cell r="Q25">
            <v>1</v>
          </cell>
          <cell r="R25">
            <v>4</v>
          </cell>
          <cell r="U25">
            <v>41334</v>
          </cell>
        </row>
        <row r="26">
          <cell r="B26" t="str">
            <v>Sujan</v>
          </cell>
          <cell r="C26">
            <v>5</v>
          </cell>
          <cell r="D26">
            <v>28</v>
          </cell>
          <cell r="E26">
            <v>7</v>
          </cell>
          <cell r="F26">
            <v>5</v>
          </cell>
          <cell r="M26" t="str">
            <v>&gt;&gt;</v>
          </cell>
          <cell r="N26" t="str">
            <v>Sujan Boss</v>
          </cell>
          <cell r="O26" t="str">
            <v>FCL-1</v>
          </cell>
          <cell r="P26" t="str">
            <v>BPL SUPER HEROES (BSH)</v>
          </cell>
          <cell r="Q26">
            <v>1</v>
          </cell>
          <cell r="R26">
            <v>4</v>
          </cell>
          <cell r="U26">
            <v>41334</v>
          </cell>
        </row>
        <row r="27">
          <cell r="B27" t="str">
            <v>Rafi</v>
          </cell>
          <cell r="C27">
            <v>3</v>
          </cell>
          <cell r="D27">
            <v>32</v>
          </cell>
          <cell r="E27">
            <v>1</v>
          </cell>
          <cell r="F27">
            <v>3</v>
          </cell>
          <cell r="M27" t="str">
            <v>&gt;&gt;</v>
          </cell>
          <cell r="N27" t="str">
            <v>Rafi Islam</v>
          </cell>
          <cell r="O27" t="str">
            <v>FCL-1</v>
          </cell>
          <cell r="P27" t="str">
            <v>BPL SUPER HEROES (BSH)</v>
          </cell>
          <cell r="Q27">
            <v>1</v>
          </cell>
          <cell r="R27">
            <v>4</v>
          </cell>
          <cell r="U27">
            <v>41334</v>
          </cell>
        </row>
        <row r="28">
          <cell r="B28" t="str">
            <v>Faisal</v>
          </cell>
          <cell r="C28">
            <v>1</v>
          </cell>
          <cell r="D28">
            <v>3</v>
          </cell>
          <cell r="E28">
            <v>0</v>
          </cell>
          <cell r="F28">
            <v>1</v>
          </cell>
          <cell r="M28" t="str">
            <v>&gt;&gt;</v>
          </cell>
          <cell r="N28" t="str">
            <v>Red Heart Faisal (Fayze Ahamed)</v>
          </cell>
          <cell r="O28" t="str">
            <v>FCL-1</v>
          </cell>
          <cell r="P28" t="str">
            <v>BPL SUPER HEROES (BSH)</v>
          </cell>
          <cell r="Q28">
            <v>1</v>
          </cell>
          <cell r="R28">
            <v>4</v>
          </cell>
          <cell r="U28">
            <v>41334</v>
          </cell>
        </row>
        <row r="29">
          <cell r="B29" t="str">
            <v>BPL TiGERS (BT)</v>
          </cell>
          <cell r="F29">
            <v>0</v>
          </cell>
          <cell r="M29" t="str">
            <v>&gt;&gt;</v>
          </cell>
          <cell r="N29" t="str">
            <v/>
          </cell>
          <cell r="O29" t="str">
            <v>FCL-1</v>
          </cell>
          <cell r="P29" t="str">
            <v>BPL TiGERS (BT)</v>
          </cell>
          <cell r="Q29">
            <v>1</v>
          </cell>
          <cell r="R29">
            <v>5</v>
          </cell>
          <cell r="U29">
            <v>41334</v>
          </cell>
        </row>
        <row r="30">
          <cell r="B30" t="str">
            <v>Shovon</v>
          </cell>
          <cell r="C30">
            <v>10</v>
          </cell>
          <cell r="D30">
            <v>155</v>
          </cell>
          <cell r="E30">
            <v>24</v>
          </cell>
          <cell r="F30">
            <v>10</v>
          </cell>
          <cell r="M30" t="str">
            <v>&gt;&gt;</v>
          </cell>
          <cell r="N30" t="str">
            <v>Shahriar Khan Shovon</v>
          </cell>
          <cell r="O30" t="str">
            <v>FCL-1</v>
          </cell>
          <cell r="P30" t="str">
            <v>BPL TiGERS (BT)</v>
          </cell>
          <cell r="Q30">
            <v>1</v>
          </cell>
          <cell r="R30">
            <v>5</v>
          </cell>
          <cell r="U30">
            <v>41334</v>
          </cell>
          <cell r="W30">
            <v>1</v>
          </cell>
        </row>
        <row r="31">
          <cell r="B31" t="str">
            <v>SH Shanto</v>
          </cell>
          <cell r="C31">
            <v>8</v>
          </cell>
          <cell r="D31">
            <v>251</v>
          </cell>
          <cell r="E31">
            <v>8</v>
          </cell>
          <cell r="F31">
            <v>8</v>
          </cell>
          <cell r="M31" t="str">
            <v>&gt;&gt;</v>
          </cell>
          <cell r="N31" t="str">
            <v>Sakhawat Hossain Shanto</v>
          </cell>
          <cell r="O31" t="str">
            <v>FCL-1</v>
          </cell>
          <cell r="P31" t="str">
            <v>BPL TiGERS (BT)</v>
          </cell>
          <cell r="Q31">
            <v>1</v>
          </cell>
          <cell r="R31">
            <v>5</v>
          </cell>
          <cell r="U31">
            <v>41334</v>
          </cell>
        </row>
        <row r="32">
          <cell r="B32" t="str">
            <v>Manik</v>
          </cell>
          <cell r="C32">
            <v>3</v>
          </cell>
          <cell r="D32">
            <v>28</v>
          </cell>
          <cell r="E32">
            <v>2</v>
          </cell>
          <cell r="F32">
            <v>3</v>
          </cell>
          <cell r="M32" t="str">
            <v>&gt;&gt;</v>
          </cell>
          <cell r="N32" t="str">
            <v>GM Manik</v>
          </cell>
          <cell r="O32" t="str">
            <v>FCL-1</v>
          </cell>
          <cell r="P32" t="str">
            <v>BPL TiGERS (BT)</v>
          </cell>
          <cell r="Q32">
            <v>1</v>
          </cell>
          <cell r="R32">
            <v>5</v>
          </cell>
          <cell r="U32">
            <v>41334</v>
          </cell>
        </row>
        <row r="33">
          <cell r="B33" t="str">
            <v>Mehedi</v>
          </cell>
          <cell r="C33">
            <v>4</v>
          </cell>
          <cell r="D33">
            <v>60</v>
          </cell>
          <cell r="E33">
            <v>0</v>
          </cell>
          <cell r="F33">
            <v>4</v>
          </cell>
          <cell r="M33" t="str">
            <v>&gt;&gt;</v>
          </cell>
          <cell r="N33" t="str">
            <v>Mehedi Hasan Shovon</v>
          </cell>
          <cell r="O33" t="str">
            <v>FCL-1</v>
          </cell>
          <cell r="P33" t="str">
            <v>BPL TiGERS (BT)</v>
          </cell>
          <cell r="Q33">
            <v>1</v>
          </cell>
          <cell r="R33">
            <v>5</v>
          </cell>
          <cell r="U33">
            <v>41334</v>
          </cell>
        </row>
        <row r="34">
          <cell r="B34" t="str">
            <v>Rifat</v>
          </cell>
          <cell r="C34">
            <v>4</v>
          </cell>
          <cell r="D34">
            <v>72</v>
          </cell>
          <cell r="E34">
            <v>8</v>
          </cell>
          <cell r="F34">
            <v>4</v>
          </cell>
          <cell r="M34" t="str">
            <v>&gt;&gt;</v>
          </cell>
          <cell r="N34" t="str">
            <v>Rifat Ullah</v>
          </cell>
          <cell r="O34" t="str">
            <v>FCL-1</v>
          </cell>
          <cell r="P34" t="str">
            <v>BPL TiGERS (BT)</v>
          </cell>
          <cell r="Q34">
            <v>1</v>
          </cell>
          <cell r="R34">
            <v>5</v>
          </cell>
          <cell r="U34">
            <v>41334</v>
          </cell>
        </row>
        <row r="35">
          <cell r="B35" t="str">
            <v>Firoz</v>
          </cell>
          <cell r="C35">
            <v>1</v>
          </cell>
          <cell r="D35">
            <v>2</v>
          </cell>
          <cell r="E35">
            <v>0</v>
          </cell>
          <cell r="F35">
            <v>1</v>
          </cell>
          <cell r="M35" t="str">
            <v>&gt;&gt;</v>
          </cell>
          <cell r="N35" t="str">
            <v>Firoz Khan</v>
          </cell>
          <cell r="O35" t="str">
            <v>FCL-1</v>
          </cell>
          <cell r="P35" t="str">
            <v>BPL TiGERS (BT)</v>
          </cell>
          <cell r="Q35">
            <v>1</v>
          </cell>
          <cell r="R35">
            <v>5</v>
          </cell>
          <cell r="U35">
            <v>41334</v>
          </cell>
        </row>
        <row r="36">
          <cell r="B36" t="str">
            <v>DD (Dhaka Dangers)</v>
          </cell>
          <cell r="O36" t="str">
            <v>NFCL-1</v>
          </cell>
          <cell r="P36" t="str">
            <v>DD (Dhaka Dangers)</v>
          </cell>
          <cell r="Q36">
            <v>1</v>
          </cell>
          <cell r="R36">
            <v>6</v>
          </cell>
          <cell r="U36">
            <v>41365</v>
          </cell>
        </row>
        <row r="37">
          <cell r="B37" t="str">
            <v>Sadrul</v>
          </cell>
          <cell r="C37">
            <v>6</v>
          </cell>
          <cell r="D37">
            <v>70</v>
          </cell>
          <cell r="E37">
            <v>3</v>
          </cell>
          <cell r="F37">
            <v>10</v>
          </cell>
          <cell r="G37">
            <v>0</v>
          </cell>
          <cell r="M37" t="str">
            <v>&gt;&gt;</v>
          </cell>
          <cell r="N37" t="str">
            <v>Sadrul Anam</v>
          </cell>
          <cell r="O37" t="str">
            <v>NFCL-1</v>
          </cell>
          <cell r="P37" t="str">
            <v>DD (Dhaka Dangers)</v>
          </cell>
          <cell r="Q37">
            <v>1</v>
          </cell>
          <cell r="R37">
            <v>6</v>
          </cell>
          <cell r="U37">
            <v>41365</v>
          </cell>
        </row>
        <row r="38">
          <cell r="B38" t="str">
            <v>Rexx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M38" t="str">
            <v>&gt;&gt;</v>
          </cell>
          <cell r="N38" t="str">
            <v>Bishwajit Sarkar</v>
          </cell>
          <cell r="O38" t="str">
            <v>NFCL-1</v>
          </cell>
          <cell r="P38" t="str">
            <v>DD (Dhaka Dangers)</v>
          </cell>
          <cell r="Q38">
            <v>1</v>
          </cell>
          <cell r="R38">
            <v>6</v>
          </cell>
          <cell r="U38">
            <v>41365</v>
          </cell>
        </row>
        <row r="39">
          <cell r="B39" t="str">
            <v>Joy Ullash</v>
          </cell>
          <cell r="C39">
            <v>6</v>
          </cell>
          <cell r="D39">
            <v>171</v>
          </cell>
          <cell r="E39">
            <v>11</v>
          </cell>
          <cell r="F39">
            <v>11</v>
          </cell>
          <cell r="G39">
            <v>2</v>
          </cell>
          <cell r="M39" t="str">
            <v>&gt;&gt;</v>
          </cell>
          <cell r="N39" t="str">
            <v>Joy Ullash</v>
          </cell>
          <cell r="O39" t="str">
            <v>NFCL-1</v>
          </cell>
          <cell r="P39" t="str">
            <v>DD (Dhaka Dangers)</v>
          </cell>
          <cell r="Q39">
            <v>1</v>
          </cell>
          <cell r="R39">
            <v>6</v>
          </cell>
          <cell r="U39">
            <v>41365</v>
          </cell>
        </row>
        <row r="40">
          <cell r="B40" t="str">
            <v>Akram Himal</v>
          </cell>
          <cell r="C40">
            <v>5</v>
          </cell>
          <cell r="D40">
            <v>56</v>
          </cell>
          <cell r="E40">
            <v>3</v>
          </cell>
          <cell r="F40">
            <v>6</v>
          </cell>
          <cell r="G40">
            <v>0</v>
          </cell>
          <cell r="M40" t="str">
            <v>&gt;&gt;</v>
          </cell>
          <cell r="N40" t="str">
            <v>Akram Hosen Himal</v>
          </cell>
          <cell r="O40" t="str">
            <v>NFCL-1</v>
          </cell>
          <cell r="P40" t="str">
            <v>DD (Dhaka Dangers)</v>
          </cell>
          <cell r="Q40">
            <v>1</v>
          </cell>
          <cell r="R40">
            <v>6</v>
          </cell>
          <cell r="U40">
            <v>41365</v>
          </cell>
        </row>
        <row r="41">
          <cell r="B41" t="str">
            <v>Shovon</v>
          </cell>
          <cell r="C41">
            <v>6</v>
          </cell>
          <cell r="D41">
            <v>103</v>
          </cell>
          <cell r="E41">
            <v>12</v>
          </cell>
          <cell r="F41">
            <v>9</v>
          </cell>
          <cell r="G41">
            <v>1</v>
          </cell>
          <cell r="M41" t="str">
            <v>&gt;&gt;</v>
          </cell>
          <cell r="N41" t="str">
            <v>Shahriar Khan Shovon</v>
          </cell>
          <cell r="O41" t="str">
            <v>NFCL-1</v>
          </cell>
          <cell r="P41" t="str">
            <v>DD (Dhaka Dangers)</v>
          </cell>
          <cell r="Q41">
            <v>1</v>
          </cell>
          <cell r="R41">
            <v>6</v>
          </cell>
          <cell r="U41">
            <v>41365</v>
          </cell>
        </row>
        <row r="42">
          <cell r="B42" t="str">
            <v>Injamul</v>
          </cell>
          <cell r="C42">
            <v>3</v>
          </cell>
          <cell r="D42">
            <v>7</v>
          </cell>
          <cell r="E42">
            <v>0</v>
          </cell>
          <cell r="F42">
            <v>4</v>
          </cell>
          <cell r="G42">
            <v>0</v>
          </cell>
          <cell r="M42" t="str">
            <v>&gt;&gt;</v>
          </cell>
          <cell r="N42" t="str">
            <v>Injamul Haque (Syed Injamul Haque)</v>
          </cell>
          <cell r="O42" t="str">
            <v>NFCL-1</v>
          </cell>
          <cell r="P42" t="str">
            <v>DD (Dhaka Dangers)</v>
          </cell>
          <cell r="Q42">
            <v>1</v>
          </cell>
          <cell r="R42">
            <v>6</v>
          </cell>
          <cell r="U42">
            <v>41365</v>
          </cell>
        </row>
        <row r="43">
          <cell r="B43" t="str">
            <v>KOC (Kings Of Chittagong)</v>
          </cell>
          <cell r="M43" t="str">
            <v>&gt;&gt;</v>
          </cell>
          <cell r="N43" t="str">
            <v/>
          </cell>
          <cell r="O43" t="str">
            <v>NFCL-1</v>
          </cell>
          <cell r="P43" t="str">
            <v>KOC (Kings Of Chittagong)</v>
          </cell>
          <cell r="Q43">
            <v>1</v>
          </cell>
          <cell r="R43">
            <v>7</v>
          </cell>
          <cell r="U43">
            <v>41365</v>
          </cell>
        </row>
        <row r="44">
          <cell r="B44" t="str">
            <v>Manik</v>
          </cell>
          <cell r="C44">
            <v>4</v>
          </cell>
          <cell r="D44">
            <v>100</v>
          </cell>
          <cell r="E44">
            <v>10</v>
          </cell>
          <cell r="F44">
            <v>11</v>
          </cell>
          <cell r="G44">
            <v>2</v>
          </cell>
          <cell r="M44" t="str">
            <v>&gt;&gt;</v>
          </cell>
          <cell r="N44" t="str">
            <v>GM Manik</v>
          </cell>
          <cell r="O44" t="str">
            <v>NFCL-1</v>
          </cell>
          <cell r="P44" t="str">
            <v>KOC (Kings Of Chittagong)</v>
          </cell>
          <cell r="Q44">
            <v>1</v>
          </cell>
          <cell r="R44">
            <v>7</v>
          </cell>
          <cell r="U44">
            <v>41365</v>
          </cell>
        </row>
        <row r="45">
          <cell r="B45" t="str">
            <v>Arif</v>
          </cell>
          <cell r="C45">
            <v>3</v>
          </cell>
          <cell r="D45">
            <v>49</v>
          </cell>
          <cell r="E45">
            <v>2</v>
          </cell>
          <cell r="F45">
            <v>4</v>
          </cell>
          <cell r="G45">
            <v>0</v>
          </cell>
          <cell r="M45" t="str">
            <v>&gt;&gt;</v>
          </cell>
          <cell r="N45" t="str">
            <v>Arif Ziad</v>
          </cell>
          <cell r="O45" t="str">
            <v>NFCL-1</v>
          </cell>
          <cell r="P45" t="str">
            <v>KOC (Kings Of Chittagong)</v>
          </cell>
          <cell r="Q45">
            <v>1</v>
          </cell>
          <cell r="R45">
            <v>7</v>
          </cell>
          <cell r="U45">
            <v>41365</v>
          </cell>
        </row>
        <row r="46">
          <cell r="B46" t="str">
            <v>Zaheed</v>
          </cell>
          <cell r="C46">
            <v>4</v>
          </cell>
          <cell r="D46">
            <v>61</v>
          </cell>
          <cell r="E46">
            <v>7</v>
          </cell>
          <cell r="F46">
            <v>7</v>
          </cell>
          <cell r="G46">
            <v>0</v>
          </cell>
          <cell r="M46" t="str">
            <v>&gt;&gt;</v>
          </cell>
          <cell r="N46" t="str">
            <v>Zaheed Hasan</v>
          </cell>
          <cell r="O46" t="str">
            <v>NFCL-1</v>
          </cell>
          <cell r="P46" t="str">
            <v>KOC (Kings Of Chittagong)</v>
          </cell>
          <cell r="Q46">
            <v>1</v>
          </cell>
          <cell r="R46">
            <v>7</v>
          </cell>
          <cell r="U46">
            <v>41365</v>
          </cell>
        </row>
        <row r="47">
          <cell r="B47" t="str">
            <v>Tawhid</v>
          </cell>
          <cell r="C47">
            <v>2</v>
          </cell>
          <cell r="D47">
            <v>13</v>
          </cell>
          <cell r="E47">
            <v>0</v>
          </cell>
          <cell r="F47">
            <v>2</v>
          </cell>
          <cell r="G47">
            <v>0</v>
          </cell>
          <cell r="M47" t="str">
            <v>&gt;&gt;</v>
          </cell>
          <cell r="N47" t="str">
            <v>S M Tawhid Zihad</v>
          </cell>
          <cell r="O47" t="str">
            <v>NFCL-1</v>
          </cell>
          <cell r="P47" t="str">
            <v>KOC (Kings Of Chittagong)</v>
          </cell>
          <cell r="Q47">
            <v>1</v>
          </cell>
          <cell r="R47">
            <v>7</v>
          </cell>
          <cell r="U47">
            <v>41365</v>
          </cell>
        </row>
        <row r="48">
          <cell r="B48" t="str">
            <v>Rahat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M48" t="str">
            <v>&gt;&gt;</v>
          </cell>
          <cell r="N48" t="str">
            <v>Saiful Rahat</v>
          </cell>
          <cell r="O48" t="str">
            <v>NFCL-1</v>
          </cell>
          <cell r="P48" t="str">
            <v>KOC (Kings Of Chittagong)</v>
          </cell>
          <cell r="Q48">
            <v>1</v>
          </cell>
          <cell r="R48">
            <v>7</v>
          </cell>
          <cell r="U48">
            <v>41365</v>
          </cell>
        </row>
        <row r="49">
          <cell r="B49" t="str">
            <v>Rinkon</v>
          </cell>
          <cell r="C49">
            <v>1</v>
          </cell>
          <cell r="D49">
            <v>4</v>
          </cell>
          <cell r="E49">
            <v>0</v>
          </cell>
          <cell r="F49">
            <v>0</v>
          </cell>
          <cell r="M49" t="str">
            <v>&gt;&gt;</v>
          </cell>
          <cell r="N49" t="str">
            <v>Rinkon Khan</v>
          </cell>
          <cell r="O49" t="str">
            <v>NFCL-1</v>
          </cell>
          <cell r="P49" t="str">
            <v>KOC (Kings Of Chittagong)</v>
          </cell>
          <cell r="Q49">
            <v>1</v>
          </cell>
          <cell r="R49">
            <v>7</v>
          </cell>
          <cell r="U49">
            <v>41365</v>
          </cell>
        </row>
        <row r="50">
          <cell r="B50" t="str">
            <v>Ruvel</v>
          </cell>
          <cell r="C50">
            <v>3</v>
          </cell>
          <cell r="D50">
            <v>39</v>
          </cell>
          <cell r="E50">
            <v>2</v>
          </cell>
          <cell r="F50">
            <v>5</v>
          </cell>
          <cell r="G50">
            <v>0</v>
          </cell>
          <cell r="M50" t="str">
            <v>&gt;&gt;</v>
          </cell>
          <cell r="N50" t="str">
            <v>Md Ruvel</v>
          </cell>
          <cell r="O50" t="str">
            <v>NFCL-1</v>
          </cell>
          <cell r="P50" t="str">
            <v>KOC (Kings Of Chittagong)</v>
          </cell>
          <cell r="Q50">
            <v>1</v>
          </cell>
          <cell r="R50">
            <v>7</v>
          </cell>
          <cell r="U50">
            <v>41365</v>
          </cell>
        </row>
        <row r="51">
          <cell r="B51" t="str">
            <v>KSS (Khulna Super Stars)</v>
          </cell>
          <cell r="M51" t="str">
            <v>&gt;&gt;</v>
          </cell>
          <cell r="N51" t="str">
            <v/>
          </cell>
          <cell r="O51" t="str">
            <v>NFCL-1</v>
          </cell>
          <cell r="P51" t="str">
            <v>KSS (Khulna Super Stars)</v>
          </cell>
          <cell r="Q51">
            <v>1</v>
          </cell>
          <cell r="R51">
            <v>8</v>
          </cell>
          <cell r="T51" t="str">
            <v>CHAMP</v>
          </cell>
          <cell r="U51">
            <v>41365</v>
          </cell>
        </row>
        <row r="52">
          <cell r="B52" t="str">
            <v>C Sabbir</v>
          </cell>
          <cell r="C52">
            <v>5</v>
          </cell>
          <cell r="D52">
            <v>141</v>
          </cell>
          <cell r="E52">
            <v>9</v>
          </cell>
          <cell r="F52">
            <v>12</v>
          </cell>
          <cell r="G52">
            <v>1</v>
          </cell>
          <cell r="M52" t="str">
            <v>&gt;&gt;</v>
          </cell>
          <cell r="N52" t="str">
            <v>Cryptic Sabbir II</v>
          </cell>
          <cell r="O52" t="str">
            <v>NFCL-1</v>
          </cell>
          <cell r="P52" t="str">
            <v>KSS (Khulna Super Stars)</v>
          </cell>
          <cell r="Q52">
            <v>1</v>
          </cell>
          <cell r="R52">
            <v>8</v>
          </cell>
          <cell r="T52" t="str">
            <v>CHAMP</v>
          </cell>
          <cell r="U52">
            <v>41365</v>
          </cell>
        </row>
        <row r="53">
          <cell r="B53" t="str">
            <v>Ovi</v>
          </cell>
          <cell r="C53">
            <v>6</v>
          </cell>
          <cell r="D53">
            <v>213</v>
          </cell>
          <cell r="E53">
            <v>10</v>
          </cell>
          <cell r="F53">
            <v>15</v>
          </cell>
          <cell r="G53">
            <v>2</v>
          </cell>
          <cell r="M53" t="str">
            <v>&gt;&gt;</v>
          </cell>
          <cell r="N53" t="str">
            <v>Toufiq Ahmed Ovi</v>
          </cell>
          <cell r="O53" t="str">
            <v>NFCL-1</v>
          </cell>
          <cell r="P53" t="str">
            <v>KSS (Khulna Super Stars)</v>
          </cell>
          <cell r="Q53">
            <v>1</v>
          </cell>
          <cell r="R53">
            <v>8</v>
          </cell>
          <cell r="S53" t="str">
            <v>MOT</v>
          </cell>
          <cell r="T53" t="str">
            <v>CHAMP</v>
          </cell>
          <cell r="U53">
            <v>41365</v>
          </cell>
        </row>
        <row r="54">
          <cell r="B54" t="str">
            <v>NayEem</v>
          </cell>
          <cell r="C54">
            <v>1</v>
          </cell>
          <cell r="D54">
            <v>11</v>
          </cell>
          <cell r="E54">
            <v>0</v>
          </cell>
          <cell r="F54">
            <v>1</v>
          </cell>
          <cell r="G54">
            <v>0</v>
          </cell>
          <cell r="M54" t="str">
            <v>&gt;&gt;</v>
          </cell>
          <cell r="N54" t="str">
            <v>Saiful NayEem</v>
          </cell>
          <cell r="O54" t="str">
            <v>NFCL-1</v>
          </cell>
          <cell r="P54" t="str">
            <v>KSS (Khulna Super Stars)</v>
          </cell>
          <cell r="Q54">
            <v>1</v>
          </cell>
          <cell r="R54">
            <v>8</v>
          </cell>
          <cell r="T54" t="str">
            <v>CHAMP</v>
          </cell>
          <cell r="U54">
            <v>41365</v>
          </cell>
        </row>
        <row r="55">
          <cell r="B55" t="str">
            <v>RI Akash</v>
          </cell>
          <cell r="C55">
            <v>3</v>
          </cell>
          <cell r="D55">
            <v>58</v>
          </cell>
          <cell r="E55">
            <v>6</v>
          </cell>
          <cell r="F55">
            <v>6</v>
          </cell>
          <cell r="G55">
            <v>0</v>
          </cell>
          <cell r="M55" t="str">
            <v>&gt;&gt;</v>
          </cell>
          <cell r="N55" t="str">
            <v>Raihan Islam Akash</v>
          </cell>
          <cell r="O55" t="str">
            <v>NFCL-1</v>
          </cell>
          <cell r="P55" t="str">
            <v>KSS (Khulna Super Stars)</v>
          </cell>
          <cell r="Q55">
            <v>1</v>
          </cell>
          <cell r="R55">
            <v>8</v>
          </cell>
          <cell r="T55" t="str">
            <v>CHAMP</v>
          </cell>
          <cell r="U55">
            <v>41365</v>
          </cell>
        </row>
        <row r="56">
          <cell r="B56" t="str">
            <v>Parvaj</v>
          </cell>
          <cell r="C56">
            <v>5</v>
          </cell>
          <cell r="D56">
            <v>7</v>
          </cell>
          <cell r="E56">
            <v>15</v>
          </cell>
          <cell r="F56">
            <v>2</v>
          </cell>
          <cell r="G56">
            <v>0</v>
          </cell>
          <cell r="M56" t="str">
            <v>&gt;&gt;</v>
          </cell>
          <cell r="N56" t="str">
            <v>Tanvir Mahatab Parvaj</v>
          </cell>
          <cell r="O56" t="str">
            <v>NFCL-1</v>
          </cell>
          <cell r="P56" t="str">
            <v>KSS (Khulna Super Stars)</v>
          </cell>
          <cell r="Q56">
            <v>1</v>
          </cell>
          <cell r="R56">
            <v>8</v>
          </cell>
          <cell r="T56" t="str">
            <v>CHAMP</v>
          </cell>
          <cell r="U56">
            <v>41365</v>
          </cell>
        </row>
        <row r="57">
          <cell r="B57" t="str">
            <v>UR (Uronto Rajshahi)</v>
          </cell>
          <cell r="M57" t="str">
            <v>&gt;&gt;</v>
          </cell>
          <cell r="N57" t="str">
            <v/>
          </cell>
          <cell r="O57" t="str">
            <v>NFCL-1</v>
          </cell>
          <cell r="P57" t="str">
            <v>UR (Uronto Rajshahi)</v>
          </cell>
          <cell r="Q57">
            <v>1</v>
          </cell>
          <cell r="R57">
            <v>9</v>
          </cell>
          <cell r="U57">
            <v>41365</v>
          </cell>
        </row>
        <row r="58">
          <cell r="B58" t="str">
            <v>Niamul</v>
          </cell>
          <cell r="C58">
            <v>4</v>
          </cell>
          <cell r="D58">
            <v>82</v>
          </cell>
          <cell r="E58">
            <v>10</v>
          </cell>
          <cell r="F58">
            <v>7</v>
          </cell>
          <cell r="G58">
            <v>2</v>
          </cell>
          <cell r="M58" t="str">
            <v>&gt;&gt;</v>
          </cell>
          <cell r="N58" t="str">
            <v>Niamul Habib Setu</v>
          </cell>
          <cell r="O58" t="str">
            <v>NFCL-1</v>
          </cell>
          <cell r="P58" t="str">
            <v>UR (Uronto Rajshahi)</v>
          </cell>
          <cell r="Q58">
            <v>1</v>
          </cell>
          <cell r="R58">
            <v>9</v>
          </cell>
          <cell r="U58">
            <v>41365</v>
          </cell>
        </row>
        <row r="59">
          <cell r="B59" t="str">
            <v>SH Shanto</v>
          </cell>
          <cell r="C59">
            <v>5</v>
          </cell>
          <cell r="D59">
            <v>129</v>
          </cell>
          <cell r="E59">
            <v>7</v>
          </cell>
          <cell r="F59">
            <v>12</v>
          </cell>
          <cell r="G59">
            <v>0</v>
          </cell>
          <cell r="M59" t="str">
            <v>&gt;&gt;</v>
          </cell>
          <cell r="N59" t="str">
            <v>Sakhawat Hossain Shanto</v>
          </cell>
          <cell r="O59" t="str">
            <v>NFCL-1</v>
          </cell>
          <cell r="P59" t="str">
            <v>UR (Uronto Rajshahi)</v>
          </cell>
          <cell r="Q59">
            <v>1</v>
          </cell>
          <cell r="R59">
            <v>9</v>
          </cell>
          <cell r="U59">
            <v>41365</v>
          </cell>
        </row>
        <row r="60">
          <cell r="B60" t="str">
            <v>Jubayer</v>
          </cell>
          <cell r="C60">
            <v>5</v>
          </cell>
          <cell r="D60">
            <v>77</v>
          </cell>
          <cell r="E60">
            <v>10</v>
          </cell>
          <cell r="F60">
            <v>9</v>
          </cell>
          <cell r="G60">
            <v>0</v>
          </cell>
          <cell r="M60" t="str">
            <v>&gt;&gt;</v>
          </cell>
          <cell r="N60" t="str">
            <v>Jubayer Hossen</v>
          </cell>
          <cell r="O60" t="str">
            <v>NFCL-1</v>
          </cell>
          <cell r="P60" t="str">
            <v>UR (Uronto Rajshahi)</v>
          </cell>
          <cell r="Q60">
            <v>1</v>
          </cell>
          <cell r="R60">
            <v>9</v>
          </cell>
          <cell r="U60">
            <v>41365</v>
          </cell>
        </row>
        <row r="61">
          <cell r="B61" t="str">
            <v>Shakib Hasan</v>
          </cell>
          <cell r="C61">
            <v>2</v>
          </cell>
          <cell r="D61">
            <v>10</v>
          </cell>
          <cell r="E61">
            <v>1</v>
          </cell>
          <cell r="F61">
            <v>2</v>
          </cell>
          <cell r="G61">
            <v>0</v>
          </cell>
          <cell r="M61" t="str">
            <v>&gt;&gt;</v>
          </cell>
          <cell r="N61" t="str">
            <v>Shakib Al Hasan</v>
          </cell>
          <cell r="O61" t="str">
            <v>NFCL-1</v>
          </cell>
          <cell r="P61" t="str">
            <v>UR (Uronto Rajshahi)</v>
          </cell>
          <cell r="Q61">
            <v>1</v>
          </cell>
          <cell r="R61">
            <v>9</v>
          </cell>
          <cell r="U61">
            <v>41365</v>
          </cell>
        </row>
        <row r="62">
          <cell r="B62" t="str">
            <v>SSC (Shylet Super Cricket)</v>
          </cell>
          <cell r="M62" t="str">
            <v>&gt;&gt;</v>
          </cell>
          <cell r="N62" t="str">
            <v/>
          </cell>
          <cell r="O62" t="str">
            <v>NFCL-1</v>
          </cell>
          <cell r="P62" t="str">
            <v>SSC (Shylet Super Cricket)</v>
          </cell>
          <cell r="Q62">
            <v>1</v>
          </cell>
          <cell r="R62">
            <v>10</v>
          </cell>
          <cell r="T62" t="str">
            <v>RU</v>
          </cell>
          <cell r="U62">
            <v>41365</v>
          </cell>
        </row>
        <row r="63">
          <cell r="B63" t="str">
            <v>Yahya</v>
          </cell>
          <cell r="C63">
            <v>3</v>
          </cell>
          <cell r="D63">
            <v>63</v>
          </cell>
          <cell r="E63">
            <v>6</v>
          </cell>
          <cell r="F63">
            <v>3</v>
          </cell>
          <cell r="G63">
            <v>0</v>
          </cell>
          <cell r="M63" t="str">
            <v>&gt;&gt;</v>
          </cell>
          <cell r="N63" t="str">
            <v>Yahya Riyad</v>
          </cell>
          <cell r="O63" t="str">
            <v>NFCL-1</v>
          </cell>
          <cell r="P63" t="str">
            <v>SSC (Shylet Super Cricket)</v>
          </cell>
          <cell r="Q63">
            <v>1</v>
          </cell>
          <cell r="R63">
            <v>10</v>
          </cell>
          <cell r="T63" t="str">
            <v>RU</v>
          </cell>
          <cell r="U63">
            <v>41365</v>
          </cell>
        </row>
        <row r="64">
          <cell r="B64" t="str">
            <v>Sakib Sr.</v>
          </cell>
          <cell r="C64">
            <v>3</v>
          </cell>
          <cell r="D64">
            <v>77</v>
          </cell>
          <cell r="E64">
            <v>6</v>
          </cell>
          <cell r="F64">
            <v>6</v>
          </cell>
          <cell r="G64">
            <v>0</v>
          </cell>
          <cell r="I64">
            <v>0</v>
          </cell>
          <cell r="M64" t="str">
            <v>&gt;&gt;</v>
          </cell>
          <cell r="N64" t="str">
            <v>Ahmad Sakib Abdullah</v>
          </cell>
          <cell r="O64" t="str">
            <v>NFCL-1</v>
          </cell>
          <cell r="P64" t="str">
            <v>SSC (Shylet Super Cricket)</v>
          </cell>
          <cell r="Q64">
            <v>1</v>
          </cell>
          <cell r="R64">
            <v>10</v>
          </cell>
          <cell r="T64" t="str">
            <v>RU</v>
          </cell>
          <cell r="U64">
            <v>41365</v>
          </cell>
        </row>
        <row r="65">
          <cell r="B65" t="str">
            <v>Helal</v>
          </cell>
          <cell r="C65">
            <v>7</v>
          </cell>
          <cell r="D65">
            <v>169</v>
          </cell>
          <cell r="E65">
            <v>17</v>
          </cell>
          <cell r="F65">
            <v>17</v>
          </cell>
          <cell r="G65">
            <v>1</v>
          </cell>
          <cell r="M65" t="str">
            <v>&gt;&gt;</v>
          </cell>
          <cell r="N65" t="str">
            <v>Sheik Helal Ahmed</v>
          </cell>
          <cell r="O65" t="str">
            <v>NFCL-1</v>
          </cell>
          <cell r="P65" t="str">
            <v>SSC (Shylet Super Cricket)</v>
          </cell>
          <cell r="Q65">
            <v>1</v>
          </cell>
          <cell r="R65">
            <v>10</v>
          </cell>
          <cell r="T65" t="str">
            <v>RU</v>
          </cell>
          <cell r="U65">
            <v>41365</v>
          </cell>
          <cell r="W65">
            <v>1</v>
          </cell>
        </row>
        <row r="66">
          <cell r="B66" t="str">
            <v>Jahin</v>
          </cell>
          <cell r="C66">
            <v>7</v>
          </cell>
          <cell r="D66">
            <v>227</v>
          </cell>
          <cell r="E66">
            <v>17</v>
          </cell>
          <cell r="F66">
            <v>21</v>
          </cell>
          <cell r="G66">
            <v>2</v>
          </cell>
          <cell r="M66" t="str">
            <v>&gt;&gt;</v>
          </cell>
          <cell r="N66" t="str">
            <v>Jahin Shahriar Chowdhury</v>
          </cell>
          <cell r="O66" t="str">
            <v>NFCL-1</v>
          </cell>
          <cell r="P66" t="str">
            <v>SSC (Shylet Super Cricket)</v>
          </cell>
          <cell r="Q66">
            <v>1</v>
          </cell>
          <cell r="R66">
            <v>10</v>
          </cell>
          <cell r="S66" t="str">
            <v>CPOT</v>
          </cell>
          <cell r="T66" t="str">
            <v>RU</v>
          </cell>
          <cell r="U66">
            <v>41365</v>
          </cell>
          <cell r="V66">
            <v>1</v>
          </cell>
          <cell r="W66">
            <v>1</v>
          </cell>
        </row>
        <row r="67">
          <cell r="B67" t="str">
            <v>JSH</v>
          </cell>
          <cell r="M67" t="str">
            <v>&gt;&gt;</v>
          </cell>
          <cell r="N67" t="str">
            <v/>
          </cell>
          <cell r="O67" t="str">
            <v>CNHM-1</v>
          </cell>
          <cell r="P67" t="str">
            <v>JSH</v>
          </cell>
          <cell r="Q67">
            <v>1</v>
          </cell>
          <cell r="R67">
            <v>11</v>
          </cell>
          <cell r="U67">
            <v>41395</v>
          </cell>
        </row>
        <row r="68">
          <cell r="B68" t="str">
            <v>Jahin</v>
          </cell>
          <cell r="C68">
            <v>3</v>
          </cell>
          <cell r="D68">
            <v>60</v>
          </cell>
          <cell r="E68">
            <v>3</v>
          </cell>
          <cell r="F68">
            <v>5</v>
          </cell>
          <cell r="G68">
            <v>0</v>
          </cell>
          <cell r="M68" t="str">
            <v>&gt;&gt;</v>
          </cell>
          <cell r="N68" t="str">
            <v>Jahin Shahriar Chowdhury</v>
          </cell>
          <cell r="O68" t="str">
            <v>CNHM-1</v>
          </cell>
          <cell r="P68" t="str">
            <v>JSH</v>
          </cell>
          <cell r="Q68">
            <v>1</v>
          </cell>
          <cell r="R68">
            <v>11</v>
          </cell>
          <cell r="U68">
            <v>41395</v>
          </cell>
        </row>
        <row r="69">
          <cell r="B69" t="str">
            <v>Akram Himal</v>
          </cell>
          <cell r="C69">
            <v>3</v>
          </cell>
          <cell r="D69">
            <v>44</v>
          </cell>
          <cell r="E69">
            <v>8</v>
          </cell>
          <cell r="F69">
            <v>5</v>
          </cell>
          <cell r="G69">
            <v>0</v>
          </cell>
          <cell r="M69" t="str">
            <v>&gt;&gt;</v>
          </cell>
          <cell r="N69" t="str">
            <v>Akram Hosen Himal</v>
          </cell>
          <cell r="O69" t="str">
            <v>CNHM-1</v>
          </cell>
          <cell r="P69" t="str">
            <v>JSH</v>
          </cell>
          <cell r="Q69">
            <v>1</v>
          </cell>
          <cell r="R69">
            <v>11</v>
          </cell>
          <cell r="U69">
            <v>41395</v>
          </cell>
        </row>
        <row r="70">
          <cell r="B70" t="str">
            <v>Shohag</v>
          </cell>
          <cell r="C70">
            <v>2</v>
          </cell>
          <cell r="D70">
            <v>20</v>
          </cell>
          <cell r="E70">
            <v>2</v>
          </cell>
          <cell r="F70">
            <v>3</v>
          </cell>
          <cell r="G70">
            <v>0</v>
          </cell>
          <cell r="M70" t="str">
            <v>&gt;&gt;</v>
          </cell>
          <cell r="N70" t="str">
            <v>Hetlar Shohag</v>
          </cell>
          <cell r="O70" t="str">
            <v>CNHM-1</v>
          </cell>
          <cell r="P70" t="str">
            <v>JSH</v>
          </cell>
          <cell r="Q70">
            <v>1</v>
          </cell>
          <cell r="R70">
            <v>11</v>
          </cell>
          <cell r="U70">
            <v>41395</v>
          </cell>
        </row>
        <row r="71">
          <cell r="B71" t="str">
            <v>RBH</v>
          </cell>
          <cell r="M71" t="str">
            <v>&gt;&gt;</v>
          </cell>
          <cell r="N71" t="str">
            <v/>
          </cell>
          <cell r="O71" t="str">
            <v>CNHM-1</v>
          </cell>
          <cell r="P71" t="str">
            <v>RBH</v>
          </cell>
          <cell r="Q71">
            <v>1</v>
          </cell>
          <cell r="R71">
            <v>12</v>
          </cell>
          <cell r="U71">
            <v>41395</v>
          </cell>
        </row>
        <row r="72">
          <cell r="B72" t="str">
            <v>Rexx</v>
          </cell>
          <cell r="C72">
            <v>3</v>
          </cell>
          <cell r="D72">
            <v>45</v>
          </cell>
          <cell r="E72">
            <v>4</v>
          </cell>
          <cell r="F72">
            <v>5</v>
          </cell>
          <cell r="G72">
            <v>2</v>
          </cell>
          <cell r="M72" t="str">
            <v>&gt;&gt;</v>
          </cell>
          <cell r="N72" t="str">
            <v>Bishwajit Sarkar</v>
          </cell>
          <cell r="O72" t="str">
            <v>CNHM-1</v>
          </cell>
          <cell r="P72" t="str">
            <v>RBH</v>
          </cell>
          <cell r="Q72">
            <v>1</v>
          </cell>
          <cell r="R72">
            <v>12</v>
          </cell>
          <cell r="U72">
            <v>41395</v>
          </cell>
        </row>
        <row r="73">
          <cell r="B73" t="str">
            <v>Helal</v>
          </cell>
          <cell r="C73">
            <v>3</v>
          </cell>
          <cell r="D73">
            <v>20</v>
          </cell>
          <cell r="E73">
            <v>7</v>
          </cell>
          <cell r="F73">
            <v>3</v>
          </cell>
          <cell r="G73">
            <v>0</v>
          </cell>
          <cell r="M73" t="str">
            <v>&gt;&gt;</v>
          </cell>
          <cell r="N73" t="str">
            <v>Sheik Helal Ahmed</v>
          </cell>
          <cell r="O73" t="str">
            <v>CNHM-1</v>
          </cell>
          <cell r="P73" t="str">
            <v>RBH</v>
          </cell>
          <cell r="Q73">
            <v>1</v>
          </cell>
          <cell r="R73">
            <v>12</v>
          </cell>
          <cell r="U73">
            <v>41395</v>
          </cell>
        </row>
        <row r="74">
          <cell r="B74" t="str">
            <v>Afzal</v>
          </cell>
          <cell r="C74">
            <v>1</v>
          </cell>
          <cell r="D74">
            <v>0</v>
          </cell>
          <cell r="E74">
            <v>2</v>
          </cell>
          <cell r="F74">
            <v>1</v>
          </cell>
          <cell r="G74">
            <v>0</v>
          </cell>
          <cell r="M74" t="str">
            <v>&gt;&gt;</v>
          </cell>
          <cell r="N74" t="str">
            <v>Afzal Hussain Shuhag</v>
          </cell>
          <cell r="O74" t="str">
            <v>CNHM-1</v>
          </cell>
          <cell r="P74" t="str">
            <v>RBH</v>
          </cell>
          <cell r="Q74">
            <v>1</v>
          </cell>
          <cell r="R74">
            <v>12</v>
          </cell>
          <cell r="U74">
            <v>41395</v>
          </cell>
        </row>
        <row r="75">
          <cell r="B75" t="str">
            <v>AN FIRE</v>
          </cell>
          <cell r="M75" t="str">
            <v>&gt;&gt;</v>
          </cell>
          <cell r="N75" t="str">
            <v/>
          </cell>
          <cell r="O75" t="str">
            <v>CNHM-1</v>
          </cell>
          <cell r="P75" t="str">
            <v>AN FIRE</v>
          </cell>
          <cell r="Q75">
            <v>1</v>
          </cell>
          <cell r="R75">
            <v>13</v>
          </cell>
          <cell r="T75" t="str">
            <v>CHAMP</v>
          </cell>
          <cell r="U75">
            <v>41395</v>
          </cell>
        </row>
        <row r="76">
          <cell r="B76" t="str">
            <v>Arif</v>
          </cell>
          <cell r="C76">
            <v>5</v>
          </cell>
          <cell r="D76">
            <v>110</v>
          </cell>
          <cell r="E76">
            <v>10</v>
          </cell>
          <cell r="F76">
            <v>7</v>
          </cell>
          <cell r="G76">
            <v>2</v>
          </cell>
          <cell r="M76" t="str">
            <v>&gt;&gt;</v>
          </cell>
          <cell r="N76" t="str">
            <v>Arif Ziad</v>
          </cell>
          <cell r="O76" t="str">
            <v>CNHM-1</v>
          </cell>
          <cell r="P76" t="str">
            <v>AN FIRE</v>
          </cell>
          <cell r="Q76">
            <v>1</v>
          </cell>
          <cell r="R76">
            <v>13</v>
          </cell>
          <cell r="T76" t="str">
            <v>CHAMP</v>
          </cell>
          <cell r="U76">
            <v>41395</v>
          </cell>
        </row>
        <row r="77">
          <cell r="B77" t="str">
            <v>Niamul</v>
          </cell>
          <cell r="C77">
            <v>5</v>
          </cell>
          <cell r="D77">
            <v>144</v>
          </cell>
          <cell r="E77">
            <v>4</v>
          </cell>
          <cell r="F77">
            <v>8</v>
          </cell>
          <cell r="G77">
            <v>1</v>
          </cell>
          <cell r="M77" t="str">
            <v>&gt;&gt;</v>
          </cell>
          <cell r="N77" t="str">
            <v>Niamul Habib Setu</v>
          </cell>
          <cell r="O77" t="str">
            <v>CNHM-1</v>
          </cell>
          <cell r="P77" t="str">
            <v>AN FIRE</v>
          </cell>
          <cell r="Q77">
            <v>1</v>
          </cell>
          <cell r="R77">
            <v>13</v>
          </cell>
          <cell r="S77" t="str">
            <v>MOT</v>
          </cell>
          <cell r="T77" t="str">
            <v>CHAMP</v>
          </cell>
          <cell r="U77">
            <v>41395</v>
          </cell>
          <cell r="V77">
            <v>1</v>
          </cell>
        </row>
        <row r="78">
          <cell r="B78" t="str">
            <v>RI Akash</v>
          </cell>
          <cell r="C78">
            <v>3</v>
          </cell>
          <cell r="D78">
            <v>6</v>
          </cell>
          <cell r="E78">
            <v>7</v>
          </cell>
          <cell r="F78">
            <v>2</v>
          </cell>
          <cell r="G78">
            <v>0</v>
          </cell>
          <cell r="M78" t="str">
            <v>&gt;&gt;</v>
          </cell>
          <cell r="N78" t="str">
            <v>Raihan Islam Akash</v>
          </cell>
          <cell r="O78" t="str">
            <v>CNHM-1</v>
          </cell>
          <cell r="P78" t="str">
            <v>AN FIRE</v>
          </cell>
          <cell r="Q78">
            <v>1</v>
          </cell>
          <cell r="R78">
            <v>13</v>
          </cell>
          <cell r="T78" t="str">
            <v>CHAMP</v>
          </cell>
          <cell r="U78">
            <v>41395</v>
          </cell>
        </row>
        <row r="79">
          <cell r="B79" t="str">
            <v>SJ GLADIATORS</v>
          </cell>
          <cell r="M79" t="str">
            <v>&gt;&gt;</v>
          </cell>
          <cell r="N79" t="str">
            <v/>
          </cell>
          <cell r="O79" t="str">
            <v>CNHM-1</v>
          </cell>
          <cell r="P79" t="str">
            <v>SJ GLADIATORS</v>
          </cell>
          <cell r="Q79">
            <v>1</v>
          </cell>
          <cell r="R79">
            <v>14</v>
          </cell>
          <cell r="T79" t="str">
            <v>RU</v>
          </cell>
          <cell r="U79">
            <v>41395</v>
          </cell>
        </row>
        <row r="80">
          <cell r="B80" t="str">
            <v>Joy Ullash</v>
          </cell>
          <cell r="C80">
            <v>5</v>
          </cell>
          <cell r="D80">
            <v>96</v>
          </cell>
          <cell r="E80">
            <v>9</v>
          </cell>
          <cell r="F80">
            <v>11</v>
          </cell>
          <cell r="G80">
            <v>1</v>
          </cell>
          <cell r="M80" t="str">
            <v>&gt;&gt;</v>
          </cell>
          <cell r="N80" t="str">
            <v>Joy Ullash</v>
          </cell>
          <cell r="O80" t="str">
            <v>CNHM-1</v>
          </cell>
          <cell r="P80" t="str">
            <v>SJ GLADIATORS</v>
          </cell>
          <cell r="Q80">
            <v>1</v>
          </cell>
          <cell r="R80">
            <v>14</v>
          </cell>
          <cell r="T80" t="str">
            <v>RU</v>
          </cell>
          <cell r="U80">
            <v>41395</v>
          </cell>
        </row>
        <row r="81">
          <cell r="B81" t="str">
            <v>Shakib Hasan</v>
          </cell>
          <cell r="C81">
            <v>5</v>
          </cell>
          <cell r="D81">
            <v>31</v>
          </cell>
          <cell r="E81">
            <v>10</v>
          </cell>
          <cell r="F81">
            <v>5</v>
          </cell>
          <cell r="G81">
            <v>0</v>
          </cell>
          <cell r="M81" t="str">
            <v>&gt;&gt;</v>
          </cell>
          <cell r="N81" t="str">
            <v>Shakib Al Hasan</v>
          </cell>
          <cell r="O81" t="str">
            <v>CNHM-1</v>
          </cell>
          <cell r="P81" t="str">
            <v>SJ GLADIATORS</v>
          </cell>
          <cell r="Q81">
            <v>1</v>
          </cell>
          <cell r="R81">
            <v>14</v>
          </cell>
          <cell r="T81" t="str">
            <v>RU</v>
          </cell>
          <cell r="U81">
            <v>41395</v>
          </cell>
        </row>
        <row r="82">
          <cell r="B82" t="str">
            <v>Shawon</v>
          </cell>
          <cell r="C82">
            <v>2</v>
          </cell>
          <cell r="D82">
            <v>19</v>
          </cell>
          <cell r="E82">
            <v>2</v>
          </cell>
          <cell r="F82">
            <v>3</v>
          </cell>
          <cell r="G82">
            <v>1</v>
          </cell>
          <cell r="M82" t="str">
            <v>&gt;&gt;</v>
          </cell>
          <cell r="N82" t="str">
            <v>Arif Abdullah Shawon</v>
          </cell>
          <cell r="O82" t="str">
            <v>CNHM-1</v>
          </cell>
          <cell r="P82" t="str">
            <v>SJ GLADIATORS</v>
          </cell>
          <cell r="Q82">
            <v>1</v>
          </cell>
          <cell r="R82">
            <v>14</v>
          </cell>
          <cell r="T82" t="str">
            <v>RU</v>
          </cell>
          <cell r="U82">
            <v>41395</v>
          </cell>
        </row>
        <row r="83">
          <cell r="B83" t="str">
            <v>SRAH</v>
          </cell>
          <cell r="M83" t="str">
            <v>&gt;&gt;</v>
          </cell>
          <cell r="N83" t="str">
            <v/>
          </cell>
          <cell r="O83" t="str">
            <v>CNHM-1</v>
          </cell>
          <cell r="P83" t="str">
            <v>SRAH</v>
          </cell>
          <cell r="Q83">
            <v>1</v>
          </cell>
          <cell r="R83">
            <v>15</v>
          </cell>
          <cell r="U83">
            <v>41395</v>
          </cell>
        </row>
        <row r="84">
          <cell r="B84" t="str">
            <v>Shovon</v>
          </cell>
          <cell r="C84">
            <v>3</v>
          </cell>
          <cell r="D84">
            <v>35</v>
          </cell>
          <cell r="E84">
            <v>6</v>
          </cell>
          <cell r="F84">
            <v>5</v>
          </cell>
          <cell r="G84">
            <v>0</v>
          </cell>
          <cell r="M84" t="str">
            <v>&gt;&gt;</v>
          </cell>
          <cell r="N84" t="str">
            <v>Shahriar Khan Shovon</v>
          </cell>
          <cell r="O84" t="str">
            <v>CNHM-1</v>
          </cell>
          <cell r="P84" t="str">
            <v>SRAH</v>
          </cell>
          <cell r="Q84">
            <v>1</v>
          </cell>
          <cell r="R84">
            <v>15</v>
          </cell>
          <cell r="U84">
            <v>41395</v>
          </cell>
        </row>
        <row r="85">
          <cell r="B85" t="str">
            <v>Anamul</v>
          </cell>
          <cell r="C85">
            <v>3</v>
          </cell>
          <cell r="D85">
            <v>24</v>
          </cell>
          <cell r="E85">
            <v>5</v>
          </cell>
          <cell r="F85">
            <v>6</v>
          </cell>
          <cell r="G85">
            <v>1</v>
          </cell>
          <cell r="M85" t="str">
            <v>&gt;&gt;</v>
          </cell>
          <cell r="N85" t="str">
            <v>Anamul Haq</v>
          </cell>
          <cell r="O85" t="str">
            <v>CNHM-1</v>
          </cell>
          <cell r="P85" t="str">
            <v>SRAH</v>
          </cell>
          <cell r="Q85">
            <v>1</v>
          </cell>
          <cell r="R85">
            <v>15</v>
          </cell>
          <cell r="U85">
            <v>41395</v>
          </cell>
        </row>
        <row r="86">
          <cell r="B86" t="str">
            <v>Jabir</v>
          </cell>
          <cell r="C86">
            <v>1</v>
          </cell>
          <cell r="D86">
            <v>6</v>
          </cell>
          <cell r="E86">
            <v>0</v>
          </cell>
          <cell r="F86">
            <v>1</v>
          </cell>
          <cell r="G86">
            <v>0</v>
          </cell>
          <cell r="M86" t="str">
            <v>&gt;&gt;</v>
          </cell>
          <cell r="N86" t="str">
            <v>Raian Jabir</v>
          </cell>
          <cell r="O86" t="str">
            <v>CNHM-1</v>
          </cell>
          <cell r="P86" t="str">
            <v>SRAH</v>
          </cell>
          <cell r="Q86">
            <v>1</v>
          </cell>
          <cell r="R86">
            <v>15</v>
          </cell>
          <cell r="U86">
            <v>41395</v>
          </cell>
        </row>
        <row r="87">
          <cell r="B87" t="str">
            <v>SSA</v>
          </cell>
          <cell r="M87" t="str">
            <v>&gt;&gt;</v>
          </cell>
          <cell r="N87" t="str">
            <v/>
          </cell>
          <cell r="O87" t="str">
            <v>CNHM-1</v>
          </cell>
          <cell r="P87" t="str">
            <v>SSA</v>
          </cell>
          <cell r="Q87">
            <v>1</v>
          </cell>
          <cell r="R87">
            <v>16</v>
          </cell>
          <cell r="U87">
            <v>41395</v>
          </cell>
        </row>
        <row r="88">
          <cell r="B88" t="str">
            <v>Sadrul</v>
          </cell>
          <cell r="C88">
            <v>4</v>
          </cell>
          <cell r="D88">
            <v>107</v>
          </cell>
          <cell r="E88">
            <v>13</v>
          </cell>
          <cell r="F88">
            <v>9</v>
          </cell>
          <cell r="G88">
            <v>0</v>
          </cell>
          <cell r="M88" t="str">
            <v>&gt;&gt;</v>
          </cell>
          <cell r="N88" t="str">
            <v>Sadrul Anam</v>
          </cell>
          <cell r="O88" t="str">
            <v>CNHM-1</v>
          </cell>
          <cell r="P88" t="str">
            <v>SSA</v>
          </cell>
          <cell r="Q88">
            <v>1</v>
          </cell>
          <cell r="R88">
            <v>16</v>
          </cell>
          <cell r="S88" t="str">
            <v>CPOT</v>
          </cell>
          <cell r="U88">
            <v>41395</v>
          </cell>
          <cell r="W88">
            <v>1</v>
          </cell>
        </row>
        <row r="89">
          <cell r="B89" t="str">
            <v>Sakib Sr.</v>
          </cell>
          <cell r="C89">
            <v>4</v>
          </cell>
          <cell r="D89">
            <v>71</v>
          </cell>
          <cell r="E89">
            <v>5</v>
          </cell>
          <cell r="F89">
            <v>9</v>
          </cell>
          <cell r="G89">
            <v>0</v>
          </cell>
          <cell r="I89">
            <v>0</v>
          </cell>
          <cell r="M89" t="str">
            <v>&gt;&gt;</v>
          </cell>
          <cell r="N89" t="str">
            <v>Ahmad Sakib Abdullah</v>
          </cell>
          <cell r="O89" t="str">
            <v>CNHM-1</v>
          </cell>
          <cell r="P89" t="str">
            <v>SSA</v>
          </cell>
          <cell r="Q89">
            <v>1</v>
          </cell>
          <cell r="R89">
            <v>16</v>
          </cell>
          <cell r="U89">
            <v>41395</v>
          </cell>
        </row>
        <row r="90">
          <cell r="B90" t="str">
            <v>Badsha</v>
          </cell>
          <cell r="C90">
            <v>3</v>
          </cell>
          <cell r="D90">
            <v>32</v>
          </cell>
          <cell r="E90">
            <v>3</v>
          </cell>
          <cell r="F90">
            <v>5</v>
          </cell>
          <cell r="G90">
            <v>1</v>
          </cell>
          <cell r="M90" t="str">
            <v>&gt;&gt;</v>
          </cell>
          <cell r="N90" t="str">
            <v>Badrul Hossain Badsha</v>
          </cell>
          <cell r="O90" t="str">
            <v>CNHM-1</v>
          </cell>
          <cell r="P90" t="str">
            <v>SSA</v>
          </cell>
          <cell r="Q90">
            <v>1</v>
          </cell>
          <cell r="R90">
            <v>16</v>
          </cell>
          <cell r="U90">
            <v>41395</v>
          </cell>
        </row>
        <row r="91">
          <cell r="B91" t="str">
            <v>ZHWA</v>
          </cell>
          <cell r="M91" t="str">
            <v>&gt;&gt;</v>
          </cell>
          <cell r="N91" t="str">
            <v/>
          </cell>
          <cell r="O91" t="str">
            <v>CNHM-1</v>
          </cell>
          <cell r="P91" t="str">
            <v>ZHWA</v>
          </cell>
          <cell r="Q91">
            <v>1</v>
          </cell>
          <cell r="R91">
            <v>17</v>
          </cell>
          <cell r="U91">
            <v>41395</v>
          </cell>
        </row>
        <row r="92">
          <cell r="B92" t="str">
            <v>Zaheed</v>
          </cell>
          <cell r="C92">
            <v>2</v>
          </cell>
          <cell r="D92">
            <v>1</v>
          </cell>
          <cell r="E92">
            <v>0</v>
          </cell>
          <cell r="F92">
            <v>4</v>
          </cell>
          <cell r="G92">
            <v>0</v>
          </cell>
          <cell r="M92" t="str">
            <v>&gt;&gt;</v>
          </cell>
          <cell r="N92" t="str">
            <v>Zaheed Hasan</v>
          </cell>
          <cell r="O92" t="str">
            <v>CNHM-1</v>
          </cell>
          <cell r="P92" t="str">
            <v>ZHWA</v>
          </cell>
          <cell r="Q92">
            <v>1</v>
          </cell>
          <cell r="R92">
            <v>17</v>
          </cell>
          <cell r="U92">
            <v>41395</v>
          </cell>
        </row>
        <row r="93">
          <cell r="B93" t="str">
            <v>Washim</v>
          </cell>
          <cell r="C93">
            <v>1</v>
          </cell>
          <cell r="D93">
            <v>11</v>
          </cell>
          <cell r="E93">
            <v>0</v>
          </cell>
          <cell r="F93">
            <v>2</v>
          </cell>
          <cell r="G93">
            <v>0</v>
          </cell>
          <cell r="M93" t="str">
            <v>&gt;&gt;</v>
          </cell>
          <cell r="N93" t="str">
            <v>Akram Husan (Washim)</v>
          </cell>
          <cell r="O93" t="str">
            <v>CNHM-1</v>
          </cell>
          <cell r="P93" t="str">
            <v>ZHWA</v>
          </cell>
          <cell r="Q93">
            <v>1</v>
          </cell>
          <cell r="R93">
            <v>17</v>
          </cell>
          <cell r="U93">
            <v>41395</v>
          </cell>
        </row>
        <row r="94">
          <cell r="B94" t="str">
            <v>Tutul</v>
          </cell>
          <cell r="C94">
            <v>1</v>
          </cell>
          <cell r="D94">
            <v>28</v>
          </cell>
          <cell r="E94">
            <v>0</v>
          </cell>
          <cell r="F94">
            <v>2</v>
          </cell>
          <cell r="G94">
            <v>0</v>
          </cell>
          <cell r="M94" t="str">
            <v>&gt;&gt;</v>
          </cell>
          <cell r="N94" t="str">
            <v>Kamrul Hasan Tutul</v>
          </cell>
          <cell r="O94" t="str">
            <v>CNHM-1</v>
          </cell>
          <cell r="P94" t="str">
            <v>ZHWA</v>
          </cell>
          <cell r="Q94">
            <v>1</v>
          </cell>
          <cell r="R94">
            <v>17</v>
          </cell>
          <cell r="U94">
            <v>41395</v>
          </cell>
        </row>
        <row r="95">
          <cell r="B95" t="str">
            <v>SJH</v>
          </cell>
          <cell r="M95" t="str">
            <v>&gt;&gt;</v>
          </cell>
          <cell r="N95" t="str">
            <v/>
          </cell>
          <cell r="O95" t="str">
            <v>CNHM-1</v>
          </cell>
          <cell r="P95" t="str">
            <v>SJH</v>
          </cell>
          <cell r="Q95">
            <v>1</v>
          </cell>
          <cell r="R95">
            <v>18</v>
          </cell>
          <cell r="U95">
            <v>41395</v>
          </cell>
        </row>
        <row r="96">
          <cell r="B96" t="str">
            <v>SH Shanto</v>
          </cell>
          <cell r="C96">
            <v>3</v>
          </cell>
          <cell r="D96">
            <v>78</v>
          </cell>
          <cell r="E96">
            <v>6</v>
          </cell>
          <cell r="F96">
            <v>7</v>
          </cell>
          <cell r="G96">
            <v>0</v>
          </cell>
          <cell r="M96" t="str">
            <v>&gt;&gt;</v>
          </cell>
          <cell r="N96" t="str">
            <v>Sakhawat Hossain Shanto</v>
          </cell>
          <cell r="O96" t="str">
            <v>CNHM-1</v>
          </cell>
          <cell r="P96" t="str">
            <v>SJH</v>
          </cell>
          <cell r="Q96">
            <v>1</v>
          </cell>
          <cell r="R96">
            <v>18</v>
          </cell>
          <cell r="U96">
            <v>41395</v>
          </cell>
        </row>
        <row r="97">
          <cell r="B97" t="str">
            <v>Ruvel</v>
          </cell>
          <cell r="C97">
            <v>3</v>
          </cell>
          <cell r="D97">
            <v>19</v>
          </cell>
          <cell r="E97">
            <v>5</v>
          </cell>
          <cell r="F97">
            <v>5</v>
          </cell>
          <cell r="G97">
            <v>0</v>
          </cell>
          <cell r="M97" t="str">
            <v>&gt;&gt;</v>
          </cell>
          <cell r="N97" t="str">
            <v>Md Ruvel</v>
          </cell>
          <cell r="O97" t="str">
            <v>CNHM-1</v>
          </cell>
          <cell r="P97" t="str">
            <v>SJH</v>
          </cell>
          <cell r="Q97">
            <v>1</v>
          </cell>
          <cell r="R97">
            <v>18</v>
          </cell>
          <cell r="U97">
            <v>41395</v>
          </cell>
        </row>
        <row r="98">
          <cell r="B98" t="str">
            <v>Alo</v>
          </cell>
          <cell r="C98">
            <v>1</v>
          </cell>
          <cell r="D98">
            <v>7</v>
          </cell>
          <cell r="E98">
            <v>0</v>
          </cell>
          <cell r="F98">
            <v>1</v>
          </cell>
          <cell r="G98">
            <v>0</v>
          </cell>
          <cell r="M98" t="str">
            <v>&gt;&gt;</v>
          </cell>
          <cell r="N98" t="str">
            <v>Shesh Bikaler Alo</v>
          </cell>
          <cell r="O98" t="str">
            <v>CNHM-1</v>
          </cell>
          <cell r="P98" t="str">
            <v>SJH</v>
          </cell>
          <cell r="Q98">
            <v>1</v>
          </cell>
          <cell r="R98">
            <v>18</v>
          </cell>
          <cell r="U98">
            <v>41395</v>
          </cell>
        </row>
        <row r="99">
          <cell r="B99" t="str">
            <v>MRK</v>
          </cell>
          <cell r="M99" t="str">
            <v>&gt;&gt;</v>
          </cell>
          <cell r="N99" t="str">
            <v/>
          </cell>
          <cell r="O99" t="str">
            <v>CNHM-1</v>
          </cell>
          <cell r="P99" t="str">
            <v>MRK</v>
          </cell>
          <cell r="Q99">
            <v>1</v>
          </cell>
          <cell r="R99">
            <v>19</v>
          </cell>
          <cell r="U99">
            <v>41395</v>
          </cell>
        </row>
        <row r="100">
          <cell r="B100" t="str">
            <v>Manik</v>
          </cell>
          <cell r="C100">
            <v>2</v>
          </cell>
          <cell r="D100">
            <v>8</v>
          </cell>
          <cell r="E100">
            <v>2</v>
          </cell>
          <cell r="F100">
            <v>3</v>
          </cell>
          <cell r="G100">
            <v>0</v>
          </cell>
          <cell r="M100" t="str">
            <v>&gt;&gt;</v>
          </cell>
          <cell r="N100" t="str">
            <v>GM Manik</v>
          </cell>
          <cell r="O100" t="str">
            <v>CNHM-1</v>
          </cell>
          <cell r="P100" t="str">
            <v>MRK</v>
          </cell>
          <cell r="Q100">
            <v>1</v>
          </cell>
          <cell r="R100">
            <v>19</v>
          </cell>
          <cell r="U100">
            <v>41395</v>
          </cell>
        </row>
        <row r="101">
          <cell r="B101" t="str">
            <v>Rinkon</v>
          </cell>
          <cell r="C101">
            <v>2</v>
          </cell>
          <cell r="D101">
            <v>17</v>
          </cell>
          <cell r="E101">
            <v>3</v>
          </cell>
          <cell r="F101">
            <v>4</v>
          </cell>
          <cell r="G101">
            <v>0</v>
          </cell>
          <cell r="M101" t="str">
            <v>&gt;&gt;</v>
          </cell>
          <cell r="N101" t="str">
            <v>Rinkon Khan</v>
          </cell>
          <cell r="O101" t="str">
            <v>CNHM-1</v>
          </cell>
          <cell r="P101" t="str">
            <v>MRK</v>
          </cell>
          <cell r="Q101">
            <v>1</v>
          </cell>
          <cell r="R101">
            <v>19</v>
          </cell>
          <cell r="U101">
            <v>41395</v>
          </cell>
        </row>
        <row r="102">
          <cell r="B102" t="str">
            <v>Imtiaz</v>
          </cell>
          <cell r="C102">
            <v>1</v>
          </cell>
          <cell r="D102">
            <v>0</v>
          </cell>
          <cell r="E102">
            <v>1</v>
          </cell>
          <cell r="F102">
            <v>1</v>
          </cell>
          <cell r="G102">
            <v>0</v>
          </cell>
          <cell r="M102" t="str">
            <v>&gt;&gt;</v>
          </cell>
          <cell r="N102" t="str">
            <v>Imtiaz Mir</v>
          </cell>
          <cell r="O102" t="str">
            <v>CNHM-1</v>
          </cell>
          <cell r="P102" t="str">
            <v>MRK</v>
          </cell>
          <cell r="Q102">
            <v>1</v>
          </cell>
          <cell r="R102">
            <v>19</v>
          </cell>
          <cell r="U102">
            <v>41395</v>
          </cell>
        </row>
        <row r="103">
          <cell r="B103" t="str">
            <v>TAYR</v>
          </cell>
          <cell r="M103" t="str">
            <v>&gt;&gt;</v>
          </cell>
          <cell r="N103" t="str">
            <v/>
          </cell>
          <cell r="O103" t="str">
            <v>CNHM-1</v>
          </cell>
          <cell r="P103" t="str">
            <v>TAYR</v>
          </cell>
          <cell r="Q103">
            <v>1</v>
          </cell>
          <cell r="R103">
            <v>20</v>
          </cell>
          <cell r="U103">
            <v>41395</v>
          </cell>
        </row>
        <row r="104">
          <cell r="B104" t="str">
            <v>Ovi</v>
          </cell>
          <cell r="C104">
            <v>2</v>
          </cell>
          <cell r="D104">
            <v>16</v>
          </cell>
          <cell r="E104">
            <v>1</v>
          </cell>
          <cell r="F104">
            <v>4</v>
          </cell>
          <cell r="G104">
            <v>0</v>
          </cell>
          <cell r="M104" t="str">
            <v>&gt;&gt;</v>
          </cell>
          <cell r="N104" t="str">
            <v>Toufiq Ahmed Ovi</v>
          </cell>
          <cell r="O104" t="str">
            <v>CNHM-1</v>
          </cell>
          <cell r="P104" t="str">
            <v>TAYR</v>
          </cell>
          <cell r="Q104">
            <v>1</v>
          </cell>
          <cell r="R104">
            <v>20</v>
          </cell>
          <cell r="U104">
            <v>41395</v>
          </cell>
        </row>
        <row r="105">
          <cell r="B105" t="str">
            <v>Yahya</v>
          </cell>
          <cell r="C105">
            <v>1</v>
          </cell>
          <cell r="D105">
            <v>15</v>
          </cell>
          <cell r="E105">
            <v>2</v>
          </cell>
          <cell r="F105">
            <v>2</v>
          </cell>
          <cell r="G105">
            <v>0</v>
          </cell>
          <cell r="M105" t="str">
            <v>&gt;&gt;</v>
          </cell>
          <cell r="N105" t="str">
            <v>Yahya Riyad</v>
          </cell>
          <cell r="O105" t="str">
            <v>CNHM-1</v>
          </cell>
          <cell r="P105" t="str">
            <v>TAYR</v>
          </cell>
          <cell r="Q105">
            <v>1</v>
          </cell>
          <cell r="R105">
            <v>20</v>
          </cell>
          <cell r="U105">
            <v>41395</v>
          </cell>
        </row>
        <row r="106">
          <cell r="B106" t="str">
            <v>Tanzim</v>
          </cell>
          <cell r="C106">
            <v>1</v>
          </cell>
          <cell r="D106">
            <v>7</v>
          </cell>
          <cell r="E106">
            <v>0</v>
          </cell>
          <cell r="F106">
            <v>2</v>
          </cell>
          <cell r="G106">
            <v>0</v>
          </cell>
          <cell r="M106" t="str">
            <v>&gt;&gt;</v>
          </cell>
          <cell r="N106" t="str">
            <v>Tanzim Hasan Rahat</v>
          </cell>
          <cell r="O106" t="str">
            <v>CNHM-1</v>
          </cell>
          <cell r="P106" t="str">
            <v>TAYR</v>
          </cell>
          <cell r="Q106">
            <v>1</v>
          </cell>
          <cell r="R106">
            <v>20</v>
          </cell>
          <cell r="U106">
            <v>41395</v>
          </cell>
        </row>
        <row r="107">
          <cell r="B107" t="str">
            <v>CSTAO</v>
          </cell>
          <cell r="M107" t="str">
            <v>&gt;&gt;</v>
          </cell>
          <cell r="N107" t="str">
            <v/>
          </cell>
          <cell r="O107" t="str">
            <v>CNHM-1</v>
          </cell>
          <cell r="P107" t="str">
            <v>CSTAO</v>
          </cell>
          <cell r="Q107">
            <v>1</v>
          </cell>
          <cell r="R107">
            <v>21</v>
          </cell>
          <cell r="U107">
            <v>41395</v>
          </cell>
        </row>
        <row r="108">
          <cell r="B108" t="str">
            <v>Jubayer</v>
          </cell>
          <cell r="C108">
            <v>4</v>
          </cell>
          <cell r="D108">
            <v>50</v>
          </cell>
          <cell r="E108">
            <v>9</v>
          </cell>
          <cell r="F108">
            <v>8</v>
          </cell>
          <cell r="G108">
            <v>0</v>
          </cell>
          <cell r="M108" t="str">
            <v>&gt;&gt;</v>
          </cell>
          <cell r="N108" t="str">
            <v>Jubayer Hossen</v>
          </cell>
          <cell r="O108" t="str">
            <v>CNHM-1</v>
          </cell>
          <cell r="P108" t="str">
            <v>CSTAO</v>
          </cell>
          <cell r="Q108">
            <v>1</v>
          </cell>
          <cell r="R108">
            <v>21</v>
          </cell>
          <cell r="U108">
            <v>41395</v>
          </cell>
        </row>
        <row r="109">
          <cell r="B109" t="str">
            <v>Md. AsiF</v>
          </cell>
          <cell r="C109">
            <v>4</v>
          </cell>
          <cell r="D109">
            <v>13</v>
          </cell>
          <cell r="E109">
            <v>3</v>
          </cell>
          <cell r="F109">
            <v>1</v>
          </cell>
          <cell r="G109">
            <v>1</v>
          </cell>
          <cell r="M109" t="str">
            <v>&gt;&gt;</v>
          </cell>
          <cell r="N109" t="str">
            <v>Mohammad Asif</v>
          </cell>
          <cell r="O109" t="str">
            <v>CNHM-1</v>
          </cell>
          <cell r="P109" t="str">
            <v>CSTAO</v>
          </cell>
          <cell r="Q109">
            <v>1</v>
          </cell>
          <cell r="R109">
            <v>21</v>
          </cell>
          <cell r="U109">
            <v>41395</v>
          </cell>
        </row>
        <row r="110">
          <cell r="B110" t="str">
            <v>Injamul</v>
          </cell>
          <cell r="C110">
            <v>4</v>
          </cell>
          <cell r="D110">
            <v>109</v>
          </cell>
          <cell r="E110">
            <v>5</v>
          </cell>
          <cell r="F110">
            <v>7</v>
          </cell>
          <cell r="G110">
            <v>1</v>
          </cell>
          <cell r="M110" t="str">
            <v>&gt;&gt;</v>
          </cell>
          <cell r="N110" t="str">
            <v>Injamul Haque (Syed Injamul Haque)</v>
          </cell>
          <cell r="O110" t="str">
            <v>CNHM-1</v>
          </cell>
          <cell r="P110" t="str">
            <v>CSTAO</v>
          </cell>
          <cell r="Q110">
            <v>1</v>
          </cell>
          <cell r="R110">
            <v>21</v>
          </cell>
          <cell r="U110">
            <v>41395</v>
          </cell>
        </row>
        <row r="111">
          <cell r="B111" t="str">
            <v>SRA</v>
          </cell>
          <cell r="M111" t="str">
            <v>&gt;&gt;</v>
          </cell>
          <cell r="N111" t="str">
            <v/>
          </cell>
          <cell r="O111" t="str">
            <v>CNHM-1</v>
          </cell>
          <cell r="P111" t="str">
            <v>SRA</v>
          </cell>
          <cell r="Q111">
            <v>1</v>
          </cell>
          <cell r="R111">
            <v>21</v>
          </cell>
          <cell r="U111">
            <v>41395</v>
          </cell>
        </row>
        <row r="112">
          <cell r="B112" t="str">
            <v>Rahat</v>
          </cell>
          <cell r="C112">
            <v>2</v>
          </cell>
          <cell r="D112">
            <v>35</v>
          </cell>
          <cell r="E112">
            <v>6</v>
          </cell>
          <cell r="F112">
            <v>4</v>
          </cell>
          <cell r="G112">
            <v>0</v>
          </cell>
          <cell r="M112" t="str">
            <v>&gt;&gt;</v>
          </cell>
          <cell r="N112" t="str">
            <v>Saiful Rahat</v>
          </cell>
          <cell r="O112" t="str">
            <v>CNHM-1</v>
          </cell>
          <cell r="P112" t="str">
            <v>SRA</v>
          </cell>
          <cell r="Q112">
            <v>1</v>
          </cell>
          <cell r="R112">
            <v>21</v>
          </cell>
          <cell r="U112">
            <v>41395</v>
          </cell>
        </row>
        <row r="113">
          <cell r="B113" t="str">
            <v>Aneek</v>
          </cell>
          <cell r="C113">
            <v>2</v>
          </cell>
          <cell r="D113">
            <v>17</v>
          </cell>
          <cell r="E113">
            <v>2</v>
          </cell>
          <cell r="F113">
            <v>4</v>
          </cell>
          <cell r="G113">
            <v>0</v>
          </cell>
          <cell r="M113" t="str">
            <v>&gt;&gt;</v>
          </cell>
          <cell r="N113" t="str">
            <v>Md Aneek Rashid</v>
          </cell>
          <cell r="O113" t="str">
            <v>CNHM-1</v>
          </cell>
          <cell r="P113" t="str">
            <v>SRA</v>
          </cell>
          <cell r="Q113">
            <v>1</v>
          </cell>
          <cell r="R113">
            <v>21</v>
          </cell>
          <cell r="U113">
            <v>41395</v>
          </cell>
        </row>
        <row r="114">
          <cell r="B114" t="str">
            <v>NEW ZEALAND (1st Runner-Up)</v>
          </cell>
          <cell r="N114" t="str">
            <v/>
          </cell>
          <cell r="O114" t="str">
            <v>FCT-1</v>
          </cell>
          <cell r="P114" t="str">
            <v>NEW ZEALAND (1st Runner-Up)</v>
          </cell>
          <cell r="Q114">
            <v>1</v>
          </cell>
          <cell r="R114">
            <v>22</v>
          </cell>
          <cell r="T114" t="str">
            <v>RU</v>
          </cell>
          <cell r="U114">
            <v>41426</v>
          </cell>
        </row>
        <row r="115">
          <cell r="B115" t="str">
            <v>Rahat</v>
          </cell>
          <cell r="C115">
            <v>4</v>
          </cell>
          <cell r="D115">
            <v>62</v>
          </cell>
          <cell r="E115">
            <v>6</v>
          </cell>
          <cell r="F115">
            <v>8</v>
          </cell>
          <cell r="G115">
            <v>0</v>
          </cell>
          <cell r="M115" t="str">
            <v>&gt;&gt;</v>
          </cell>
          <cell r="N115" t="str">
            <v>Saiful Rahat</v>
          </cell>
          <cell r="O115" t="str">
            <v>FCT-1</v>
          </cell>
          <cell r="P115" t="str">
            <v>NEW ZEALAND (1st Runner-Up)</v>
          </cell>
          <cell r="Q115">
            <v>1</v>
          </cell>
          <cell r="R115">
            <v>22</v>
          </cell>
          <cell r="T115" t="str">
            <v>RU</v>
          </cell>
          <cell r="U115">
            <v>41426</v>
          </cell>
        </row>
        <row r="116">
          <cell r="B116" t="str">
            <v>Back Sakib</v>
          </cell>
          <cell r="C116">
            <v>1</v>
          </cell>
          <cell r="D116">
            <v>3</v>
          </cell>
          <cell r="E116">
            <v>0</v>
          </cell>
          <cell r="F116">
            <v>2</v>
          </cell>
          <cell r="G116">
            <v>0</v>
          </cell>
          <cell r="M116" t="str">
            <v>&gt;&gt;</v>
          </cell>
          <cell r="N116" t="str">
            <v>Backbencher Sakib</v>
          </cell>
          <cell r="O116" t="str">
            <v>FCT-1</v>
          </cell>
          <cell r="P116" t="str">
            <v>NEW ZEALAND (1st Runner-Up)</v>
          </cell>
          <cell r="Q116">
            <v>1</v>
          </cell>
          <cell r="R116">
            <v>22</v>
          </cell>
          <cell r="T116" t="str">
            <v>RU</v>
          </cell>
          <cell r="U116">
            <v>41426</v>
          </cell>
        </row>
        <row r="117">
          <cell r="B117" t="str">
            <v>Afzal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M117" t="str">
            <v>&gt;&gt;</v>
          </cell>
          <cell r="N117" t="str">
            <v>Afzal Hussain Shuhag</v>
          </cell>
          <cell r="O117" t="str">
            <v>FCT-1</v>
          </cell>
          <cell r="P117" t="str">
            <v>NEW ZEALAND (1st Runner-Up)</v>
          </cell>
          <cell r="Q117">
            <v>1</v>
          </cell>
          <cell r="R117">
            <v>22</v>
          </cell>
          <cell r="T117" t="str">
            <v>RU</v>
          </cell>
          <cell r="U117">
            <v>41426</v>
          </cell>
        </row>
        <row r="118">
          <cell r="B118" t="str">
            <v>AR Shohag</v>
          </cell>
          <cell r="C118">
            <v>4</v>
          </cell>
          <cell r="D118">
            <v>118</v>
          </cell>
          <cell r="E118">
            <v>9</v>
          </cell>
          <cell r="F118">
            <v>8</v>
          </cell>
          <cell r="G118">
            <v>1</v>
          </cell>
          <cell r="M118" t="str">
            <v>&gt;&gt;</v>
          </cell>
          <cell r="N118" t="str">
            <v>A.R. Shohag</v>
          </cell>
          <cell r="O118" t="str">
            <v>FCT-1</v>
          </cell>
          <cell r="P118" t="str">
            <v>NEW ZEALAND (1st Runner-Up)</v>
          </cell>
          <cell r="Q118">
            <v>1</v>
          </cell>
          <cell r="R118">
            <v>22</v>
          </cell>
          <cell r="S118" t="str">
            <v>CPOT</v>
          </cell>
          <cell r="T118" t="str">
            <v>RU</v>
          </cell>
          <cell r="U118">
            <v>41426</v>
          </cell>
        </row>
        <row r="119">
          <cell r="B119" t="str">
            <v>Tanzim</v>
          </cell>
          <cell r="C119">
            <v>5</v>
          </cell>
          <cell r="D119">
            <v>148</v>
          </cell>
          <cell r="E119">
            <v>24</v>
          </cell>
          <cell r="F119">
            <v>12</v>
          </cell>
          <cell r="G119">
            <v>1</v>
          </cell>
          <cell r="M119" t="str">
            <v>&gt;&gt;</v>
          </cell>
          <cell r="N119" t="str">
            <v>Tanzim Hasan Rahat</v>
          </cell>
          <cell r="O119" t="str">
            <v>FCT-1</v>
          </cell>
          <cell r="P119" t="str">
            <v>NEW ZEALAND (1st Runner-Up)</v>
          </cell>
          <cell r="Q119">
            <v>1</v>
          </cell>
          <cell r="R119">
            <v>22</v>
          </cell>
          <cell r="S119" t="str">
            <v>MOT</v>
          </cell>
          <cell r="T119" t="str">
            <v>RU</v>
          </cell>
          <cell r="U119">
            <v>41426</v>
          </cell>
          <cell r="V119">
            <v>1</v>
          </cell>
          <cell r="W119">
            <v>1</v>
          </cell>
        </row>
        <row r="120">
          <cell r="B120" t="str">
            <v>BANGLADESH</v>
          </cell>
          <cell r="M120" t="str">
            <v>&gt;&gt;</v>
          </cell>
          <cell r="N120" t="str">
            <v/>
          </cell>
          <cell r="O120" t="str">
            <v>FCT-1</v>
          </cell>
          <cell r="P120" t="str">
            <v>BANGLADESH</v>
          </cell>
          <cell r="Q120">
            <v>1</v>
          </cell>
          <cell r="R120">
            <v>23</v>
          </cell>
          <cell r="U120">
            <v>41426</v>
          </cell>
        </row>
        <row r="121">
          <cell r="B121" t="str">
            <v>Sakib Sr.</v>
          </cell>
          <cell r="C121">
            <v>4</v>
          </cell>
          <cell r="D121">
            <v>29</v>
          </cell>
          <cell r="E121">
            <v>2</v>
          </cell>
          <cell r="F121">
            <v>7</v>
          </cell>
          <cell r="G121">
            <v>1</v>
          </cell>
          <cell r="I121">
            <v>0</v>
          </cell>
          <cell r="M121" t="str">
            <v>&gt;&gt;</v>
          </cell>
          <cell r="N121" t="str">
            <v>Ahmad Sakib Abdullah</v>
          </cell>
          <cell r="O121" t="str">
            <v>FCT-1</v>
          </cell>
          <cell r="P121" t="str">
            <v>BANGLADESH</v>
          </cell>
          <cell r="Q121">
            <v>1</v>
          </cell>
          <cell r="R121">
            <v>23</v>
          </cell>
          <cell r="U121">
            <v>41426</v>
          </cell>
        </row>
        <row r="122">
          <cell r="B122" t="str">
            <v>Manik</v>
          </cell>
          <cell r="C122">
            <v>4</v>
          </cell>
          <cell r="D122">
            <v>95</v>
          </cell>
          <cell r="E122">
            <v>8</v>
          </cell>
          <cell r="F122">
            <v>7</v>
          </cell>
          <cell r="G122">
            <v>0</v>
          </cell>
          <cell r="M122" t="str">
            <v>&gt;&gt;</v>
          </cell>
          <cell r="N122" t="str">
            <v>GM Manik</v>
          </cell>
          <cell r="O122" t="str">
            <v>FCT-1</v>
          </cell>
          <cell r="P122" t="str">
            <v>BANGLADESH</v>
          </cell>
          <cell r="Q122">
            <v>1</v>
          </cell>
          <cell r="R122">
            <v>23</v>
          </cell>
          <cell r="U122">
            <v>41426</v>
          </cell>
        </row>
        <row r="123">
          <cell r="B123" t="str">
            <v>Md. AsiF</v>
          </cell>
          <cell r="C123">
            <v>5</v>
          </cell>
          <cell r="D123">
            <v>85</v>
          </cell>
          <cell r="E123">
            <v>4</v>
          </cell>
          <cell r="F123">
            <v>9</v>
          </cell>
          <cell r="G123">
            <v>0</v>
          </cell>
          <cell r="M123" t="str">
            <v>&gt;&gt;</v>
          </cell>
          <cell r="N123" t="str">
            <v>Mohammad Asif</v>
          </cell>
          <cell r="O123" t="str">
            <v>FCT-1</v>
          </cell>
          <cell r="P123" t="str">
            <v>BANGLADESH</v>
          </cell>
          <cell r="Q123">
            <v>1</v>
          </cell>
          <cell r="R123">
            <v>23</v>
          </cell>
          <cell r="U123">
            <v>41426</v>
          </cell>
        </row>
        <row r="124">
          <cell r="B124" t="str">
            <v>RayHaN</v>
          </cell>
          <cell r="C124">
            <v>2</v>
          </cell>
          <cell r="D124">
            <v>81</v>
          </cell>
          <cell r="E124">
            <v>1</v>
          </cell>
          <cell r="F124">
            <v>4</v>
          </cell>
          <cell r="G124">
            <v>0</v>
          </cell>
          <cell r="M124" t="str">
            <v>&gt;&gt;</v>
          </cell>
          <cell r="N124" t="str">
            <v>Rayhan Rahman</v>
          </cell>
          <cell r="O124" t="str">
            <v>FCT-1</v>
          </cell>
          <cell r="P124" t="str">
            <v>BANGLADESH</v>
          </cell>
          <cell r="Q124">
            <v>1</v>
          </cell>
          <cell r="R124">
            <v>23</v>
          </cell>
          <cell r="U124">
            <v>41426</v>
          </cell>
        </row>
        <row r="125">
          <cell r="B125" t="str">
            <v>SH Shanto</v>
          </cell>
          <cell r="C125">
            <v>5</v>
          </cell>
          <cell r="D125">
            <v>95</v>
          </cell>
          <cell r="E125">
            <v>10</v>
          </cell>
          <cell r="F125">
            <v>9</v>
          </cell>
          <cell r="G125">
            <v>0</v>
          </cell>
          <cell r="M125" t="str">
            <v>&gt;&gt;</v>
          </cell>
          <cell r="N125" t="str">
            <v>Sakhawat Hossain Shanto</v>
          </cell>
          <cell r="O125" t="str">
            <v>FCT-1</v>
          </cell>
          <cell r="P125" t="str">
            <v>BANGLADESH</v>
          </cell>
          <cell r="Q125">
            <v>1</v>
          </cell>
          <cell r="R125">
            <v>23</v>
          </cell>
          <cell r="U125">
            <v>41426</v>
          </cell>
        </row>
        <row r="126">
          <cell r="B126" t="str">
            <v>AUSTRALiA</v>
          </cell>
          <cell r="M126" t="str">
            <v>&gt;&gt;</v>
          </cell>
          <cell r="N126" t="str">
            <v/>
          </cell>
          <cell r="O126" t="str">
            <v>FCT-1</v>
          </cell>
          <cell r="P126" t="str">
            <v>AUSTRALiA</v>
          </cell>
          <cell r="Q126">
            <v>1</v>
          </cell>
          <cell r="R126">
            <v>24</v>
          </cell>
          <cell r="U126">
            <v>41426</v>
          </cell>
        </row>
        <row r="127">
          <cell r="B127" t="str">
            <v>Injamul</v>
          </cell>
          <cell r="C127">
            <v>2</v>
          </cell>
          <cell r="D127">
            <v>18</v>
          </cell>
          <cell r="E127">
            <v>2</v>
          </cell>
          <cell r="F127">
            <v>4</v>
          </cell>
          <cell r="G127">
            <v>0</v>
          </cell>
          <cell r="M127" t="str">
            <v>&gt;&gt;</v>
          </cell>
          <cell r="N127" t="str">
            <v>Injamul Haque (Syed Injamul Haque)</v>
          </cell>
          <cell r="O127" t="str">
            <v>FCT-1</v>
          </cell>
          <cell r="P127" t="str">
            <v>AUSTRALiA</v>
          </cell>
          <cell r="Q127">
            <v>1</v>
          </cell>
          <cell r="R127">
            <v>24</v>
          </cell>
          <cell r="U127">
            <v>41426</v>
          </cell>
        </row>
        <row r="128">
          <cell r="B128" t="str">
            <v>HeLaL</v>
          </cell>
          <cell r="C128">
            <v>3</v>
          </cell>
          <cell r="D128">
            <v>33</v>
          </cell>
          <cell r="E128">
            <v>4</v>
          </cell>
          <cell r="F128">
            <v>4</v>
          </cell>
          <cell r="G128">
            <v>0</v>
          </cell>
          <cell r="M128" t="str">
            <v>&gt;&gt;</v>
          </cell>
          <cell r="N128" t="str">
            <v>Sheik Helal Ahmed</v>
          </cell>
          <cell r="O128" t="str">
            <v>FCT-1</v>
          </cell>
          <cell r="P128" t="str">
            <v>AUSTRALiA</v>
          </cell>
          <cell r="Q128">
            <v>1</v>
          </cell>
          <cell r="R128">
            <v>24</v>
          </cell>
          <cell r="U128">
            <v>41426</v>
          </cell>
        </row>
        <row r="129">
          <cell r="B129" t="str">
            <v>Ruvel</v>
          </cell>
          <cell r="C129">
            <v>2</v>
          </cell>
          <cell r="D129">
            <v>17</v>
          </cell>
          <cell r="E129">
            <v>1</v>
          </cell>
          <cell r="F129">
            <v>3</v>
          </cell>
          <cell r="G129">
            <v>0</v>
          </cell>
          <cell r="M129" t="str">
            <v>&gt;&gt;</v>
          </cell>
          <cell r="N129" t="str">
            <v>Md Ruvel</v>
          </cell>
          <cell r="O129" t="str">
            <v>FCT-1</v>
          </cell>
          <cell r="P129" t="str">
            <v>AUSTRALiA</v>
          </cell>
          <cell r="Q129">
            <v>1</v>
          </cell>
          <cell r="R129">
            <v>24</v>
          </cell>
          <cell r="U129">
            <v>41426</v>
          </cell>
        </row>
        <row r="130">
          <cell r="B130" t="str">
            <v>Kawser</v>
          </cell>
          <cell r="C130">
            <v>3</v>
          </cell>
          <cell r="D130">
            <v>54</v>
          </cell>
          <cell r="E130">
            <v>4</v>
          </cell>
          <cell r="F130">
            <v>4</v>
          </cell>
          <cell r="G130">
            <v>0</v>
          </cell>
          <cell r="M130" t="str">
            <v>&gt;&gt;</v>
          </cell>
          <cell r="N130" t="str">
            <v>Ahmed Kawser Da Neymar</v>
          </cell>
          <cell r="O130" t="str">
            <v>FCT-1</v>
          </cell>
          <cell r="P130" t="str">
            <v>AUSTRALiA</v>
          </cell>
          <cell r="Q130">
            <v>1</v>
          </cell>
          <cell r="R130">
            <v>24</v>
          </cell>
          <cell r="U130">
            <v>41426</v>
          </cell>
        </row>
        <row r="131">
          <cell r="B131" t="str">
            <v>Joy</v>
          </cell>
          <cell r="C131">
            <v>3</v>
          </cell>
          <cell r="D131">
            <v>66</v>
          </cell>
          <cell r="E131">
            <v>0</v>
          </cell>
          <cell r="F131">
            <v>6</v>
          </cell>
          <cell r="G131">
            <v>1</v>
          </cell>
          <cell r="M131" t="str">
            <v>&gt;&gt;</v>
          </cell>
          <cell r="N131" t="str">
            <v>Mehedi Hasan Joy</v>
          </cell>
          <cell r="O131" t="str">
            <v>FCT-1</v>
          </cell>
          <cell r="P131" t="str">
            <v>AUSTRALiA</v>
          </cell>
          <cell r="Q131">
            <v>1</v>
          </cell>
          <cell r="R131">
            <v>24</v>
          </cell>
          <cell r="U131">
            <v>41426</v>
          </cell>
        </row>
        <row r="132">
          <cell r="B132" t="str">
            <v>ENGLAND</v>
          </cell>
          <cell r="M132" t="str">
            <v>&gt;&gt;</v>
          </cell>
          <cell r="N132" t="str">
            <v/>
          </cell>
          <cell r="O132" t="str">
            <v>FCT-1</v>
          </cell>
          <cell r="P132" t="str">
            <v>ENGLAND</v>
          </cell>
          <cell r="Q132">
            <v>1</v>
          </cell>
          <cell r="R132">
            <v>25</v>
          </cell>
          <cell r="U132">
            <v>41426</v>
          </cell>
        </row>
        <row r="133">
          <cell r="B133" t="str">
            <v>Akram Himal</v>
          </cell>
          <cell r="C133">
            <v>3</v>
          </cell>
          <cell r="D133">
            <v>29</v>
          </cell>
          <cell r="E133">
            <v>8</v>
          </cell>
          <cell r="F133">
            <v>6</v>
          </cell>
          <cell r="G133">
            <v>0</v>
          </cell>
          <cell r="M133" t="str">
            <v>&gt;&gt;</v>
          </cell>
          <cell r="N133" t="str">
            <v>Akram Hosen Himal</v>
          </cell>
          <cell r="O133" t="str">
            <v>FCT-1</v>
          </cell>
          <cell r="P133" t="str">
            <v>ENGLAND</v>
          </cell>
          <cell r="Q133">
            <v>1</v>
          </cell>
          <cell r="R133">
            <v>25</v>
          </cell>
          <cell r="U133">
            <v>41426</v>
          </cell>
        </row>
        <row r="134">
          <cell r="B134" t="str">
            <v>JubayeR</v>
          </cell>
          <cell r="C134">
            <v>3</v>
          </cell>
          <cell r="D134">
            <v>34</v>
          </cell>
          <cell r="E134">
            <v>2</v>
          </cell>
          <cell r="F134">
            <v>4</v>
          </cell>
          <cell r="G134">
            <v>0</v>
          </cell>
          <cell r="M134" t="str">
            <v>&gt;&gt;</v>
          </cell>
          <cell r="N134" t="str">
            <v>Jubayer Hossen</v>
          </cell>
          <cell r="O134" t="str">
            <v>FCT-1</v>
          </cell>
          <cell r="P134" t="str">
            <v>ENGLAND</v>
          </cell>
          <cell r="Q134">
            <v>1</v>
          </cell>
          <cell r="R134">
            <v>25</v>
          </cell>
          <cell r="U134">
            <v>41426</v>
          </cell>
        </row>
        <row r="135">
          <cell r="B135" t="str">
            <v>Shawon</v>
          </cell>
          <cell r="C135">
            <v>3</v>
          </cell>
          <cell r="D135">
            <v>36</v>
          </cell>
          <cell r="E135">
            <v>2</v>
          </cell>
          <cell r="F135">
            <v>5</v>
          </cell>
          <cell r="G135">
            <v>0</v>
          </cell>
          <cell r="M135" t="str">
            <v>&gt;&gt;</v>
          </cell>
          <cell r="N135" t="str">
            <v>Arif Abdullah Shawon</v>
          </cell>
          <cell r="O135" t="str">
            <v>FCT-1</v>
          </cell>
          <cell r="P135" t="str">
            <v>ENGLAND</v>
          </cell>
          <cell r="Q135">
            <v>1</v>
          </cell>
          <cell r="R135">
            <v>25</v>
          </cell>
          <cell r="U135">
            <v>41426</v>
          </cell>
        </row>
        <row r="136">
          <cell r="B136" t="str">
            <v>LoveLo</v>
          </cell>
          <cell r="C136">
            <v>3</v>
          </cell>
          <cell r="D136">
            <v>51</v>
          </cell>
          <cell r="E136">
            <v>7</v>
          </cell>
          <cell r="F136">
            <v>3</v>
          </cell>
          <cell r="G136">
            <v>1</v>
          </cell>
          <cell r="M136" t="str">
            <v>&gt;&gt;</v>
          </cell>
          <cell r="N136" t="str">
            <v>Alauddin Lovelo</v>
          </cell>
          <cell r="O136" t="str">
            <v>FCT-1</v>
          </cell>
          <cell r="P136" t="str">
            <v>ENGLAND</v>
          </cell>
          <cell r="Q136">
            <v>1</v>
          </cell>
          <cell r="R136">
            <v>25</v>
          </cell>
          <cell r="U136">
            <v>41426</v>
          </cell>
        </row>
        <row r="137">
          <cell r="B137" t="str">
            <v>Yahya</v>
          </cell>
          <cell r="C137">
            <v>1</v>
          </cell>
          <cell r="D137">
            <v>0</v>
          </cell>
          <cell r="E137">
            <v>0</v>
          </cell>
          <cell r="F137">
            <v>1</v>
          </cell>
          <cell r="G137">
            <v>0</v>
          </cell>
          <cell r="M137" t="str">
            <v>&gt;&gt;</v>
          </cell>
          <cell r="N137" t="str">
            <v>Yahya Riyad</v>
          </cell>
          <cell r="O137" t="str">
            <v>FCT-1</v>
          </cell>
          <cell r="P137" t="str">
            <v>ENGLAND</v>
          </cell>
          <cell r="Q137">
            <v>1</v>
          </cell>
          <cell r="R137">
            <v>25</v>
          </cell>
          <cell r="U137">
            <v>41426</v>
          </cell>
        </row>
        <row r="138">
          <cell r="B138" t="str">
            <v>SOUTH AFRiCA (Champion)</v>
          </cell>
          <cell r="M138" t="str">
            <v>&gt;&gt;</v>
          </cell>
          <cell r="N138" t="str">
            <v/>
          </cell>
          <cell r="O138" t="str">
            <v>FCT-1</v>
          </cell>
          <cell r="P138" t="str">
            <v>SOUTH AFRiCA (Champion)</v>
          </cell>
          <cell r="Q138">
            <v>1</v>
          </cell>
          <cell r="R138">
            <v>26</v>
          </cell>
          <cell r="T138" t="str">
            <v>CHAMP</v>
          </cell>
          <cell r="U138">
            <v>41426</v>
          </cell>
        </row>
        <row r="139">
          <cell r="B139" t="str">
            <v>JahiN</v>
          </cell>
          <cell r="C139">
            <v>4</v>
          </cell>
          <cell r="D139">
            <v>29</v>
          </cell>
          <cell r="E139">
            <v>5</v>
          </cell>
          <cell r="F139">
            <v>4</v>
          </cell>
          <cell r="G139">
            <v>0</v>
          </cell>
          <cell r="M139" t="str">
            <v>&gt;&gt;</v>
          </cell>
          <cell r="N139" t="str">
            <v>Jahin Shahriar Chowdhury</v>
          </cell>
          <cell r="O139" t="str">
            <v>FCT-1</v>
          </cell>
          <cell r="P139" t="str">
            <v>SOUTH AFRiCA (Champion)</v>
          </cell>
          <cell r="Q139">
            <v>1</v>
          </cell>
          <cell r="R139">
            <v>26</v>
          </cell>
          <cell r="T139" t="str">
            <v>CHAMP</v>
          </cell>
          <cell r="U139">
            <v>41426</v>
          </cell>
        </row>
        <row r="140">
          <cell r="B140" t="str">
            <v>Aneek</v>
          </cell>
          <cell r="C140">
            <v>4</v>
          </cell>
          <cell r="D140">
            <v>89</v>
          </cell>
          <cell r="E140">
            <v>2</v>
          </cell>
          <cell r="F140">
            <v>6</v>
          </cell>
          <cell r="G140">
            <v>1</v>
          </cell>
          <cell r="M140" t="str">
            <v>&gt;&gt;</v>
          </cell>
          <cell r="N140" t="str">
            <v>Md Aneek Rashid</v>
          </cell>
          <cell r="O140" t="str">
            <v>FCT-1</v>
          </cell>
          <cell r="P140" t="str">
            <v>SOUTH AFRiCA (Champion)</v>
          </cell>
          <cell r="Q140">
            <v>1</v>
          </cell>
          <cell r="R140">
            <v>26</v>
          </cell>
          <cell r="T140" t="str">
            <v>CHAMP</v>
          </cell>
          <cell r="U140">
            <v>41426</v>
          </cell>
        </row>
        <row r="141">
          <cell r="B141" t="str">
            <v>ImtiaZ</v>
          </cell>
          <cell r="C141">
            <v>4</v>
          </cell>
          <cell r="D141">
            <v>43</v>
          </cell>
          <cell r="E141">
            <v>4</v>
          </cell>
          <cell r="F141">
            <v>4</v>
          </cell>
          <cell r="G141">
            <v>0</v>
          </cell>
          <cell r="M141" t="str">
            <v>&gt;&gt;</v>
          </cell>
          <cell r="N141" t="str">
            <v>Imtiaz Mir</v>
          </cell>
          <cell r="O141" t="str">
            <v>FCT-1</v>
          </cell>
          <cell r="P141" t="str">
            <v>SOUTH AFRiCA (Champion)</v>
          </cell>
          <cell r="Q141">
            <v>1</v>
          </cell>
          <cell r="R141">
            <v>26</v>
          </cell>
          <cell r="T141" t="str">
            <v>CHAMP</v>
          </cell>
          <cell r="U141">
            <v>41426</v>
          </cell>
        </row>
        <row r="142">
          <cell r="B142" t="str">
            <v>Arif</v>
          </cell>
          <cell r="C142">
            <v>4</v>
          </cell>
          <cell r="D142">
            <v>60</v>
          </cell>
          <cell r="E142">
            <v>11</v>
          </cell>
          <cell r="F142">
            <v>5</v>
          </cell>
          <cell r="G142">
            <v>1</v>
          </cell>
          <cell r="M142" t="str">
            <v>&gt;&gt;</v>
          </cell>
          <cell r="N142" t="str">
            <v>Arif Ziad</v>
          </cell>
          <cell r="O142" t="str">
            <v>FCT-1</v>
          </cell>
          <cell r="P142" t="str">
            <v>SOUTH AFRiCA (Champion)</v>
          </cell>
          <cell r="Q142">
            <v>1</v>
          </cell>
          <cell r="R142">
            <v>26</v>
          </cell>
          <cell r="T142" t="str">
            <v>CHAMP</v>
          </cell>
          <cell r="U142">
            <v>41426</v>
          </cell>
        </row>
        <row r="143">
          <cell r="B143" t="str">
            <v>Ovi</v>
          </cell>
          <cell r="C143">
            <v>4</v>
          </cell>
          <cell r="D143">
            <v>121</v>
          </cell>
          <cell r="E143">
            <v>10</v>
          </cell>
          <cell r="F143">
            <v>6</v>
          </cell>
          <cell r="G143">
            <v>1</v>
          </cell>
          <cell r="M143" t="str">
            <v>&gt;&gt;</v>
          </cell>
          <cell r="N143" t="str">
            <v>Toufiq Ahmed Ovi</v>
          </cell>
          <cell r="O143" t="str">
            <v>FCT-1</v>
          </cell>
          <cell r="P143" t="str">
            <v>SOUTH AFRiCA (Champion)</v>
          </cell>
          <cell r="Q143">
            <v>1</v>
          </cell>
          <cell r="R143">
            <v>26</v>
          </cell>
          <cell r="S143" t="str">
            <v>CPOT</v>
          </cell>
          <cell r="T143" t="str">
            <v>CHAMP</v>
          </cell>
          <cell r="U143">
            <v>41426</v>
          </cell>
        </row>
        <row r="144">
          <cell r="B144" t="str">
            <v>INDiA (2nd Runner Up)</v>
          </cell>
          <cell r="C144" t="str">
            <v>Team : INDiA (2nd Runner Up)</v>
          </cell>
          <cell r="M144" t="str">
            <v>&gt;&gt;</v>
          </cell>
          <cell r="N144" t="str">
            <v/>
          </cell>
          <cell r="O144" t="str">
            <v>FCT-1</v>
          </cell>
          <cell r="P144" t="str">
            <v>INDiA (2nd Runner Up)</v>
          </cell>
          <cell r="Q144">
            <v>1</v>
          </cell>
          <cell r="R144">
            <v>27</v>
          </cell>
          <cell r="T144" t="str">
            <v>3RD</v>
          </cell>
          <cell r="U144">
            <v>41426</v>
          </cell>
        </row>
        <row r="145">
          <cell r="B145" t="str">
            <v>Zaheed</v>
          </cell>
          <cell r="C145">
            <v>4</v>
          </cell>
          <cell r="D145">
            <v>76</v>
          </cell>
          <cell r="E145">
            <v>9</v>
          </cell>
          <cell r="F145">
            <v>5</v>
          </cell>
          <cell r="G145">
            <v>0</v>
          </cell>
          <cell r="M145" t="str">
            <v>&gt;&gt;</v>
          </cell>
          <cell r="N145" t="str">
            <v>Zaheed Hasan</v>
          </cell>
          <cell r="O145" t="str">
            <v>FCT-1</v>
          </cell>
          <cell r="P145" t="str">
            <v>INDiA (2nd Runner Up)</v>
          </cell>
          <cell r="Q145">
            <v>1</v>
          </cell>
          <cell r="R145">
            <v>27</v>
          </cell>
          <cell r="T145" t="str">
            <v>3RD</v>
          </cell>
          <cell r="U145">
            <v>41426</v>
          </cell>
        </row>
        <row r="146">
          <cell r="B146" t="str">
            <v>Shovon</v>
          </cell>
          <cell r="C146">
            <v>2</v>
          </cell>
          <cell r="D146">
            <v>43</v>
          </cell>
          <cell r="E146">
            <v>7</v>
          </cell>
          <cell r="F146">
            <v>3</v>
          </cell>
          <cell r="G146">
            <v>1</v>
          </cell>
          <cell r="M146" t="str">
            <v>&gt;&gt;</v>
          </cell>
          <cell r="N146" t="str">
            <v>Shahriar Khan Shovon</v>
          </cell>
          <cell r="O146" t="str">
            <v>FCT-1</v>
          </cell>
          <cell r="P146" t="str">
            <v>INDiA (2nd Runner Up)</v>
          </cell>
          <cell r="Q146">
            <v>1</v>
          </cell>
          <cell r="R146">
            <v>27</v>
          </cell>
          <cell r="T146" t="str">
            <v>3RD</v>
          </cell>
          <cell r="U146">
            <v>41426</v>
          </cell>
        </row>
        <row r="147">
          <cell r="B147" t="str">
            <v>Jabir</v>
          </cell>
          <cell r="C147">
            <v>2</v>
          </cell>
          <cell r="D147">
            <v>33</v>
          </cell>
          <cell r="E147">
            <v>2</v>
          </cell>
          <cell r="F147">
            <v>3</v>
          </cell>
          <cell r="G147">
            <v>0</v>
          </cell>
          <cell r="M147" t="str">
            <v>&gt;&gt;</v>
          </cell>
          <cell r="N147" t="str">
            <v>Raian Jabir</v>
          </cell>
          <cell r="O147" t="str">
            <v>FCT-1</v>
          </cell>
          <cell r="P147" t="str">
            <v>INDiA (2nd Runner Up)</v>
          </cell>
          <cell r="Q147">
            <v>1</v>
          </cell>
          <cell r="R147">
            <v>27</v>
          </cell>
          <cell r="T147" t="str">
            <v>3RD</v>
          </cell>
          <cell r="U147">
            <v>41426</v>
          </cell>
        </row>
        <row r="148">
          <cell r="B148" t="str">
            <v>Sujay</v>
          </cell>
          <cell r="C148">
            <v>2</v>
          </cell>
          <cell r="D148">
            <v>71</v>
          </cell>
          <cell r="E148">
            <v>3</v>
          </cell>
          <cell r="F148">
            <v>3</v>
          </cell>
          <cell r="G148">
            <v>1</v>
          </cell>
          <cell r="M148" t="str">
            <v>&gt;&gt;</v>
          </cell>
          <cell r="N148" t="str">
            <v>Sandipan Sujay</v>
          </cell>
          <cell r="O148" t="str">
            <v>FCT-1</v>
          </cell>
          <cell r="P148" t="str">
            <v>INDiA (2nd Runner Up)</v>
          </cell>
          <cell r="Q148">
            <v>1</v>
          </cell>
          <cell r="R148">
            <v>27</v>
          </cell>
          <cell r="T148" t="str">
            <v>3RD</v>
          </cell>
          <cell r="U148">
            <v>41426</v>
          </cell>
        </row>
        <row r="149">
          <cell r="B149" t="str">
            <v>Emon</v>
          </cell>
          <cell r="C149">
            <v>2</v>
          </cell>
          <cell r="D149">
            <v>32</v>
          </cell>
          <cell r="E149">
            <v>1</v>
          </cell>
          <cell r="F149">
            <v>3</v>
          </cell>
          <cell r="G149">
            <v>0</v>
          </cell>
          <cell r="M149" t="str">
            <v>&gt;&gt;</v>
          </cell>
          <cell r="N149" t="str">
            <v>Fahim Shahrear Emon</v>
          </cell>
          <cell r="O149" t="str">
            <v>FCT-1</v>
          </cell>
          <cell r="P149" t="str">
            <v>INDiA (2nd Runner Up)</v>
          </cell>
          <cell r="Q149">
            <v>1</v>
          </cell>
          <cell r="R149">
            <v>27</v>
          </cell>
          <cell r="T149" t="str">
            <v>3RD</v>
          </cell>
          <cell r="U149">
            <v>41426</v>
          </cell>
        </row>
        <row r="150">
          <cell r="B150" t="str">
            <v>WEST INDiES</v>
          </cell>
          <cell r="M150" t="str">
            <v>&gt;&gt;</v>
          </cell>
          <cell r="N150" t="str">
            <v/>
          </cell>
          <cell r="O150" t="str">
            <v>FCT-1</v>
          </cell>
          <cell r="P150" t="str">
            <v>WEST INDiES</v>
          </cell>
          <cell r="Q150">
            <v>1</v>
          </cell>
          <cell r="R150">
            <v>28</v>
          </cell>
          <cell r="U150">
            <v>41426</v>
          </cell>
        </row>
        <row r="151">
          <cell r="B151" t="str">
            <v>Rexx</v>
          </cell>
          <cell r="C151">
            <v>3</v>
          </cell>
          <cell r="D151">
            <v>57</v>
          </cell>
          <cell r="E151">
            <v>5</v>
          </cell>
          <cell r="F151">
            <v>5</v>
          </cell>
          <cell r="G151">
            <v>2</v>
          </cell>
          <cell r="M151" t="str">
            <v>&gt;&gt;</v>
          </cell>
          <cell r="N151" t="str">
            <v>Bishwajit Sarkar</v>
          </cell>
          <cell r="O151" t="str">
            <v>FCT-1</v>
          </cell>
          <cell r="P151" t="str">
            <v>WEST INDiES</v>
          </cell>
          <cell r="Q151">
            <v>1</v>
          </cell>
          <cell r="R151">
            <v>28</v>
          </cell>
          <cell r="U151">
            <v>41426</v>
          </cell>
        </row>
        <row r="152">
          <cell r="B152" t="str">
            <v>RifaT</v>
          </cell>
          <cell r="C152">
            <v>3</v>
          </cell>
          <cell r="D152">
            <v>74</v>
          </cell>
          <cell r="E152">
            <v>7</v>
          </cell>
          <cell r="F152">
            <v>7</v>
          </cell>
          <cell r="G152">
            <v>0</v>
          </cell>
          <cell r="M152" t="str">
            <v>&gt;&gt;</v>
          </cell>
          <cell r="N152" t="str">
            <v>Rifat Ullah</v>
          </cell>
          <cell r="O152" t="str">
            <v>FCT-1</v>
          </cell>
          <cell r="P152" t="str">
            <v>WEST INDiES</v>
          </cell>
          <cell r="Q152">
            <v>1</v>
          </cell>
          <cell r="R152">
            <v>28</v>
          </cell>
          <cell r="U152">
            <v>41426</v>
          </cell>
        </row>
        <row r="153">
          <cell r="B153" t="str">
            <v>RinkoN</v>
          </cell>
          <cell r="C153">
            <v>3</v>
          </cell>
          <cell r="D153">
            <v>35</v>
          </cell>
          <cell r="E153">
            <v>5</v>
          </cell>
          <cell r="F153">
            <v>8</v>
          </cell>
          <cell r="G153">
            <v>0</v>
          </cell>
          <cell r="M153" t="str">
            <v>&gt;&gt;</v>
          </cell>
          <cell r="N153" t="str">
            <v>Rinkon Khan</v>
          </cell>
          <cell r="O153" t="str">
            <v>FCT-1</v>
          </cell>
          <cell r="P153" t="str">
            <v>WEST INDiES</v>
          </cell>
          <cell r="Q153">
            <v>1</v>
          </cell>
          <cell r="R153">
            <v>28</v>
          </cell>
          <cell r="U153">
            <v>41426</v>
          </cell>
        </row>
        <row r="154">
          <cell r="B154" t="str">
            <v>FiroZ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M154" t="str">
            <v>&gt;&gt;</v>
          </cell>
          <cell r="N154" t="str">
            <v>Firoz Khan</v>
          </cell>
          <cell r="O154" t="str">
            <v>FCT-1</v>
          </cell>
          <cell r="P154" t="str">
            <v>WEST INDiES</v>
          </cell>
          <cell r="Q154">
            <v>1</v>
          </cell>
          <cell r="R154">
            <v>28</v>
          </cell>
          <cell r="U154">
            <v>41426</v>
          </cell>
        </row>
        <row r="155">
          <cell r="B155" t="str">
            <v>NiroB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M155" t="str">
            <v>&gt;&gt;</v>
          </cell>
          <cell r="N155" t="str">
            <v>NiroB Sagor</v>
          </cell>
          <cell r="O155" t="str">
            <v>FCT-1</v>
          </cell>
          <cell r="P155" t="str">
            <v>WEST INDiES</v>
          </cell>
          <cell r="Q155">
            <v>1</v>
          </cell>
          <cell r="R155">
            <v>28</v>
          </cell>
          <cell r="U155">
            <v>41426</v>
          </cell>
        </row>
        <row r="156">
          <cell r="B156" t="str">
            <v>PAKiSTAN</v>
          </cell>
          <cell r="M156" t="str">
            <v>&gt;&gt;</v>
          </cell>
          <cell r="N156" t="str">
            <v/>
          </cell>
          <cell r="O156" t="str">
            <v>FCT-1</v>
          </cell>
          <cell r="P156" t="str">
            <v>PAKiSTAN</v>
          </cell>
          <cell r="Q156">
            <v>1</v>
          </cell>
          <cell r="R156">
            <v>29</v>
          </cell>
          <cell r="U156">
            <v>41426</v>
          </cell>
        </row>
        <row r="157">
          <cell r="B157" t="str">
            <v>RI Akash</v>
          </cell>
          <cell r="C157">
            <v>2</v>
          </cell>
          <cell r="D157">
            <v>2</v>
          </cell>
          <cell r="E157">
            <v>1</v>
          </cell>
          <cell r="F157">
            <v>3</v>
          </cell>
          <cell r="G157">
            <v>0</v>
          </cell>
          <cell r="M157" t="str">
            <v>&gt;&gt;</v>
          </cell>
          <cell r="N157" t="str">
            <v>Raihan Islam Akash</v>
          </cell>
          <cell r="O157" t="str">
            <v>FCT-1</v>
          </cell>
          <cell r="P157" t="str">
            <v>PAKiSTAN</v>
          </cell>
          <cell r="Q157">
            <v>1</v>
          </cell>
          <cell r="R157">
            <v>29</v>
          </cell>
          <cell r="U157">
            <v>41426</v>
          </cell>
        </row>
        <row r="158">
          <cell r="B158" t="str">
            <v>Jahid</v>
          </cell>
          <cell r="C158">
            <v>2</v>
          </cell>
          <cell r="D158">
            <v>21</v>
          </cell>
          <cell r="E158">
            <v>3</v>
          </cell>
          <cell r="F158">
            <v>4</v>
          </cell>
          <cell r="G158">
            <v>0</v>
          </cell>
          <cell r="M158" t="str">
            <v>&gt;&gt;</v>
          </cell>
          <cell r="N158" t="str">
            <v>Md. Jahid</v>
          </cell>
          <cell r="O158" t="str">
            <v>FCT-1</v>
          </cell>
          <cell r="P158" t="str">
            <v>PAKiSTAN</v>
          </cell>
          <cell r="Q158">
            <v>1</v>
          </cell>
          <cell r="R158">
            <v>29</v>
          </cell>
          <cell r="U158">
            <v>41426</v>
          </cell>
        </row>
        <row r="159">
          <cell r="B159" t="str">
            <v>Niamul</v>
          </cell>
          <cell r="C159">
            <v>2</v>
          </cell>
          <cell r="D159">
            <v>36</v>
          </cell>
          <cell r="E159">
            <v>0</v>
          </cell>
          <cell r="F159">
            <v>5</v>
          </cell>
          <cell r="G159">
            <v>0</v>
          </cell>
          <cell r="M159" t="str">
            <v>&gt;&gt;</v>
          </cell>
          <cell r="N159" t="str">
            <v>Niamul Habib Setu</v>
          </cell>
          <cell r="O159" t="str">
            <v>FCT-1</v>
          </cell>
          <cell r="P159" t="str">
            <v>PAKiSTAN</v>
          </cell>
          <cell r="Q159">
            <v>1</v>
          </cell>
          <cell r="R159">
            <v>29</v>
          </cell>
          <cell r="U159">
            <v>41426</v>
          </cell>
        </row>
        <row r="160">
          <cell r="B160" t="str">
            <v>Tawhid</v>
          </cell>
          <cell r="C160">
            <v>3</v>
          </cell>
          <cell r="D160">
            <v>12</v>
          </cell>
          <cell r="E160">
            <v>3</v>
          </cell>
          <cell r="F160">
            <v>5</v>
          </cell>
          <cell r="G160">
            <v>0</v>
          </cell>
          <cell r="M160" t="str">
            <v>&gt;&gt;</v>
          </cell>
          <cell r="N160" t="str">
            <v>S M Tawhid Zihad</v>
          </cell>
          <cell r="O160" t="str">
            <v>FCT-1</v>
          </cell>
          <cell r="P160" t="str">
            <v>PAKiSTAN</v>
          </cell>
          <cell r="Q160">
            <v>1</v>
          </cell>
          <cell r="R160">
            <v>29</v>
          </cell>
          <cell r="U160">
            <v>41426</v>
          </cell>
        </row>
        <row r="161">
          <cell r="B161" t="str">
            <v>Tutul</v>
          </cell>
          <cell r="C161">
            <v>2</v>
          </cell>
          <cell r="D161">
            <v>53</v>
          </cell>
          <cell r="E161">
            <v>8</v>
          </cell>
          <cell r="F161">
            <v>5</v>
          </cell>
          <cell r="G161">
            <v>0</v>
          </cell>
          <cell r="M161" t="str">
            <v>&gt;&gt;</v>
          </cell>
          <cell r="N161" t="str">
            <v>Kamrul Hasan Tutul</v>
          </cell>
          <cell r="O161" t="str">
            <v>FCT-1</v>
          </cell>
          <cell r="P161" t="str">
            <v>PAKiSTAN</v>
          </cell>
          <cell r="Q161">
            <v>1</v>
          </cell>
          <cell r="R161">
            <v>29</v>
          </cell>
          <cell r="U161">
            <v>41426</v>
          </cell>
        </row>
        <row r="162">
          <cell r="B162" t="str">
            <v>REPLACEMENT HiRE</v>
          </cell>
          <cell r="N162" t="str">
            <v/>
          </cell>
          <cell r="O162" t="str">
            <v>FCT-1</v>
          </cell>
          <cell r="P162" t="str">
            <v>PAKiSTAN</v>
          </cell>
          <cell r="Q162">
            <v>1</v>
          </cell>
          <cell r="R162">
            <v>29</v>
          </cell>
          <cell r="U162">
            <v>41426</v>
          </cell>
        </row>
        <row r="163">
          <cell r="B163" t="str">
            <v>Faisal</v>
          </cell>
          <cell r="C163">
            <v>2</v>
          </cell>
          <cell r="D163">
            <v>1</v>
          </cell>
          <cell r="E163">
            <v>4</v>
          </cell>
          <cell r="F163">
            <v>1</v>
          </cell>
          <cell r="G163">
            <v>0</v>
          </cell>
          <cell r="M163" t="str">
            <v>&gt;&gt;</v>
          </cell>
          <cell r="N163" t="str">
            <v>Red Heart Faisal (Fayze Ahamed)</v>
          </cell>
          <cell r="O163" t="str">
            <v>FCT-1</v>
          </cell>
          <cell r="P163" t="str">
            <v>PAKiSTAN</v>
          </cell>
          <cell r="Q163">
            <v>1</v>
          </cell>
          <cell r="R163">
            <v>29</v>
          </cell>
          <cell r="U163">
            <v>41426</v>
          </cell>
        </row>
        <row r="164">
          <cell r="B164" t="str">
            <v>LoveLo</v>
          </cell>
          <cell r="C164">
            <v>2</v>
          </cell>
          <cell r="D164">
            <v>55</v>
          </cell>
          <cell r="E164">
            <v>1</v>
          </cell>
          <cell r="F164">
            <v>4</v>
          </cell>
          <cell r="G164">
            <v>0</v>
          </cell>
          <cell r="M164" t="str">
            <v>&gt;&gt;</v>
          </cell>
          <cell r="N164" t="str">
            <v>Alauddin Lovelo</v>
          </cell>
          <cell r="O164" t="str">
            <v>FCT-1</v>
          </cell>
          <cell r="P164" t="str">
            <v>PAKiSTAN</v>
          </cell>
          <cell r="Q164">
            <v>1</v>
          </cell>
          <cell r="R164">
            <v>29</v>
          </cell>
          <cell r="U164">
            <v>41426</v>
          </cell>
        </row>
        <row r="165">
          <cell r="B165" t="str">
            <v>Sadrul</v>
          </cell>
          <cell r="C165">
            <v>3</v>
          </cell>
          <cell r="D165">
            <v>36</v>
          </cell>
          <cell r="E165">
            <v>2</v>
          </cell>
          <cell r="F165">
            <v>5</v>
          </cell>
          <cell r="G165">
            <v>0</v>
          </cell>
          <cell r="M165" t="str">
            <v>&gt;&gt;</v>
          </cell>
          <cell r="N165" t="str">
            <v>Sadrul Anam</v>
          </cell>
          <cell r="O165" t="str">
            <v>FCT-1</v>
          </cell>
          <cell r="P165" t="str">
            <v>INDiA (Higher)</v>
          </cell>
          <cell r="Q165">
            <v>1</v>
          </cell>
          <cell r="R165">
            <v>30</v>
          </cell>
          <cell r="U165">
            <v>41426</v>
          </cell>
        </row>
        <row r="166">
          <cell r="B166" t="str">
            <v>Akram Himal</v>
          </cell>
          <cell r="C166">
            <v>2</v>
          </cell>
          <cell r="D166">
            <v>75</v>
          </cell>
          <cell r="E166">
            <v>2</v>
          </cell>
          <cell r="F166">
            <v>4</v>
          </cell>
          <cell r="G166">
            <v>1</v>
          </cell>
          <cell r="M166" t="str">
            <v>&gt;&gt;</v>
          </cell>
          <cell r="N166" t="str">
            <v>Akram Hosen Himal</v>
          </cell>
          <cell r="O166" t="str">
            <v>FCT-1</v>
          </cell>
          <cell r="P166" t="str">
            <v>INDiA (Higher)</v>
          </cell>
          <cell r="Q166">
            <v>1</v>
          </cell>
          <cell r="R166">
            <v>30</v>
          </cell>
          <cell r="U166">
            <v>41426</v>
          </cell>
        </row>
        <row r="167">
          <cell r="B167" t="str">
            <v>BPL TiGERS (BT) Champ</v>
          </cell>
          <cell r="M167" t="str">
            <v>&gt;&gt;</v>
          </cell>
          <cell r="N167" t="str">
            <v/>
          </cell>
          <cell r="O167" t="str">
            <v>FCC-1</v>
          </cell>
          <cell r="P167" t="str">
            <v>BPL TiGERS (BT) Champ</v>
          </cell>
          <cell r="Q167">
            <v>1</v>
          </cell>
          <cell r="R167">
            <v>31</v>
          </cell>
          <cell r="T167" t="str">
            <v>CHAMP</v>
          </cell>
          <cell r="U167">
            <v>41456</v>
          </cell>
        </row>
        <row r="168">
          <cell r="B168" t="str">
            <v>Tanzim</v>
          </cell>
          <cell r="C168">
            <v>4</v>
          </cell>
          <cell r="D168">
            <v>56</v>
          </cell>
          <cell r="E168">
            <v>11</v>
          </cell>
          <cell r="F168">
            <v>5</v>
          </cell>
          <cell r="G168">
            <v>0</v>
          </cell>
          <cell r="M168" t="str">
            <v>&gt;&gt;</v>
          </cell>
          <cell r="N168" t="str">
            <v>Tanzim Hasan Rahat</v>
          </cell>
          <cell r="O168" t="str">
            <v>FCC-1</v>
          </cell>
          <cell r="P168" t="str">
            <v>BPL TiGERS (BT) Champ</v>
          </cell>
          <cell r="Q168">
            <v>1</v>
          </cell>
          <cell r="R168">
            <v>31</v>
          </cell>
          <cell r="T168" t="str">
            <v>CHAMP</v>
          </cell>
          <cell r="U168">
            <v>41456</v>
          </cell>
        </row>
        <row r="169">
          <cell r="B169" t="str">
            <v>RAYHAN</v>
          </cell>
          <cell r="C169">
            <v>3</v>
          </cell>
          <cell r="D169">
            <v>54</v>
          </cell>
          <cell r="E169">
            <v>1</v>
          </cell>
          <cell r="F169">
            <v>4</v>
          </cell>
          <cell r="G169">
            <v>0</v>
          </cell>
          <cell r="M169" t="str">
            <v>&gt;&gt;</v>
          </cell>
          <cell r="N169" t="str">
            <v>Rayhan Rahman</v>
          </cell>
          <cell r="O169" t="str">
            <v>FCC-1</v>
          </cell>
          <cell r="P169" t="str">
            <v>BPL TiGERS (BT) Champ</v>
          </cell>
          <cell r="Q169">
            <v>1</v>
          </cell>
          <cell r="R169">
            <v>31</v>
          </cell>
          <cell r="T169" t="str">
            <v>CHAMP</v>
          </cell>
          <cell r="U169">
            <v>41456</v>
          </cell>
        </row>
        <row r="170">
          <cell r="B170" t="str">
            <v>JAHiD</v>
          </cell>
          <cell r="C170">
            <v>2</v>
          </cell>
          <cell r="D170">
            <v>3</v>
          </cell>
          <cell r="E170">
            <v>4</v>
          </cell>
          <cell r="F170">
            <v>1</v>
          </cell>
          <cell r="G170">
            <v>0</v>
          </cell>
          <cell r="M170" t="str">
            <v>&gt;&gt;</v>
          </cell>
          <cell r="N170" t="str">
            <v>Md. Jahid</v>
          </cell>
          <cell r="O170" t="str">
            <v>FCC-1</v>
          </cell>
          <cell r="P170" t="str">
            <v>BPL TiGERS (BT) Champ</v>
          </cell>
          <cell r="Q170">
            <v>1</v>
          </cell>
          <cell r="R170">
            <v>31</v>
          </cell>
          <cell r="T170" t="str">
            <v>CHAMP</v>
          </cell>
          <cell r="U170">
            <v>41456</v>
          </cell>
        </row>
        <row r="171">
          <cell r="B171" t="str">
            <v>RiFAT</v>
          </cell>
          <cell r="C171">
            <v>4</v>
          </cell>
          <cell r="D171">
            <v>71</v>
          </cell>
          <cell r="E171">
            <v>6</v>
          </cell>
          <cell r="F171">
            <v>6</v>
          </cell>
          <cell r="G171">
            <v>2</v>
          </cell>
          <cell r="M171" t="str">
            <v>&gt;&gt;</v>
          </cell>
          <cell r="N171" t="str">
            <v>Rifat Ullah</v>
          </cell>
          <cell r="O171" t="str">
            <v>FCC-1</v>
          </cell>
          <cell r="P171" t="str">
            <v>BPL TiGERS (BT) Champ</v>
          </cell>
          <cell r="Q171">
            <v>1</v>
          </cell>
          <cell r="R171">
            <v>31</v>
          </cell>
          <cell r="T171" t="str">
            <v>CHAMP</v>
          </cell>
          <cell r="U171">
            <v>41456</v>
          </cell>
        </row>
        <row r="172">
          <cell r="B172" t="str">
            <v>Raihan</v>
          </cell>
          <cell r="C172">
            <v>1</v>
          </cell>
          <cell r="D172">
            <v>0</v>
          </cell>
          <cell r="E172">
            <v>1</v>
          </cell>
          <cell r="F172">
            <v>0</v>
          </cell>
          <cell r="G172">
            <v>0</v>
          </cell>
          <cell r="M172" t="str">
            <v>&gt;&gt;</v>
          </cell>
          <cell r="N172" t="str">
            <v>Raihan Al-maMun</v>
          </cell>
          <cell r="O172" t="str">
            <v>FCC-1</v>
          </cell>
          <cell r="P172" t="str">
            <v>BPL TiGERS (BT) Champ</v>
          </cell>
          <cell r="Q172">
            <v>1</v>
          </cell>
          <cell r="R172">
            <v>31</v>
          </cell>
          <cell r="T172" t="str">
            <v>CHAMP</v>
          </cell>
          <cell r="U172">
            <v>41456</v>
          </cell>
        </row>
        <row r="173">
          <cell r="B173" t="str">
            <v>JUMON</v>
          </cell>
          <cell r="C173">
            <v>4</v>
          </cell>
          <cell r="D173">
            <v>202</v>
          </cell>
          <cell r="E173">
            <v>4</v>
          </cell>
          <cell r="F173">
            <v>6</v>
          </cell>
          <cell r="G173">
            <v>1</v>
          </cell>
          <cell r="M173" t="str">
            <v>&gt;&gt;</v>
          </cell>
          <cell r="N173" t="str">
            <v>Foysal Ahmed Jumon</v>
          </cell>
          <cell r="O173" t="str">
            <v>FCC-1</v>
          </cell>
          <cell r="P173" t="str">
            <v>BPL TiGERS (BT) Champ</v>
          </cell>
          <cell r="Q173">
            <v>1</v>
          </cell>
          <cell r="R173">
            <v>31</v>
          </cell>
          <cell r="S173" t="str">
            <v>MOT</v>
          </cell>
          <cell r="T173" t="str">
            <v>CHAMP</v>
          </cell>
          <cell r="U173">
            <v>41456</v>
          </cell>
          <cell r="V173">
            <v>1</v>
          </cell>
        </row>
        <row r="174">
          <cell r="B174" t="str">
            <v>BPL ALL STAR (BAS) +2RU+</v>
          </cell>
          <cell r="N174" t="str">
            <v/>
          </cell>
          <cell r="O174" t="str">
            <v>FCC-1</v>
          </cell>
          <cell r="P174" t="str">
            <v>BPL ALL STAR (BAS) +2RU+</v>
          </cell>
          <cell r="Q174">
            <v>1</v>
          </cell>
          <cell r="R174">
            <v>32</v>
          </cell>
          <cell r="U174">
            <v>41456</v>
          </cell>
        </row>
        <row r="175">
          <cell r="B175" t="str">
            <v>Zaheed</v>
          </cell>
          <cell r="C175">
            <v>4</v>
          </cell>
          <cell r="D175">
            <v>58</v>
          </cell>
          <cell r="E175">
            <v>12</v>
          </cell>
          <cell r="F175">
            <v>4</v>
          </cell>
          <cell r="G175">
            <v>0</v>
          </cell>
          <cell r="M175" t="str">
            <v>&gt;&gt;</v>
          </cell>
          <cell r="N175" t="str">
            <v>Zaheed Hasan</v>
          </cell>
          <cell r="O175" t="str">
            <v>FCC-1</v>
          </cell>
          <cell r="P175" t="str">
            <v>BPL ALL STAR (BAS) +2RU+</v>
          </cell>
          <cell r="Q175">
            <v>1</v>
          </cell>
          <cell r="R175">
            <v>32</v>
          </cell>
          <cell r="U175">
            <v>41456</v>
          </cell>
          <cell r="W175">
            <v>1</v>
          </cell>
        </row>
        <row r="176">
          <cell r="B176" t="str">
            <v>JAHiN</v>
          </cell>
          <cell r="C176">
            <v>4</v>
          </cell>
          <cell r="D176">
            <v>41</v>
          </cell>
          <cell r="E176">
            <v>2</v>
          </cell>
          <cell r="F176">
            <v>6</v>
          </cell>
          <cell r="G176">
            <v>0</v>
          </cell>
          <cell r="M176" t="str">
            <v>&gt;&gt;</v>
          </cell>
          <cell r="N176" t="str">
            <v>Jahin Shahriar Chowdhury</v>
          </cell>
          <cell r="O176" t="str">
            <v>FCC-1</v>
          </cell>
          <cell r="P176" t="str">
            <v>BPL ALL STAR (BAS) +2RU+</v>
          </cell>
          <cell r="Q176">
            <v>1</v>
          </cell>
          <cell r="R176">
            <v>32</v>
          </cell>
          <cell r="U176">
            <v>41456</v>
          </cell>
        </row>
        <row r="177">
          <cell r="B177" t="str">
            <v>SHOHAG</v>
          </cell>
          <cell r="C177">
            <v>4</v>
          </cell>
          <cell r="D177">
            <v>65</v>
          </cell>
          <cell r="E177">
            <v>2</v>
          </cell>
          <cell r="F177">
            <v>6</v>
          </cell>
          <cell r="G177">
            <v>0</v>
          </cell>
          <cell r="M177" t="str">
            <v>&gt;&gt;</v>
          </cell>
          <cell r="N177" t="str">
            <v>Hetlar Shohag</v>
          </cell>
          <cell r="O177" t="str">
            <v>FCC-1</v>
          </cell>
          <cell r="P177" t="str">
            <v>BPL ALL STAR (BAS) +2RU+</v>
          </cell>
          <cell r="Q177">
            <v>1</v>
          </cell>
          <cell r="R177">
            <v>32</v>
          </cell>
          <cell r="U177">
            <v>41456</v>
          </cell>
        </row>
        <row r="178">
          <cell r="B178" t="str">
            <v>HELAL</v>
          </cell>
          <cell r="C178">
            <v>3</v>
          </cell>
          <cell r="D178">
            <v>26</v>
          </cell>
          <cell r="E178">
            <v>2</v>
          </cell>
          <cell r="F178">
            <v>3</v>
          </cell>
          <cell r="G178">
            <v>0</v>
          </cell>
          <cell r="M178" t="str">
            <v>&gt;&gt;</v>
          </cell>
          <cell r="N178" t="str">
            <v>Sheik Helal Ahmed</v>
          </cell>
          <cell r="O178" t="str">
            <v>FCC-1</v>
          </cell>
          <cell r="P178" t="str">
            <v>BPL ALL STAR (BAS) +2RU+</v>
          </cell>
          <cell r="Q178">
            <v>1</v>
          </cell>
          <cell r="R178">
            <v>32</v>
          </cell>
          <cell r="U178">
            <v>41456</v>
          </cell>
        </row>
        <row r="179">
          <cell r="B179" t="str">
            <v>TUTUL</v>
          </cell>
          <cell r="C179">
            <v>4</v>
          </cell>
          <cell r="D179">
            <v>65</v>
          </cell>
          <cell r="E179">
            <v>1</v>
          </cell>
          <cell r="F179">
            <v>4</v>
          </cell>
          <cell r="G179">
            <v>0</v>
          </cell>
          <cell r="M179" t="str">
            <v>&gt;&gt;</v>
          </cell>
          <cell r="N179" t="str">
            <v>Kamrul Hasan Tutul</v>
          </cell>
          <cell r="O179" t="str">
            <v>FCC-1</v>
          </cell>
          <cell r="P179" t="str">
            <v>BPL ALL STAR (BAS) +2RU+</v>
          </cell>
          <cell r="Q179">
            <v>1</v>
          </cell>
          <cell r="R179">
            <v>32</v>
          </cell>
          <cell r="U179">
            <v>41456</v>
          </cell>
        </row>
        <row r="180">
          <cell r="B180" t="str">
            <v>NiAMUL</v>
          </cell>
          <cell r="C180">
            <v>4</v>
          </cell>
          <cell r="D180">
            <v>91</v>
          </cell>
          <cell r="E180">
            <v>8</v>
          </cell>
          <cell r="F180">
            <v>5</v>
          </cell>
          <cell r="G180">
            <v>0</v>
          </cell>
          <cell r="M180" t="str">
            <v>&gt;&gt;</v>
          </cell>
          <cell r="N180" t="str">
            <v>Niamul Habib Setu</v>
          </cell>
          <cell r="O180" t="str">
            <v>FCC-1</v>
          </cell>
          <cell r="P180" t="str">
            <v>BPL ALL STAR (BAS) +2RU+</v>
          </cell>
          <cell r="Q180">
            <v>1</v>
          </cell>
          <cell r="R180">
            <v>32</v>
          </cell>
          <cell r="U180">
            <v>41456</v>
          </cell>
        </row>
        <row r="181">
          <cell r="B181" t="str">
            <v>BPL POWER BOYS (BPB)</v>
          </cell>
          <cell r="N181" t="str">
            <v/>
          </cell>
          <cell r="O181" t="str">
            <v>FCC-1</v>
          </cell>
          <cell r="P181" t="str">
            <v>BPL POWER BOYS (BPB)</v>
          </cell>
          <cell r="Q181">
            <v>1</v>
          </cell>
          <cell r="R181">
            <v>33</v>
          </cell>
          <cell r="U181">
            <v>41456</v>
          </cell>
        </row>
        <row r="182">
          <cell r="B182" t="str">
            <v>Injamul</v>
          </cell>
          <cell r="C182">
            <v>2</v>
          </cell>
          <cell r="D182">
            <v>10</v>
          </cell>
          <cell r="E182">
            <v>0</v>
          </cell>
          <cell r="F182">
            <v>4</v>
          </cell>
          <cell r="G182">
            <v>0</v>
          </cell>
          <cell r="M182" t="str">
            <v>&gt;&gt;</v>
          </cell>
          <cell r="N182" t="str">
            <v>Injamul Haque (Syed Injamul Haque)</v>
          </cell>
          <cell r="O182" t="str">
            <v>FCC-1</v>
          </cell>
          <cell r="P182" t="str">
            <v>BPL POWER BOYS (BPB)</v>
          </cell>
          <cell r="Q182">
            <v>1</v>
          </cell>
          <cell r="R182">
            <v>33</v>
          </cell>
          <cell r="U182">
            <v>41456</v>
          </cell>
        </row>
        <row r="183">
          <cell r="B183" t="str">
            <v>Akram HiMAL</v>
          </cell>
          <cell r="C183">
            <v>2</v>
          </cell>
          <cell r="D183">
            <v>115</v>
          </cell>
          <cell r="E183">
            <v>7</v>
          </cell>
          <cell r="F183">
            <v>5</v>
          </cell>
          <cell r="G183">
            <v>0</v>
          </cell>
          <cell r="M183" t="str">
            <v>&gt;&gt;</v>
          </cell>
          <cell r="N183" t="str">
            <v>Akram Hosen Himal</v>
          </cell>
          <cell r="O183" t="str">
            <v>FCC-1</v>
          </cell>
          <cell r="P183" t="str">
            <v>BPL POWER BOYS (BPB)</v>
          </cell>
          <cell r="Q183">
            <v>1</v>
          </cell>
          <cell r="R183">
            <v>33</v>
          </cell>
          <cell r="U183">
            <v>41456</v>
          </cell>
        </row>
        <row r="184">
          <cell r="B184" t="str">
            <v>SAKiB sr.</v>
          </cell>
          <cell r="C184">
            <v>2</v>
          </cell>
          <cell r="D184">
            <v>30</v>
          </cell>
          <cell r="E184">
            <v>2</v>
          </cell>
          <cell r="F184">
            <v>4</v>
          </cell>
          <cell r="G184">
            <v>1</v>
          </cell>
          <cell r="I184">
            <v>0</v>
          </cell>
          <cell r="M184" t="str">
            <v>&gt;&gt;</v>
          </cell>
          <cell r="N184" t="str">
            <v>Ahmad Sakib Abdullah</v>
          </cell>
          <cell r="O184" t="str">
            <v>FCC-1</v>
          </cell>
          <cell r="P184" t="str">
            <v>BPL POWER BOYS (BPB)</v>
          </cell>
          <cell r="Q184">
            <v>1</v>
          </cell>
          <cell r="R184">
            <v>33</v>
          </cell>
          <cell r="U184">
            <v>41456</v>
          </cell>
        </row>
        <row r="185">
          <cell r="B185" t="str">
            <v>TAHO</v>
          </cell>
          <cell r="C185">
            <v>1</v>
          </cell>
          <cell r="D185">
            <v>14</v>
          </cell>
          <cell r="E185">
            <v>0</v>
          </cell>
          <cell r="F185">
            <v>1</v>
          </cell>
          <cell r="G185">
            <v>0</v>
          </cell>
          <cell r="M185" t="str">
            <v>&gt;&gt;</v>
          </cell>
          <cell r="N185" t="str">
            <v>Taho D. Ace</v>
          </cell>
          <cell r="O185" t="str">
            <v>FCC-1</v>
          </cell>
          <cell r="P185" t="str">
            <v>BPL POWER BOYS (BPB)</v>
          </cell>
          <cell r="Q185">
            <v>1</v>
          </cell>
          <cell r="R185">
            <v>33</v>
          </cell>
          <cell r="U185">
            <v>41456</v>
          </cell>
        </row>
        <row r="186">
          <cell r="B186" t="str">
            <v>TAWHID</v>
          </cell>
          <cell r="C186">
            <v>1</v>
          </cell>
          <cell r="D186">
            <v>13</v>
          </cell>
          <cell r="E186">
            <v>0</v>
          </cell>
          <cell r="F186">
            <v>1</v>
          </cell>
          <cell r="G186">
            <v>0</v>
          </cell>
          <cell r="M186" t="str">
            <v>&gt;&gt;</v>
          </cell>
          <cell r="N186" t="str">
            <v>S M Tawhid Zihad</v>
          </cell>
          <cell r="O186" t="str">
            <v>FCC-1</v>
          </cell>
          <cell r="P186" t="str">
            <v>BPL POWER BOYS (BPB)</v>
          </cell>
          <cell r="Q186">
            <v>1</v>
          </cell>
          <cell r="R186">
            <v>33</v>
          </cell>
          <cell r="U186">
            <v>41456</v>
          </cell>
        </row>
        <row r="187">
          <cell r="B187" t="str">
            <v>OVI</v>
          </cell>
          <cell r="C187">
            <v>1</v>
          </cell>
          <cell r="D187">
            <v>19</v>
          </cell>
          <cell r="E187">
            <v>2</v>
          </cell>
          <cell r="F187">
            <v>3</v>
          </cell>
          <cell r="G187">
            <v>0</v>
          </cell>
          <cell r="M187" t="str">
            <v>&gt;&gt;</v>
          </cell>
          <cell r="N187" t="str">
            <v>Toufiq Ahmed Ovi</v>
          </cell>
          <cell r="O187" t="str">
            <v>FCC-1</v>
          </cell>
          <cell r="P187" t="str">
            <v>BPL POWER BOYS (BPB)</v>
          </cell>
          <cell r="Q187">
            <v>1</v>
          </cell>
          <cell r="R187">
            <v>33</v>
          </cell>
          <cell r="U187">
            <v>41456</v>
          </cell>
        </row>
        <row r="188">
          <cell r="B188" t="str">
            <v>BPL ICONS (BI) +1RU+</v>
          </cell>
          <cell r="N188" t="str">
            <v/>
          </cell>
          <cell r="O188" t="str">
            <v>FCC-1</v>
          </cell>
          <cell r="P188" t="str">
            <v>BPL ICONS (BI) +1RU+</v>
          </cell>
          <cell r="Q188">
            <v>1</v>
          </cell>
          <cell r="R188">
            <v>34</v>
          </cell>
          <cell r="T188" t="str">
            <v>RU</v>
          </cell>
          <cell r="U188">
            <v>41456</v>
          </cell>
        </row>
        <row r="189">
          <cell r="B189" t="str">
            <v>Arif</v>
          </cell>
          <cell r="C189">
            <v>4</v>
          </cell>
          <cell r="D189">
            <v>32</v>
          </cell>
          <cell r="E189">
            <v>8</v>
          </cell>
          <cell r="F189">
            <v>3</v>
          </cell>
          <cell r="G189">
            <v>1</v>
          </cell>
          <cell r="M189" t="str">
            <v>&gt;&gt;</v>
          </cell>
          <cell r="N189" t="str">
            <v>Arif Ziad</v>
          </cell>
          <cell r="O189" t="str">
            <v>FCC-1</v>
          </cell>
          <cell r="P189" t="str">
            <v>BPL ICONS (BI) +1RU+</v>
          </cell>
          <cell r="Q189">
            <v>1</v>
          </cell>
          <cell r="R189">
            <v>34</v>
          </cell>
          <cell r="T189" t="str">
            <v>RU</v>
          </cell>
          <cell r="U189">
            <v>41456</v>
          </cell>
        </row>
        <row r="190">
          <cell r="B190" t="str">
            <v>YAHYA</v>
          </cell>
          <cell r="C190">
            <v>4</v>
          </cell>
          <cell r="D190">
            <v>155</v>
          </cell>
          <cell r="E190">
            <v>3</v>
          </cell>
          <cell r="F190">
            <v>7</v>
          </cell>
          <cell r="G190">
            <v>1</v>
          </cell>
          <cell r="M190" t="str">
            <v>&gt;&gt;</v>
          </cell>
          <cell r="N190" t="str">
            <v>Yahya Riyad</v>
          </cell>
          <cell r="O190" t="str">
            <v>FCC-1</v>
          </cell>
          <cell r="P190" t="str">
            <v>BPL ICONS (BI) +1RU+</v>
          </cell>
          <cell r="Q190">
            <v>1</v>
          </cell>
          <cell r="R190">
            <v>34</v>
          </cell>
          <cell r="S190" t="str">
            <v>CPOT</v>
          </cell>
          <cell r="T190" t="str">
            <v>RU</v>
          </cell>
          <cell r="U190">
            <v>41456</v>
          </cell>
        </row>
        <row r="191">
          <cell r="B191" t="str">
            <v>RiNKON</v>
          </cell>
          <cell r="C191">
            <v>4</v>
          </cell>
          <cell r="D191">
            <v>39</v>
          </cell>
          <cell r="E191">
            <v>6</v>
          </cell>
          <cell r="F191">
            <v>5</v>
          </cell>
          <cell r="G191">
            <v>0</v>
          </cell>
          <cell r="M191" t="str">
            <v>&gt;&gt;</v>
          </cell>
          <cell r="N191" t="str">
            <v>Rinkon Khan</v>
          </cell>
          <cell r="O191" t="str">
            <v>FCC-1</v>
          </cell>
          <cell r="P191" t="str">
            <v>BPL ICONS (BI) +1RU+</v>
          </cell>
          <cell r="Q191">
            <v>1</v>
          </cell>
          <cell r="R191">
            <v>34</v>
          </cell>
          <cell r="T191" t="str">
            <v>RU</v>
          </cell>
          <cell r="U191">
            <v>41456</v>
          </cell>
        </row>
        <row r="192">
          <cell r="B192" t="str">
            <v>RUVEL</v>
          </cell>
          <cell r="C192">
            <v>4</v>
          </cell>
          <cell r="D192">
            <v>71</v>
          </cell>
          <cell r="E192">
            <v>6</v>
          </cell>
          <cell r="F192">
            <v>6</v>
          </cell>
          <cell r="G192">
            <v>1</v>
          </cell>
          <cell r="M192" t="str">
            <v>&gt;&gt;</v>
          </cell>
          <cell r="N192" t="str">
            <v>Md Ruvel</v>
          </cell>
          <cell r="O192" t="str">
            <v>FCC-1</v>
          </cell>
          <cell r="P192" t="str">
            <v>BPL ICONS (BI) +1RU+</v>
          </cell>
          <cell r="Q192">
            <v>1</v>
          </cell>
          <cell r="R192">
            <v>34</v>
          </cell>
          <cell r="T192" t="str">
            <v>RU</v>
          </cell>
          <cell r="U192">
            <v>41456</v>
          </cell>
        </row>
        <row r="193">
          <cell r="B193" t="str">
            <v>SHAWON</v>
          </cell>
          <cell r="C193">
            <v>4</v>
          </cell>
          <cell r="D193">
            <v>20</v>
          </cell>
          <cell r="E193">
            <v>5</v>
          </cell>
          <cell r="F193">
            <v>4</v>
          </cell>
          <cell r="G193">
            <v>0</v>
          </cell>
          <cell r="M193" t="str">
            <v>&gt;&gt;</v>
          </cell>
          <cell r="N193" t="str">
            <v>Arif Abdullah Shawon</v>
          </cell>
          <cell r="O193" t="str">
            <v>FCC-1</v>
          </cell>
          <cell r="P193" t="str">
            <v>BPL ICONS (BI) +1RU+</v>
          </cell>
          <cell r="Q193">
            <v>1</v>
          </cell>
          <cell r="R193">
            <v>34</v>
          </cell>
          <cell r="T193" t="str">
            <v>RU</v>
          </cell>
          <cell r="U193">
            <v>41456</v>
          </cell>
        </row>
        <row r="194">
          <cell r="B194" t="str">
            <v>SAiFUL</v>
          </cell>
          <cell r="C194">
            <v>3</v>
          </cell>
          <cell r="D194">
            <v>12</v>
          </cell>
          <cell r="E194">
            <v>3</v>
          </cell>
          <cell r="F194">
            <v>2</v>
          </cell>
          <cell r="G194">
            <v>0</v>
          </cell>
          <cell r="M194" t="str">
            <v>&gt;&gt;</v>
          </cell>
          <cell r="N194" t="str">
            <v>Saiful Islam</v>
          </cell>
          <cell r="O194" t="str">
            <v>FCC-1</v>
          </cell>
          <cell r="P194" t="str">
            <v>BPL ICONS (BI) +1RU+</v>
          </cell>
          <cell r="Q194">
            <v>1</v>
          </cell>
          <cell r="R194">
            <v>34</v>
          </cell>
          <cell r="T194" t="str">
            <v>RU</v>
          </cell>
          <cell r="U194">
            <v>41456</v>
          </cell>
        </row>
        <row r="195">
          <cell r="B195" t="str">
            <v>BPL SiXERS (BS)</v>
          </cell>
          <cell r="N195" t="str">
            <v/>
          </cell>
          <cell r="O195" t="str">
            <v>FCC-1</v>
          </cell>
          <cell r="P195" t="str">
            <v>BPL SiXERS (BS)</v>
          </cell>
          <cell r="Q195">
            <v>1</v>
          </cell>
          <cell r="R195">
            <v>35</v>
          </cell>
          <cell r="U195">
            <v>41456</v>
          </cell>
        </row>
        <row r="196">
          <cell r="B196" t="str">
            <v>Md. AsiF</v>
          </cell>
          <cell r="C196">
            <v>4</v>
          </cell>
          <cell r="D196">
            <v>64</v>
          </cell>
          <cell r="E196">
            <v>8</v>
          </cell>
          <cell r="F196">
            <v>10</v>
          </cell>
          <cell r="G196">
            <v>0</v>
          </cell>
          <cell r="M196" t="str">
            <v>&gt;&gt;</v>
          </cell>
          <cell r="N196" t="str">
            <v>Mohammad Asif</v>
          </cell>
          <cell r="O196" t="str">
            <v>FCC-1</v>
          </cell>
          <cell r="P196" t="str">
            <v>BPL SiXERS (BS)</v>
          </cell>
          <cell r="Q196">
            <v>1</v>
          </cell>
          <cell r="R196">
            <v>35</v>
          </cell>
          <cell r="U196">
            <v>41456</v>
          </cell>
        </row>
        <row r="197">
          <cell r="B197" t="str">
            <v>FAiSAL</v>
          </cell>
          <cell r="C197">
            <v>4</v>
          </cell>
          <cell r="D197">
            <v>101</v>
          </cell>
          <cell r="E197">
            <v>12</v>
          </cell>
          <cell r="F197">
            <v>8</v>
          </cell>
          <cell r="G197">
            <v>0</v>
          </cell>
          <cell r="M197" t="str">
            <v>&gt;&gt;</v>
          </cell>
          <cell r="N197" t="str">
            <v>Red Heart Faisal (Fayze Ahamed)</v>
          </cell>
          <cell r="O197" t="str">
            <v>FCC-1</v>
          </cell>
          <cell r="P197" t="str">
            <v>BPL SiXERS (BS)</v>
          </cell>
          <cell r="Q197">
            <v>1</v>
          </cell>
          <cell r="R197">
            <v>35</v>
          </cell>
          <cell r="U197">
            <v>41456</v>
          </cell>
          <cell r="W197">
            <v>1</v>
          </cell>
        </row>
        <row r="198">
          <cell r="B198" t="str">
            <v>Kawser</v>
          </cell>
          <cell r="C198">
            <v>3</v>
          </cell>
          <cell r="D198">
            <v>15</v>
          </cell>
          <cell r="E198">
            <v>2</v>
          </cell>
          <cell r="F198">
            <v>4</v>
          </cell>
          <cell r="G198">
            <v>0</v>
          </cell>
          <cell r="M198" t="str">
            <v>&gt;&gt;</v>
          </cell>
          <cell r="N198" t="str">
            <v>Ahmed Kawser Da Neymar</v>
          </cell>
          <cell r="O198" t="str">
            <v>FCC-1</v>
          </cell>
          <cell r="P198" t="str">
            <v>BPL SiXERS (BS)</v>
          </cell>
          <cell r="Q198">
            <v>1</v>
          </cell>
          <cell r="R198">
            <v>35</v>
          </cell>
          <cell r="U198">
            <v>41456</v>
          </cell>
        </row>
        <row r="199">
          <cell r="B199" t="str">
            <v>EMON</v>
          </cell>
          <cell r="C199">
            <v>2</v>
          </cell>
          <cell r="D199">
            <v>25</v>
          </cell>
          <cell r="E199">
            <v>1</v>
          </cell>
          <cell r="F199">
            <v>4</v>
          </cell>
          <cell r="G199">
            <v>1</v>
          </cell>
          <cell r="M199" t="str">
            <v>&gt;&gt;</v>
          </cell>
          <cell r="N199" t="str">
            <v>Fahim Shahrear Emon</v>
          </cell>
          <cell r="O199" t="str">
            <v>FCC-1</v>
          </cell>
          <cell r="P199" t="str">
            <v>BPL SiXERS (BS)</v>
          </cell>
          <cell r="Q199">
            <v>1</v>
          </cell>
          <cell r="R199">
            <v>35</v>
          </cell>
          <cell r="U199">
            <v>41456</v>
          </cell>
        </row>
        <row r="200">
          <cell r="B200" t="str">
            <v>Back Sakib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M200" t="str">
            <v>&gt;&gt;</v>
          </cell>
          <cell r="N200" t="str">
            <v>Backbencher Sakib</v>
          </cell>
          <cell r="O200" t="str">
            <v>FCC-1</v>
          </cell>
          <cell r="P200" t="str">
            <v>BPL SiXERS (BS)</v>
          </cell>
          <cell r="Q200">
            <v>1</v>
          </cell>
          <cell r="R200">
            <v>35</v>
          </cell>
          <cell r="U200">
            <v>41456</v>
          </cell>
        </row>
        <row r="201">
          <cell r="B201" t="str">
            <v>BiSHAL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M201" t="str">
            <v>&gt;&gt;</v>
          </cell>
          <cell r="N201" t="str">
            <v>Bishal Khan Ctg</v>
          </cell>
          <cell r="O201" t="str">
            <v>FCC-1</v>
          </cell>
          <cell r="P201" t="str">
            <v>BPL SiXERS (BS)</v>
          </cell>
          <cell r="Q201">
            <v>1</v>
          </cell>
          <cell r="R201">
            <v>35</v>
          </cell>
          <cell r="U201">
            <v>41456</v>
          </cell>
        </row>
        <row r="202">
          <cell r="B202" t="str">
            <v>BPL SUPER HEROES (BSH)</v>
          </cell>
          <cell r="N202" t="str">
            <v/>
          </cell>
          <cell r="O202" t="str">
            <v>FCC-1</v>
          </cell>
          <cell r="P202" t="str">
            <v>BPL SUPER HEROES (BSH)</v>
          </cell>
          <cell r="Q202">
            <v>1</v>
          </cell>
          <cell r="R202">
            <v>36</v>
          </cell>
          <cell r="T202" t="str">
            <v>RU</v>
          </cell>
          <cell r="U202">
            <v>41456</v>
          </cell>
        </row>
        <row r="203">
          <cell r="B203" t="str">
            <v>Sadrul</v>
          </cell>
          <cell r="C203">
            <v>2</v>
          </cell>
          <cell r="D203">
            <v>22</v>
          </cell>
          <cell r="E203">
            <v>4</v>
          </cell>
          <cell r="F203">
            <v>2</v>
          </cell>
          <cell r="G203">
            <v>0</v>
          </cell>
          <cell r="M203" t="str">
            <v>&gt;&gt;</v>
          </cell>
          <cell r="N203" t="str">
            <v>Sadrul Anam</v>
          </cell>
          <cell r="O203" t="str">
            <v>FCC-1</v>
          </cell>
          <cell r="P203" t="str">
            <v>BPL SUPER HEROES (BSH)</v>
          </cell>
          <cell r="Q203">
            <v>1</v>
          </cell>
          <cell r="R203">
            <v>36</v>
          </cell>
          <cell r="T203" t="str">
            <v>RU</v>
          </cell>
          <cell r="U203">
            <v>41456</v>
          </cell>
        </row>
        <row r="204">
          <cell r="B204" t="str">
            <v>REXX</v>
          </cell>
          <cell r="C204">
            <v>2</v>
          </cell>
          <cell r="D204">
            <v>47</v>
          </cell>
          <cell r="E204">
            <v>5</v>
          </cell>
          <cell r="F204">
            <v>4</v>
          </cell>
          <cell r="G204">
            <v>0</v>
          </cell>
          <cell r="M204" t="str">
            <v>&gt;&gt;</v>
          </cell>
          <cell r="N204" t="str">
            <v>Bishwajit Sarkar</v>
          </cell>
          <cell r="O204" t="str">
            <v>FCC-1</v>
          </cell>
          <cell r="P204" t="str">
            <v>BPL SUPER HEROES (BSH)</v>
          </cell>
          <cell r="Q204">
            <v>1</v>
          </cell>
          <cell r="R204">
            <v>36</v>
          </cell>
          <cell r="T204" t="str">
            <v>RU</v>
          </cell>
          <cell r="U204">
            <v>41456</v>
          </cell>
        </row>
        <row r="205">
          <cell r="B205" t="str">
            <v>MANiK</v>
          </cell>
          <cell r="C205">
            <v>1</v>
          </cell>
          <cell r="D205">
            <v>0</v>
          </cell>
          <cell r="E205">
            <v>0</v>
          </cell>
          <cell r="F205">
            <v>2</v>
          </cell>
          <cell r="G205">
            <v>0</v>
          </cell>
          <cell r="M205" t="str">
            <v>&gt;&gt;</v>
          </cell>
          <cell r="N205" t="str">
            <v>GM Manik</v>
          </cell>
          <cell r="O205" t="str">
            <v>FCC-1</v>
          </cell>
          <cell r="P205" t="str">
            <v>BPL SUPER HEROES (BSH)</v>
          </cell>
          <cell r="Q205">
            <v>1</v>
          </cell>
          <cell r="R205">
            <v>36</v>
          </cell>
          <cell r="T205" t="str">
            <v>RU</v>
          </cell>
          <cell r="U205">
            <v>41456</v>
          </cell>
        </row>
        <row r="206">
          <cell r="B206" t="str">
            <v>LOVELO</v>
          </cell>
          <cell r="C206">
            <v>2</v>
          </cell>
          <cell r="D206">
            <v>19</v>
          </cell>
          <cell r="E206">
            <v>1</v>
          </cell>
          <cell r="F206">
            <v>2</v>
          </cell>
          <cell r="G206">
            <v>0</v>
          </cell>
          <cell r="M206" t="str">
            <v>&gt;&gt;</v>
          </cell>
          <cell r="N206" t="str">
            <v>Alauddin Lovelo</v>
          </cell>
          <cell r="O206" t="str">
            <v>FCC-1</v>
          </cell>
          <cell r="P206" t="str">
            <v>BPL SUPER HEROES (BSH)</v>
          </cell>
          <cell r="Q206">
            <v>1</v>
          </cell>
          <cell r="R206">
            <v>36</v>
          </cell>
          <cell r="T206" t="str">
            <v>RU</v>
          </cell>
          <cell r="U206">
            <v>41456</v>
          </cell>
        </row>
        <row r="207">
          <cell r="B207" t="str">
            <v>WASHiM</v>
          </cell>
          <cell r="C207">
            <v>2</v>
          </cell>
          <cell r="D207">
            <v>30</v>
          </cell>
          <cell r="E207">
            <v>0</v>
          </cell>
          <cell r="F207">
            <v>3</v>
          </cell>
          <cell r="G207">
            <v>0</v>
          </cell>
          <cell r="M207" t="str">
            <v>&gt;&gt;</v>
          </cell>
          <cell r="N207" t="str">
            <v>Akram Husan (Washim)</v>
          </cell>
          <cell r="O207" t="str">
            <v>FCC-1</v>
          </cell>
          <cell r="P207" t="str">
            <v>BPL SUPER HEROES (BSH)</v>
          </cell>
          <cell r="Q207">
            <v>1</v>
          </cell>
          <cell r="R207">
            <v>36</v>
          </cell>
          <cell r="T207" t="str">
            <v>RU</v>
          </cell>
          <cell r="U207">
            <v>41456</v>
          </cell>
        </row>
        <row r="208">
          <cell r="B208" t="str">
            <v>NAYEEM</v>
          </cell>
          <cell r="C208">
            <v>2</v>
          </cell>
          <cell r="D208">
            <v>18</v>
          </cell>
          <cell r="E208">
            <v>0</v>
          </cell>
          <cell r="F208">
            <v>3</v>
          </cell>
          <cell r="G208">
            <v>0</v>
          </cell>
          <cell r="M208" t="str">
            <v>&gt;&gt;</v>
          </cell>
          <cell r="N208" t="str">
            <v>Saiful NayEem</v>
          </cell>
          <cell r="O208" t="str">
            <v>FCC-1</v>
          </cell>
          <cell r="P208" t="str">
            <v>BPL SUPER HEROES (BSH)</v>
          </cell>
          <cell r="Q208">
            <v>1</v>
          </cell>
          <cell r="R208">
            <v>36</v>
          </cell>
          <cell r="T208" t="str">
            <v>RU</v>
          </cell>
          <cell r="U208">
            <v>41456</v>
          </cell>
        </row>
        <row r="209">
          <cell r="B209" t="str">
            <v>TEAM = #KING #STÀRS (1RU)</v>
          </cell>
          <cell r="M209" t="str">
            <v>&gt;&gt;</v>
          </cell>
          <cell r="N209" t="str">
            <v/>
          </cell>
          <cell r="O209" t="str">
            <v>FIC-1</v>
          </cell>
          <cell r="P209" t="str">
            <v xml:space="preserve">  KING STÀRS (1RU)</v>
          </cell>
          <cell r="Q209">
            <v>1</v>
          </cell>
          <cell r="R209">
            <v>37</v>
          </cell>
          <cell r="T209" t="str">
            <v>RU</v>
          </cell>
          <cell r="U209">
            <v>41456</v>
          </cell>
        </row>
        <row r="210">
          <cell r="B210" t="str">
            <v>OVi</v>
          </cell>
          <cell r="C210">
            <v>8</v>
          </cell>
          <cell r="D210">
            <v>172</v>
          </cell>
          <cell r="E210">
            <v>16</v>
          </cell>
          <cell r="F210">
            <v>14</v>
          </cell>
          <cell r="G210">
            <v>1</v>
          </cell>
          <cell r="M210" t="str">
            <v>&gt;&gt;</v>
          </cell>
          <cell r="N210" t="str">
            <v>Toufiq Ahmed Ovi</v>
          </cell>
          <cell r="O210" t="str">
            <v>FIC-1</v>
          </cell>
          <cell r="P210" t="str">
            <v xml:space="preserve">  KING STÀRS (1RU)</v>
          </cell>
          <cell r="Q210">
            <v>1</v>
          </cell>
          <cell r="R210">
            <v>37</v>
          </cell>
          <cell r="T210" t="str">
            <v>RU</v>
          </cell>
          <cell r="U210">
            <v>41456</v>
          </cell>
        </row>
        <row r="211">
          <cell r="B211" t="str">
            <v>HELAL</v>
          </cell>
          <cell r="C211">
            <v>8</v>
          </cell>
          <cell r="D211">
            <v>156</v>
          </cell>
          <cell r="E211">
            <v>17</v>
          </cell>
          <cell r="F211">
            <v>14</v>
          </cell>
          <cell r="G211">
            <v>1</v>
          </cell>
          <cell r="M211" t="str">
            <v>&gt;&gt;</v>
          </cell>
          <cell r="N211" t="str">
            <v>Sheik Helal Ahmed</v>
          </cell>
          <cell r="O211" t="str">
            <v>FIC-1</v>
          </cell>
          <cell r="P211" t="str">
            <v xml:space="preserve">  KING STÀRS (1RU)</v>
          </cell>
          <cell r="Q211">
            <v>1</v>
          </cell>
          <cell r="R211">
            <v>37</v>
          </cell>
          <cell r="T211" t="str">
            <v>RU</v>
          </cell>
          <cell r="U211">
            <v>41456</v>
          </cell>
        </row>
        <row r="212">
          <cell r="B212" t="str">
            <v>SABBIR</v>
          </cell>
          <cell r="C212">
            <v>7</v>
          </cell>
          <cell r="D212">
            <v>134</v>
          </cell>
          <cell r="E212">
            <v>11</v>
          </cell>
          <cell r="F212">
            <v>12</v>
          </cell>
          <cell r="G212">
            <v>1</v>
          </cell>
          <cell r="M212" t="str">
            <v>&gt;&gt;</v>
          </cell>
          <cell r="N212" t="str">
            <v>Sabbir Ahmed</v>
          </cell>
          <cell r="O212" t="str">
            <v>FIC-1</v>
          </cell>
          <cell r="P212" t="str">
            <v xml:space="preserve">  KING STÀRS (1RU)</v>
          </cell>
          <cell r="Q212">
            <v>1</v>
          </cell>
          <cell r="R212">
            <v>37</v>
          </cell>
          <cell r="T212" t="str">
            <v>RU</v>
          </cell>
          <cell r="U212">
            <v>41456</v>
          </cell>
        </row>
        <row r="213">
          <cell r="B213" t="str">
            <v>HRiDOY</v>
          </cell>
          <cell r="C213">
            <v>8</v>
          </cell>
          <cell r="D213">
            <v>148</v>
          </cell>
          <cell r="E213">
            <v>8</v>
          </cell>
          <cell r="F213">
            <v>13</v>
          </cell>
          <cell r="G213">
            <v>0</v>
          </cell>
          <cell r="M213" t="str">
            <v>&gt;&gt;</v>
          </cell>
          <cell r="N213" t="str">
            <v>Kamrul Hasan Hridoy</v>
          </cell>
          <cell r="O213" t="str">
            <v>FIC-1</v>
          </cell>
          <cell r="P213" t="str">
            <v xml:space="preserve">  KING STÀRS (1RU)</v>
          </cell>
          <cell r="Q213">
            <v>1</v>
          </cell>
          <cell r="R213">
            <v>37</v>
          </cell>
          <cell r="T213" t="str">
            <v>RU</v>
          </cell>
          <cell r="U213">
            <v>41456</v>
          </cell>
        </row>
        <row r="214">
          <cell r="B214" t="str">
            <v>Team = #SPARKLING #FiRE (2RU)</v>
          </cell>
          <cell r="M214" t="str">
            <v>&gt;&gt;</v>
          </cell>
          <cell r="N214" t="str">
            <v/>
          </cell>
          <cell r="O214" t="str">
            <v>FIC-1</v>
          </cell>
          <cell r="P214" t="str">
            <v xml:space="preserve">  SPARKLING FiRE (2RU)</v>
          </cell>
          <cell r="Q214">
            <v>1</v>
          </cell>
          <cell r="R214">
            <v>38</v>
          </cell>
          <cell r="T214" t="str">
            <v>3RD</v>
          </cell>
          <cell r="U214">
            <v>41456</v>
          </cell>
        </row>
        <row r="215">
          <cell r="B215" t="str">
            <v>ZAHEED</v>
          </cell>
          <cell r="C215">
            <v>7</v>
          </cell>
          <cell r="D215">
            <v>111</v>
          </cell>
          <cell r="E215">
            <v>20</v>
          </cell>
          <cell r="F215">
            <v>12</v>
          </cell>
          <cell r="G215">
            <v>3</v>
          </cell>
          <cell r="J215">
            <v>1</v>
          </cell>
          <cell r="M215" t="str">
            <v>&gt;&gt;</v>
          </cell>
          <cell r="N215" t="str">
            <v>Zaheed Hasan</v>
          </cell>
          <cell r="O215" t="str">
            <v>FIC-1</v>
          </cell>
          <cell r="P215" t="str">
            <v xml:space="preserve">  SPARKLING FiRE (2RU)</v>
          </cell>
          <cell r="Q215">
            <v>1</v>
          </cell>
          <cell r="R215">
            <v>38</v>
          </cell>
          <cell r="T215" t="str">
            <v>3RD</v>
          </cell>
          <cell r="U215">
            <v>41456</v>
          </cell>
        </row>
        <row r="216">
          <cell r="B216" t="str">
            <v>RiFAT</v>
          </cell>
          <cell r="C216">
            <v>7</v>
          </cell>
          <cell r="D216">
            <v>168</v>
          </cell>
          <cell r="E216">
            <v>7</v>
          </cell>
          <cell r="F216">
            <v>14</v>
          </cell>
          <cell r="G216">
            <v>1</v>
          </cell>
          <cell r="M216" t="str">
            <v>&gt;&gt;</v>
          </cell>
          <cell r="N216" t="str">
            <v>Rifat Ullah</v>
          </cell>
          <cell r="O216" t="str">
            <v>FIC-1</v>
          </cell>
          <cell r="P216" t="str">
            <v xml:space="preserve">  SPARKLING FiRE (2RU)</v>
          </cell>
          <cell r="Q216">
            <v>1</v>
          </cell>
          <cell r="R216">
            <v>38</v>
          </cell>
          <cell r="T216" t="str">
            <v>3RD</v>
          </cell>
          <cell r="U216">
            <v>41456</v>
          </cell>
        </row>
        <row r="217">
          <cell r="B217" t="str">
            <v>ALiF</v>
          </cell>
          <cell r="C217">
            <v>7</v>
          </cell>
          <cell r="D217">
            <v>75</v>
          </cell>
          <cell r="E217">
            <v>7</v>
          </cell>
          <cell r="F217">
            <v>7</v>
          </cell>
          <cell r="G217">
            <v>0</v>
          </cell>
          <cell r="M217" t="str">
            <v>&gt;&gt;</v>
          </cell>
          <cell r="N217" t="str">
            <v>Farhanul Habib Alif</v>
          </cell>
          <cell r="O217" t="str">
            <v>FIC-1</v>
          </cell>
          <cell r="P217" t="str">
            <v xml:space="preserve">  SPARKLING FiRE (2RU)</v>
          </cell>
          <cell r="Q217">
            <v>1</v>
          </cell>
          <cell r="R217">
            <v>38</v>
          </cell>
          <cell r="T217" t="str">
            <v>3RD</v>
          </cell>
          <cell r="U217">
            <v>41456</v>
          </cell>
        </row>
        <row r="218">
          <cell r="B218" t="str">
            <v>ZOHiR</v>
          </cell>
          <cell r="C218">
            <v>7</v>
          </cell>
          <cell r="D218">
            <v>126</v>
          </cell>
          <cell r="E218">
            <v>13</v>
          </cell>
          <cell r="F218">
            <v>10</v>
          </cell>
          <cell r="G218">
            <v>0</v>
          </cell>
          <cell r="M218" t="str">
            <v>&gt;&gt;</v>
          </cell>
          <cell r="N218" t="str">
            <v>Zi Zohir</v>
          </cell>
          <cell r="O218" t="str">
            <v>FIC-1</v>
          </cell>
          <cell r="P218" t="str">
            <v xml:space="preserve">  SPARKLING FiRE (2RU)</v>
          </cell>
          <cell r="Q218">
            <v>1</v>
          </cell>
          <cell r="R218">
            <v>38</v>
          </cell>
          <cell r="T218" t="str">
            <v>3RD</v>
          </cell>
          <cell r="U218">
            <v>41456</v>
          </cell>
        </row>
        <row r="219">
          <cell r="B219" t="str">
            <v>Tutul</v>
          </cell>
          <cell r="C219">
            <v>5</v>
          </cell>
          <cell r="D219">
            <v>101</v>
          </cell>
          <cell r="E219">
            <v>8</v>
          </cell>
          <cell r="F219">
            <v>10</v>
          </cell>
          <cell r="G219">
            <v>1</v>
          </cell>
          <cell r="M219" t="str">
            <v>&gt;&gt;</v>
          </cell>
          <cell r="N219" t="str">
            <v>Kamrul Hasan Tutul</v>
          </cell>
          <cell r="O219" t="str">
            <v>FIC-1</v>
          </cell>
          <cell r="P219" t="str">
            <v xml:space="preserve">  SPARKLING FiRE (2RU)</v>
          </cell>
          <cell r="Q219">
            <v>1</v>
          </cell>
          <cell r="R219">
            <v>38</v>
          </cell>
          <cell r="T219" t="str">
            <v>3RD</v>
          </cell>
          <cell r="U219">
            <v>41456</v>
          </cell>
        </row>
        <row r="220">
          <cell r="B220" t="str">
            <v>Team = #BLAZZING #STARS</v>
          </cell>
          <cell r="M220" t="str">
            <v>&gt;&gt;</v>
          </cell>
          <cell r="N220" t="str">
            <v/>
          </cell>
          <cell r="O220" t="str">
            <v>FIC-1</v>
          </cell>
          <cell r="P220" t="str">
            <v xml:space="preserve">  BLAZZING STARS</v>
          </cell>
          <cell r="Q220">
            <v>1</v>
          </cell>
          <cell r="R220">
            <v>39</v>
          </cell>
          <cell r="U220">
            <v>41456</v>
          </cell>
        </row>
        <row r="221">
          <cell r="B221" t="str">
            <v>FAiSAL</v>
          </cell>
          <cell r="C221">
            <v>6</v>
          </cell>
          <cell r="D221">
            <v>104</v>
          </cell>
          <cell r="E221">
            <v>12</v>
          </cell>
          <cell r="F221">
            <v>8</v>
          </cell>
          <cell r="G221">
            <v>0</v>
          </cell>
          <cell r="M221" t="str">
            <v>&gt;&gt;</v>
          </cell>
          <cell r="N221" t="str">
            <v>Red Heart Faisal (Fayze Ahamed)</v>
          </cell>
          <cell r="O221" t="str">
            <v>FIC-1</v>
          </cell>
          <cell r="P221" t="str">
            <v xml:space="preserve">  BLAZZING STARS</v>
          </cell>
          <cell r="Q221">
            <v>1</v>
          </cell>
          <cell r="R221">
            <v>39</v>
          </cell>
          <cell r="U221">
            <v>41456</v>
          </cell>
        </row>
        <row r="222">
          <cell r="B222" t="str">
            <v>RAYHAN</v>
          </cell>
          <cell r="C222">
            <v>6</v>
          </cell>
          <cell r="D222">
            <v>38</v>
          </cell>
          <cell r="E222">
            <v>13</v>
          </cell>
          <cell r="F222">
            <v>7</v>
          </cell>
          <cell r="G222">
            <v>1</v>
          </cell>
          <cell r="M222" t="str">
            <v>&gt;&gt;</v>
          </cell>
          <cell r="N222" t="str">
            <v>Rayhan Rahman</v>
          </cell>
          <cell r="O222" t="str">
            <v>FIC-1</v>
          </cell>
          <cell r="P222" t="str">
            <v xml:space="preserve">  BLAZZING STARS</v>
          </cell>
          <cell r="Q222">
            <v>1</v>
          </cell>
          <cell r="R222">
            <v>39</v>
          </cell>
          <cell r="U222">
            <v>41456</v>
          </cell>
        </row>
        <row r="223">
          <cell r="B223" t="str">
            <v>SAHED</v>
          </cell>
          <cell r="C223">
            <v>6</v>
          </cell>
          <cell r="D223">
            <v>109</v>
          </cell>
          <cell r="E223">
            <v>8</v>
          </cell>
          <cell r="F223">
            <v>8</v>
          </cell>
          <cell r="G223">
            <v>2</v>
          </cell>
          <cell r="M223" t="str">
            <v>&gt;&gt;</v>
          </cell>
          <cell r="N223" t="str">
            <v>Sahed Hossain Masum</v>
          </cell>
          <cell r="O223" t="str">
            <v>FIC-1</v>
          </cell>
          <cell r="P223" t="str">
            <v xml:space="preserve">  BLAZZING STARS</v>
          </cell>
          <cell r="Q223">
            <v>1</v>
          </cell>
          <cell r="R223">
            <v>39</v>
          </cell>
          <cell r="U223">
            <v>41456</v>
          </cell>
        </row>
        <row r="224">
          <cell r="B224" t="str">
            <v>ANEEK</v>
          </cell>
          <cell r="C224">
            <v>5</v>
          </cell>
          <cell r="D224">
            <v>114</v>
          </cell>
          <cell r="E224">
            <v>5</v>
          </cell>
          <cell r="F224">
            <v>8</v>
          </cell>
          <cell r="G224">
            <v>2</v>
          </cell>
          <cell r="M224" t="str">
            <v>&gt;&gt;</v>
          </cell>
          <cell r="N224" t="str">
            <v>Md Aneek Rashid</v>
          </cell>
          <cell r="O224" t="str">
            <v>FIC-1</v>
          </cell>
          <cell r="P224" t="str">
            <v xml:space="preserve">  BLAZZING STARS</v>
          </cell>
          <cell r="Q224">
            <v>1</v>
          </cell>
          <cell r="R224">
            <v>39</v>
          </cell>
          <cell r="U224">
            <v>41456</v>
          </cell>
        </row>
        <row r="225">
          <cell r="B225" t="str">
            <v>ASHiK</v>
          </cell>
          <cell r="C225">
            <v>4</v>
          </cell>
          <cell r="D225">
            <v>14</v>
          </cell>
          <cell r="E225">
            <v>9</v>
          </cell>
          <cell r="F225">
            <v>3</v>
          </cell>
          <cell r="G225">
            <v>0</v>
          </cell>
          <cell r="M225" t="str">
            <v>&gt;&gt;</v>
          </cell>
          <cell r="N225" t="str">
            <v>Ashikur Rahman Ashik</v>
          </cell>
          <cell r="O225" t="str">
            <v>FIC-1</v>
          </cell>
          <cell r="P225" t="str">
            <v xml:space="preserve">  BLAZZING STARS</v>
          </cell>
          <cell r="Q225">
            <v>1</v>
          </cell>
          <cell r="R225">
            <v>39</v>
          </cell>
          <cell r="U225">
            <v>41456</v>
          </cell>
        </row>
        <row r="226">
          <cell r="B226" t="str">
            <v>SHARiF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M226" t="str">
            <v>&gt;&gt;</v>
          </cell>
          <cell r="N226" t="str">
            <v>MD Sharif All Hasan</v>
          </cell>
          <cell r="O226" t="str">
            <v>FIC-1</v>
          </cell>
          <cell r="P226" t="str">
            <v xml:space="preserve">  BLAZZING STARS</v>
          </cell>
          <cell r="Q226">
            <v>1</v>
          </cell>
          <cell r="R226">
            <v>39</v>
          </cell>
          <cell r="U226">
            <v>41456</v>
          </cell>
        </row>
        <row r="227">
          <cell r="B227" t="str">
            <v>TEAM = #ROCKET #THUNDERS</v>
          </cell>
          <cell r="M227" t="str">
            <v>&gt;&gt;</v>
          </cell>
          <cell r="N227" t="str">
            <v/>
          </cell>
          <cell r="O227" t="str">
            <v>FIC-1</v>
          </cell>
          <cell r="P227" t="str">
            <v xml:space="preserve">  ROCKET THUNDERS</v>
          </cell>
          <cell r="Q227">
            <v>1</v>
          </cell>
          <cell r="R227">
            <v>40</v>
          </cell>
          <cell r="U227">
            <v>41456</v>
          </cell>
        </row>
        <row r="228">
          <cell r="B228" t="str">
            <v>RiNKON</v>
          </cell>
          <cell r="C228">
            <v>5</v>
          </cell>
          <cell r="D228">
            <v>85</v>
          </cell>
          <cell r="E228">
            <v>4</v>
          </cell>
          <cell r="F228">
            <v>7</v>
          </cell>
          <cell r="G228">
            <v>0</v>
          </cell>
          <cell r="M228" t="str">
            <v>&gt;&gt;</v>
          </cell>
          <cell r="N228" t="str">
            <v>Rinkon Khan</v>
          </cell>
          <cell r="O228" t="str">
            <v>FIC-1</v>
          </cell>
          <cell r="P228" t="str">
            <v xml:space="preserve">  ROCKET THUNDERS</v>
          </cell>
          <cell r="Q228">
            <v>1</v>
          </cell>
          <cell r="R228">
            <v>40</v>
          </cell>
          <cell r="U228">
            <v>41456</v>
          </cell>
        </row>
        <row r="229">
          <cell r="B229" t="str">
            <v>Raihan</v>
          </cell>
          <cell r="C229">
            <v>5</v>
          </cell>
          <cell r="D229">
            <v>47</v>
          </cell>
          <cell r="E229">
            <v>4</v>
          </cell>
          <cell r="F229">
            <v>8</v>
          </cell>
          <cell r="G229">
            <v>0</v>
          </cell>
          <cell r="M229" t="str">
            <v>&gt;&gt;</v>
          </cell>
          <cell r="N229" t="str">
            <v>Raihan Al-maMun</v>
          </cell>
          <cell r="O229" t="str">
            <v>FIC-1</v>
          </cell>
          <cell r="P229" t="str">
            <v xml:space="preserve">  ROCKET THUNDERS</v>
          </cell>
          <cell r="Q229">
            <v>1</v>
          </cell>
          <cell r="R229">
            <v>40</v>
          </cell>
          <cell r="U229">
            <v>41456</v>
          </cell>
        </row>
        <row r="230">
          <cell r="B230" t="str">
            <v>PAUL</v>
          </cell>
          <cell r="C230">
            <v>6</v>
          </cell>
          <cell r="D230">
            <v>129</v>
          </cell>
          <cell r="E230">
            <v>8</v>
          </cell>
          <cell r="F230">
            <v>11</v>
          </cell>
          <cell r="G230">
            <v>1</v>
          </cell>
          <cell r="M230" t="str">
            <v>&gt;&gt;</v>
          </cell>
          <cell r="N230" t="str">
            <v>Susmoy Paul</v>
          </cell>
          <cell r="O230" t="str">
            <v>FIC-1</v>
          </cell>
          <cell r="P230" t="str">
            <v xml:space="preserve">  ROCKET THUNDERS</v>
          </cell>
          <cell r="Q230">
            <v>1</v>
          </cell>
          <cell r="R230">
            <v>40</v>
          </cell>
          <cell r="U230">
            <v>41456</v>
          </cell>
        </row>
        <row r="231">
          <cell r="B231" t="str">
            <v>Mehedi</v>
          </cell>
          <cell r="C231">
            <v>6</v>
          </cell>
          <cell r="D231">
            <v>89</v>
          </cell>
          <cell r="E231">
            <v>12</v>
          </cell>
          <cell r="F231">
            <v>11</v>
          </cell>
          <cell r="G231">
            <v>0</v>
          </cell>
          <cell r="M231" t="str">
            <v>&gt;&gt;</v>
          </cell>
          <cell r="N231" t="str">
            <v>Mehedi Hasan Shovon</v>
          </cell>
          <cell r="O231" t="str">
            <v>FIC-1</v>
          </cell>
          <cell r="P231" t="str">
            <v xml:space="preserve">  ROCKET THUNDERS</v>
          </cell>
          <cell r="Q231">
            <v>1</v>
          </cell>
          <cell r="R231">
            <v>40</v>
          </cell>
          <cell r="U231">
            <v>41456</v>
          </cell>
        </row>
        <row r="232">
          <cell r="B232" t="str">
            <v>OLiy</v>
          </cell>
          <cell r="C232">
            <v>5</v>
          </cell>
          <cell r="D232">
            <v>28</v>
          </cell>
          <cell r="E232">
            <v>9</v>
          </cell>
          <cell r="F232">
            <v>7</v>
          </cell>
          <cell r="G232">
            <v>0</v>
          </cell>
          <cell r="M232" t="str">
            <v>&gt;&gt;</v>
          </cell>
          <cell r="N232" t="str">
            <v>Oliy Saif</v>
          </cell>
          <cell r="O232" t="str">
            <v>FIC-1</v>
          </cell>
          <cell r="P232" t="str">
            <v xml:space="preserve">  ROCKET THUNDERS</v>
          </cell>
          <cell r="Q232">
            <v>1</v>
          </cell>
          <cell r="R232">
            <v>40</v>
          </cell>
          <cell r="U232">
            <v>41456</v>
          </cell>
        </row>
        <row r="233">
          <cell r="B233" t="str">
            <v>Team = #DARK #HORSE</v>
          </cell>
          <cell r="M233" t="str">
            <v>&gt;&gt;</v>
          </cell>
          <cell r="N233" t="str">
            <v/>
          </cell>
          <cell r="O233" t="str">
            <v>FIC-1</v>
          </cell>
          <cell r="P233" t="str">
            <v xml:space="preserve">  DARK HORSE</v>
          </cell>
          <cell r="Q233">
            <v>1</v>
          </cell>
          <cell r="R233">
            <v>41</v>
          </cell>
          <cell r="U233">
            <v>41456</v>
          </cell>
        </row>
        <row r="234">
          <cell r="B234" t="str">
            <v>RUVEL</v>
          </cell>
          <cell r="C234">
            <v>6</v>
          </cell>
          <cell r="D234">
            <v>127</v>
          </cell>
          <cell r="E234">
            <v>6</v>
          </cell>
          <cell r="F234">
            <v>11</v>
          </cell>
          <cell r="G234">
            <v>1</v>
          </cell>
          <cell r="M234" t="str">
            <v>&gt;&gt;</v>
          </cell>
          <cell r="N234" t="str">
            <v>Md Ruvel</v>
          </cell>
          <cell r="O234" t="str">
            <v>FIC-1</v>
          </cell>
          <cell r="P234" t="str">
            <v xml:space="preserve">  DARK HORSE</v>
          </cell>
          <cell r="Q234">
            <v>1</v>
          </cell>
          <cell r="R234">
            <v>41</v>
          </cell>
          <cell r="U234">
            <v>41456</v>
          </cell>
        </row>
        <row r="235">
          <cell r="B235" t="str">
            <v>WASHiM</v>
          </cell>
          <cell r="C235">
            <v>5</v>
          </cell>
          <cell r="D235">
            <v>107</v>
          </cell>
          <cell r="E235">
            <v>4</v>
          </cell>
          <cell r="F235">
            <v>12</v>
          </cell>
          <cell r="G235">
            <v>1</v>
          </cell>
          <cell r="M235" t="str">
            <v>&gt;&gt;</v>
          </cell>
          <cell r="N235" t="str">
            <v>Akram Husan (Washim)</v>
          </cell>
          <cell r="O235" t="str">
            <v>FIC-1</v>
          </cell>
          <cell r="P235" t="str">
            <v xml:space="preserve">  DARK HORSE</v>
          </cell>
          <cell r="Q235">
            <v>1</v>
          </cell>
          <cell r="R235">
            <v>41</v>
          </cell>
          <cell r="U235">
            <v>41456</v>
          </cell>
        </row>
        <row r="236">
          <cell r="B236" t="str">
            <v>SHAHAN</v>
          </cell>
          <cell r="C236">
            <v>6</v>
          </cell>
          <cell r="D236">
            <v>119</v>
          </cell>
          <cell r="E236">
            <v>11</v>
          </cell>
          <cell r="F236">
            <v>12</v>
          </cell>
          <cell r="G236">
            <v>0</v>
          </cell>
          <cell r="M236" t="str">
            <v>&gt;&gt;</v>
          </cell>
          <cell r="N236" t="str">
            <v>Shahan Ahmed</v>
          </cell>
          <cell r="O236" t="str">
            <v>FIC-1</v>
          </cell>
          <cell r="P236" t="str">
            <v xml:space="preserve">  DARK HORSE</v>
          </cell>
          <cell r="Q236">
            <v>1</v>
          </cell>
          <cell r="R236">
            <v>41</v>
          </cell>
          <cell r="U236">
            <v>41456</v>
          </cell>
        </row>
        <row r="237">
          <cell r="B237" t="str">
            <v>SADRUL</v>
          </cell>
          <cell r="C237">
            <v>3</v>
          </cell>
          <cell r="D237">
            <v>57</v>
          </cell>
          <cell r="E237">
            <v>11</v>
          </cell>
          <cell r="F237">
            <v>8</v>
          </cell>
          <cell r="G237">
            <v>0</v>
          </cell>
          <cell r="M237" t="str">
            <v>&gt;&gt;</v>
          </cell>
          <cell r="N237" t="str">
            <v>Sadrul Anam</v>
          </cell>
          <cell r="O237" t="str">
            <v>FIC-1</v>
          </cell>
          <cell r="P237" t="str">
            <v xml:space="preserve">  DARK HORSE</v>
          </cell>
          <cell r="Q237">
            <v>1</v>
          </cell>
          <cell r="R237">
            <v>41</v>
          </cell>
          <cell r="U237">
            <v>41456</v>
          </cell>
        </row>
        <row r="238">
          <cell r="B238" t="str">
            <v>Prince</v>
          </cell>
          <cell r="C238">
            <v>2</v>
          </cell>
          <cell r="D238">
            <v>25</v>
          </cell>
          <cell r="E238">
            <v>2</v>
          </cell>
          <cell r="F238">
            <v>2</v>
          </cell>
          <cell r="G238">
            <v>0</v>
          </cell>
          <cell r="M238" t="str">
            <v>&gt;&gt;</v>
          </cell>
          <cell r="N238" t="str">
            <v>Arnab Prince</v>
          </cell>
          <cell r="O238" t="str">
            <v>FIC-1</v>
          </cell>
          <cell r="P238" t="str">
            <v xml:space="preserve">  DARK HORSE</v>
          </cell>
          <cell r="Q238">
            <v>1</v>
          </cell>
          <cell r="R238">
            <v>41</v>
          </cell>
          <cell r="U238">
            <v>41456</v>
          </cell>
        </row>
        <row r="239">
          <cell r="B239" t="str">
            <v>SOHANUR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M239" t="str">
            <v>&gt;&gt;</v>
          </cell>
          <cell r="N239" t="str">
            <v>Sohanur Rahman Sakib</v>
          </cell>
          <cell r="O239" t="str">
            <v>FIC-1</v>
          </cell>
          <cell r="P239" t="str">
            <v xml:space="preserve">  DARK HORSE</v>
          </cell>
          <cell r="Q239">
            <v>1</v>
          </cell>
          <cell r="R239">
            <v>41</v>
          </cell>
          <cell r="U239">
            <v>41456</v>
          </cell>
        </row>
        <row r="240">
          <cell r="B240" t="str">
            <v>Team = #GLORY #HUNTERS</v>
          </cell>
          <cell r="M240" t="str">
            <v>&gt;&gt;</v>
          </cell>
          <cell r="N240" t="str">
            <v/>
          </cell>
          <cell r="O240" t="str">
            <v>FIC-1</v>
          </cell>
          <cell r="P240" t="str">
            <v xml:space="preserve">  GLORY HUNTERS</v>
          </cell>
          <cell r="Q240">
            <v>1</v>
          </cell>
          <cell r="R240">
            <v>42</v>
          </cell>
          <cell r="U240">
            <v>41456</v>
          </cell>
        </row>
        <row r="241">
          <cell r="B241" t="str">
            <v>Akram Himal</v>
          </cell>
          <cell r="C241">
            <v>5</v>
          </cell>
          <cell r="D241">
            <v>65</v>
          </cell>
          <cell r="E241">
            <v>13</v>
          </cell>
          <cell r="F241">
            <v>10</v>
          </cell>
          <cell r="G241">
            <v>0</v>
          </cell>
          <cell r="M241" t="str">
            <v>&gt;&gt;</v>
          </cell>
          <cell r="N241" t="str">
            <v>Akram Hosen Himal</v>
          </cell>
          <cell r="O241" t="str">
            <v>FIC-1</v>
          </cell>
          <cell r="P241" t="str">
            <v xml:space="preserve">  GLORY HUNTERS</v>
          </cell>
          <cell r="Q241">
            <v>1</v>
          </cell>
          <cell r="R241">
            <v>42</v>
          </cell>
          <cell r="U241">
            <v>41456</v>
          </cell>
        </row>
        <row r="242">
          <cell r="B242" t="str">
            <v>JAHIN</v>
          </cell>
          <cell r="C242">
            <v>5</v>
          </cell>
          <cell r="D242">
            <v>123</v>
          </cell>
          <cell r="E242">
            <v>9</v>
          </cell>
          <cell r="F242">
            <v>12</v>
          </cell>
          <cell r="G242">
            <v>0</v>
          </cell>
          <cell r="M242" t="str">
            <v>&gt;&gt;</v>
          </cell>
          <cell r="N242" t="str">
            <v>Jahin Shahriar Chowdhury</v>
          </cell>
          <cell r="O242" t="str">
            <v>FIC-1</v>
          </cell>
          <cell r="P242" t="str">
            <v xml:space="preserve">  GLORY HUNTERS</v>
          </cell>
          <cell r="Q242">
            <v>1</v>
          </cell>
          <cell r="R242">
            <v>42</v>
          </cell>
          <cell r="U242">
            <v>41456</v>
          </cell>
        </row>
        <row r="243">
          <cell r="B243" t="str">
            <v>NAHID</v>
          </cell>
          <cell r="C243">
            <v>5</v>
          </cell>
          <cell r="D243">
            <v>101</v>
          </cell>
          <cell r="E243">
            <v>6</v>
          </cell>
          <cell r="F243">
            <v>8</v>
          </cell>
          <cell r="G243">
            <v>1</v>
          </cell>
          <cell r="M243" t="str">
            <v>&gt;&gt;</v>
          </cell>
          <cell r="N243" t="str">
            <v>Nahid Saifullah</v>
          </cell>
          <cell r="O243" t="str">
            <v>FIC-1</v>
          </cell>
          <cell r="P243" t="str">
            <v xml:space="preserve">  GLORY HUNTERS</v>
          </cell>
          <cell r="Q243">
            <v>1</v>
          </cell>
          <cell r="R243">
            <v>42</v>
          </cell>
          <cell r="U243">
            <v>41456</v>
          </cell>
        </row>
        <row r="244">
          <cell r="B244" t="str">
            <v>FAHAD</v>
          </cell>
          <cell r="C244">
            <v>2</v>
          </cell>
          <cell r="D244">
            <v>28</v>
          </cell>
          <cell r="E244">
            <v>3</v>
          </cell>
          <cell r="F244">
            <v>2</v>
          </cell>
          <cell r="G244">
            <v>1</v>
          </cell>
          <cell r="M244" t="str">
            <v>&gt;&gt;</v>
          </cell>
          <cell r="N244" t="str">
            <v>FaiSal RaHman FaHad</v>
          </cell>
          <cell r="O244" t="str">
            <v>FIC-1</v>
          </cell>
          <cell r="P244" t="str">
            <v xml:space="preserve">  GLORY HUNTERS</v>
          </cell>
          <cell r="Q244">
            <v>1</v>
          </cell>
          <cell r="R244">
            <v>42</v>
          </cell>
          <cell r="U244">
            <v>41456</v>
          </cell>
        </row>
        <row r="245">
          <cell r="B245" t="str">
            <v>RAKIB</v>
          </cell>
          <cell r="C245">
            <v>3</v>
          </cell>
          <cell r="D245">
            <v>31</v>
          </cell>
          <cell r="E245">
            <v>1</v>
          </cell>
          <cell r="F245">
            <v>4</v>
          </cell>
          <cell r="G245">
            <v>0</v>
          </cell>
          <cell r="M245" t="str">
            <v>&gt;&gt;</v>
          </cell>
          <cell r="N245" t="str">
            <v>Rakib Hasan</v>
          </cell>
          <cell r="O245" t="str">
            <v>FIC-1</v>
          </cell>
          <cell r="P245" t="str">
            <v xml:space="preserve">  GLORY HUNTERS</v>
          </cell>
          <cell r="Q245">
            <v>1</v>
          </cell>
          <cell r="R245">
            <v>42</v>
          </cell>
          <cell r="U245">
            <v>41456</v>
          </cell>
        </row>
        <row r="246">
          <cell r="B246" t="str">
            <v>SAMI</v>
          </cell>
          <cell r="C246">
            <v>2</v>
          </cell>
          <cell r="D246">
            <v>3</v>
          </cell>
          <cell r="E246">
            <v>0</v>
          </cell>
          <cell r="F246">
            <v>2</v>
          </cell>
          <cell r="G246">
            <v>0</v>
          </cell>
          <cell r="M246" t="str">
            <v>&gt;&gt;</v>
          </cell>
          <cell r="N246" t="str">
            <v>Wasim Al Sami</v>
          </cell>
          <cell r="O246" t="str">
            <v>FIC-1</v>
          </cell>
          <cell r="P246" t="str">
            <v xml:space="preserve">  GLORY HUNTERS</v>
          </cell>
          <cell r="Q246">
            <v>1</v>
          </cell>
          <cell r="R246">
            <v>42</v>
          </cell>
          <cell r="U246">
            <v>41456</v>
          </cell>
        </row>
        <row r="247">
          <cell r="B247" t="str">
            <v>Team = #BLEED #BLUE</v>
          </cell>
          <cell r="M247" t="str">
            <v>&gt;&gt;</v>
          </cell>
          <cell r="N247" t="str">
            <v/>
          </cell>
          <cell r="O247" t="str">
            <v>FIC-1</v>
          </cell>
          <cell r="P247" t="str">
            <v xml:space="preserve">  BLEED BLUE</v>
          </cell>
          <cell r="Q247">
            <v>1</v>
          </cell>
          <cell r="R247">
            <v>43</v>
          </cell>
          <cell r="U247">
            <v>41456</v>
          </cell>
        </row>
        <row r="248">
          <cell r="B248" t="str">
            <v>SAKiB Sr.</v>
          </cell>
          <cell r="C248">
            <v>5</v>
          </cell>
          <cell r="D248">
            <v>103</v>
          </cell>
          <cell r="E248">
            <v>2</v>
          </cell>
          <cell r="F248">
            <v>11</v>
          </cell>
          <cell r="G248">
            <v>1</v>
          </cell>
          <cell r="I248">
            <v>0</v>
          </cell>
          <cell r="M248" t="str">
            <v>&gt;&gt;</v>
          </cell>
          <cell r="N248" t="str">
            <v>Ahmad Sakib Abdullah</v>
          </cell>
          <cell r="O248" t="str">
            <v>FIC-1</v>
          </cell>
          <cell r="P248" t="str">
            <v xml:space="preserve">  BLEED BLUE</v>
          </cell>
          <cell r="Q248">
            <v>1</v>
          </cell>
          <cell r="R248">
            <v>43</v>
          </cell>
          <cell r="U248">
            <v>41456</v>
          </cell>
        </row>
        <row r="249">
          <cell r="B249" t="str">
            <v>NiAMUL</v>
          </cell>
          <cell r="C249">
            <v>5</v>
          </cell>
          <cell r="D249">
            <v>148</v>
          </cell>
          <cell r="E249">
            <v>15</v>
          </cell>
          <cell r="F249">
            <v>13</v>
          </cell>
          <cell r="G249">
            <v>2</v>
          </cell>
          <cell r="M249" t="str">
            <v>&gt;&gt;</v>
          </cell>
          <cell r="N249" t="str">
            <v>Niamul Habib Setu</v>
          </cell>
          <cell r="O249" t="str">
            <v>FIC-1</v>
          </cell>
          <cell r="P249" t="str">
            <v xml:space="preserve">  BLEED BLUE</v>
          </cell>
          <cell r="Q249">
            <v>1</v>
          </cell>
          <cell r="R249">
            <v>43</v>
          </cell>
          <cell r="U249">
            <v>41456</v>
          </cell>
        </row>
        <row r="250">
          <cell r="B250" t="str">
            <v>ASiF</v>
          </cell>
          <cell r="C250">
            <v>4</v>
          </cell>
          <cell r="D250">
            <v>54</v>
          </cell>
          <cell r="E250">
            <v>2</v>
          </cell>
          <cell r="F250">
            <v>9</v>
          </cell>
          <cell r="G250">
            <v>0</v>
          </cell>
          <cell r="M250" t="str">
            <v>&gt;&gt;</v>
          </cell>
          <cell r="N250" t="str">
            <v>Asif Iqbal Khan</v>
          </cell>
          <cell r="O250" t="str">
            <v>FIC-1</v>
          </cell>
          <cell r="P250" t="str">
            <v xml:space="preserve">  BLEED BLUE</v>
          </cell>
          <cell r="Q250">
            <v>1</v>
          </cell>
          <cell r="R250">
            <v>43</v>
          </cell>
          <cell r="U250">
            <v>41456</v>
          </cell>
        </row>
        <row r="251">
          <cell r="B251" t="str">
            <v>NOVEL</v>
          </cell>
          <cell r="C251">
            <v>4</v>
          </cell>
          <cell r="D251">
            <v>11</v>
          </cell>
          <cell r="E251">
            <v>2</v>
          </cell>
          <cell r="F251">
            <v>3</v>
          </cell>
          <cell r="G251">
            <v>0</v>
          </cell>
          <cell r="M251" t="str">
            <v>&gt;&gt;</v>
          </cell>
          <cell r="N251" t="str">
            <v>Neaimul Novel</v>
          </cell>
          <cell r="O251" t="str">
            <v>FIC-1</v>
          </cell>
          <cell r="P251" t="str">
            <v xml:space="preserve">  BLEED BLUE</v>
          </cell>
          <cell r="Q251">
            <v>1</v>
          </cell>
          <cell r="R251">
            <v>43</v>
          </cell>
          <cell r="U251">
            <v>41456</v>
          </cell>
        </row>
        <row r="252">
          <cell r="B252" t="str">
            <v>Sukamal</v>
          </cell>
          <cell r="C252">
            <v>2</v>
          </cell>
          <cell r="D252">
            <v>3</v>
          </cell>
          <cell r="E252">
            <v>2</v>
          </cell>
          <cell r="F252">
            <v>2</v>
          </cell>
          <cell r="G252">
            <v>0</v>
          </cell>
          <cell r="M252" t="str">
            <v>&gt;&gt;</v>
          </cell>
          <cell r="N252" t="str">
            <v>Sukamal Mahajan</v>
          </cell>
          <cell r="O252" t="str">
            <v>FIC-1</v>
          </cell>
          <cell r="P252" t="str">
            <v xml:space="preserve">  BLEED BLUE</v>
          </cell>
          <cell r="Q252">
            <v>1</v>
          </cell>
          <cell r="R252">
            <v>43</v>
          </cell>
          <cell r="U252">
            <v>41456</v>
          </cell>
        </row>
        <row r="253">
          <cell r="B253" t="str">
            <v>TEAM = #EXTREME #BOYZ (Champ)</v>
          </cell>
          <cell r="M253" t="str">
            <v>&gt;&gt;</v>
          </cell>
          <cell r="N253" t="str">
            <v/>
          </cell>
          <cell r="O253" t="str">
            <v>FIC-1</v>
          </cell>
          <cell r="P253" t="str">
            <v xml:space="preserve">  EXTREME BOYZ (Champ)</v>
          </cell>
          <cell r="Q253">
            <v>1</v>
          </cell>
          <cell r="R253">
            <v>44</v>
          </cell>
          <cell r="T253" t="str">
            <v>CHAMP</v>
          </cell>
          <cell r="U253">
            <v>41456</v>
          </cell>
        </row>
        <row r="254">
          <cell r="B254" t="str">
            <v>SAiFUL</v>
          </cell>
          <cell r="C254">
            <v>8</v>
          </cell>
          <cell r="D254">
            <v>107</v>
          </cell>
          <cell r="E254">
            <v>15</v>
          </cell>
          <cell r="F254">
            <v>13</v>
          </cell>
          <cell r="G254">
            <v>2</v>
          </cell>
          <cell r="M254" t="str">
            <v>&gt;&gt;</v>
          </cell>
          <cell r="N254" t="str">
            <v>Saiful Islam</v>
          </cell>
          <cell r="O254" t="str">
            <v>FIC-1</v>
          </cell>
          <cell r="P254" t="str">
            <v xml:space="preserve">  EXTREME BOYZ (Champ)</v>
          </cell>
          <cell r="Q254">
            <v>1</v>
          </cell>
          <cell r="R254">
            <v>44</v>
          </cell>
          <cell r="T254" t="str">
            <v>CHAMP</v>
          </cell>
          <cell r="U254">
            <v>41456</v>
          </cell>
        </row>
        <row r="255">
          <cell r="B255" t="str">
            <v>Tawhid</v>
          </cell>
          <cell r="C255">
            <v>5</v>
          </cell>
          <cell r="D255">
            <v>52</v>
          </cell>
          <cell r="E255">
            <v>4</v>
          </cell>
          <cell r="F255">
            <v>6</v>
          </cell>
          <cell r="G255">
            <v>0</v>
          </cell>
          <cell r="M255" t="str">
            <v>&gt;&gt;</v>
          </cell>
          <cell r="N255" t="str">
            <v>S M Tawhid Zihad</v>
          </cell>
          <cell r="O255" t="str">
            <v>FIC-1</v>
          </cell>
          <cell r="P255" t="str">
            <v xml:space="preserve">  EXTREME BOYZ (Champ)</v>
          </cell>
          <cell r="Q255">
            <v>1</v>
          </cell>
          <cell r="R255">
            <v>44</v>
          </cell>
          <cell r="T255" t="str">
            <v>CHAMP</v>
          </cell>
          <cell r="U255">
            <v>41456</v>
          </cell>
        </row>
        <row r="256">
          <cell r="B256" t="str">
            <v>MD. Asif</v>
          </cell>
          <cell r="C256">
            <v>8</v>
          </cell>
          <cell r="D256">
            <v>129</v>
          </cell>
          <cell r="E256">
            <v>14</v>
          </cell>
          <cell r="F256">
            <v>13</v>
          </cell>
          <cell r="G256">
            <v>1</v>
          </cell>
          <cell r="M256" t="str">
            <v>&gt;&gt;</v>
          </cell>
          <cell r="N256" t="str">
            <v>Mohammad Asif</v>
          </cell>
          <cell r="O256" t="str">
            <v>FIC-1</v>
          </cell>
          <cell r="P256" t="str">
            <v xml:space="preserve">  EXTREME BOYZ (Champ)</v>
          </cell>
          <cell r="Q256">
            <v>1</v>
          </cell>
          <cell r="R256">
            <v>44</v>
          </cell>
          <cell r="T256" t="str">
            <v>CHAMP</v>
          </cell>
          <cell r="U256">
            <v>41456</v>
          </cell>
        </row>
        <row r="257">
          <cell r="B257" t="str">
            <v>TOWKiR</v>
          </cell>
          <cell r="C257">
            <v>8</v>
          </cell>
          <cell r="D257">
            <v>237</v>
          </cell>
          <cell r="E257">
            <v>19</v>
          </cell>
          <cell r="F257">
            <v>15</v>
          </cell>
          <cell r="G257">
            <v>3</v>
          </cell>
          <cell r="M257" t="str">
            <v>&gt;&gt;</v>
          </cell>
          <cell r="N257" t="str">
            <v>Towkir Ahmed Siddique</v>
          </cell>
          <cell r="O257" t="str">
            <v>FIC-1</v>
          </cell>
          <cell r="P257" t="str">
            <v xml:space="preserve">  EXTREME BOYZ (Champ)</v>
          </cell>
          <cell r="Q257">
            <v>1</v>
          </cell>
          <cell r="R257">
            <v>44</v>
          </cell>
          <cell r="S257" t="str">
            <v>CPOT</v>
          </cell>
          <cell r="T257" t="str">
            <v>CHAMP</v>
          </cell>
          <cell r="U257">
            <v>41456</v>
          </cell>
        </row>
        <row r="258">
          <cell r="B258" t="str">
            <v>SHAKiL Ahmed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M258" t="str">
            <v>&gt;&gt;</v>
          </cell>
          <cell r="N258" t="str">
            <v/>
          </cell>
          <cell r="O258" t="str">
            <v>FIC-1</v>
          </cell>
          <cell r="P258" t="str">
            <v xml:space="preserve">  EXTREME BOYZ (Champ)</v>
          </cell>
          <cell r="Q258">
            <v>1</v>
          </cell>
          <cell r="R258">
            <v>44</v>
          </cell>
          <cell r="T258" t="str">
            <v>CHAMP</v>
          </cell>
          <cell r="U258">
            <v>41456</v>
          </cell>
        </row>
        <row r="259">
          <cell r="B259" t="str">
            <v>Team = #DANGEROUS #SCORCHERS</v>
          </cell>
          <cell r="M259" t="str">
            <v>&gt;&gt;</v>
          </cell>
          <cell r="N259" t="str">
            <v/>
          </cell>
          <cell r="O259" t="str">
            <v>FIC-1</v>
          </cell>
          <cell r="P259" t="str">
            <v xml:space="preserve">  DANGEROUS SCORCHERS</v>
          </cell>
          <cell r="Q259">
            <v>1</v>
          </cell>
          <cell r="R259">
            <v>45</v>
          </cell>
          <cell r="U259">
            <v>41456</v>
          </cell>
        </row>
        <row r="260">
          <cell r="B260" t="str">
            <v>INJAMUL</v>
          </cell>
          <cell r="C260">
            <v>5</v>
          </cell>
          <cell r="D260">
            <v>102</v>
          </cell>
          <cell r="E260">
            <v>14</v>
          </cell>
          <cell r="F260">
            <v>13</v>
          </cell>
          <cell r="G260">
            <v>1</v>
          </cell>
          <cell r="M260" t="str">
            <v>&gt;&gt;</v>
          </cell>
          <cell r="N260" t="str">
            <v>Injamul Haque (Syed Injamul Haque)</v>
          </cell>
          <cell r="O260" t="str">
            <v>FIC-1</v>
          </cell>
          <cell r="P260" t="str">
            <v xml:space="preserve">  DANGEROUS SCORCHERS</v>
          </cell>
          <cell r="Q260">
            <v>1</v>
          </cell>
          <cell r="R260">
            <v>45</v>
          </cell>
          <cell r="U260">
            <v>41456</v>
          </cell>
        </row>
        <row r="261">
          <cell r="B261" t="str">
            <v>EMON</v>
          </cell>
          <cell r="C261">
            <v>7</v>
          </cell>
          <cell r="D261">
            <v>173</v>
          </cell>
          <cell r="E261">
            <v>14</v>
          </cell>
          <cell r="F261">
            <v>12</v>
          </cell>
          <cell r="G261">
            <v>1</v>
          </cell>
          <cell r="M261" t="str">
            <v>&gt;&gt;</v>
          </cell>
          <cell r="N261" t="str">
            <v>Fahim Shahrear Emon</v>
          </cell>
          <cell r="O261" t="str">
            <v>FIC-1</v>
          </cell>
          <cell r="P261" t="str">
            <v xml:space="preserve">  DANGEROUS SCORCHERS</v>
          </cell>
          <cell r="Q261">
            <v>1</v>
          </cell>
          <cell r="R261">
            <v>45</v>
          </cell>
          <cell r="U261">
            <v>41456</v>
          </cell>
        </row>
        <row r="262">
          <cell r="B262" t="str">
            <v>ARMAN</v>
          </cell>
          <cell r="C262">
            <v>4</v>
          </cell>
          <cell r="D262">
            <v>72</v>
          </cell>
          <cell r="E262">
            <v>2</v>
          </cell>
          <cell r="F262">
            <v>6</v>
          </cell>
          <cell r="G262">
            <v>0</v>
          </cell>
          <cell r="M262" t="str">
            <v>&gt;&gt;</v>
          </cell>
          <cell r="N262" t="str">
            <v>Cricket Pagla Arman</v>
          </cell>
          <cell r="O262" t="str">
            <v>FIC-1</v>
          </cell>
          <cell r="P262" t="str">
            <v xml:space="preserve">  DANGEROUS SCORCHERS</v>
          </cell>
          <cell r="Q262">
            <v>1</v>
          </cell>
          <cell r="R262">
            <v>45</v>
          </cell>
          <cell r="U262">
            <v>41456</v>
          </cell>
        </row>
        <row r="263">
          <cell r="B263" t="str">
            <v>ARAFAT</v>
          </cell>
          <cell r="C263">
            <v>7</v>
          </cell>
          <cell r="D263">
            <v>271</v>
          </cell>
          <cell r="E263">
            <v>12</v>
          </cell>
          <cell r="F263">
            <v>15</v>
          </cell>
          <cell r="G263">
            <v>1</v>
          </cell>
          <cell r="M263" t="str">
            <v>&gt;&gt;</v>
          </cell>
          <cell r="N263" t="str">
            <v>Sakib Arafat</v>
          </cell>
          <cell r="O263" t="str">
            <v>FIC-1</v>
          </cell>
          <cell r="P263" t="str">
            <v xml:space="preserve">  DANGEROUS SCORCHERS</v>
          </cell>
          <cell r="Q263">
            <v>1</v>
          </cell>
          <cell r="R263">
            <v>45</v>
          </cell>
          <cell r="U263">
            <v>41456</v>
          </cell>
          <cell r="V263">
            <v>1</v>
          </cell>
        </row>
        <row r="264">
          <cell r="B264" t="str">
            <v>JOWEL</v>
          </cell>
          <cell r="C264">
            <v>3</v>
          </cell>
          <cell r="D264">
            <v>46</v>
          </cell>
          <cell r="E264">
            <v>2</v>
          </cell>
          <cell r="F264">
            <v>3</v>
          </cell>
          <cell r="G264">
            <v>0</v>
          </cell>
          <cell r="M264" t="str">
            <v>&gt;&gt;</v>
          </cell>
          <cell r="N264" t="str">
            <v>Jøwël Chý</v>
          </cell>
          <cell r="O264" t="str">
            <v>FIC-1</v>
          </cell>
          <cell r="P264" t="str">
            <v xml:space="preserve">  DANGEROUS SCORCHERS</v>
          </cell>
          <cell r="Q264">
            <v>1</v>
          </cell>
          <cell r="R264">
            <v>45</v>
          </cell>
          <cell r="U264">
            <v>41456</v>
          </cell>
        </row>
        <row r="265">
          <cell r="B265" t="str">
            <v>RAFE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M265" t="str">
            <v>&gt;&gt;</v>
          </cell>
          <cell r="N265" t="str">
            <v>Lovely Rafe</v>
          </cell>
          <cell r="O265" t="str">
            <v>FIC-1</v>
          </cell>
          <cell r="P265" t="str">
            <v xml:space="preserve">  DANGEROUS SCORCHERS</v>
          </cell>
          <cell r="Q265">
            <v>1</v>
          </cell>
          <cell r="R265">
            <v>45</v>
          </cell>
          <cell r="U265">
            <v>41456</v>
          </cell>
        </row>
        <row r="266">
          <cell r="B266" t="str">
            <v>TEAM = #HiDDEN #DRAGONS</v>
          </cell>
          <cell r="M266" t="str">
            <v>&gt;&gt;</v>
          </cell>
          <cell r="N266" t="str">
            <v/>
          </cell>
          <cell r="O266" t="str">
            <v>FIC-1</v>
          </cell>
          <cell r="P266" t="str">
            <v xml:space="preserve">  HiDDEN DRAGONS</v>
          </cell>
          <cell r="Q266">
            <v>1</v>
          </cell>
          <cell r="R266">
            <v>46</v>
          </cell>
          <cell r="U266">
            <v>41456</v>
          </cell>
        </row>
        <row r="267">
          <cell r="B267" t="str">
            <v>ARiF</v>
          </cell>
          <cell r="C267">
            <v>6</v>
          </cell>
          <cell r="D267">
            <v>221</v>
          </cell>
          <cell r="E267">
            <v>26</v>
          </cell>
          <cell r="F267">
            <v>12</v>
          </cell>
          <cell r="G267">
            <v>4</v>
          </cell>
          <cell r="M267" t="str">
            <v>&gt;&gt;</v>
          </cell>
          <cell r="N267" t="str">
            <v>Arif Ziad</v>
          </cell>
          <cell r="O267" t="str">
            <v>FIC-1</v>
          </cell>
          <cell r="P267" t="str">
            <v xml:space="preserve">  HiDDEN DRAGONS</v>
          </cell>
          <cell r="Q267">
            <v>1</v>
          </cell>
          <cell r="R267">
            <v>46</v>
          </cell>
          <cell r="S267" t="str">
            <v>MOT</v>
          </cell>
          <cell r="U267">
            <v>41456</v>
          </cell>
          <cell r="W267">
            <v>1</v>
          </cell>
        </row>
        <row r="268">
          <cell r="B268" t="str">
            <v>REXX</v>
          </cell>
          <cell r="C268">
            <v>6</v>
          </cell>
          <cell r="D268">
            <v>48</v>
          </cell>
          <cell r="E268">
            <v>10</v>
          </cell>
          <cell r="F268">
            <v>11</v>
          </cell>
          <cell r="G268">
            <v>0</v>
          </cell>
          <cell r="M268" t="str">
            <v>&gt;&gt;</v>
          </cell>
          <cell r="N268" t="str">
            <v>Bishwajit Sarkar</v>
          </cell>
          <cell r="O268" t="str">
            <v>FIC-1</v>
          </cell>
          <cell r="P268" t="str">
            <v xml:space="preserve">  HiDDEN DRAGONS</v>
          </cell>
          <cell r="Q268">
            <v>1</v>
          </cell>
          <cell r="R268">
            <v>46</v>
          </cell>
          <cell r="U268">
            <v>41456</v>
          </cell>
        </row>
        <row r="269">
          <cell r="B269" t="str">
            <v>TAHO</v>
          </cell>
          <cell r="C269">
            <v>6</v>
          </cell>
          <cell r="D269">
            <v>153</v>
          </cell>
          <cell r="E269">
            <v>4</v>
          </cell>
          <cell r="F269">
            <v>10</v>
          </cell>
          <cell r="G269">
            <v>2</v>
          </cell>
          <cell r="M269" t="str">
            <v>&gt;&gt;</v>
          </cell>
          <cell r="N269" t="str">
            <v>Taho D. Ace</v>
          </cell>
          <cell r="O269" t="str">
            <v>FIC-1</v>
          </cell>
          <cell r="P269" t="str">
            <v xml:space="preserve">  HiDDEN DRAGONS</v>
          </cell>
          <cell r="Q269">
            <v>1</v>
          </cell>
          <cell r="R269">
            <v>46</v>
          </cell>
          <cell r="U269">
            <v>41456</v>
          </cell>
        </row>
        <row r="270">
          <cell r="B270" t="str">
            <v>Miraj</v>
          </cell>
          <cell r="C270">
            <v>3</v>
          </cell>
          <cell r="D270">
            <v>21</v>
          </cell>
          <cell r="E270">
            <v>1</v>
          </cell>
          <cell r="F270">
            <v>3</v>
          </cell>
          <cell r="G270">
            <v>0</v>
          </cell>
          <cell r="M270" t="str">
            <v>&gt;&gt;</v>
          </cell>
          <cell r="N270" t="str">
            <v>Shafayat Miraj</v>
          </cell>
          <cell r="O270" t="str">
            <v>FIC-1</v>
          </cell>
          <cell r="P270" t="str">
            <v xml:space="preserve">  HiDDEN DRAGONS</v>
          </cell>
          <cell r="Q270">
            <v>1</v>
          </cell>
          <cell r="R270">
            <v>46</v>
          </cell>
          <cell r="U270">
            <v>41456</v>
          </cell>
        </row>
        <row r="271">
          <cell r="B271" t="str">
            <v>ZEESHAN</v>
          </cell>
          <cell r="C271">
            <v>1</v>
          </cell>
          <cell r="D271">
            <v>2</v>
          </cell>
          <cell r="E271">
            <v>0</v>
          </cell>
          <cell r="F271">
            <v>1</v>
          </cell>
          <cell r="G271">
            <v>0</v>
          </cell>
          <cell r="M271" t="str">
            <v>&gt;&gt;</v>
          </cell>
          <cell r="N271" t="str">
            <v>Syeed Zeeshan Quadir</v>
          </cell>
          <cell r="O271" t="str">
            <v>FIC-1</v>
          </cell>
          <cell r="P271" t="str">
            <v xml:space="preserve">  HiDDEN DRAGONS</v>
          </cell>
          <cell r="Q271">
            <v>1</v>
          </cell>
          <cell r="R271">
            <v>46</v>
          </cell>
          <cell r="U271">
            <v>41456</v>
          </cell>
        </row>
        <row r="272">
          <cell r="B272" t="str">
            <v>BiSHAL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M272" t="str">
            <v>&gt;&gt;</v>
          </cell>
          <cell r="N272" t="str">
            <v>Bishal Khan Ctg</v>
          </cell>
          <cell r="O272" t="str">
            <v>FIC-1</v>
          </cell>
          <cell r="P272" t="str">
            <v xml:space="preserve">  HiDDEN DRAGONS</v>
          </cell>
          <cell r="Q272">
            <v>1</v>
          </cell>
          <cell r="R272">
            <v>46</v>
          </cell>
          <cell r="U272">
            <v>41456</v>
          </cell>
        </row>
        <row r="273">
          <cell r="B273" t="str">
            <v>TEAM = #KNIGHT #ROAR</v>
          </cell>
          <cell r="M273" t="str">
            <v>&gt;&gt;</v>
          </cell>
          <cell r="N273" t="str">
            <v/>
          </cell>
          <cell r="O273" t="str">
            <v>FIC-1</v>
          </cell>
          <cell r="P273" t="str">
            <v xml:space="preserve">  KNIGHT ROAR</v>
          </cell>
          <cell r="Q273">
            <v>1</v>
          </cell>
          <cell r="R273">
            <v>47</v>
          </cell>
          <cell r="U273">
            <v>41456</v>
          </cell>
        </row>
        <row r="274">
          <cell r="B274" t="str">
            <v>SHOHAG</v>
          </cell>
          <cell r="C274">
            <v>5</v>
          </cell>
          <cell r="D274">
            <v>100</v>
          </cell>
          <cell r="E274">
            <v>12</v>
          </cell>
          <cell r="F274">
            <v>10</v>
          </cell>
          <cell r="G274">
            <v>1</v>
          </cell>
          <cell r="M274" t="str">
            <v>&gt;&gt;</v>
          </cell>
          <cell r="N274" t="str">
            <v>Hetlar Shohag</v>
          </cell>
          <cell r="O274" t="str">
            <v>FIC-1</v>
          </cell>
          <cell r="P274" t="str">
            <v xml:space="preserve">  KNIGHT ROAR</v>
          </cell>
          <cell r="Q274">
            <v>1</v>
          </cell>
          <cell r="R274">
            <v>47</v>
          </cell>
          <cell r="U274">
            <v>41456</v>
          </cell>
        </row>
        <row r="275">
          <cell r="B275" t="str">
            <v>JUMON</v>
          </cell>
          <cell r="C275">
            <v>5</v>
          </cell>
          <cell r="D275">
            <v>126</v>
          </cell>
          <cell r="E275">
            <v>4</v>
          </cell>
          <cell r="F275">
            <v>10</v>
          </cell>
          <cell r="G275">
            <v>0</v>
          </cell>
          <cell r="M275" t="str">
            <v>&gt;&gt;</v>
          </cell>
          <cell r="N275" t="str">
            <v>Foysal Ahmed Jumon</v>
          </cell>
          <cell r="O275" t="str">
            <v>FIC-1</v>
          </cell>
          <cell r="P275" t="str">
            <v xml:space="preserve">  KNIGHT ROAR</v>
          </cell>
          <cell r="Q275">
            <v>1</v>
          </cell>
          <cell r="R275">
            <v>47</v>
          </cell>
          <cell r="U275">
            <v>41456</v>
          </cell>
        </row>
        <row r="276">
          <cell r="B276" t="str">
            <v>BRiNTO</v>
          </cell>
          <cell r="C276">
            <v>5</v>
          </cell>
          <cell r="D276">
            <v>77</v>
          </cell>
          <cell r="E276">
            <v>6</v>
          </cell>
          <cell r="F276">
            <v>8</v>
          </cell>
          <cell r="G276">
            <v>0</v>
          </cell>
          <cell r="M276" t="str">
            <v>&gt;&gt;</v>
          </cell>
          <cell r="N276" t="str">
            <v>Shuvayan Saha Brinto</v>
          </cell>
          <cell r="O276" t="str">
            <v>FIC-1</v>
          </cell>
          <cell r="P276" t="str">
            <v xml:space="preserve">  KNIGHT ROAR</v>
          </cell>
          <cell r="Q276">
            <v>1</v>
          </cell>
          <cell r="R276">
            <v>47</v>
          </cell>
          <cell r="U276">
            <v>41456</v>
          </cell>
        </row>
        <row r="277">
          <cell r="B277" t="str">
            <v>Roman</v>
          </cell>
          <cell r="C277">
            <v>3</v>
          </cell>
          <cell r="D277">
            <v>29</v>
          </cell>
          <cell r="E277">
            <v>3</v>
          </cell>
          <cell r="F277">
            <v>5</v>
          </cell>
          <cell r="G277">
            <v>0</v>
          </cell>
          <cell r="M277" t="str">
            <v>&gt;&gt;</v>
          </cell>
          <cell r="N277" t="str">
            <v>Roman mahamud Arko</v>
          </cell>
          <cell r="O277" t="str">
            <v>FIC-1</v>
          </cell>
          <cell r="P277" t="str">
            <v xml:space="preserve">  KNIGHT ROAR</v>
          </cell>
          <cell r="Q277">
            <v>1</v>
          </cell>
          <cell r="R277">
            <v>47</v>
          </cell>
          <cell r="U277">
            <v>41456</v>
          </cell>
        </row>
        <row r="278">
          <cell r="B278" t="str">
            <v>RAHAT</v>
          </cell>
          <cell r="C278">
            <v>1</v>
          </cell>
          <cell r="D278">
            <v>0</v>
          </cell>
          <cell r="E278">
            <v>3</v>
          </cell>
          <cell r="F278">
            <v>0</v>
          </cell>
          <cell r="G278">
            <v>0</v>
          </cell>
          <cell r="M278" t="str">
            <v>&gt;&gt;</v>
          </cell>
          <cell r="N278" t="str">
            <v>Saiful Rahat</v>
          </cell>
          <cell r="O278" t="str">
            <v>FIC-1</v>
          </cell>
          <cell r="P278" t="str">
            <v xml:space="preserve">  KNIGHT ROAR</v>
          </cell>
          <cell r="Q278">
            <v>1</v>
          </cell>
          <cell r="R278">
            <v>47</v>
          </cell>
          <cell r="U278">
            <v>41456</v>
          </cell>
        </row>
        <row r="279">
          <cell r="B279" t="str">
            <v>ROBIN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M279" t="str">
            <v>&gt;&gt;</v>
          </cell>
          <cell r="N279" t="str">
            <v>Robin Emon</v>
          </cell>
          <cell r="O279" t="str">
            <v>FIC-1</v>
          </cell>
          <cell r="P279" t="str">
            <v xml:space="preserve">  KNIGHT ROAR</v>
          </cell>
          <cell r="Q279">
            <v>1</v>
          </cell>
          <cell r="R279">
            <v>47</v>
          </cell>
          <cell r="U279">
            <v>41456</v>
          </cell>
        </row>
        <row r="280">
          <cell r="B280" t="str">
            <v>TEAM = #LUCK #RIDERS</v>
          </cell>
          <cell r="M280" t="str">
            <v>&gt;&gt;</v>
          </cell>
          <cell r="N280" t="str">
            <v/>
          </cell>
          <cell r="O280" t="str">
            <v>FIC-1</v>
          </cell>
          <cell r="P280" t="str">
            <v xml:space="preserve">  LUCK RIDERS</v>
          </cell>
          <cell r="Q280">
            <v>1</v>
          </cell>
          <cell r="R280">
            <v>48</v>
          </cell>
          <cell r="U280">
            <v>41456</v>
          </cell>
        </row>
        <row r="281">
          <cell r="B281" t="str">
            <v>YAHYA</v>
          </cell>
          <cell r="C281">
            <v>3</v>
          </cell>
          <cell r="D281">
            <v>35</v>
          </cell>
          <cell r="E281">
            <v>2</v>
          </cell>
          <cell r="F281">
            <v>3</v>
          </cell>
          <cell r="G281">
            <v>0</v>
          </cell>
          <cell r="M281" t="str">
            <v>&gt;&gt;</v>
          </cell>
          <cell r="N281" t="str">
            <v>Yahya Riyad</v>
          </cell>
          <cell r="O281" t="str">
            <v>FIC-1</v>
          </cell>
          <cell r="P281" t="str">
            <v xml:space="preserve">  LUCK RIDERS</v>
          </cell>
          <cell r="Q281">
            <v>1</v>
          </cell>
          <cell r="R281">
            <v>48</v>
          </cell>
          <cell r="U281">
            <v>41456</v>
          </cell>
        </row>
        <row r="282">
          <cell r="B282" t="str">
            <v>RI AKASH</v>
          </cell>
          <cell r="C282">
            <v>4</v>
          </cell>
          <cell r="D282">
            <v>27</v>
          </cell>
          <cell r="E282">
            <v>5</v>
          </cell>
          <cell r="F282">
            <v>4</v>
          </cell>
          <cell r="G282">
            <v>0</v>
          </cell>
          <cell r="M282" t="str">
            <v>&gt;&gt;</v>
          </cell>
          <cell r="N282" t="str">
            <v>Raihan Islam Akash</v>
          </cell>
          <cell r="O282" t="str">
            <v>FIC-1</v>
          </cell>
          <cell r="P282" t="str">
            <v xml:space="preserve">  LUCK RIDERS</v>
          </cell>
          <cell r="Q282">
            <v>1</v>
          </cell>
          <cell r="R282">
            <v>48</v>
          </cell>
          <cell r="U282">
            <v>41456</v>
          </cell>
        </row>
        <row r="283">
          <cell r="B283" t="str">
            <v>LOVELO</v>
          </cell>
          <cell r="C283">
            <v>4</v>
          </cell>
          <cell r="D283">
            <v>79</v>
          </cell>
          <cell r="E283">
            <v>10</v>
          </cell>
          <cell r="F283">
            <v>9</v>
          </cell>
          <cell r="G283">
            <v>0</v>
          </cell>
          <cell r="M283" t="str">
            <v>&gt;&gt;</v>
          </cell>
          <cell r="N283" t="str">
            <v>Alauddin Lovelo</v>
          </cell>
          <cell r="O283" t="str">
            <v>FIC-1</v>
          </cell>
          <cell r="P283" t="str">
            <v xml:space="preserve">  LUCK RIDERS</v>
          </cell>
          <cell r="Q283">
            <v>1</v>
          </cell>
          <cell r="R283">
            <v>48</v>
          </cell>
          <cell r="U283">
            <v>41456</v>
          </cell>
        </row>
        <row r="284">
          <cell r="B284" t="str">
            <v>REDWAN</v>
          </cell>
          <cell r="C284">
            <v>4</v>
          </cell>
          <cell r="D284">
            <v>34</v>
          </cell>
          <cell r="E284">
            <v>4</v>
          </cell>
          <cell r="F284">
            <v>8</v>
          </cell>
          <cell r="G284">
            <v>0</v>
          </cell>
          <cell r="M284" t="str">
            <v>&gt;&gt;</v>
          </cell>
          <cell r="N284" t="str">
            <v>Redwan Ahmed</v>
          </cell>
          <cell r="O284" t="str">
            <v>FIC-1</v>
          </cell>
          <cell r="P284" t="str">
            <v xml:space="preserve">  LUCK RIDERS</v>
          </cell>
          <cell r="Q284">
            <v>1</v>
          </cell>
          <cell r="R284">
            <v>48</v>
          </cell>
          <cell r="U284">
            <v>41456</v>
          </cell>
        </row>
        <row r="285">
          <cell r="B285" t="str">
            <v>MOON</v>
          </cell>
          <cell r="C285">
            <v>3</v>
          </cell>
          <cell r="D285">
            <v>143</v>
          </cell>
          <cell r="E285">
            <v>0</v>
          </cell>
          <cell r="F285">
            <v>8</v>
          </cell>
          <cell r="G285">
            <v>1</v>
          </cell>
          <cell r="M285" t="str">
            <v>&gt;&gt;</v>
          </cell>
          <cell r="N285" t="str">
            <v>Mazharul Islam Moon</v>
          </cell>
          <cell r="O285" t="str">
            <v>FIC-1</v>
          </cell>
          <cell r="P285" t="str">
            <v xml:space="preserve">  LUCK RIDERS</v>
          </cell>
          <cell r="Q285">
            <v>1</v>
          </cell>
          <cell r="R285">
            <v>48</v>
          </cell>
          <cell r="U285">
            <v>41456</v>
          </cell>
        </row>
        <row r="286">
          <cell r="B286" t="str">
            <v>YOUSUF</v>
          </cell>
          <cell r="C286">
            <v>2</v>
          </cell>
          <cell r="D286">
            <v>8</v>
          </cell>
          <cell r="E286">
            <v>1</v>
          </cell>
          <cell r="F286">
            <v>4</v>
          </cell>
          <cell r="G286">
            <v>0</v>
          </cell>
          <cell r="M286" t="str">
            <v>&gt;&gt;</v>
          </cell>
          <cell r="N286" t="str">
            <v>Yousuf Riday</v>
          </cell>
          <cell r="O286" t="str">
            <v>FIC-1</v>
          </cell>
          <cell r="P286" t="str">
            <v xml:space="preserve">  LUCK RIDERS</v>
          </cell>
          <cell r="Q286">
            <v>1</v>
          </cell>
          <cell r="R286">
            <v>48</v>
          </cell>
          <cell r="U286">
            <v>41456</v>
          </cell>
        </row>
        <row r="287">
          <cell r="B287" t="str">
            <v>TEAM #KNOCKOUT KINGS.</v>
          </cell>
          <cell r="M287" t="str">
            <v>&gt;&gt;</v>
          </cell>
          <cell r="N287" t="str">
            <v/>
          </cell>
          <cell r="O287" t="str">
            <v>FCL-2</v>
          </cell>
          <cell r="P287" t="str">
            <v xml:space="preserve"> KNOCKOUT KINGS.</v>
          </cell>
          <cell r="Q287">
            <v>1</v>
          </cell>
          <cell r="R287">
            <v>49</v>
          </cell>
          <cell r="U287">
            <v>41487</v>
          </cell>
        </row>
        <row r="288">
          <cell r="B288" t="str">
            <v>Roman</v>
          </cell>
          <cell r="C288">
            <v>3</v>
          </cell>
          <cell r="D288">
            <v>8</v>
          </cell>
          <cell r="E288">
            <v>4</v>
          </cell>
          <cell r="F288">
            <v>2</v>
          </cell>
          <cell r="G288">
            <v>0</v>
          </cell>
          <cell r="H288">
            <v>1</v>
          </cell>
          <cell r="I288">
            <v>0</v>
          </cell>
          <cell r="M288" t="str">
            <v>&gt;&gt;</v>
          </cell>
          <cell r="N288" t="str">
            <v>Roman mahamud Arko</v>
          </cell>
          <cell r="O288" t="str">
            <v>FCL-2</v>
          </cell>
          <cell r="P288" t="str">
            <v xml:space="preserve"> KNOCKOUT KINGS.</v>
          </cell>
          <cell r="Q288">
            <v>1</v>
          </cell>
          <cell r="R288">
            <v>49</v>
          </cell>
          <cell r="U288">
            <v>41487</v>
          </cell>
        </row>
        <row r="289">
          <cell r="B289" t="str">
            <v>Injamul</v>
          </cell>
          <cell r="C289">
            <v>3</v>
          </cell>
          <cell r="D289">
            <v>88</v>
          </cell>
          <cell r="E289">
            <v>4</v>
          </cell>
          <cell r="F289">
            <v>7</v>
          </cell>
          <cell r="G289">
            <v>1</v>
          </cell>
          <cell r="H289">
            <v>4</v>
          </cell>
          <cell r="I289">
            <v>5</v>
          </cell>
          <cell r="M289" t="str">
            <v>&gt;&gt;</v>
          </cell>
          <cell r="N289" t="str">
            <v>Injamul Haque (Syed Injamul Haque)</v>
          </cell>
          <cell r="O289" t="str">
            <v>FCL-2</v>
          </cell>
          <cell r="P289" t="str">
            <v xml:space="preserve"> KNOCKOUT KINGS.</v>
          </cell>
          <cell r="Q289">
            <v>1</v>
          </cell>
          <cell r="R289">
            <v>49</v>
          </cell>
          <cell r="U289">
            <v>41487</v>
          </cell>
        </row>
        <row r="290">
          <cell r="B290" t="str">
            <v>Emon</v>
          </cell>
          <cell r="C290">
            <v>3</v>
          </cell>
          <cell r="D290">
            <v>14</v>
          </cell>
          <cell r="E290">
            <v>4</v>
          </cell>
          <cell r="F290">
            <v>3</v>
          </cell>
          <cell r="G290">
            <v>0</v>
          </cell>
          <cell r="H290">
            <v>1</v>
          </cell>
          <cell r="I290">
            <v>1</v>
          </cell>
          <cell r="M290" t="str">
            <v>&gt;&gt;</v>
          </cell>
          <cell r="N290" t="str">
            <v>Fahim Shahrear Emon</v>
          </cell>
          <cell r="O290" t="str">
            <v>FCL-2</v>
          </cell>
          <cell r="P290" t="str">
            <v xml:space="preserve"> KNOCKOUT KINGS.</v>
          </cell>
          <cell r="Q290">
            <v>1</v>
          </cell>
          <cell r="R290">
            <v>49</v>
          </cell>
          <cell r="U290">
            <v>41487</v>
          </cell>
        </row>
        <row r="291">
          <cell r="B291" t="str">
            <v>ARAFAT</v>
          </cell>
          <cell r="C291">
            <v>2</v>
          </cell>
          <cell r="D291">
            <v>34</v>
          </cell>
          <cell r="E291">
            <v>1</v>
          </cell>
          <cell r="F291">
            <v>3</v>
          </cell>
          <cell r="G291">
            <v>0</v>
          </cell>
          <cell r="H291">
            <v>1</v>
          </cell>
          <cell r="I291">
            <v>1</v>
          </cell>
          <cell r="M291" t="str">
            <v>&gt;&gt;</v>
          </cell>
          <cell r="N291" t="str">
            <v>Sakib Arafat</v>
          </cell>
          <cell r="O291" t="str">
            <v>FCL-2</v>
          </cell>
          <cell r="P291" t="str">
            <v xml:space="preserve"> KNOCKOUT KINGS.</v>
          </cell>
          <cell r="Q291">
            <v>1</v>
          </cell>
          <cell r="R291">
            <v>49</v>
          </cell>
          <cell r="U291">
            <v>41487</v>
          </cell>
        </row>
        <row r="292">
          <cell r="B292" t="str">
            <v>Mehedi</v>
          </cell>
          <cell r="C292">
            <v>2</v>
          </cell>
          <cell r="D292">
            <v>10</v>
          </cell>
          <cell r="E292">
            <v>0</v>
          </cell>
          <cell r="F292">
            <v>2</v>
          </cell>
          <cell r="G292">
            <v>0</v>
          </cell>
          <cell r="H292">
            <v>0</v>
          </cell>
          <cell r="I292">
            <v>1</v>
          </cell>
          <cell r="M292" t="str">
            <v>&gt;&gt;</v>
          </cell>
          <cell r="N292" t="str">
            <v>Mehedi Hasan Shovon</v>
          </cell>
          <cell r="O292" t="str">
            <v>FCL-2</v>
          </cell>
          <cell r="P292" t="str">
            <v xml:space="preserve"> KNOCKOUT KINGS.</v>
          </cell>
          <cell r="Q292">
            <v>1</v>
          </cell>
          <cell r="R292">
            <v>49</v>
          </cell>
          <cell r="U292">
            <v>41487</v>
          </cell>
        </row>
        <row r="293">
          <cell r="B293" t="str">
            <v>AL Mamun</v>
          </cell>
          <cell r="C293">
            <v>3</v>
          </cell>
          <cell r="D293">
            <v>35</v>
          </cell>
          <cell r="E293">
            <v>7</v>
          </cell>
          <cell r="F293">
            <v>5</v>
          </cell>
          <cell r="G293">
            <v>0</v>
          </cell>
          <cell r="H293">
            <v>0</v>
          </cell>
          <cell r="I293">
            <v>2</v>
          </cell>
          <cell r="M293" t="str">
            <v>&gt;&gt;</v>
          </cell>
          <cell r="N293" t="str">
            <v>Mohammed Al Mamun</v>
          </cell>
          <cell r="O293" t="str">
            <v>FCL-2</v>
          </cell>
          <cell r="P293" t="str">
            <v xml:space="preserve"> KNOCKOUT KINGS.</v>
          </cell>
          <cell r="Q293">
            <v>1</v>
          </cell>
          <cell r="R293">
            <v>49</v>
          </cell>
          <cell r="U293">
            <v>41487</v>
          </cell>
        </row>
        <row r="294">
          <cell r="B294" t="str">
            <v>TEAM #STABBORN VIPERZ</v>
          </cell>
          <cell r="M294" t="str">
            <v>&gt;&gt;</v>
          </cell>
          <cell r="N294" t="str">
            <v/>
          </cell>
          <cell r="O294" t="str">
            <v>FCL-2</v>
          </cell>
          <cell r="P294" t="str">
            <v xml:space="preserve"> STABBORN VIPERZ</v>
          </cell>
          <cell r="Q294">
            <v>1</v>
          </cell>
          <cell r="R294">
            <v>50</v>
          </cell>
          <cell r="U294">
            <v>41487</v>
          </cell>
        </row>
        <row r="295">
          <cell r="B295" t="str">
            <v>Tawhid</v>
          </cell>
          <cell r="C295">
            <v>6</v>
          </cell>
          <cell r="D295">
            <v>56</v>
          </cell>
          <cell r="E295">
            <v>12</v>
          </cell>
          <cell r="F295">
            <v>7</v>
          </cell>
          <cell r="G295">
            <v>0</v>
          </cell>
          <cell r="H295">
            <v>3</v>
          </cell>
          <cell r="I295">
            <v>4</v>
          </cell>
          <cell r="M295" t="str">
            <v>&gt;&gt;</v>
          </cell>
          <cell r="N295" t="str">
            <v>S M Tawhid Zihad</v>
          </cell>
          <cell r="O295" t="str">
            <v>FCL-2</v>
          </cell>
          <cell r="P295" t="str">
            <v xml:space="preserve"> STABBORN VIPERZ</v>
          </cell>
          <cell r="Q295">
            <v>1</v>
          </cell>
          <cell r="R295">
            <v>50</v>
          </cell>
          <cell r="U295">
            <v>41487</v>
          </cell>
        </row>
        <row r="296">
          <cell r="B296" t="str">
            <v>Aneek</v>
          </cell>
          <cell r="C296">
            <v>4</v>
          </cell>
          <cell r="D296">
            <v>10</v>
          </cell>
          <cell r="E296">
            <v>6</v>
          </cell>
          <cell r="F296">
            <v>3</v>
          </cell>
          <cell r="G296">
            <v>0</v>
          </cell>
          <cell r="H296">
            <v>0</v>
          </cell>
          <cell r="I296">
            <v>0</v>
          </cell>
          <cell r="M296" t="str">
            <v>&gt;&gt;</v>
          </cell>
          <cell r="N296" t="str">
            <v>Md Aneek Rashid</v>
          </cell>
          <cell r="O296" t="str">
            <v>FCL-2</v>
          </cell>
          <cell r="P296" t="str">
            <v xml:space="preserve"> STABBORN VIPERZ</v>
          </cell>
          <cell r="Q296">
            <v>1</v>
          </cell>
          <cell r="R296">
            <v>50</v>
          </cell>
          <cell r="U296">
            <v>41487</v>
          </cell>
        </row>
        <row r="297">
          <cell r="B297" t="str">
            <v>Moon</v>
          </cell>
          <cell r="C297">
            <v>5</v>
          </cell>
          <cell r="D297">
            <v>71</v>
          </cell>
          <cell r="E297">
            <v>8</v>
          </cell>
          <cell r="F297">
            <v>8</v>
          </cell>
          <cell r="G297">
            <v>1</v>
          </cell>
          <cell r="H297">
            <v>3</v>
          </cell>
          <cell r="I297">
            <v>3</v>
          </cell>
          <cell r="M297" t="str">
            <v>&gt;&gt;</v>
          </cell>
          <cell r="N297" t="str">
            <v>Mazharul Islam Moon</v>
          </cell>
          <cell r="O297" t="str">
            <v>FCL-2</v>
          </cell>
          <cell r="P297" t="str">
            <v xml:space="preserve"> STABBORN VIPERZ</v>
          </cell>
          <cell r="Q297">
            <v>1</v>
          </cell>
          <cell r="R297">
            <v>50</v>
          </cell>
          <cell r="U297">
            <v>41487</v>
          </cell>
        </row>
        <row r="298">
          <cell r="B298" t="str">
            <v>Rinkon</v>
          </cell>
          <cell r="C298">
            <v>6</v>
          </cell>
          <cell r="D298">
            <v>96</v>
          </cell>
          <cell r="E298">
            <v>9</v>
          </cell>
          <cell r="F298">
            <v>8</v>
          </cell>
          <cell r="G298">
            <v>1</v>
          </cell>
          <cell r="H298">
            <v>10</v>
          </cell>
          <cell r="I298">
            <v>2</v>
          </cell>
          <cell r="M298" t="str">
            <v>&gt;&gt;</v>
          </cell>
          <cell r="N298" t="str">
            <v>Rinkon Khan</v>
          </cell>
          <cell r="O298" t="str">
            <v>FCL-2</v>
          </cell>
          <cell r="P298" t="str">
            <v xml:space="preserve"> STABBORN VIPERZ</v>
          </cell>
          <cell r="Q298">
            <v>1</v>
          </cell>
          <cell r="R298">
            <v>50</v>
          </cell>
          <cell r="U298">
            <v>41487</v>
          </cell>
        </row>
        <row r="299">
          <cell r="B299" t="str">
            <v>Rexx</v>
          </cell>
          <cell r="C299">
            <v>7</v>
          </cell>
          <cell r="D299">
            <v>131</v>
          </cell>
          <cell r="E299">
            <v>11</v>
          </cell>
          <cell r="F299">
            <v>12</v>
          </cell>
          <cell r="G299">
            <v>2</v>
          </cell>
          <cell r="H299">
            <v>9</v>
          </cell>
          <cell r="I299">
            <v>12</v>
          </cell>
          <cell r="M299" t="str">
            <v>&gt;&gt;</v>
          </cell>
          <cell r="N299" t="str">
            <v>Bishwajit Sarkar</v>
          </cell>
          <cell r="O299" t="str">
            <v>FCL-2</v>
          </cell>
          <cell r="P299" t="str">
            <v xml:space="preserve"> STABBORN VIPERZ</v>
          </cell>
          <cell r="Q299">
            <v>1</v>
          </cell>
          <cell r="R299">
            <v>50</v>
          </cell>
          <cell r="U299">
            <v>41487</v>
          </cell>
        </row>
        <row r="300">
          <cell r="B300" t="str">
            <v>Jumon</v>
          </cell>
          <cell r="C300">
            <v>6</v>
          </cell>
          <cell r="D300">
            <v>105</v>
          </cell>
          <cell r="E300">
            <v>5</v>
          </cell>
          <cell r="F300">
            <v>12</v>
          </cell>
          <cell r="G300">
            <v>1</v>
          </cell>
          <cell r="H300">
            <v>9</v>
          </cell>
          <cell r="I300">
            <v>5</v>
          </cell>
          <cell r="M300" t="str">
            <v>&gt;&gt;</v>
          </cell>
          <cell r="N300" t="str">
            <v>Foysal Ahmed Jumon</v>
          </cell>
          <cell r="O300" t="str">
            <v>FCL-2</v>
          </cell>
          <cell r="P300" t="str">
            <v xml:space="preserve"> STABBORN VIPERZ</v>
          </cell>
          <cell r="Q300">
            <v>1</v>
          </cell>
          <cell r="R300">
            <v>50</v>
          </cell>
          <cell r="U300">
            <v>41487</v>
          </cell>
        </row>
        <row r="301">
          <cell r="B301" t="str">
            <v>TEAM #DIAMOND MINERS</v>
          </cell>
          <cell r="M301" t="str">
            <v>&gt;&gt;</v>
          </cell>
          <cell r="N301" t="str">
            <v/>
          </cell>
          <cell r="O301" t="str">
            <v>FCL-2</v>
          </cell>
          <cell r="P301" t="str">
            <v xml:space="preserve"> DIAMOND MINERS</v>
          </cell>
          <cell r="Q301">
            <v>1</v>
          </cell>
          <cell r="R301">
            <v>51</v>
          </cell>
          <cell r="T301" t="str">
            <v>RU</v>
          </cell>
          <cell r="U301">
            <v>41487</v>
          </cell>
        </row>
        <row r="302">
          <cell r="B302" t="str">
            <v>Ruvel</v>
          </cell>
          <cell r="C302">
            <v>7</v>
          </cell>
          <cell r="D302">
            <v>65</v>
          </cell>
          <cell r="E302">
            <v>9</v>
          </cell>
          <cell r="F302">
            <v>9</v>
          </cell>
          <cell r="G302">
            <v>1</v>
          </cell>
          <cell r="H302">
            <v>6</v>
          </cell>
          <cell r="I302">
            <v>2</v>
          </cell>
          <cell r="M302" t="str">
            <v>&gt;&gt;</v>
          </cell>
          <cell r="N302" t="str">
            <v>Md Ruvel</v>
          </cell>
          <cell r="O302" t="str">
            <v>FCL-2</v>
          </cell>
          <cell r="P302" t="str">
            <v xml:space="preserve"> DIAMOND MINERS</v>
          </cell>
          <cell r="Q302">
            <v>1</v>
          </cell>
          <cell r="R302">
            <v>51</v>
          </cell>
          <cell r="T302" t="str">
            <v>RU</v>
          </cell>
          <cell r="U302">
            <v>41487</v>
          </cell>
        </row>
        <row r="303">
          <cell r="B303" t="str">
            <v>AR Shohag</v>
          </cell>
          <cell r="C303">
            <v>10</v>
          </cell>
          <cell r="D303">
            <v>191</v>
          </cell>
          <cell r="E303">
            <v>14</v>
          </cell>
          <cell r="F303">
            <v>14</v>
          </cell>
          <cell r="G303">
            <v>2</v>
          </cell>
          <cell r="H303">
            <v>14</v>
          </cell>
          <cell r="I303">
            <v>13</v>
          </cell>
          <cell r="M303" t="str">
            <v>&gt;&gt;</v>
          </cell>
          <cell r="N303" t="str">
            <v>A.R. Shohag</v>
          </cell>
          <cell r="O303" t="str">
            <v>FCL-2</v>
          </cell>
          <cell r="P303" t="str">
            <v xml:space="preserve"> DIAMOND MINERS</v>
          </cell>
          <cell r="Q303">
            <v>1</v>
          </cell>
          <cell r="R303">
            <v>51</v>
          </cell>
          <cell r="T303" t="str">
            <v>RU</v>
          </cell>
          <cell r="U303">
            <v>41487</v>
          </cell>
        </row>
        <row r="304">
          <cell r="B304" t="str">
            <v>Zohir</v>
          </cell>
          <cell r="C304">
            <v>10</v>
          </cell>
          <cell r="D304">
            <v>214</v>
          </cell>
          <cell r="E304">
            <v>17</v>
          </cell>
          <cell r="F304">
            <v>13</v>
          </cell>
          <cell r="G304">
            <v>1</v>
          </cell>
          <cell r="H304">
            <v>12</v>
          </cell>
          <cell r="I304">
            <v>21</v>
          </cell>
          <cell r="M304" t="str">
            <v>&gt;&gt;</v>
          </cell>
          <cell r="N304" t="str">
            <v>Zi Zohir</v>
          </cell>
          <cell r="O304" t="str">
            <v>FCL-2</v>
          </cell>
          <cell r="P304" t="str">
            <v xml:space="preserve"> DIAMOND MINERS</v>
          </cell>
          <cell r="Q304">
            <v>1</v>
          </cell>
          <cell r="R304">
            <v>51</v>
          </cell>
          <cell r="S304" t="str">
            <v>MOT</v>
          </cell>
          <cell r="T304" t="str">
            <v>RU</v>
          </cell>
          <cell r="U304">
            <v>41487</v>
          </cell>
        </row>
        <row r="305">
          <cell r="B305" t="str">
            <v>Atif</v>
          </cell>
          <cell r="C305">
            <v>8</v>
          </cell>
          <cell r="D305">
            <v>139</v>
          </cell>
          <cell r="E305">
            <v>3</v>
          </cell>
          <cell r="F305">
            <v>8</v>
          </cell>
          <cell r="G305">
            <v>0</v>
          </cell>
          <cell r="H305">
            <v>11</v>
          </cell>
          <cell r="I305">
            <v>8</v>
          </cell>
          <cell r="M305" t="str">
            <v>&gt;&gt;</v>
          </cell>
          <cell r="N305" t="str">
            <v>Abdul Atif</v>
          </cell>
          <cell r="O305" t="str">
            <v>FCL-2</v>
          </cell>
          <cell r="P305" t="str">
            <v xml:space="preserve"> DIAMOND MINERS</v>
          </cell>
          <cell r="Q305">
            <v>1</v>
          </cell>
          <cell r="R305">
            <v>51</v>
          </cell>
          <cell r="T305" t="str">
            <v>RU</v>
          </cell>
          <cell r="U305">
            <v>41487</v>
          </cell>
        </row>
        <row r="306">
          <cell r="B306" t="str">
            <v>SAKiB Sr.</v>
          </cell>
          <cell r="C306">
            <v>10</v>
          </cell>
          <cell r="D306">
            <v>163</v>
          </cell>
          <cell r="E306">
            <v>4</v>
          </cell>
          <cell r="F306">
            <v>12</v>
          </cell>
          <cell r="G306">
            <v>2</v>
          </cell>
          <cell r="H306">
            <v>16</v>
          </cell>
          <cell r="I306">
            <v>8</v>
          </cell>
          <cell r="M306" t="str">
            <v>&gt;&gt;</v>
          </cell>
          <cell r="N306" t="str">
            <v>Ahmad Sakib Abdullah</v>
          </cell>
          <cell r="O306" t="str">
            <v>FCL-2</v>
          </cell>
          <cell r="P306" t="str">
            <v xml:space="preserve"> DIAMOND MINERS</v>
          </cell>
          <cell r="Q306">
            <v>1</v>
          </cell>
          <cell r="R306">
            <v>51</v>
          </cell>
          <cell r="T306" t="str">
            <v>RU</v>
          </cell>
          <cell r="U306">
            <v>41487</v>
          </cell>
        </row>
        <row r="307">
          <cell r="B307" t="str">
            <v>Arif</v>
          </cell>
          <cell r="C307">
            <v>10</v>
          </cell>
          <cell r="D307">
            <v>174</v>
          </cell>
          <cell r="E307">
            <v>17</v>
          </cell>
          <cell r="F307">
            <v>11</v>
          </cell>
          <cell r="G307">
            <v>1</v>
          </cell>
          <cell r="H307">
            <v>19</v>
          </cell>
          <cell r="I307">
            <v>9</v>
          </cell>
          <cell r="M307" t="str">
            <v>&gt;&gt;</v>
          </cell>
          <cell r="N307" t="str">
            <v>Arif Ziad</v>
          </cell>
          <cell r="O307" t="str">
            <v>FCL-2</v>
          </cell>
          <cell r="P307" t="str">
            <v xml:space="preserve"> DIAMOND MINERS</v>
          </cell>
          <cell r="Q307">
            <v>1</v>
          </cell>
          <cell r="R307">
            <v>51</v>
          </cell>
          <cell r="S307" t="str">
            <v>CPOT</v>
          </cell>
          <cell r="T307" t="str">
            <v>RU</v>
          </cell>
          <cell r="U307">
            <v>41487</v>
          </cell>
        </row>
        <row r="308">
          <cell r="B308" t="str">
            <v>Leon</v>
          </cell>
          <cell r="C308">
            <v>1</v>
          </cell>
          <cell r="D308">
            <v>3</v>
          </cell>
          <cell r="E308">
            <v>0</v>
          </cell>
          <cell r="F308">
            <v>1</v>
          </cell>
          <cell r="G308">
            <v>0</v>
          </cell>
          <cell r="H308">
            <v>0</v>
          </cell>
          <cell r="I308">
            <v>0</v>
          </cell>
          <cell r="M308" t="str">
            <v>&gt;&gt;</v>
          </cell>
          <cell r="N308" t="str">
            <v>Rafeed Leon</v>
          </cell>
          <cell r="O308" t="str">
            <v>FCL-2</v>
          </cell>
          <cell r="P308" t="str">
            <v xml:space="preserve"> DIAMOND MINERS</v>
          </cell>
          <cell r="Q308">
            <v>1</v>
          </cell>
          <cell r="R308">
            <v>51</v>
          </cell>
          <cell r="T308" t="str">
            <v>RU</v>
          </cell>
          <cell r="U308">
            <v>41487</v>
          </cell>
        </row>
        <row r="309">
          <cell r="B309" t="str">
            <v>TEAM #EXOTIC RINOS</v>
          </cell>
          <cell r="M309" t="str">
            <v>&gt;&gt;</v>
          </cell>
          <cell r="N309" t="str">
            <v/>
          </cell>
          <cell r="O309" t="str">
            <v>FCL-2</v>
          </cell>
          <cell r="P309" t="str">
            <v xml:space="preserve"> EXOTIC RINOS</v>
          </cell>
          <cell r="Q309">
            <v>1</v>
          </cell>
          <cell r="R309">
            <v>52</v>
          </cell>
          <cell r="U309">
            <v>41487</v>
          </cell>
        </row>
        <row r="310">
          <cell r="B310" t="str">
            <v>Sabbir</v>
          </cell>
          <cell r="C310">
            <v>4</v>
          </cell>
          <cell r="D310">
            <v>32</v>
          </cell>
          <cell r="E310">
            <v>5</v>
          </cell>
          <cell r="F310">
            <v>7</v>
          </cell>
          <cell r="G310">
            <v>0</v>
          </cell>
          <cell r="H310">
            <v>2</v>
          </cell>
          <cell r="I310">
            <v>2</v>
          </cell>
          <cell r="M310" t="str">
            <v>&gt;&gt;</v>
          </cell>
          <cell r="N310" t="str">
            <v>Sabbir Ahmed</v>
          </cell>
          <cell r="O310" t="str">
            <v>FCL-2</v>
          </cell>
          <cell r="P310" t="str">
            <v xml:space="preserve"> EXOTIC RINOS</v>
          </cell>
          <cell r="Q310">
            <v>1</v>
          </cell>
          <cell r="R310">
            <v>52</v>
          </cell>
          <cell r="U310">
            <v>41487</v>
          </cell>
        </row>
        <row r="311">
          <cell r="B311" t="str">
            <v>Arman</v>
          </cell>
          <cell r="C311">
            <v>2</v>
          </cell>
          <cell r="D311">
            <v>8</v>
          </cell>
          <cell r="E311">
            <v>2</v>
          </cell>
          <cell r="F311">
            <v>2</v>
          </cell>
          <cell r="G311">
            <v>0</v>
          </cell>
          <cell r="H311">
            <v>1</v>
          </cell>
          <cell r="I311">
            <v>0</v>
          </cell>
          <cell r="M311" t="str">
            <v>&gt;&gt;</v>
          </cell>
          <cell r="N311" t="str">
            <v>Cricket Pagla Arman</v>
          </cell>
          <cell r="O311" t="str">
            <v>FCL-2</v>
          </cell>
          <cell r="P311" t="str">
            <v xml:space="preserve"> EXOTIC RINOS</v>
          </cell>
          <cell r="Q311">
            <v>1</v>
          </cell>
          <cell r="R311">
            <v>52</v>
          </cell>
          <cell r="U311">
            <v>41487</v>
          </cell>
        </row>
        <row r="312">
          <cell r="B312" t="str">
            <v>Alif</v>
          </cell>
          <cell r="C312">
            <v>6</v>
          </cell>
          <cell r="D312">
            <v>115</v>
          </cell>
          <cell r="E312">
            <v>3</v>
          </cell>
          <cell r="F312">
            <v>12</v>
          </cell>
          <cell r="G312">
            <v>0</v>
          </cell>
          <cell r="H312">
            <v>3</v>
          </cell>
          <cell r="I312">
            <v>10</v>
          </cell>
          <cell r="M312" t="str">
            <v>&gt;&gt;</v>
          </cell>
          <cell r="N312" t="str">
            <v>Farhanul Habib Alif</v>
          </cell>
          <cell r="O312" t="str">
            <v>FCL-2</v>
          </cell>
          <cell r="P312" t="str">
            <v xml:space="preserve"> EXOTIC RINOS</v>
          </cell>
          <cell r="Q312">
            <v>1</v>
          </cell>
          <cell r="R312">
            <v>52</v>
          </cell>
          <cell r="U312">
            <v>41487</v>
          </cell>
        </row>
        <row r="313">
          <cell r="B313" t="str">
            <v>Niamul</v>
          </cell>
          <cell r="C313">
            <v>6</v>
          </cell>
          <cell r="D313">
            <v>105</v>
          </cell>
          <cell r="E313">
            <v>12</v>
          </cell>
          <cell r="F313">
            <v>13</v>
          </cell>
          <cell r="G313">
            <v>0</v>
          </cell>
          <cell r="H313">
            <v>4</v>
          </cell>
          <cell r="I313">
            <v>8</v>
          </cell>
          <cell r="M313" t="str">
            <v>&gt;&gt;</v>
          </cell>
          <cell r="N313" t="str">
            <v>Niamul Habib Setu</v>
          </cell>
          <cell r="O313" t="str">
            <v>FCL-2</v>
          </cell>
          <cell r="P313" t="str">
            <v xml:space="preserve"> EXOTIC RINOS</v>
          </cell>
          <cell r="Q313">
            <v>1</v>
          </cell>
          <cell r="R313">
            <v>52</v>
          </cell>
          <cell r="U313">
            <v>41487</v>
          </cell>
        </row>
        <row r="314">
          <cell r="B314" t="str">
            <v>Faisal</v>
          </cell>
          <cell r="C314">
            <v>6</v>
          </cell>
          <cell r="D314">
            <v>134</v>
          </cell>
          <cell r="E314">
            <v>13</v>
          </cell>
          <cell r="F314">
            <v>14</v>
          </cell>
          <cell r="G314">
            <v>1</v>
          </cell>
          <cell r="H314">
            <v>6</v>
          </cell>
          <cell r="I314">
            <v>12</v>
          </cell>
          <cell r="M314" t="str">
            <v>&gt;&gt;</v>
          </cell>
          <cell r="N314" t="str">
            <v>Red Heart Faisal (Fayze Ahamed)</v>
          </cell>
          <cell r="O314" t="str">
            <v>FCL-2</v>
          </cell>
          <cell r="P314" t="str">
            <v xml:space="preserve"> EXOTIC RINOS</v>
          </cell>
          <cell r="Q314">
            <v>1</v>
          </cell>
          <cell r="R314">
            <v>52</v>
          </cell>
          <cell r="U314">
            <v>41487</v>
          </cell>
        </row>
        <row r="315">
          <cell r="B315" t="str">
            <v>TEAM #ROCKING STARS</v>
          </cell>
          <cell r="M315" t="str">
            <v>&gt;&gt;</v>
          </cell>
          <cell r="N315" t="str">
            <v/>
          </cell>
          <cell r="O315" t="str">
            <v>FCL-2</v>
          </cell>
          <cell r="P315" t="str">
            <v xml:space="preserve"> ROCKING STARS</v>
          </cell>
          <cell r="Q315">
            <v>1</v>
          </cell>
          <cell r="R315">
            <v>53</v>
          </cell>
          <cell r="U315">
            <v>41487</v>
          </cell>
        </row>
        <row r="316">
          <cell r="B316" t="str">
            <v>Oliy</v>
          </cell>
          <cell r="C316">
            <v>7</v>
          </cell>
          <cell r="D316">
            <v>41</v>
          </cell>
          <cell r="E316">
            <v>4</v>
          </cell>
          <cell r="F316">
            <v>7</v>
          </cell>
          <cell r="G316">
            <v>0</v>
          </cell>
          <cell r="H316">
            <v>1</v>
          </cell>
          <cell r="I316">
            <v>0</v>
          </cell>
          <cell r="M316" t="str">
            <v>&gt;&gt;</v>
          </cell>
          <cell r="N316" t="str">
            <v>Oliy Saif</v>
          </cell>
          <cell r="O316" t="str">
            <v>FCL-2</v>
          </cell>
          <cell r="P316" t="str">
            <v xml:space="preserve"> ROCKING STARS</v>
          </cell>
          <cell r="Q316">
            <v>1</v>
          </cell>
          <cell r="R316">
            <v>53</v>
          </cell>
          <cell r="U316">
            <v>41487</v>
          </cell>
        </row>
        <row r="317">
          <cell r="B317" t="str">
            <v>Nahid</v>
          </cell>
          <cell r="C317">
            <v>8</v>
          </cell>
          <cell r="D317">
            <v>90</v>
          </cell>
          <cell r="E317">
            <v>9</v>
          </cell>
          <cell r="F317">
            <v>8</v>
          </cell>
          <cell r="G317">
            <v>0</v>
          </cell>
          <cell r="H317">
            <v>4</v>
          </cell>
          <cell r="I317">
            <v>8</v>
          </cell>
          <cell r="M317" t="str">
            <v>&gt;&gt;</v>
          </cell>
          <cell r="N317" t="str">
            <v>Nahid Saifullah</v>
          </cell>
          <cell r="O317" t="str">
            <v>FCL-2</v>
          </cell>
          <cell r="P317" t="str">
            <v xml:space="preserve"> ROCKING STARS</v>
          </cell>
          <cell r="Q317">
            <v>1</v>
          </cell>
          <cell r="R317">
            <v>53</v>
          </cell>
          <cell r="U317">
            <v>41487</v>
          </cell>
        </row>
        <row r="318">
          <cell r="B318" t="str">
            <v>Jahin</v>
          </cell>
          <cell r="C318">
            <v>8</v>
          </cell>
          <cell r="D318">
            <v>194</v>
          </cell>
          <cell r="E318">
            <v>4</v>
          </cell>
          <cell r="F318">
            <v>10</v>
          </cell>
          <cell r="G318">
            <v>1</v>
          </cell>
          <cell r="H318">
            <v>16</v>
          </cell>
          <cell r="I318">
            <v>11</v>
          </cell>
          <cell r="M318" t="str">
            <v>&gt;&gt;</v>
          </cell>
          <cell r="N318" t="str">
            <v>Jahin Shahriar Chowdhury</v>
          </cell>
          <cell r="O318" t="str">
            <v>FCL-2</v>
          </cell>
          <cell r="P318" t="str">
            <v xml:space="preserve"> ROCKING STARS</v>
          </cell>
          <cell r="Q318">
            <v>1</v>
          </cell>
          <cell r="R318">
            <v>53</v>
          </cell>
          <cell r="U318">
            <v>41487</v>
          </cell>
        </row>
        <row r="319">
          <cell r="B319" t="str">
            <v>Brinto</v>
          </cell>
          <cell r="C319">
            <v>8</v>
          </cell>
          <cell r="D319">
            <v>104</v>
          </cell>
          <cell r="E319">
            <v>15</v>
          </cell>
          <cell r="F319">
            <v>8</v>
          </cell>
          <cell r="G319">
            <v>1</v>
          </cell>
          <cell r="H319">
            <v>5</v>
          </cell>
          <cell r="I319">
            <v>9</v>
          </cell>
          <cell r="M319" t="str">
            <v>&gt;&gt;</v>
          </cell>
          <cell r="N319" t="str">
            <v>Shuvayan Saha Brinto</v>
          </cell>
          <cell r="O319" t="str">
            <v>FCL-2</v>
          </cell>
          <cell r="P319" t="str">
            <v xml:space="preserve"> ROCKING STARS</v>
          </cell>
          <cell r="Q319">
            <v>1</v>
          </cell>
          <cell r="R319">
            <v>53</v>
          </cell>
          <cell r="U319">
            <v>41487</v>
          </cell>
        </row>
        <row r="320">
          <cell r="B320" t="str">
            <v>Helal</v>
          </cell>
          <cell r="C320">
            <v>8</v>
          </cell>
          <cell r="D320">
            <v>93</v>
          </cell>
          <cell r="E320">
            <v>7</v>
          </cell>
          <cell r="F320">
            <v>10</v>
          </cell>
          <cell r="G320">
            <v>0</v>
          </cell>
          <cell r="H320">
            <v>9</v>
          </cell>
          <cell r="I320">
            <v>7</v>
          </cell>
          <cell r="M320" t="str">
            <v>&gt;&gt;</v>
          </cell>
          <cell r="N320" t="str">
            <v>Sheik Helal Ahmed</v>
          </cell>
          <cell r="O320" t="str">
            <v>FCL-2</v>
          </cell>
          <cell r="P320" t="str">
            <v xml:space="preserve"> ROCKING STARS</v>
          </cell>
          <cell r="Q320">
            <v>1</v>
          </cell>
          <cell r="R320">
            <v>53</v>
          </cell>
          <cell r="U320">
            <v>41487</v>
          </cell>
        </row>
        <row r="321">
          <cell r="B321" t="str">
            <v>Washim</v>
          </cell>
          <cell r="C321">
            <v>8</v>
          </cell>
          <cell r="D321">
            <v>265</v>
          </cell>
          <cell r="E321">
            <v>7</v>
          </cell>
          <cell r="F321">
            <v>13</v>
          </cell>
          <cell r="G321">
            <v>2</v>
          </cell>
          <cell r="H321">
            <v>19</v>
          </cell>
          <cell r="I321">
            <v>13</v>
          </cell>
          <cell r="M321" t="str">
            <v>&gt;&gt;</v>
          </cell>
          <cell r="N321" t="str">
            <v>Akram Husan (Washim)</v>
          </cell>
          <cell r="O321" t="str">
            <v>FCL-2</v>
          </cell>
          <cell r="P321" t="str">
            <v xml:space="preserve"> ROCKING STARS</v>
          </cell>
          <cell r="Q321">
            <v>1</v>
          </cell>
          <cell r="R321">
            <v>53</v>
          </cell>
          <cell r="U321">
            <v>41487</v>
          </cell>
          <cell r="V321">
            <v>1</v>
          </cell>
        </row>
        <row r="322">
          <cell r="B322" t="str">
            <v>NOVEL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M322" t="str">
            <v>&gt;&gt;</v>
          </cell>
          <cell r="N322" t="str">
            <v>Neaimul Novel</v>
          </cell>
          <cell r="O322" t="str">
            <v>FCL-2</v>
          </cell>
          <cell r="P322" t="str">
            <v xml:space="preserve"> ROCKING STARS</v>
          </cell>
          <cell r="Q322">
            <v>1</v>
          </cell>
          <cell r="R322">
            <v>53</v>
          </cell>
          <cell r="U322">
            <v>41487</v>
          </cell>
        </row>
        <row r="323">
          <cell r="B323" t="str">
            <v>TEAM #DANGAROUS DYNAMITS</v>
          </cell>
          <cell r="M323" t="str">
            <v>&gt;&gt;</v>
          </cell>
          <cell r="N323" t="str">
            <v/>
          </cell>
          <cell r="O323" t="str">
            <v>FCL-2</v>
          </cell>
          <cell r="P323" t="str">
            <v xml:space="preserve"> DANGAROUS DYNAMITS</v>
          </cell>
          <cell r="Q323">
            <v>1</v>
          </cell>
          <cell r="R323">
            <v>54</v>
          </cell>
          <cell r="U323">
            <v>41487</v>
          </cell>
        </row>
        <row r="324">
          <cell r="B324" t="str">
            <v>Ashik</v>
          </cell>
          <cell r="C324">
            <v>5</v>
          </cell>
          <cell r="D324">
            <v>28</v>
          </cell>
          <cell r="E324">
            <v>0</v>
          </cell>
          <cell r="F324">
            <v>4</v>
          </cell>
          <cell r="G324">
            <v>0</v>
          </cell>
          <cell r="H324">
            <v>1</v>
          </cell>
          <cell r="I324">
            <v>3</v>
          </cell>
          <cell r="M324" t="str">
            <v>&gt;&gt;</v>
          </cell>
          <cell r="N324" t="str">
            <v>Ashikur Rahman Ashik</v>
          </cell>
          <cell r="O324" t="str">
            <v>FCL-2</v>
          </cell>
          <cell r="P324" t="str">
            <v xml:space="preserve"> DANGAROUS DYNAMITS</v>
          </cell>
          <cell r="Q324">
            <v>1</v>
          </cell>
          <cell r="R324">
            <v>54</v>
          </cell>
          <cell r="U324">
            <v>41487</v>
          </cell>
        </row>
        <row r="325">
          <cell r="B325" t="str">
            <v>Sahed</v>
          </cell>
          <cell r="C325">
            <v>7</v>
          </cell>
          <cell r="D325">
            <v>114</v>
          </cell>
          <cell r="E325">
            <v>5</v>
          </cell>
          <cell r="F325">
            <v>11</v>
          </cell>
          <cell r="G325">
            <v>1</v>
          </cell>
          <cell r="H325">
            <v>4</v>
          </cell>
          <cell r="I325">
            <v>11</v>
          </cell>
          <cell r="M325" t="str">
            <v>&gt;&gt;</v>
          </cell>
          <cell r="N325" t="str">
            <v>Sahed Hossain Masum</v>
          </cell>
          <cell r="O325" t="str">
            <v>FCL-2</v>
          </cell>
          <cell r="P325" t="str">
            <v xml:space="preserve"> DANGAROUS DYNAMITS</v>
          </cell>
          <cell r="Q325">
            <v>1</v>
          </cell>
          <cell r="R325">
            <v>54</v>
          </cell>
          <cell r="U325">
            <v>41487</v>
          </cell>
        </row>
        <row r="326">
          <cell r="B326" t="str">
            <v>Hridoy</v>
          </cell>
          <cell r="C326">
            <v>7</v>
          </cell>
          <cell r="D326">
            <v>207</v>
          </cell>
          <cell r="E326">
            <v>7</v>
          </cell>
          <cell r="F326">
            <v>11</v>
          </cell>
          <cell r="G326">
            <v>1</v>
          </cell>
          <cell r="H326">
            <v>14</v>
          </cell>
          <cell r="I326">
            <v>14</v>
          </cell>
          <cell r="M326" t="str">
            <v>&gt;&gt;</v>
          </cell>
          <cell r="N326" t="str">
            <v>Kamrul Hasan Hridoy</v>
          </cell>
          <cell r="O326" t="str">
            <v>FCL-2</v>
          </cell>
          <cell r="P326" t="str">
            <v xml:space="preserve"> DANGAROUS DYNAMITS</v>
          </cell>
          <cell r="Q326">
            <v>1</v>
          </cell>
          <cell r="R326">
            <v>54</v>
          </cell>
          <cell r="U326">
            <v>41487</v>
          </cell>
        </row>
        <row r="327">
          <cell r="B327" t="str">
            <v>Sadrul</v>
          </cell>
          <cell r="C327">
            <v>7</v>
          </cell>
          <cell r="D327">
            <v>58</v>
          </cell>
          <cell r="E327">
            <v>20</v>
          </cell>
          <cell r="F327">
            <v>7</v>
          </cell>
          <cell r="G327">
            <v>2</v>
          </cell>
          <cell r="H327">
            <v>3</v>
          </cell>
          <cell r="I327">
            <v>1</v>
          </cell>
          <cell r="M327" t="str">
            <v>&gt;&gt;</v>
          </cell>
          <cell r="N327" t="str">
            <v>Sadrul Anam</v>
          </cell>
          <cell r="O327" t="str">
            <v>FCL-2</v>
          </cell>
          <cell r="P327" t="str">
            <v xml:space="preserve"> DANGAROUS DYNAMITS</v>
          </cell>
          <cell r="Q327">
            <v>1</v>
          </cell>
          <cell r="R327">
            <v>54</v>
          </cell>
          <cell r="U327">
            <v>41487</v>
          </cell>
          <cell r="W327">
            <v>1</v>
          </cell>
        </row>
        <row r="328">
          <cell r="B328" t="str">
            <v>Rifat</v>
          </cell>
          <cell r="C328">
            <v>3</v>
          </cell>
          <cell r="D328">
            <v>37</v>
          </cell>
          <cell r="E328">
            <v>4</v>
          </cell>
          <cell r="F328">
            <v>1</v>
          </cell>
          <cell r="G328">
            <v>0</v>
          </cell>
          <cell r="H328">
            <v>3</v>
          </cell>
          <cell r="I328">
            <v>2</v>
          </cell>
          <cell r="M328" t="str">
            <v>&gt;&gt;</v>
          </cell>
          <cell r="N328" t="str">
            <v>Rifat Ullah</v>
          </cell>
          <cell r="O328" t="str">
            <v>FCL-2</v>
          </cell>
          <cell r="P328" t="str">
            <v xml:space="preserve"> DANGAROUS DYNAMITS</v>
          </cell>
          <cell r="Q328">
            <v>1</v>
          </cell>
          <cell r="R328">
            <v>54</v>
          </cell>
          <cell r="U328">
            <v>41487</v>
          </cell>
        </row>
        <row r="329">
          <cell r="B329" t="str">
            <v>Rakib</v>
          </cell>
          <cell r="C329">
            <v>6</v>
          </cell>
          <cell r="D329">
            <v>71</v>
          </cell>
          <cell r="E329">
            <v>4</v>
          </cell>
          <cell r="F329">
            <v>5</v>
          </cell>
          <cell r="G329">
            <v>0</v>
          </cell>
          <cell r="H329">
            <v>1</v>
          </cell>
          <cell r="I329">
            <v>6</v>
          </cell>
          <cell r="M329" t="str">
            <v>&gt;&gt;</v>
          </cell>
          <cell r="N329" t="str">
            <v>Rakib Hasan</v>
          </cell>
          <cell r="O329" t="str">
            <v>FCL-2</v>
          </cell>
          <cell r="P329" t="str">
            <v xml:space="preserve"> DANGAROUS DYNAMITS</v>
          </cell>
          <cell r="Q329">
            <v>1</v>
          </cell>
          <cell r="R329">
            <v>54</v>
          </cell>
          <cell r="U329">
            <v>41487</v>
          </cell>
        </row>
        <row r="330">
          <cell r="B330" t="str">
            <v>Meyaz</v>
          </cell>
          <cell r="C330">
            <v>6</v>
          </cell>
          <cell r="D330">
            <v>29</v>
          </cell>
          <cell r="E330">
            <v>4</v>
          </cell>
          <cell r="F330">
            <v>4</v>
          </cell>
          <cell r="G330">
            <v>0</v>
          </cell>
          <cell r="H330">
            <v>3</v>
          </cell>
          <cell r="I330">
            <v>2</v>
          </cell>
          <cell r="M330" t="str">
            <v>&gt;&gt;</v>
          </cell>
          <cell r="N330" t="str">
            <v>Meyaz Al Emon</v>
          </cell>
          <cell r="O330" t="str">
            <v>FCL-2</v>
          </cell>
          <cell r="P330" t="str">
            <v xml:space="preserve"> DANGAROUS DYNAMITS</v>
          </cell>
          <cell r="Q330">
            <v>1</v>
          </cell>
          <cell r="R330">
            <v>54</v>
          </cell>
          <cell r="U330">
            <v>41487</v>
          </cell>
        </row>
        <row r="331">
          <cell r="B331" t="str">
            <v>TEAM #SUPER SPARKS</v>
          </cell>
          <cell r="M331" t="str">
            <v>&gt;&gt;</v>
          </cell>
          <cell r="N331" t="str">
            <v/>
          </cell>
          <cell r="O331" t="str">
            <v>FCL-2</v>
          </cell>
          <cell r="P331" t="str">
            <v xml:space="preserve"> SUPER SPARKS</v>
          </cell>
          <cell r="Q331">
            <v>1</v>
          </cell>
          <cell r="R331">
            <v>55</v>
          </cell>
          <cell r="U331">
            <v>41487</v>
          </cell>
        </row>
        <row r="332">
          <cell r="B332" t="str">
            <v>Asif</v>
          </cell>
          <cell r="C332">
            <v>5</v>
          </cell>
          <cell r="D332">
            <v>50</v>
          </cell>
          <cell r="E332">
            <v>6</v>
          </cell>
          <cell r="F332">
            <v>6</v>
          </cell>
          <cell r="G332">
            <v>0</v>
          </cell>
          <cell r="H332">
            <v>1</v>
          </cell>
          <cell r="I332">
            <v>3</v>
          </cell>
          <cell r="M332" t="str">
            <v>&gt;&gt;</v>
          </cell>
          <cell r="N332" t="str">
            <v>Asif Iqbal Khan</v>
          </cell>
          <cell r="O332" t="str">
            <v>FCL-2</v>
          </cell>
          <cell r="P332" t="str">
            <v xml:space="preserve"> SUPER SPARKS</v>
          </cell>
          <cell r="Q332">
            <v>1</v>
          </cell>
          <cell r="R332">
            <v>55</v>
          </cell>
          <cell r="U332">
            <v>41487</v>
          </cell>
        </row>
        <row r="333">
          <cell r="B333" t="str">
            <v>Towkir</v>
          </cell>
          <cell r="C333">
            <v>5</v>
          </cell>
          <cell r="D333">
            <v>27</v>
          </cell>
          <cell r="E333">
            <v>3</v>
          </cell>
          <cell r="F333">
            <v>6</v>
          </cell>
          <cell r="G333">
            <v>0</v>
          </cell>
          <cell r="H333">
            <v>0</v>
          </cell>
          <cell r="I333">
            <v>0</v>
          </cell>
          <cell r="M333" t="str">
            <v>&gt;&gt;</v>
          </cell>
          <cell r="N333" t="str">
            <v>Towkir Ahmed Siddique</v>
          </cell>
          <cell r="O333" t="str">
            <v>FCL-2</v>
          </cell>
          <cell r="P333" t="str">
            <v xml:space="preserve"> SUPER SPARKS</v>
          </cell>
          <cell r="Q333">
            <v>1</v>
          </cell>
          <cell r="R333">
            <v>55</v>
          </cell>
          <cell r="U333">
            <v>41487</v>
          </cell>
        </row>
        <row r="334">
          <cell r="B334" t="str">
            <v>Kawser</v>
          </cell>
          <cell r="C334">
            <v>4</v>
          </cell>
          <cell r="D334">
            <v>40</v>
          </cell>
          <cell r="E334">
            <v>8</v>
          </cell>
          <cell r="F334">
            <v>5</v>
          </cell>
          <cell r="G334">
            <v>0</v>
          </cell>
          <cell r="H334">
            <v>5</v>
          </cell>
          <cell r="I334">
            <v>2</v>
          </cell>
          <cell r="M334" t="str">
            <v>&gt;&gt;</v>
          </cell>
          <cell r="N334" t="str">
            <v>Ahmed Kawser Da Neymar</v>
          </cell>
          <cell r="O334" t="str">
            <v>FCL-2</v>
          </cell>
          <cell r="P334" t="str">
            <v xml:space="preserve"> SUPER SPARKS</v>
          </cell>
          <cell r="Q334">
            <v>1</v>
          </cell>
          <cell r="R334">
            <v>55</v>
          </cell>
          <cell r="U334">
            <v>41487</v>
          </cell>
        </row>
        <row r="335">
          <cell r="B335" t="str">
            <v>Ovi</v>
          </cell>
          <cell r="C335">
            <v>5</v>
          </cell>
          <cell r="D335">
            <v>135</v>
          </cell>
          <cell r="E335">
            <v>9</v>
          </cell>
          <cell r="F335">
            <v>9</v>
          </cell>
          <cell r="G335">
            <v>1</v>
          </cell>
          <cell r="H335">
            <v>10</v>
          </cell>
          <cell r="I335">
            <v>9</v>
          </cell>
          <cell r="M335" t="str">
            <v>&gt;&gt;</v>
          </cell>
          <cell r="N335" t="str">
            <v>Toufiq Ahmed Ovi</v>
          </cell>
          <cell r="O335" t="str">
            <v>FCL-2</v>
          </cell>
          <cell r="P335" t="str">
            <v xml:space="preserve"> SUPER SPARKS</v>
          </cell>
          <cell r="Q335">
            <v>1</v>
          </cell>
          <cell r="R335">
            <v>55</v>
          </cell>
          <cell r="U335">
            <v>41487</v>
          </cell>
        </row>
        <row r="336">
          <cell r="B336" t="str">
            <v>Md. Asif</v>
          </cell>
          <cell r="C336">
            <v>5</v>
          </cell>
          <cell r="D336">
            <v>93</v>
          </cell>
          <cell r="E336">
            <v>4</v>
          </cell>
          <cell r="F336">
            <v>8</v>
          </cell>
          <cell r="G336">
            <v>0</v>
          </cell>
          <cell r="H336">
            <v>1</v>
          </cell>
          <cell r="I336">
            <v>7</v>
          </cell>
          <cell r="M336" t="str">
            <v>&gt;&gt;</v>
          </cell>
          <cell r="N336" t="str">
            <v>Mohammad Asif</v>
          </cell>
          <cell r="O336" t="str">
            <v>FCL-2</v>
          </cell>
          <cell r="P336" t="str">
            <v xml:space="preserve"> SUPER SPARKS</v>
          </cell>
          <cell r="Q336">
            <v>1</v>
          </cell>
          <cell r="R336">
            <v>55</v>
          </cell>
          <cell r="U336">
            <v>41487</v>
          </cell>
        </row>
        <row r="337">
          <cell r="B337" t="str">
            <v>Saiful</v>
          </cell>
          <cell r="C337">
            <v>3</v>
          </cell>
          <cell r="D337">
            <v>10</v>
          </cell>
          <cell r="E337">
            <v>3</v>
          </cell>
          <cell r="F337">
            <v>3</v>
          </cell>
          <cell r="G337">
            <v>1</v>
          </cell>
          <cell r="H337">
            <v>0</v>
          </cell>
          <cell r="I337">
            <v>1</v>
          </cell>
          <cell r="M337" t="str">
            <v>&gt;&gt;</v>
          </cell>
          <cell r="N337" t="str">
            <v>Saiful Islam</v>
          </cell>
          <cell r="O337" t="str">
            <v>FCL-2</v>
          </cell>
          <cell r="P337" t="str">
            <v xml:space="preserve"> SUPER SPARKS</v>
          </cell>
          <cell r="Q337">
            <v>1</v>
          </cell>
          <cell r="R337">
            <v>55</v>
          </cell>
          <cell r="U337">
            <v>41487</v>
          </cell>
        </row>
        <row r="338">
          <cell r="B338" t="str">
            <v>Taho</v>
          </cell>
          <cell r="C338">
            <v>2</v>
          </cell>
          <cell r="D338">
            <v>8</v>
          </cell>
          <cell r="E338">
            <v>1</v>
          </cell>
          <cell r="F338">
            <v>2</v>
          </cell>
          <cell r="G338">
            <v>0</v>
          </cell>
          <cell r="H338">
            <v>0</v>
          </cell>
          <cell r="I338">
            <v>1</v>
          </cell>
          <cell r="M338" t="str">
            <v>&gt;&gt;</v>
          </cell>
          <cell r="N338" t="str">
            <v>Taho D. Ace</v>
          </cell>
          <cell r="O338" t="str">
            <v>FCL-2</v>
          </cell>
          <cell r="P338" t="str">
            <v xml:space="preserve"> SUPER SPARKS</v>
          </cell>
          <cell r="Q338">
            <v>1</v>
          </cell>
          <cell r="R338">
            <v>55</v>
          </cell>
          <cell r="U338">
            <v>41487</v>
          </cell>
        </row>
        <row r="339">
          <cell r="B339" t="str">
            <v>GREEN SPIDER</v>
          </cell>
          <cell r="M339" t="str">
            <v>&gt;&gt;</v>
          </cell>
          <cell r="N339" t="str">
            <v/>
          </cell>
          <cell r="O339" t="str">
            <v>FCL-2</v>
          </cell>
          <cell r="P339" t="str">
            <v>GREEN SPIDER</v>
          </cell>
          <cell r="Q339">
            <v>1</v>
          </cell>
          <cell r="R339">
            <v>56</v>
          </cell>
          <cell r="T339" t="str">
            <v>CHAMP</v>
          </cell>
          <cell r="U339">
            <v>41487</v>
          </cell>
        </row>
        <row r="340">
          <cell r="B340" t="str">
            <v>Rayhan</v>
          </cell>
          <cell r="C340">
            <v>7</v>
          </cell>
          <cell r="D340">
            <v>56</v>
          </cell>
          <cell r="E340">
            <v>9</v>
          </cell>
          <cell r="F340">
            <v>5</v>
          </cell>
          <cell r="G340">
            <v>0</v>
          </cell>
          <cell r="H340">
            <v>1</v>
          </cell>
          <cell r="I340">
            <v>5</v>
          </cell>
          <cell r="M340" t="str">
            <v>&gt;&gt;</v>
          </cell>
          <cell r="N340" t="str">
            <v>Rayhan Rahman</v>
          </cell>
          <cell r="O340" t="str">
            <v>FCL-2</v>
          </cell>
          <cell r="P340" t="str">
            <v>GREEN SPIDER</v>
          </cell>
          <cell r="Q340">
            <v>1</v>
          </cell>
          <cell r="R340">
            <v>56</v>
          </cell>
          <cell r="T340" t="str">
            <v>CHAMP</v>
          </cell>
          <cell r="U340">
            <v>41487</v>
          </cell>
        </row>
        <row r="341">
          <cell r="B341" t="str">
            <v>Akram Himal</v>
          </cell>
          <cell r="C341">
            <v>8</v>
          </cell>
          <cell r="D341">
            <v>189</v>
          </cell>
          <cell r="E341">
            <v>14</v>
          </cell>
          <cell r="F341">
            <v>11</v>
          </cell>
          <cell r="G341">
            <v>1</v>
          </cell>
          <cell r="H341">
            <v>21</v>
          </cell>
          <cell r="I341">
            <v>12</v>
          </cell>
          <cell r="M341" t="str">
            <v>&gt;&gt;</v>
          </cell>
          <cell r="N341" t="str">
            <v>Akram Hosen Himal</v>
          </cell>
          <cell r="O341" t="str">
            <v>FCL-2</v>
          </cell>
          <cell r="P341" t="str">
            <v>GREEN SPIDER</v>
          </cell>
          <cell r="Q341">
            <v>1</v>
          </cell>
          <cell r="R341">
            <v>56</v>
          </cell>
          <cell r="T341" t="str">
            <v>CHAMP</v>
          </cell>
          <cell r="U341">
            <v>41487</v>
          </cell>
        </row>
        <row r="342">
          <cell r="B342" t="str">
            <v>Shahan</v>
          </cell>
          <cell r="C342">
            <v>8</v>
          </cell>
          <cell r="D342">
            <v>212</v>
          </cell>
          <cell r="E342">
            <v>6</v>
          </cell>
          <cell r="F342">
            <v>15</v>
          </cell>
          <cell r="G342">
            <v>4</v>
          </cell>
          <cell r="H342">
            <v>11</v>
          </cell>
          <cell r="I342">
            <v>12</v>
          </cell>
          <cell r="M342" t="str">
            <v>&gt;&gt;</v>
          </cell>
          <cell r="N342" t="str">
            <v>Shahan Ahmed</v>
          </cell>
          <cell r="O342" t="str">
            <v>FCL-2</v>
          </cell>
          <cell r="P342" t="str">
            <v>GREEN SPIDER</v>
          </cell>
          <cell r="Q342">
            <v>1</v>
          </cell>
          <cell r="R342">
            <v>56</v>
          </cell>
          <cell r="T342" t="str">
            <v>CHAMP</v>
          </cell>
          <cell r="U342">
            <v>41487</v>
          </cell>
        </row>
        <row r="343">
          <cell r="B343" t="str">
            <v>Tutul</v>
          </cell>
          <cell r="C343">
            <v>8</v>
          </cell>
          <cell r="D343">
            <v>135</v>
          </cell>
          <cell r="E343">
            <v>7</v>
          </cell>
          <cell r="F343">
            <v>10</v>
          </cell>
          <cell r="G343">
            <v>1</v>
          </cell>
          <cell r="H343">
            <v>4</v>
          </cell>
          <cell r="I343">
            <v>10</v>
          </cell>
          <cell r="M343" t="str">
            <v>&gt;&gt;</v>
          </cell>
          <cell r="N343" t="str">
            <v>Kamrul Hasan Tutul</v>
          </cell>
          <cell r="O343" t="str">
            <v>FCL-2</v>
          </cell>
          <cell r="P343" t="str">
            <v>GREEN SPIDER</v>
          </cell>
          <cell r="Q343">
            <v>1</v>
          </cell>
          <cell r="R343">
            <v>56</v>
          </cell>
          <cell r="T343" t="str">
            <v>CHAMP</v>
          </cell>
          <cell r="U343">
            <v>41487</v>
          </cell>
        </row>
        <row r="344">
          <cell r="B344" t="str">
            <v>Paul</v>
          </cell>
          <cell r="C344">
            <v>7</v>
          </cell>
          <cell r="D344">
            <v>63</v>
          </cell>
          <cell r="E344">
            <v>6</v>
          </cell>
          <cell r="F344">
            <v>5</v>
          </cell>
          <cell r="G344">
            <v>0</v>
          </cell>
          <cell r="H344">
            <v>1</v>
          </cell>
          <cell r="I344">
            <v>4</v>
          </cell>
          <cell r="M344" t="str">
            <v>&gt;&gt;</v>
          </cell>
          <cell r="N344" t="str">
            <v>Susmoy Paul</v>
          </cell>
          <cell r="O344" t="str">
            <v>FCL-2</v>
          </cell>
          <cell r="P344" t="str">
            <v>GREEN SPIDER</v>
          </cell>
          <cell r="Q344">
            <v>1</v>
          </cell>
          <cell r="R344">
            <v>56</v>
          </cell>
          <cell r="T344" t="str">
            <v>CHAMP</v>
          </cell>
          <cell r="U344">
            <v>41487</v>
          </cell>
        </row>
        <row r="345">
          <cell r="B345" t="str">
            <v>Zaheed</v>
          </cell>
          <cell r="C345">
            <v>8</v>
          </cell>
          <cell r="D345">
            <v>90</v>
          </cell>
          <cell r="E345">
            <v>19</v>
          </cell>
          <cell r="F345">
            <v>6</v>
          </cell>
          <cell r="G345">
            <v>0</v>
          </cell>
          <cell r="H345">
            <v>8</v>
          </cell>
          <cell r="I345">
            <v>3</v>
          </cell>
          <cell r="M345" t="str">
            <v>&gt;&gt;</v>
          </cell>
          <cell r="N345" t="str">
            <v>Zaheed Hasan</v>
          </cell>
          <cell r="O345" t="str">
            <v>FCL-2</v>
          </cell>
          <cell r="P345" t="str">
            <v>GREEN SPIDER</v>
          </cell>
          <cell r="Q345">
            <v>1</v>
          </cell>
          <cell r="R345">
            <v>56</v>
          </cell>
          <cell r="T345" t="str">
            <v>CHAMP</v>
          </cell>
          <cell r="U345">
            <v>41487</v>
          </cell>
        </row>
        <row r="346">
          <cell r="B346" t="str">
            <v>CHITTAGONG SMASHER</v>
          </cell>
          <cell r="M346" t="str">
            <v>&gt;&gt;</v>
          </cell>
          <cell r="N346" t="str">
            <v/>
          </cell>
          <cell r="O346" t="str">
            <v>NFCL-2</v>
          </cell>
          <cell r="P346" t="str">
            <v>CHITTAGONG SMASHER</v>
          </cell>
          <cell r="Q346">
            <v>1</v>
          </cell>
          <cell r="R346">
            <v>57</v>
          </cell>
          <cell r="T346" t="str">
            <v>CHAMP</v>
          </cell>
          <cell r="U346">
            <v>41548</v>
          </cell>
        </row>
        <row r="347">
          <cell r="B347" t="str">
            <v>Faisal</v>
          </cell>
          <cell r="C347">
            <v>9</v>
          </cell>
          <cell r="D347">
            <v>333</v>
          </cell>
          <cell r="E347">
            <v>22</v>
          </cell>
          <cell r="F347">
            <v>15</v>
          </cell>
          <cell r="G347">
            <v>3</v>
          </cell>
          <cell r="M347" t="str">
            <v>&gt;&gt;</v>
          </cell>
          <cell r="N347" t="str">
            <v>Red Heart Faisal (Fayze Ahamed)</v>
          </cell>
          <cell r="O347" t="str">
            <v>NFCL-2</v>
          </cell>
          <cell r="P347" t="str">
            <v>CHITTAGONG SMASHER</v>
          </cell>
          <cell r="Q347">
            <v>1</v>
          </cell>
          <cell r="R347">
            <v>57</v>
          </cell>
          <cell r="S347" t="str">
            <v>MOT</v>
          </cell>
          <cell r="T347" t="str">
            <v>CHAMP</v>
          </cell>
          <cell r="U347">
            <v>41548</v>
          </cell>
          <cell r="V347">
            <v>1</v>
          </cell>
          <cell r="W347">
            <v>1</v>
          </cell>
        </row>
        <row r="348">
          <cell r="B348" t="str">
            <v>Rinkon</v>
          </cell>
          <cell r="C348">
            <v>5</v>
          </cell>
          <cell r="D348">
            <v>72</v>
          </cell>
          <cell r="E348">
            <v>9</v>
          </cell>
          <cell r="F348">
            <v>5</v>
          </cell>
          <cell r="G348">
            <v>0</v>
          </cell>
          <cell r="M348" t="str">
            <v>&gt;&gt;</v>
          </cell>
          <cell r="N348" t="str">
            <v>Rinkon Khan</v>
          </cell>
          <cell r="O348" t="str">
            <v>NFCL-2</v>
          </cell>
          <cell r="P348" t="str">
            <v>CHITTAGONG SMASHER</v>
          </cell>
          <cell r="Q348">
            <v>1</v>
          </cell>
          <cell r="R348">
            <v>57</v>
          </cell>
          <cell r="T348" t="str">
            <v>CHAMP</v>
          </cell>
          <cell r="U348">
            <v>41548</v>
          </cell>
        </row>
        <row r="349">
          <cell r="B349" t="str">
            <v>Moon</v>
          </cell>
          <cell r="C349">
            <v>9</v>
          </cell>
          <cell r="D349">
            <v>75</v>
          </cell>
          <cell r="E349">
            <v>5</v>
          </cell>
          <cell r="F349">
            <v>8</v>
          </cell>
          <cell r="G349">
            <v>1</v>
          </cell>
          <cell r="M349" t="str">
            <v>&gt;&gt;</v>
          </cell>
          <cell r="N349" t="str">
            <v>Mazharul Islam Moon</v>
          </cell>
          <cell r="O349" t="str">
            <v>NFCL-2</v>
          </cell>
          <cell r="P349" t="str">
            <v>CHITTAGONG SMASHER</v>
          </cell>
          <cell r="Q349">
            <v>1</v>
          </cell>
          <cell r="R349">
            <v>57</v>
          </cell>
          <cell r="T349" t="str">
            <v>CHAMP</v>
          </cell>
          <cell r="U349">
            <v>41548</v>
          </cell>
        </row>
        <row r="350">
          <cell r="B350" t="str">
            <v>Arman</v>
          </cell>
          <cell r="C350">
            <v>8</v>
          </cell>
          <cell r="D350">
            <v>60</v>
          </cell>
          <cell r="E350">
            <v>12</v>
          </cell>
          <cell r="F350">
            <v>10</v>
          </cell>
          <cell r="G350">
            <v>0</v>
          </cell>
          <cell r="M350" t="str">
            <v>&gt;&gt;</v>
          </cell>
          <cell r="N350" t="str">
            <v>Cricket Pagla Arman</v>
          </cell>
          <cell r="O350" t="str">
            <v>NFCL-2</v>
          </cell>
          <cell r="P350" t="str">
            <v>CHITTAGONG SMASHER</v>
          </cell>
          <cell r="Q350">
            <v>1</v>
          </cell>
          <cell r="R350">
            <v>57</v>
          </cell>
          <cell r="T350" t="str">
            <v>CHAMP</v>
          </cell>
          <cell r="U350">
            <v>41548</v>
          </cell>
        </row>
        <row r="351">
          <cell r="B351" t="str">
            <v>Miraj</v>
          </cell>
          <cell r="C351">
            <v>7</v>
          </cell>
          <cell r="D351">
            <v>136</v>
          </cell>
          <cell r="E351">
            <v>6</v>
          </cell>
          <cell r="F351">
            <v>5</v>
          </cell>
          <cell r="G351">
            <v>1</v>
          </cell>
          <cell r="M351" t="str">
            <v>&gt;&gt;</v>
          </cell>
          <cell r="N351" t="str">
            <v>Shafayat Miraj</v>
          </cell>
          <cell r="O351" t="str">
            <v>NFCL-2</v>
          </cell>
          <cell r="P351" t="str">
            <v>CHITTAGONG SMASHER</v>
          </cell>
          <cell r="Q351">
            <v>1</v>
          </cell>
          <cell r="R351">
            <v>57</v>
          </cell>
          <cell r="T351" t="str">
            <v>CHAMP</v>
          </cell>
          <cell r="U351">
            <v>41548</v>
          </cell>
        </row>
        <row r="352">
          <cell r="B352" t="str">
            <v>DHAKA SCORCHERS</v>
          </cell>
          <cell r="M352" t="str">
            <v>&gt;&gt;</v>
          </cell>
          <cell r="N352" t="str">
            <v/>
          </cell>
          <cell r="O352" t="str">
            <v>NFCL-2</v>
          </cell>
          <cell r="P352" t="str">
            <v>DHAKA SCORCHERS</v>
          </cell>
          <cell r="Q352">
            <v>1</v>
          </cell>
          <cell r="R352">
            <v>58</v>
          </cell>
          <cell r="T352" t="str">
            <v>RU</v>
          </cell>
          <cell r="U352">
            <v>41548</v>
          </cell>
        </row>
        <row r="353">
          <cell r="B353" t="str">
            <v>Md. Asif</v>
          </cell>
          <cell r="C353">
            <v>8</v>
          </cell>
          <cell r="D353">
            <v>242</v>
          </cell>
          <cell r="E353">
            <v>7</v>
          </cell>
          <cell r="F353">
            <v>13</v>
          </cell>
          <cell r="G353">
            <v>1</v>
          </cell>
          <cell r="M353" t="str">
            <v>&gt;&gt;</v>
          </cell>
          <cell r="N353" t="str">
            <v>Mohammad Asif</v>
          </cell>
          <cell r="O353" t="str">
            <v>NFCL-2</v>
          </cell>
          <cell r="P353" t="str">
            <v>DHAKA SCORCHERS</v>
          </cell>
          <cell r="Q353">
            <v>1</v>
          </cell>
          <cell r="R353">
            <v>58</v>
          </cell>
          <cell r="T353" t="str">
            <v>RU</v>
          </cell>
          <cell r="U353">
            <v>41548</v>
          </cell>
        </row>
        <row r="354">
          <cell r="B354" t="str">
            <v>Rexx</v>
          </cell>
          <cell r="C354">
            <v>8</v>
          </cell>
          <cell r="D354">
            <v>189</v>
          </cell>
          <cell r="E354">
            <v>9</v>
          </cell>
          <cell r="F354">
            <v>13</v>
          </cell>
          <cell r="G354">
            <v>0</v>
          </cell>
          <cell r="M354" t="str">
            <v>&gt;&gt;</v>
          </cell>
          <cell r="N354" t="str">
            <v>Bishwajit Sarkar</v>
          </cell>
          <cell r="O354" t="str">
            <v>NFCL-2</v>
          </cell>
          <cell r="P354" t="str">
            <v>DHAKA SCORCHERS</v>
          </cell>
          <cell r="Q354">
            <v>1</v>
          </cell>
          <cell r="R354">
            <v>58</v>
          </cell>
          <cell r="T354" t="str">
            <v>RU</v>
          </cell>
          <cell r="U354">
            <v>41548</v>
          </cell>
        </row>
        <row r="355">
          <cell r="B355" t="str">
            <v>Sahed</v>
          </cell>
          <cell r="C355">
            <v>5</v>
          </cell>
          <cell r="D355">
            <v>24</v>
          </cell>
          <cell r="E355">
            <v>7</v>
          </cell>
          <cell r="F355">
            <v>4</v>
          </cell>
          <cell r="G355">
            <v>0</v>
          </cell>
          <cell r="M355" t="str">
            <v>&gt;&gt;</v>
          </cell>
          <cell r="N355" t="str">
            <v>Sahed Hossain Masum</v>
          </cell>
          <cell r="O355" t="str">
            <v>NFCL-2</v>
          </cell>
          <cell r="P355" t="str">
            <v>DHAKA SCORCHERS</v>
          </cell>
          <cell r="Q355">
            <v>1</v>
          </cell>
          <cell r="R355">
            <v>58</v>
          </cell>
          <cell r="T355" t="str">
            <v>RU</v>
          </cell>
          <cell r="U355">
            <v>41548</v>
          </cell>
        </row>
        <row r="356">
          <cell r="B356" t="str">
            <v>Adnan</v>
          </cell>
          <cell r="C356">
            <v>7</v>
          </cell>
          <cell r="D356">
            <v>69</v>
          </cell>
          <cell r="E356">
            <v>14</v>
          </cell>
          <cell r="F356">
            <v>9</v>
          </cell>
          <cell r="G356">
            <v>1</v>
          </cell>
          <cell r="M356" t="str">
            <v>&gt;&gt;</v>
          </cell>
          <cell r="N356" t="str">
            <v>Shah Abi Talib Adnan</v>
          </cell>
          <cell r="O356" t="str">
            <v>NFCL-2</v>
          </cell>
          <cell r="P356" t="str">
            <v>DHAKA SCORCHERS</v>
          </cell>
          <cell r="Q356">
            <v>1</v>
          </cell>
          <cell r="R356">
            <v>58</v>
          </cell>
          <cell r="T356" t="str">
            <v>RU</v>
          </cell>
          <cell r="U356">
            <v>41548</v>
          </cell>
        </row>
        <row r="357">
          <cell r="B357" t="str">
            <v>Sabbir</v>
          </cell>
          <cell r="C357">
            <v>7</v>
          </cell>
          <cell r="D357">
            <v>85</v>
          </cell>
          <cell r="E357">
            <v>5</v>
          </cell>
          <cell r="F357">
            <v>8</v>
          </cell>
          <cell r="G357">
            <v>0</v>
          </cell>
          <cell r="M357" t="str">
            <v>&gt;&gt;</v>
          </cell>
          <cell r="N357" t="str">
            <v>Sabbir Ahmed</v>
          </cell>
          <cell r="O357" t="str">
            <v>NFCL-2</v>
          </cell>
          <cell r="P357" t="str">
            <v>DHAKA SCORCHERS</v>
          </cell>
          <cell r="Q357">
            <v>1</v>
          </cell>
          <cell r="R357">
            <v>58</v>
          </cell>
          <cell r="T357" t="str">
            <v>RU</v>
          </cell>
          <cell r="U357">
            <v>41548</v>
          </cell>
        </row>
        <row r="358">
          <cell r="B358" t="str">
            <v>Emon</v>
          </cell>
          <cell r="C358">
            <v>8</v>
          </cell>
          <cell r="D358">
            <v>62</v>
          </cell>
          <cell r="E358">
            <v>6</v>
          </cell>
          <cell r="F358">
            <v>8</v>
          </cell>
          <cell r="G358">
            <v>1</v>
          </cell>
          <cell r="M358" t="str">
            <v>&gt;&gt;</v>
          </cell>
          <cell r="N358" t="str">
            <v>Fahim Shahrear Emon</v>
          </cell>
          <cell r="O358" t="str">
            <v>NFCL-2</v>
          </cell>
          <cell r="P358" t="str">
            <v>DHAKA SCORCHERS</v>
          </cell>
          <cell r="Q358">
            <v>1</v>
          </cell>
          <cell r="R358">
            <v>58</v>
          </cell>
          <cell r="T358" t="str">
            <v>RU</v>
          </cell>
          <cell r="U358">
            <v>41548</v>
          </cell>
        </row>
        <row r="359">
          <cell r="B359" t="str">
            <v>KHULNA CRUSHERS</v>
          </cell>
          <cell r="M359" t="str">
            <v>&gt;&gt;</v>
          </cell>
          <cell r="N359" t="str">
            <v/>
          </cell>
          <cell r="O359" t="str">
            <v>NFCL-2</v>
          </cell>
          <cell r="P359" t="str">
            <v>KHULNA CRUSHERS</v>
          </cell>
          <cell r="Q359">
            <v>1</v>
          </cell>
          <cell r="R359">
            <v>59</v>
          </cell>
          <cell r="U359">
            <v>41548</v>
          </cell>
        </row>
        <row r="360">
          <cell r="B360" t="str">
            <v>Ovi</v>
          </cell>
          <cell r="C360">
            <v>8</v>
          </cell>
          <cell r="D360">
            <v>132</v>
          </cell>
          <cell r="E360">
            <v>20</v>
          </cell>
          <cell r="F360">
            <v>13</v>
          </cell>
          <cell r="G360">
            <v>1</v>
          </cell>
          <cell r="M360" t="str">
            <v>&gt;&gt;</v>
          </cell>
          <cell r="N360" t="str">
            <v>Toufiq Ahmed Ovi</v>
          </cell>
          <cell r="O360" t="str">
            <v>NFCL-2</v>
          </cell>
          <cell r="P360" t="str">
            <v>KHULNA CRUSHERS</v>
          </cell>
          <cell r="Q360">
            <v>1</v>
          </cell>
          <cell r="R360">
            <v>59</v>
          </cell>
          <cell r="S360" t="str">
            <v>CPOT</v>
          </cell>
          <cell r="U360">
            <v>41548</v>
          </cell>
        </row>
        <row r="361">
          <cell r="B361" t="str">
            <v>Injamul</v>
          </cell>
          <cell r="C361">
            <v>7</v>
          </cell>
          <cell r="D361">
            <v>162</v>
          </cell>
          <cell r="E361">
            <v>2</v>
          </cell>
          <cell r="F361">
            <v>8</v>
          </cell>
          <cell r="G361">
            <v>1</v>
          </cell>
          <cell r="M361" t="str">
            <v>&gt;&gt;</v>
          </cell>
          <cell r="N361" t="str">
            <v>Injamul Haque (Syed Injamul Haque)</v>
          </cell>
          <cell r="O361" t="str">
            <v>NFCL-2</v>
          </cell>
          <cell r="P361" t="str">
            <v>KHULNA CRUSHERS</v>
          </cell>
          <cell r="Q361">
            <v>1</v>
          </cell>
          <cell r="R361">
            <v>59</v>
          </cell>
          <cell r="U361">
            <v>41548</v>
          </cell>
        </row>
        <row r="362">
          <cell r="B362" t="str">
            <v>AR Shohag</v>
          </cell>
          <cell r="C362">
            <v>6</v>
          </cell>
          <cell r="D362">
            <v>77</v>
          </cell>
          <cell r="E362">
            <v>4</v>
          </cell>
          <cell r="F362">
            <v>9</v>
          </cell>
          <cell r="G362">
            <v>0</v>
          </cell>
          <cell r="M362" t="str">
            <v>&gt;&gt;</v>
          </cell>
          <cell r="N362" t="str">
            <v>A.R. Shohag</v>
          </cell>
          <cell r="O362" t="str">
            <v>NFCL-2</v>
          </cell>
          <cell r="P362" t="str">
            <v>KHULNA CRUSHERS</v>
          </cell>
          <cell r="Q362">
            <v>1</v>
          </cell>
          <cell r="R362">
            <v>59</v>
          </cell>
          <cell r="U362">
            <v>41548</v>
          </cell>
        </row>
        <row r="363">
          <cell r="B363" t="str">
            <v>Brinto</v>
          </cell>
          <cell r="C363">
            <v>7</v>
          </cell>
          <cell r="D363">
            <v>33</v>
          </cell>
          <cell r="E363">
            <v>8</v>
          </cell>
          <cell r="F363">
            <v>7</v>
          </cell>
          <cell r="G363">
            <v>0</v>
          </cell>
          <cell r="M363" t="str">
            <v>&gt;&gt;</v>
          </cell>
          <cell r="N363" t="str">
            <v>Shuvayan Saha Brinto</v>
          </cell>
          <cell r="O363" t="str">
            <v>NFCL-2</v>
          </cell>
          <cell r="P363" t="str">
            <v>KHULNA CRUSHERS</v>
          </cell>
          <cell r="Q363">
            <v>1</v>
          </cell>
          <cell r="R363">
            <v>59</v>
          </cell>
          <cell r="U363">
            <v>41548</v>
          </cell>
        </row>
        <row r="364">
          <cell r="B364" t="str">
            <v>Nahid</v>
          </cell>
          <cell r="C364">
            <v>7</v>
          </cell>
          <cell r="D364">
            <v>132</v>
          </cell>
          <cell r="E364">
            <v>4</v>
          </cell>
          <cell r="F364">
            <v>8</v>
          </cell>
          <cell r="G364">
            <v>0</v>
          </cell>
          <cell r="M364" t="str">
            <v>&gt;&gt;</v>
          </cell>
          <cell r="N364" t="str">
            <v>Nahid Saifullah</v>
          </cell>
          <cell r="O364" t="str">
            <v>NFCL-2</v>
          </cell>
          <cell r="P364" t="str">
            <v>KHULNA CRUSHERS</v>
          </cell>
          <cell r="Q364">
            <v>1</v>
          </cell>
          <cell r="R364">
            <v>59</v>
          </cell>
          <cell r="U364">
            <v>41548</v>
          </cell>
        </row>
        <row r="365">
          <cell r="B365" t="str">
            <v>Khokon</v>
          </cell>
          <cell r="C365">
            <v>7</v>
          </cell>
          <cell r="D365">
            <v>98</v>
          </cell>
          <cell r="E365">
            <v>5</v>
          </cell>
          <cell r="F365">
            <v>11</v>
          </cell>
          <cell r="G365">
            <v>0</v>
          </cell>
          <cell r="M365" t="str">
            <v>&gt;&gt;</v>
          </cell>
          <cell r="N365" t="str">
            <v>Shahriar Khokon</v>
          </cell>
          <cell r="O365" t="str">
            <v>NFCL-2</v>
          </cell>
          <cell r="P365" t="str">
            <v>KHULNA CRUSHERS</v>
          </cell>
          <cell r="Q365">
            <v>1</v>
          </cell>
          <cell r="R365">
            <v>59</v>
          </cell>
          <cell r="U365">
            <v>41548</v>
          </cell>
        </row>
        <row r="366">
          <cell r="B366" t="str">
            <v>SYLHET CRACKERS</v>
          </cell>
          <cell r="M366" t="str">
            <v>&gt;&gt;</v>
          </cell>
          <cell r="N366" t="str">
            <v/>
          </cell>
          <cell r="O366" t="str">
            <v>NFCL-2</v>
          </cell>
          <cell r="P366" t="str">
            <v>SYLHET CRACKERS</v>
          </cell>
          <cell r="Q366">
            <v>1</v>
          </cell>
          <cell r="R366">
            <v>60</v>
          </cell>
          <cell r="U366">
            <v>41548</v>
          </cell>
        </row>
        <row r="367">
          <cell r="B367" t="str">
            <v>Jahin</v>
          </cell>
          <cell r="C367">
            <v>7</v>
          </cell>
          <cell r="D367">
            <v>116</v>
          </cell>
          <cell r="E367">
            <v>9</v>
          </cell>
          <cell r="F367">
            <v>11</v>
          </cell>
          <cell r="G367">
            <v>3</v>
          </cell>
          <cell r="M367" t="str">
            <v>&gt;&gt;</v>
          </cell>
          <cell r="N367" t="str">
            <v>Jahin Shahriar Chowdhury</v>
          </cell>
          <cell r="O367" t="str">
            <v>NFCL-2</v>
          </cell>
          <cell r="P367" t="str">
            <v>SYLHET CRACKERS</v>
          </cell>
          <cell r="Q367">
            <v>1</v>
          </cell>
          <cell r="R367">
            <v>60</v>
          </cell>
          <cell r="U367">
            <v>41548</v>
          </cell>
        </row>
        <row r="368">
          <cell r="B368" t="str">
            <v>Sakib Sr.</v>
          </cell>
          <cell r="C368">
            <v>7</v>
          </cell>
          <cell r="D368">
            <v>165</v>
          </cell>
          <cell r="E368">
            <v>9</v>
          </cell>
          <cell r="F368">
            <v>9</v>
          </cell>
          <cell r="G368">
            <v>1</v>
          </cell>
          <cell r="H368">
            <v>0</v>
          </cell>
          <cell r="I368">
            <v>0</v>
          </cell>
          <cell r="M368" t="str">
            <v>&gt;&gt;</v>
          </cell>
          <cell r="N368" t="str">
            <v>Ahmad Sakib Abdullah</v>
          </cell>
          <cell r="O368" t="str">
            <v>NFCL-2</v>
          </cell>
          <cell r="P368" t="str">
            <v>SYLHET CRACKERS</v>
          </cell>
          <cell r="Q368">
            <v>1</v>
          </cell>
          <cell r="R368">
            <v>60</v>
          </cell>
          <cell r="U368">
            <v>41548</v>
          </cell>
        </row>
        <row r="369">
          <cell r="B369" t="str">
            <v>Tofayel</v>
          </cell>
          <cell r="C369">
            <v>7</v>
          </cell>
          <cell r="D369">
            <v>115</v>
          </cell>
          <cell r="E369">
            <v>11</v>
          </cell>
          <cell r="F369">
            <v>10</v>
          </cell>
          <cell r="G369">
            <v>1</v>
          </cell>
          <cell r="M369" t="str">
            <v>&gt;&gt;</v>
          </cell>
          <cell r="N369" t="str">
            <v>MD Tofayel Ahmed</v>
          </cell>
          <cell r="O369" t="str">
            <v>NFCL-2</v>
          </cell>
          <cell r="P369" t="str">
            <v>SYLHET CRACKERS</v>
          </cell>
          <cell r="Q369">
            <v>1</v>
          </cell>
          <cell r="R369">
            <v>60</v>
          </cell>
          <cell r="U369">
            <v>41548</v>
          </cell>
        </row>
        <row r="370">
          <cell r="B370" t="str">
            <v>Arafat</v>
          </cell>
          <cell r="C370">
            <v>4</v>
          </cell>
          <cell r="D370">
            <v>41</v>
          </cell>
          <cell r="E370">
            <v>0</v>
          </cell>
          <cell r="F370">
            <v>4</v>
          </cell>
          <cell r="G370">
            <v>0</v>
          </cell>
          <cell r="M370" t="str">
            <v>&gt;&gt;</v>
          </cell>
          <cell r="N370" t="str">
            <v>Sakib Arafat</v>
          </cell>
          <cell r="O370" t="str">
            <v>NFCL-2</v>
          </cell>
          <cell r="P370" t="str">
            <v>SYLHET CRACKERS</v>
          </cell>
          <cell r="Q370">
            <v>1</v>
          </cell>
          <cell r="R370">
            <v>60</v>
          </cell>
          <cell r="U370">
            <v>41548</v>
          </cell>
        </row>
        <row r="371">
          <cell r="B371" t="str">
            <v>Oliy</v>
          </cell>
          <cell r="C371">
            <v>6</v>
          </cell>
          <cell r="D371">
            <v>43</v>
          </cell>
          <cell r="E371">
            <v>6</v>
          </cell>
          <cell r="F371">
            <v>5</v>
          </cell>
          <cell r="G371">
            <v>0</v>
          </cell>
          <cell r="M371" t="str">
            <v>&gt;&gt;</v>
          </cell>
          <cell r="N371" t="str">
            <v>Oliy Saif</v>
          </cell>
          <cell r="O371" t="str">
            <v>NFCL-2</v>
          </cell>
          <cell r="P371" t="str">
            <v>SYLHET CRACKERS</v>
          </cell>
          <cell r="Q371">
            <v>1</v>
          </cell>
          <cell r="R371">
            <v>60</v>
          </cell>
          <cell r="U371">
            <v>41548</v>
          </cell>
        </row>
        <row r="372">
          <cell r="B372" t="str">
            <v>Kawser</v>
          </cell>
          <cell r="C372">
            <v>7</v>
          </cell>
          <cell r="D372">
            <v>45</v>
          </cell>
          <cell r="E372">
            <v>4</v>
          </cell>
          <cell r="F372">
            <v>6</v>
          </cell>
          <cell r="G372">
            <v>0</v>
          </cell>
          <cell r="M372" t="str">
            <v>&gt;&gt;</v>
          </cell>
          <cell r="N372" t="str">
            <v>Ahmed Kawser Da Neymar</v>
          </cell>
          <cell r="O372" t="str">
            <v>NFCL-2</v>
          </cell>
          <cell r="P372" t="str">
            <v>SYLHET CRACKERS</v>
          </cell>
          <cell r="Q372">
            <v>1</v>
          </cell>
          <cell r="R372">
            <v>60</v>
          </cell>
          <cell r="U372">
            <v>41548</v>
          </cell>
        </row>
        <row r="373">
          <cell r="B373" t="str">
            <v>Helal</v>
          </cell>
          <cell r="C373">
            <v>4</v>
          </cell>
          <cell r="D373">
            <v>25</v>
          </cell>
          <cell r="E373">
            <v>6</v>
          </cell>
          <cell r="F373">
            <v>3</v>
          </cell>
          <cell r="G373">
            <v>0</v>
          </cell>
          <cell r="M373" t="str">
            <v>&gt;&gt;</v>
          </cell>
          <cell r="N373" t="str">
            <v>Sheik Helal Ahmed</v>
          </cell>
          <cell r="O373" t="str">
            <v>NFCL-2</v>
          </cell>
          <cell r="P373" t="str">
            <v>SYLHET CRACKERS</v>
          </cell>
          <cell r="Q373">
            <v>1</v>
          </cell>
          <cell r="R373">
            <v>60</v>
          </cell>
          <cell r="U373">
            <v>41548</v>
          </cell>
        </row>
        <row r="374">
          <cell r="B374" t="str">
            <v>CHITTAGONG THUNDERS</v>
          </cell>
          <cell r="M374" t="str">
            <v>&gt;&gt;</v>
          </cell>
          <cell r="N374" t="str">
            <v/>
          </cell>
          <cell r="O374" t="str">
            <v>NFCL-2</v>
          </cell>
          <cell r="P374" t="str">
            <v>CHITTAGONG THUNDERS</v>
          </cell>
          <cell r="Q374">
            <v>1</v>
          </cell>
          <cell r="R374">
            <v>61</v>
          </cell>
          <cell r="U374">
            <v>41548</v>
          </cell>
        </row>
        <row r="375">
          <cell r="B375" t="str">
            <v>Zaheed</v>
          </cell>
          <cell r="C375">
            <v>6</v>
          </cell>
          <cell r="D375">
            <v>107</v>
          </cell>
          <cell r="E375">
            <v>16</v>
          </cell>
          <cell r="F375">
            <v>8</v>
          </cell>
          <cell r="G375">
            <v>1</v>
          </cell>
          <cell r="M375" t="str">
            <v>&gt;&gt;</v>
          </cell>
          <cell r="N375" t="str">
            <v>Zaheed Hasan</v>
          </cell>
          <cell r="O375" t="str">
            <v>NFCL-2</v>
          </cell>
          <cell r="P375" t="str">
            <v>CHITTAGONG THUNDERS</v>
          </cell>
          <cell r="Q375">
            <v>1</v>
          </cell>
          <cell r="R375">
            <v>61</v>
          </cell>
          <cell r="U375">
            <v>41548</v>
          </cell>
        </row>
        <row r="376">
          <cell r="B376" t="str">
            <v>Towkir</v>
          </cell>
          <cell r="C376">
            <v>6</v>
          </cell>
          <cell r="D376">
            <v>65</v>
          </cell>
          <cell r="E376">
            <v>11</v>
          </cell>
          <cell r="F376">
            <v>8</v>
          </cell>
          <cell r="G376">
            <v>1</v>
          </cell>
          <cell r="M376" t="str">
            <v>&gt;&gt;</v>
          </cell>
          <cell r="N376" t="str">
            <v>Towkir Ahmed Siddique</v>
          </cell>
          <cell r="O376" t="str">
            <v>NFCL-2</v>
          </cell>
          <cell r="P376" t="str">
            <v>CHITTAGONG THUNDERS</v>
          </cell>
          <cell r="Q376">
            <v>1</v>
          </cell>
          <cell r="R376">
            <v>61</v>
          </cell>
          <cell r="U376">
            <v>41548</v>
          </cell>
        </row>
        <row r="377">
          <cell r="B377" t="str">
            <v>Tutul</v>
          </cell>
          <cell r="C377">
            <v>6</v>
          </cell>
          <cell r="D377">
            <v>113</v>
          </cell>
          <cell r="E377">
            <v>4</v>
          </cell>
          <cell r="F377">
            <v>8</v>
          </cell>
          <cell r="G377">
            <v>1</v>
          </cell>
          <cell r="M377" t="str">
            <v>&gt;&gt;</v>
          </cell>
          <cell r="N377" t="str">
            <v>Kamrul Hasan Tutul</v>
          </cell>
          <cell r="O377" t="str">
            <v>NFCL-2</v>
          </cell>
          <cell r="P377" t="str">
            <v>CHITTAGONG THUNDERS</v>
          </cell>
          <cell r="Q377">
            <v>1</v>
          </cell>
          <cell r="R377">
            <v>61</v>
          </cell>
          <cell r="U377">
            <v>41548</v>
          </cell>
        </row>
        <row r="378">
          <cell r="B378" t="str">
            <v>Al Mamun</v>
          </cell>
          <cell r="C378">
            <v>6</v>
          </cell>
          <cell r="D378">
            <v>52</v>
          </cell>
          <cell r="E378">
            <v>2</v>
          </cell>
          <cell r="F378">
            <v>8</v>
          </cell>
          <cell r="G378">
            <v>1</v>
          </cell>
          <cell r="M378" t="str">
            <v>&gt;&gt;</v>
          </cell>
          <cell r="N378" t="str">
            <v>Mohammed Al Mamun</v>
          </cell>
          <cell r="O378" t="str">
            <v>NFCL-2</v>
          </cell>
          <cell r="P378" t="str">
            <v>CHITTAGONG THUNDERS</v>
          </cell>
          <cell r="Q378">
            <v>1</v>
          </cell>
          <cell r="R378">
            <v>61</v>
          </cell>
          <cell r="U378">
            <v>41548</v>
          </cell>
        </row>
        <row r="379">
          <cell r="B379" t="str">
            <v>Ashik</v>
          </cell>
          <cell r="C379">
            <v>6</v>
          </cell>
          <cell r="D379">
            <v>51</v>
          </cell>
          <cell r="E379">
            <v>3</v>
          </cell>
          <cell r="F379">
            <v>5</v>
          </cell>
          <cell r="G379">
            <v>0</v>
          </cell>
          <cell r="M379" t="str">
            <v>&gt;&gt;</v>
          </cell>
          <cell r="N379" t="str">
            <v>Ashikur Rahman Ashik</v>
          </cell>
          <cell r="O379" t="str">
            <v>NFCL-2</v>
          </cell>
          <cell r="P379" t="str">
            <v>CHITTAGONG THUNDERS</v>
          </cell>
          <cell r="Q379">
            <v>1</v>
          </cell>
          <cell r="R379">
            <v>61</v>
          </cell>
          <cell r="U379">
            <v>41548</v>
          </cell>
        </row>
        <row r="380">
          <cell r="B380" t="str">
            <v>Tusher</v>
          </cell>
          <cell r="C380">
            <v>2</v>
          </cell>
          <cell r="D380">
            <v>18</v>
          </cell>
          <cell r="E380">
            <v>2</v>
          </cell>
          <cell r="F380">
            <v>2</v>
          </cell>
          <cell r="G380">
            <v>0</v>
          </cell>
          <cell r="M380" t="str">
            <v>&gt;&gt;</v>
          </cell>
          <cell r="N380" t="str">
            <v>JAHIDUL ISLAM TUSHER</v>
          </cell>
          <cell r="O380" t="str">
            <v>NFCL-2</v>
          </cell>
          <cell r="P380" t="str">
            <v>CHITTAGONG THUNDERS</v>
          </cell>
          <cell r="Q380">
            <v>1</v>
          </cell>
          <cell r="R380">
            <v>61</v>
          </cell>
          <cell r="U380">
            <v>41548</v>
          </cell>
        </row>
        <row r="381">
          <cell r="B381" t="str">
            <v>RAJSHAHI RIDERS</v>
          </cell>
          <cell r="M381" t="str">
            <v>&gt;&gt;</v>
          </cell>
          <cell r="N381" t="str">
            <v/>
          </cell>
          <cell r="O381" t="str">
            <v>NFCL-2</v>
          </cell>
          <cell r="P381" t="str">
            <v>RAJSHAHI RIDERS</v>
          </cell>
          <cell r="Q381">
            <v>1</v>
          </cell>
          <cell r="R381">
            <v>62</v>
          </cell>
          <cell r="U381">
            <v>41548</v>
          </cell>
        </row>
        <row r="382">
          <cell r="B382" t="str">
            <v>Niamul</v>
          </cell>
          <cell r="C382">
            <v>5</v>
          </cell>
          <cell r="D382">
            <v>81</v>
          </cell>
          <cell r="E382">
            <v>3</v>
          </cell>
          <cell r="F382">
            <v>7</v>
          </cell>
          <cell r="G382">
            <v>0</v>
          </cell>
          <cell r="M382" t="str">
            <v>&gt;&gt;</v>
          </cell>
          <cell r="N382" t="str">
            <v>Niamul Habib Setu</v>
          </cell>
          <cell r="O382" t="str">
            <v>NFCL-2</v>
          </cell>
          <cell r="P382" t="str">
            <v>RAJSHAHI RIDERS</v>
          </cell>
          <cell r="Q382">
            <v>1</v>
          </cell>
          <cell r="R382">
            <v>62</v>
          </cell>
          <cell r="U382">
            <v>41548</v>
          </cell>
        </row>
        <row r="383">
          <cell r="B383" t="str">
            <v>Hridoy</v>
          </cell>
          <cell r="C383">
            <v>6</v>
          </cell>
          <cell r="D383">
            <v>193</v>
          </cell>
          <cell r="E383">
            <v>13</v>
          </cell>
          <cell r="F383">
            <v>12</v>
          </cell>
          <cell r="G383">
            <v>0</v>
          </cell>
          <cell r="M383" t="str">
            <v>&gt;&gt;</v>
          </cell>
          <cell r="N383" t="str">
            <v>Kamrul Hasan Hridoy</v>
          </cell>
          <cell r="O383" t="str">
            <v>NFCL-2</v>
          </cell>
          <cell r="P383" t="str">
            <v>RAJSHAHI RIDERS</v>
          </cell>
          <cell r="Q383">
            <v>1</v>
          </cell>
          <cell r="R383">
            <v>62</v>
          </cell>
          <cell r="U383">
            <v>41548</v>
          </cell>
        </row>
        <row r="384">
          <cell r="B384" t="str">
            <v>Washim</v>
          </cell>
          <cell r="C384">
            <v>5</v>
          </cell>
          <cell r="D384">
            <v>166</v>
          </cell>
          <cell r="E384">
            <v>6</v>
          </cell>
          <cell r="F384">
            <v>9</v>
          </cell>
          <cell r="G384">
            <v>1</v>
          </cell>
          <cell r="M384" t="str">
            <v>&gt;&gt;</v>
          </cell>
          <cell r="N384" t="str">
            <v>Akram Husan (Washim)</v>
          </cell>
          <cell r="O384" t="str">
            <v>NFCL-2</v>
          </cell>
          <cell r="P384" t="str">
            <v>RAJSHAHI RIDERS</v>
          </cell>
          <cell r="Q384">
            <v>1</v>
          </cell>
          <cell r="R384">
            <v>62</v>
          </cell>
          <cell r="U384">
            <v>41548</v>
          </cell>
        </row>
        <row r="385">
          <cell r="B385" t="str">
            <v>Meyaz</v>
          </cell>
          <cell r="C385">
            <v>4</v>
          </cell>
          <cell r="D385">
            <v>48</v>
          </cell>
          <cell r="E385">
            <v>6</v>
          </cell>
          <cell r="F385">
            <v>5</v>
          </cell>
          <cell r="G385">
            <v>0</v>
          </cell>
          <cell r="M385" t="str">
            <v>&gt;&gt;</v>
          </cell>
          <cell r="N385" t="str">
            <v>Meyaz Al Emon</v>
          </cell>
          <cell r="O385" t="str">
            <v>NFCL-2</v>
          </cell>
          <cell r="P385" t="str">
            <v>RAJSHAHI RIDERS</v>
          </cell>
          <cell r="Q385">
            <v>1</v>
          </cell>
          <cell r="R385">
            <v>62</v>
          </cell>
          <cell r="U385">
            <v>41548</v>
          </cell>
        </row>
        <row r="386">
          <cell r="B386" t="str">
            <v>Zohir</v>
          </cell>
          <cell r="C386">
            <v>3</v>
          </cell>
          <cell r="D386">
            <v>16</v>
          </cell>
          <cell r="E386">
            <v>2</v>
          </cell>
          <cell r="F386">
            <v>3</v>
          </cell>
          <cell r="G386">
            <v>0</v>
          </cell>
          <cell r="M386" t="str">
            <v>&gt;&gt;</v>
          </cell>
          <cell r="N386" t="str">
            <v>Zi Zohir</v>
          </cell>
          <cell r="O386" t="str">
            <v>NFCL-2</v>
          </cell>
          <cell r="P386" t="str">
            <v>RAJSHAHI RIDERS</v>
          </cell>
          <cell r="Q386">
            <v>1</v>
          </cell>
          <cell r="R386">
            <v>62</v>
          </cell>
          <cell r="U386">
            <v>41548</v>
          </cell>
        </row>
        <row r="387">
          <cell r="B387" t="str">
            <v>Fairooz</v>
          </cell>
          <cell r="C387">
            <v>6</v>
          </cell>
          <cell r="D387">
            <v>42</v>
          </cell>
          <cell r="E387">
            <v>7</v>
          </cell>
          <cell r="F387">
            <v>5</v>
          </cell>
          <cell r="G387">
            <v>1</v>
          </cell>
          <cell r="M387" t="str">
            <v>&gt;&gt;</v>
          </cell>
          <cell r="N387" t="str">
            <v>Fairooz Wasif Saiku</v>
          </cell>
          <cell r="O387" t="str">
            <v>NFCL-2</v>
          </cell>
          <cell r="P387" t="str">
            <v>RAJSHAHI RIDERS</v>
          </cell>
          <cell r="Q387">
            <v>1</v>
          </cell>
          <cell r="R387">
            <v>62</v>
          </cell>
          <cell r="U387">
            <v>41548</v>
          </cell>
        </row>
        <row r="388">
          <cell r="B388" t="str">
            <v>Rayhan</v>
          </cell>
          <cell r="C388">
            <v>1</v>
          </cell>
          <cell r="D388">
            <v>0</v>
          </cell>
          <cell r="E388">
            <v>1</v>
          </cell>
          <cell r="F388">
            <v>0</v>
          </cell>
          <cell r="G388">
            <v>0</v>
          </cell>
          <cell r="M388" t="str">
            <v>&gt;&gt;</v>
          </cell>
          <cell r="N388" t="str">
            <v>Rayhan Rahman</v>
          </cell>
          <cell r="O388" t="str">
            <v>NFCL-2</v>
          </cell>
          <cell r="P388" t="str">
            <v>RAJSHAHI RIDERS</v>
          </cell>
          <cell r="Q388">
            <v>1</v>
          </cell>
          <cell r="R388">
            <v>62</v>
          </cell>
          <cell r="U388">
            <v>41548</v>
          </cell>
        </row>
        <row r="389">
          <cell r="B389" t="str">
            <v>DHAKA AVIATORS</v>
          </cell>
          <cell r="M389" t="str">
            <v>&gt;&gt;</v>
          </cell>
          <cell r="N389" t="str">
            <v/>
          </cell>
          <cell r="O389" t="str">
            <v>NFCL-2</v>
          </cell>
          <cell r="P389" t="str">
            <v>DHAKA AVIATORS</v>
          </cell>
          <cell r="Q389">
            <v>1</v>
          </cell>
          <cell r="R389">
            <v>63</v>
          </cell>
          <cell r="U389">
            <v>41548</v>
          </cell>
        </row>
        <row r="390">
          <cell r="B390" t="str">
            <v>Akram Himal</v>
          </cell>
          <cell r="C390">
            <v>6</v>
          </cell>
          <cell r="D390">
            <v>135</v>
          </cell>
          <cell r="E390">
            <v>9</v>
          </cell>
          <cell r="F390">
            <v>10</v>
          </cell>
          <cell r="G390">
            <v>2</v>
          </cell>
          <cell r="M390" t="str">
            <v>&gt;&gt;</v>
          </cell>
          <cell r="N390" t="str">
            <v>Akram Hosen Himal</v>
          </cell>
          <cell r="O390" t="str">
            <v>NFCL-2</v>
          </cell>
          <cell r="P390" t="str">
            <v>DHAKA AVIATORS</v>
          </cell>
          <cell r="Q390">
            <v>1</v>
          </cell>
          <cell r="R390">
            <v>63</v>
          </cell>
          <cell r="U390">
            <v>41548</v>
          </cell>
        </row>
        <row r="391">
          <cell r="B391" t="str">
            <v>Jumon</v>
          </cell>
          <cell r="C391">
            <v>6</v>
          </cell>
          <cell r="D391">
            <v>70</v>
          </cell>
          <cell r="E391">
            <v>6</v>
          </cell>
          <cell r="F391">
            <v>8</v>
          </cell>
          <cell r="G391">
            <v>0</v>
          </cell>
          <cell r="M391" t="str">
            <v>&gt;&gt;</v>
          </cell>
          <cell r="N391" t="str">
            <v>Foysal Ahmed Jumon</v>
          </cell>
          <cell r="O391" t="str">
            <v>NFCL-2</v>
          </cell>
          <cell r="P391" t="str">
            <v>DHAKA AVIATORS</v>
          </cell>
          <cell r="Q391">
            <v>1</v>
          </cell>
          <cell r="R391">
            <v>63</v>
          </cell>
          <cell r="U391">
            <v>41548</v>
          </cell>
        </row>
        <row r="392">
          <cell r="B392" t="str">
            <v>Abutaleb</v>
          </cell>
          <cell r="C392">
            <v>6</v>
          </cell>
          <cell r="D392">
            <v>45</v>
          </cell>
          <cell r="E392">
            <v>5</v>
          </cell>
          <cell r="F392">
            <v>7</v>
          </cell>
          <cell r="G392">
            <v>0</v>
          </cell>
          <cell r="M392" t="str">
            <v>&gt;&gt;</v>
          </cell>
          <cell r="N392" t="str">
            <v>Md. Abutaleb</v>
          </cell>
          <cell r="O392" t="str">
            <v>NFCL-2</v>
          </cell>
          <cell r="P392" t="str">
            <v>DHAKA AVIATORS</v>
          </cell>
          <cell r="Q392">
            <v>1</v>
          </cell>
          <cell r="R392">
            <v>63</v>
          </cell>
          <cell r="U392">
            <v>41548</v>
          </cell>
        </row>
        <row r="393">
          <cell r="B393" t="str">
            <v>Roman</v>
          </cell>
          <cell r="C393">
            <v>6</v>
          </cell>
          <cell r="D393">
            <v>108</v>
          </cell>
          <cell r="E393">
            <v>12</v>
          </cell>
          <cell r="F393">
            <v>9</v>
          </cell>
          <cell r="G393">
            <v>0</v>
          </cell>
          <cell r="M393" t="str">
            <v>&gt;&gt;</v>
          </cell>
          <cell r="N393" t="str">
            <v>Roman mahamud Arko</v>
          </cell>
          <cell r="O393" t="str">
            <v>NFCL-2</v>
          </cell>
          <cell r="P393" t="str">
            <v>DHAKA AVIATORS</v>
          </cell>
          <cell r="Q393">
            <v>1</v>
          </cell>
          <cell r="R393">
            <v>63</v>
          </cell>
          <cell r="U393">
            <v>41548</v>
          </cell>
        </row>
        <row r="394">
          <cell r="B394" t="str">
            <v>Asif</v>
          </cell>
          <cell r="C394">
            <v>6</v>
          </cell>
          <cell r="D394">
            <v>172</v>
          </cell>
          <cell r="E394">
            <v>4</v>
          </cell>
          <cell r="F394">
            <v>8</v>
          </cell>
          <cell r="G394">
            <v>1</v>
          </cell>
          <cell r="M394" t="str">
            <v>&gt;&gt;</v>
          </cell>
          <cell r="N394" t="str">
            <v>Asif Iqbal Khan</v>
          </cell>
          <cell r="O394" t="str">
            <v>NFCL-2</v>
          </cell>
          <cell r="P394" t="str">
            <v>DHAKA AVIATORS</v>
          </cell>
          <cell r="Q394">
            <v>1</v>
          </cell>
          <cell r="R394">
            <v>63</v>
          </cell>
          <cell r="U394">
            <v>41548</v>
          </cell>
        </row>
        <row r="395">
          <cell r="B395" t="str">
            <v>#THUNDER #CRiCKETERS</v>
          </cell>
          <cell r="M395" t="str">
            <v>&gt;&gt;</v>
          </cell>
          <cell r="N395" t="str">
            <v/>
          </cell>
          <cell r="O395" t="str">
            <v>CNHM-2</v>
          </cell>
          <cell r="P395" t="str">
            <v>THUNDER CRiCKETERS</v>
          </cell>
          <cell r="Q395">
            <v>1</v>
          </cell>
          <cell r="R395">
            <v>64</v>
          </cell>
          <cell r="U395">
            <v>41609</v>
          </cell>
        </row>
        <row r="396">
          <cell r="B396" t="str">
            <v>Asif</v>
          </cell>
          <cell r="C396">
            <v>2</v>
          </cell>
          <cell r="D396">
            <v>14</v>
          </cell>
          <cell r="E396">
            <v>4</v>
          </cell>
          <cell r="F396">
            <v>4</v>
          </cell>
          <cell r="G396">
            <v>0</v>
          </cell>
          <cell r="H396">
            <v>0</v>
          </cell>
          <cell r="I396">
            <v>1</v>
          </cell>
          <cell r="M396" t="str">
            <v>&gt;&gt;</v>
          </cell>
          <cell r="N396" t="str">
            <v>Asif Iqbal Khan</v>
          </cell>
          <cell r="O396" t="str">
            <v>CNHM-2</v>
          </cell>
          <cell r="P396" t="str">
            <v>THUNDER CRiCKETERS</v>
          </cell>
          <cell r="Q396">
            <v>1</v>
          </cell>
          <cell r="R396">
            <v>64</v>
          </cell>
          <cell r="U396">
            <v>41609</v>
          </cell>
        </row>
        <row r="397">
          <cell r="B397" t="str">
            <v>Khokon</v>
          </cell>
          <cell r="C397">
            <v>3</v>
          </cell>
          <cell r="D397">
            <v>32</v>
          </cell>
          <cell r="E397">
            <v>2</v>
          </cell>
          <cell r="F397">
            <v>5</v>
          </cell>
          <cell r="G397">
            <v>0</v>
          </cell>
          <cell r="H397">
            <v>0</v>
          </cell>
          <cell r="I397">
            <v>1</v>
          </cell>
          <cell r="M397" t="str">
            <v>&gt;&gt;</v>
          </cell>
          <cell r="N397" t="str">
            <v>Shahriar Khokon</v>
          </cell>
          <cell r="O397" t="str">
            <v>CNHM-2</v>
          </cell>
          <cell r="P397" t="str">
            <v>THUNDER CRiCKETERS</v>
          </cell>
          <cell r="Q397">
            <v>1</v>
          </cell>
          <cell r="R397">
            <v>64</v>
          </cell>
          <cell r="U397">
            <v>41609</v>
          </cell>
        </row>
        <row r="398">
          <cell r="B398" t="str">
            <v>Rifat</v>
          </cell>
          <cell r="C398">
            <v>2</v>
          </cell>
          <cell r="D398">
            <v>38</v>
          </cell>
          <cell r="E398">
            <v>4</v>
          </cell>
          <cell r="F398">
            <v>4</v>
          </cell>
          <cell r="G398">
            <v>0</v>
          </cell>
          <cell r="H398">
            <v>4</v>
          </cell>
          <cell r="I398">
            <v>2</v>
          </cell>
          <cell r="M398" t="str">
            <v>&gt;&gt;</v>
          </cell>
          <cell r="N398" t="str">
            <v>Rifat Ullah</v>
          </cell>
          <cell r="O398" t="str">
            <v>CNHM-2</v>
          </cell>
          <cell r="P398" t="str">
            <v>THUNDER CRiCKETERS</v>
          </cell>
          <cell r="Q398">
            <v>1</v>
          </cell>
          <cell r="R398">
            <v>64</v>
          </cell>
          <cell r="U398">
            <v>41609</v>
          </cell>
        </row>
        <row r="399">
          <cell r="B399" t="str">
            <v>ATOM SiXERS</v>
          </cell>
          <cell r="M399" t="str">
            <v>&gt;&gt;</v>
          </cell>
          <cell r="N399" t="str">
            <v/>
          </cell>
          <cell r="O399" t="str">
            <v>CNHM-2</v>
          </cell>
          <cell r="P399" t="str">
            <v>ATOM SiXERS</v>
          </cell>
          <cell r="Q399">
            <v>1</v>
          </cell>
          <cell r="R399">
            <v>65</v>
          </cell>
          <cell r="U399">
            <v>41609</v>
          </cell>
        </row>
        <row r="400">
          <cell r="B400" t="str">
            <v>Jahin</v>
          </cell>
          <cell r="C400">
            <v>6</v>
          </cell>
          <cell r="D400">
            <v>115</v>
          </cell>
          <cell r="E400">
            <v>11</v>
          </cell>
          <cell r="F400">
            <v>10</v>
          </cell>
          <cell r="G400">
            <v>2</v>
          </cell>
          <cell r="H400">
            <v>15</v>
          </cell>
          <cell r="I400">
            <v>4</v>
          </cell>
          <cell r="M400" t="str">
            <v>&gt;&gt;</v>
          </cell>
          <cell r="N400" t="str">
            <v>Jahin Shahriar Chowdhury</v>
          </cell>
          <cell r="O400" t="str">
            <v>CNHM-2</v>
          </cell>
          <cell r="P400" t="str">
            <v>ATOM SiXERS</v>
          </cell>
          <cell r="Q400">
            <v>1</v>
          </cell>
          <cell r="R400">
            <v>65</v>
          </cell>
          <cell r="U400">
            <v>41609</v>
          </cell>
        </row>
        <row r="401">
          <cell r="B401" t="str">
            <v>Tofayel</v>
          </cell>
          <cell r="C401">
            <v>5</v>
          </cell>
          <cell r="D401">
            <v>120</v>
          </cell>
          <cell r="E401">
            <v>6</v>
          </cell>
          <cell r="F401">
            <v>10</v>
          </cell>
          <cell r="G401">
            <v>1</v>
          </cell>
          <cell r="H401">
            <v>9</v>
          </cell>
          <cell r="I401">
            <v>9</v>
          </cell>
          <cell r="M401" t="str">
            <v>&gt;&gt;</v>
          </cell>
          <cell r="N401" t="str">
            <v>MD Tofayel Ahmed</v>
          </cell>
          <cell r="O401" t="str">
            <v>CNHM-2</v>
          </cell>
          <cell r="P401" t="str">
            <v>ATOM SiXERS</v>
          </cell>
          <cell r="Q401">
            <v>1</v>
          </cell>
          <cell r="R401">
            <v>65</v>
          </cell>
          <cell r="U401">
            <v>41609</v>
          </cell>
        </row>
        <row r="402">
          <cell r="B402" t="str">
            <v>Ashik</v>
          </cell>
          <cell r="C402">
            <v>5</v>
          </cell>
          <cell r="D402">
            <v>70</v>
          </cell>
          <cell r="E402">
            <v>8</v>
          </cell>
          <cell r="F402">
            <v>7</v>
          </cell>
          <cell r="G402">
            <v>0</v>
          </cell>
          <cell r="H402">
            <v>6</v>
          </cell>
          <cell r="I402">
            <v>1</v>
          </cell>
          <cell r="M402" t="str">
            <v>&gt;&gt;</v>
          </cell>
          <cell r="N402" t="str">
            <v>Ashikur Rahman Ashik</v>
          </cell>
          <cell r="O402" t="str">
            <v>CNHM-2</v>
          </cell>
          <cell r="P402" t="str">
            <v>ATOM SiXERS</v>
          </cell>
          <cell r="Q402">
            <v>1</v>
          </cell>
          <cell r="R402">
            <v>65</v>
          </cell>
          <cell r="U402">
            <v>41609</v>
          </cell>
        </row>
        <row r="403">
          <cell r="B403" t="str">
            <v>Dulal</v>
          </cell>
          <cell r="C403">
            <v>2</v>
          </cell>
          <cell r="D403">
            <v>18</v>
          </cell>
          <cell r="E403">
            <v>0</v>
          </cell>
          <cell r="F403">
            <v>2</v>
          </cell>
          <cell r="G403">
            <v>0</v>
          </cell>
          <cell r="H403">
            <v>0</v>
          </cell>
          <cell r="I403">
            <v>2</v>
          </cell>
          <cell r="M403" t="str">
            <v>&gt;&gt;</v>
          </cell>
          <cell r="N403" t="str">
            <v>Md Dulal Miah</v>
          </cell>
          <cell r="O403" t="str">
            <v>CNHM-2</v>
          </cell>
          <cell r="P403" t="str">
            <v>ATOM SiXERS</v>
          </cell>
          <cell r="Q403">
            <v>1</v>
          </cell>
          <cell r="R403">
            <v>65</v>
          </cell>
          <cell r="U403">
            <v>41609</v>
          </cell>
        </row>
        <row r="404">
          <cell r="B404" t="str">
            <v>#SUPER KiNGS</v>
          </cell>
          <cell r="M404" t="str">
            <v>&gt;&gt;</v>
          </cell>
          <cell r="N404" t="str">
            <v/>
          </cell>
          <cell r="O404" t="str">
            <v>CNHM-2</v>
          </cell>
          <cell r="P404" t="str">
            <v>SUPER KiNGS</v>
          </cell>
          <cell r="Q404">
            <v>1</v>
          </cell>
          <cell r="R404">
            <v>66</v>
          </cell>
          <cell r="U404">
            <v>41609</v>
          </cell>
        </row>
        <row r="405">
          <cell r="B405" t="str">
            <v>Faisal</v>
          </cell>
          <cell r="C405">
            <v>5</v>
          </cell>
          <cell r="D405">
            <v>56</v>
          </cell>
          <cell r="E405">
            <v>7</v>
          </cell>
          <cell r="F405">
            <v>6</v>
          </cell>
          <cell r="G405">
            <v>0</v>
          </cell>
          <cell r="H405">
            <v>1</v>
          </cell>
          <cell r="I405">
            <v>6</v>
          </cell>
          <cell r="M405" t="str">
            <v>&gt;&gt;</v>
          </cell>
          <cell r="N405" t="str">
            <v>Red Heart Faisal (Fayze Ahamed)</v>
          </cell>
          <cell r="O405" t="str">
            <v>CNHM-2</v>
          </cell>
          <cell r="P405" t="str">
            <v>SUPER KiNGS</v>
          </cell>
          <cell r="Q405">
            <v>1</v>
          </cell>
          <cell r="R405">
            <v>66</v>
          </cell>
          <cell r="U405">
            <v>41609</v>
          </cell>
        </row>
        <row r="406">
          <cell r="B406" t="str">
            <v>Saiful</v>
          </cell>
          <cell r="C406">
            <v>6</v>
          </cell>
          <cell r="D406">
            <v>58</v>
          </cell>
          <cell r="E406">
            <v>6</v>
          </cell>
          <cell r="F406">
            <v>7</v>
          </cell>
          <cell r="G406">
            <v>0</v>
          </cell>
          <cell r="H406">
            <v>1</v>
          </cell>
          <cell r="I406">
            <v>6</v>
          </cell>
          <cell r="M406" t="str">
            <v>&gt;&gt;</v>
          </cell>
          <cell r="N406" t="str">
            <v>Saiful Islam</v>
          </cell>
          <cell r="O406" t="str">
            <v>CNHM-2</v>
          </cell>
          <cell r="P406" t="str">
            <v>SUPER KiNGS</v>
          </cell>
          <cell r="Q406">
            <v>1</v>
          </cell>
          <cell r="R406">
            <v>66</v>
          </cell>
          <cell r="U406">
            <v>41609</v>
          </cell>
        </row>
        <row r="407">
          <cell r="B407" t="str">
            <v>ADNAN</v>
          </cell>
          <cell r="C407">
            <v>6</v>
          </cell>
          <cell r="D407">
            <v>64</v>
          </cell>
          <cell r="E407">
            <v>6</v>
          </cell>
          <cell r="F407">
            <v>7</v>
          </cell>
          <cell r="G407">
            <v>0</v>
          </cell>
          <cell r="H407">
            <v>1</v>
          </cell>
          <cell r="I407">
            <v>3</v>
          </cell>
          <cell r="M407" t="str">
            <v>&gt;&gt;</v>
          </cell>
          <cell r="N407" t="str">
            <v>Shah Abi Talib Adnan</v>
          </cell>
          <cell r="O407" t="str">
            <v>CNHM-2</v>
          </cell>
          <cell r="P407" t="str">
            <v>SUPER KiNGS</v>
          </cell>
          <cell r="Q407">
            <v>1</v>
          </cell>
          <cell r="R407">
            <v>66</v>
          </cell>
          <cell r="U407">
            <v>41609</v>
          </cell>
        </row>
        <row r="408">
          <cell r="B408" t="str">
            <v>Pritom</v>
          </cell>
          <cell r="C408">
            <v>1</v>
          </cell>
          <cell r="D408">
            <v>9</v>
          </cell>
          <cell r="E408">
            <v>0</v>
          </cell>
          <cell r="F408">
            <v>1</v>
          </cell>
          <cell r="G408">
            <v>1</v>
          </cell>
          <cell r="H408">
            <v>0</v>
          </cell>
          <cell r="I408">
            <v>1</v>
          </cell>
          <cell r="M408" t="str">
            <v>&gt;&gt;</v>
          </cell>
          <cell r="N408" t="str">
            <v>Sanju Pritom</v>
          </cell>
          <cell r="O408" t="str">
            <v>CNHM-2</v>
          </cell>
          <cell r="P408" t="str">
            <v>SUPER KiNGS</v>
          </cell>
          <cell r="Q408">
            <v>1</v>
          </cell>
          <cell r="R408">
            <v>66</v>
          </cell>
          <cell r="U408">
            <v>41609</v>
          </cell>
        </row>
        <row r="409">
          <cell r="B409" t="str">
            <v>Brinto</v>
          </cell>
          <cell r="C409">
            <v>2</v>
          </cell>
          <cell r="D409">
            <v>95</v>
          </cell>
          <cell r="E409">
            <v>3</v>
          </cell>
          <cell r="F409">
            <v>2</v>
          </cell>
          <cell r="G409">
            <v>1</v>
          </cell>
          <cell r="H409">
            <v>8</v>
          </cell>
          <cell r="I409">
            <v>3</v>
          </cell>
          <cell r="M409" t="str">
            <v>&gt;&gt;</v>
          </cell>
          <cell r="N409" t="str">
            <v>Shuvayan Saha Brinto</v>
          </cell>
          <cell r="O409" t="str">
            <v>CNHM-2</v>
          </cell>
          <cell r="P409" t="str">
            <v>SUPER KiNGS</v>
          </cell>
          <cell r="Q409">
            <v>1</v>
          </cell>
          <cell r="R409">
            <v>66</v>
          </cell>
          <cell r="U409">
            <v>41609</v>
          </cell>
        </row>
        <row r="410">
          <cell r="B410" t="str">
            <v>#TiRELES RUNNERS</v>
          </cell>
          <cell r="M410" t="str">
            <v>&gt;&gt;</v>
          </cell>
          <cell r="N410" t="str">
            <v/>
          </cell>
          <cell r="O410" t="str">
            <v>CNHM-2</v>
          </cell>
          <cell r="P410" t="str">
            <v>TiRELES RUNNERS</v>
          </cell>
          <cell r="Q410">
            <v>1</v>
          </cell>
          <cell r="R410">
            <v>67</v>
          </cell>
          <cell r="U410">
            <v>41609</v>
          </cell>
        </row>
        <row r="411">
          <cell r="B411" t="str">
            <v>Helal</v>
          </cell>
          <cell r="C411">
            <v>6</v>
          </cell>
          <cell r="D411">
            <v>154</v>
          </cell>
          <cell r="E411">
            <v>4</v>
          </cell>
          <cell r="F411">
            <v>11</v>
          </cell>
          <cell r="G411">
            <v>0</v>
          </cell>
          <cell r="H411">
            <v>16</v>
          </cell>
          <cell r="I411">
            <v>9</v>
          </cell>
          <cell r="M411" t="str">
            <v>&gt;&gt;</v>
          </cell>
          <cell r="N411" t="str">
            <v>Sheik Helal Ahmed</v>
          </cell>
          <cell r="O411" t="str">
            <v>CNHM-2</v>
          </cell>
          <cell r="P411" t="str">
            <v>TiRELES RUNNERS</v>
          </cell>
          <cell r="Q411">
            <v>1</v>
          </cell>
          <cell r="R411">
            <v>67</v>
          </cell>
          <cell r="U411">
            <v>41609</v>
          </cell>
        </row>
        <row r="412">
          <cell r="B412" t="str">
            <v>Abutaleb</v>
          </cell>
          <cell r="C412">
            <v>6</v>
          </cell>
          <cell r="D412">
            <v>43</v>
          </cell>
          <cell r="E412">
            <v>4</v>
          </cell>
          <cell r="F412">
            <v>8</v>
          </cell>
          <cell r="G412">
            <v>0</v>
          </cell>
          <cell r="H412">
            <v>3</v>
          </cell>
          <cell r="I412">
            <v>2</v>
          </cell>
          <cell r="M412" t="str">
            <v>&gt;&gt;</v>
          </cell>
          <cell r="N412" t="str">
            <v>Md. Abutaleb</v>
          </cell>
          <cell r="O412" t="str">
            <v>CNHM-2</v>
          </cell>
          <cell r="P412" t="str">
            <v>TiRELES RUNNERS</v>
          </cell>
          <cell r="Q412">
            <v>1</v>
          </cell>
          <cell r="R412">
            <v>67</v>
          </cell>
          <cell r="U412">
            <v>41609</v>
          </cell>
        </row>
        <row r="413">
          <cell r="B413" t="str">
            <v>Tonmoy</v>
          </cell>
          <cell r="C413">
            <v>6</v>
          </cell>
          <cell r="D413">
            <v>93</v>
          </cell>
          <cell r="E413">
            <v>11</v>
          </cell>
          <cell r="F413">
            <v>7</v>
          </cell>
          <cell r="G413">
            <v>0</v>
          </cell>
          <cell r="H413">
            <v>5</v>
          </cell>
          <cell r="I413">
            <v>7</v>
          </cell>
          <cell r="M413" t="str">
            <v>&gt;&gt;</v>
          </cell>
          <cell r="N413" t="str">
            <v>Asik Hassan Tonmoy</v>
          </cell>
          <cell r="O413" t="str">
            <v>CNHM-2</v>
          </cell>
          <cell r="P413" t="str">
            <v>TiRELES RUNNERS</v>
          </cell>
          <cell r="Q413">
            <v>1</v>
          </cell>
          <cell r="R413">
            <v>67</v>
          </cell>
          <cell r="U413">
            <v>41609</v>
          </cell>
        </row>
        <row r="414">
          <cell r="B414" t="str">
            <v>Al Mamun</v>
          </cell>
          <cell r="C414">
            <v>6</v>
          </cell>
          <cell r="D414">
            <v>59</v>
          </cell>
          <cell r="E414">
            <v>4</v>
          </cell>
          <cell r="F414">
            <v>10</v>
          </cell>
          <cell r="G414">
            <v>1</v>
          </cell>
          <cell r="H414">
            <v>4</v>
          </cell>
          <cell r="I414">
            <v>2</v>
          </cell>
          <cell r="M414" t="str">
            <v>&gt;&gt;</v>
          </cell>
          <cell r="N414" t="str">
            <v>Mohammed Al Mamun</v>
          </cell>
          <cell r="O414" t="str">
            <v>CNHM-2</v>
          </cell>
          <cell r="P414" t="str">
            <v>TiRELES RUNNERS</v>
          </cell>
          <cell r="Q414">
            <v>1</v>
          </cell>
          <cell r="R414">
            <v>67</v>
          </cell>
          <cell r="U414">
            <v>41609</v>
          </cell>
        </row>
        <row r="415">
          <cell r="B415" t="str">
            <v>#FLAMiN FiGHTERS</v>
          </cell>
          <cell r="M415" t="str">
            <v>&gt;&gt;</v>
          </cell>
          <cell r="N415" t="str">
            <v/>
          </cell>
          <cell r="O415" t="str">
            <v>CNHM-2</v>
          </cell>
          <cell r="P415" t="str">
            <v>FLAMiN FiGHTERS</v>
          </cell>
          <cell r="Q415">
            <v>1</v>
          </cell>
          <cell r="R415">
            <v>68</v>
          </cell>
          <cell r="U415">
            <v>41609</v>
          </cell>
        </row>
        <row r="416">
          <cell r="B416" t="str">
            <v>Mortaza</v>
          </cell>
          <cell r="C416">
            <v>11</v>
          </cell>
          <cell r="D416">
            <v>85</v>
          </cell>
          <cell r="E416">
            <v>12</v>
          </cell>
          <cell r="F416">
            <v>13</v>
          </cell>
          <cell r="G416">
            <v>0</v>
          </cell>
          <cell r="H416">
            <v>6</v>
          </cell>
          <cell r="I416">
            <v>4</v>
          </cell>
          <cell r="M416" t="str">
            <v>&gt;&gt;</v>
          </cell>
          <cell r="N416" t="str">
            <v>Sakib Mortaza</v>
          </cell>
          <cell r="O416" t="str">
            <v>CNHM-2</v>
          </cell>
          <cell r="P416" t="str">
            <v>FLAMiN FiGHTERS</v>
          </cell>
          <cell r="Q416">
            <v>1</v>
          </cell>
          <cell r="R416">
            <v>68</v>
          </cell>
          <cell r="U416">
            <v>41609</v>
          </cell>
        </row>
        <row r="417">
          <cell r="B417" t="str">
            <v>Towkir</v>
          </cell>
          <cell r="C417">
            <v>11</v>
          </cell>
          <cell r="D417">
            <v>235</v>
          </cell>
          <cell r="E417">
            <v>14</v>
          </cell>
          <cell r="F417">
            <v>16</v>
          </cell>
          <cell r="G417">
            <v>3</v>
          </cell>
          <cell r="H417">
            <v>27</v>
          </cell>
          <cell r="I417">
            <v>12</v>
          </cell>
          <cell r="M417" t="str">
            <v>&gt;&gt;</v>
          </cell>
          <cell r="N417" t="str">
            <v>Towkir Ahmed Siddique</v>
          </cell>
          <cell r="O417" t="str">
            <v>CNHM-2</v>
          </cell>
          <cell r="P417" t="str">
            <v>FLAMiN FiGHTERS</v>
          </cell>
          <cell r="Q417">
            <v>1</v>
          </cell>
          <cell r="R417">
            <v>68</v>
          </cell>
          <cell r="U417">
            <v>41609</v>
          </cell>
        </row>
        <row r="418">
          <cell r="B418" t="str">
            <v>Meraj</v>
          </cell>
          <cell r="C418">
            <v>9</v>
          </cell>
          <cell r="D418">
            <v>177</v>
          </cell>
          <cell r="E418">
            <v>10</v>
          </cell>
          <cell r="F418">
            <v>16</v>
          </cell>
          <cell r="G418">
            <v>2</v>
          </cell>
          <cell r="H418">
            <v>12</v>
          </cell>
          <cell r="I418">
            <v>12</v>
          </cell>
          <cell r="M418" t="str">
            <v>&gt;&gt;</v>
          </cell>
          <cell r="N418" t="str">
            <v>Samiul Meraj</v>
          </cell>
          <cell r="O418" t="str">
            <v>CNHM-2</v>
          </cell>
          <cell r="P418" t="str">
            <v>FLAMiN FiGHTERS</v>
          </cell>
          <cell r="Q418">
            <v>1</v>
          </cell>
          <cell r="R418">
            <v>68</v>
          </cell>
          <cell r="U418">
            <v>41609</v>
          </cell>
        </row>
        <row r="419">
          <cell r="B419" t="str">
            <v>Rakib</v>
          </cell>
          <cell r="C419">
            <v>10</v>
          </cell>
          <cell r="D419">
            <v>100</v>
          </cell>
          <cell r="E419">
            <v>13</v>
          </cell>
          <cell r="F419">
            <v>12</v>
          </cell>
          <cell r="G419">
            <v>1</v>
          </cell>
          <cell r="H419">
            <v>3</v>
          </cell>
          <cell r="I419">
            <v>6</v>
          </cell>
          <cell r="M419" t="str">
            <v>&gt;&gt;</v>
          </cell>
          <cell r="N419" t="str">
            <v>Rakib Hasan</v>
          </cell>
          <cell r="O419" t="str">
            <v>CNHM-2</v>
          </cell>
          <cell r="P419" t="str">
            <v>FLAMiN FiGHTERS</v>
          </cell>
          <cell r="Q419">
            <v>1</v>
          </cell>
          <cell r="R419">
            <v>68</v>
          </cell>
          <cell r="U419">
            <v>41609</v>
          </cell>
        </row>
        <row r="420">
          <cell r="B420" t="str">
            <v>#THE SEAWOLVES</v>
          </cell>
          <cell r="M420" t="str">
            <v>&gt;&gt;</v>
          </cell>
          <cell r="N420" t="str">
            <v/>
          </cell>
          <cell r="O420" t="str">
            <v>CNHM-2</v>
          </cell>
          <cell r="P420" t="str">
            <v>THE SEAWOLVES</v>
          </cell>
          <cell r="Q420">
            <v>1</v>
          </cell>
          <cell r="R420">
            <v>69</v>
          </cell>
          <cell r="U420">
            <v>41609</v>
          </cell>
        </row>
        <row r="421">
          <cell r="B421" t="str">
            <v>Akram Himal</v>
          </cell>
          <cell r="C421">
            <v>3</v>
          </cell>
          <cell r="D421">
            <v>39</v>
          </cell>
          <cell r="E421">
            <v>4</v>
          </cell>
          <cell r="F421">
            <v>7</v>
          </cell>
          <cell r="G421">
            <v>0</v>
          </cell>
          <cell r="H421">
            <v>2</v>
          </cell>
          <cell r="I421">
            <v>2</v>
          </cell>
          <cell r="M421" t="str">
            <v>&gt;&gt;</v>
          </cell>
          <cell r="N421" t="str">
            <v>Akram Hosen Himal</v>
          </cell>
          <cell r="O421" t="str">
            <v>CNHM-2</v>
          </cell>
          <cell r="P421" t="str">
            <v>THE SEAWOLVES</v>
          </cell>
          <cell r="Q421">
            <v>1</v>
          </cell>
          <cell r="R421">
            <v>69</v>
          </cell>
          <cell r="U421">
            <v>41609</v>
          </cell>
        </row>
        <row r="422">
          <cell r="B422" t="str">
            <v>Arman</v>
          </cell>
          <cell r="C422">
            <v>3</v>
          </cell>
          <cell r="D422">
            <v>55</v>
          </cell>
          <cell r="E422">
            <v>1</v>
          </cell>
          <cell r="F422">
            <v>5</v>
          </cell>
          <cell r="G422">
            <v>0</v>
          </cell>
          <cell r="H422">
            <v>9</v>
          </cell>
          <cell r="I422">
            <v>1</v>
          </cell>
          <cell r="M422" t="str">
            <v>&gt;&gt;</v>
          </cell>
          <cell r="N422" t="str">
            <v>Cricket Pagla Arman</v>
          </cell>
          <cell r="O422" t="str">
            <v>CNHM-2</v>
          </cell>
          <cell r="P422" t="str">
            <v>THE SEAWOLVES</v>
          </cell>
          <cell r="Q422">
            <v>1</v>
          </cell>
          <cell r="R422">
            <v>69</v>
          </cell>
          <cell r="U422">
            <v>41609</v>
          </cell>
        </row>
        <row r="423">
          <cell r="B423" t="str">
            <v>Sumon</v>
          </cell>
          <cell r="C423">
            <v>2</v>
          </cell>
          <cell r="D423">
            <v>20</v>
          </cell>
          <cell r="E423">
            <v>2</v>
          </cell>
          <cell r="F423">
            <v>2</v>
          </cell>
          <cell r="G423">
            <v>0</v>
          </cell>
          <cell r="H423">
            <v>2</v>
          </cell>
          <cell r="I423">
            <v>1</v>
          </cell>
          <cell r="M423" t="str">
            <v>&gt;&gt;</v>
          </cell>
          <cell r="N423" t="str">
            <v>Sumon Ab</v>
          </cell>
          <cell r="O423" t="str">
            <v>CNHM-2</v>
          </cell>
          <cell r="P423" t="str">
            <v>THE SEAWOLVES</v>
          </cell>
          <cell r="Q423">
            <v>1</v>
          </cell>
          <cell r="R423">
            <v>69</v>
          </cell>
          <cell r="U423">
            <v>41609</v>
          </cell>
        </row>
        <row r="424">
          <cell r="B424" t="str">
            <v>Feni</v>
          </cell>
          <cell r="C424">
            <v>2</v>
          </cell>
          <cell r="D424">
            <v>3</v>
          </cell>
          <cell r="E424">
            <v>1</v>
          </cell>
          <cell r="F424">
            <v>2</v>
          </cell>
          <cell r="G424">
            <v>0</v>
          </cell>
          <cell r="H424">
            <v>0</v>
          </cell>
          <cell r="I424">
            <v>0</v>
          </cell>
          <cell r="M424" t="str">
            <v>&gt;&gt;</v>
          </cell>
          <cell r="N424" t="str">
            <v>Manik Feni</v>
          </cell>
          <cell r="O424" t="str">
            <v>CNHM-2</v>
          </cell>
          <cell r="P424" t="str">
            <v>EXTREME BLUSTERS</v>
          </cell>
          <cell r="Q424">
            <v>1</v>
          </cell>
          <cell r="R424">
            <v>70</v>
          </cell>
          <cell r="U424">
            <v>41609</v>
          </cell>
        </row>
        <row r="425">
          <cell r="B425" t="str">
            <v>#EXTREME #BLUSTERS</v>
          </cell>
          <cell r="M425" t="str">
            <v>&gt;&gt;</v>
          </cell>
          <cell r="N425" t="str">
            <v/>
          </cell>
          <cell r="O425" t="str">
            <v>CNHM-2</v>
          </cell>
          <cell r="P425" t="str">
            <v>EXTREME BLUSTERS</v>
          </cell>
          <cell r="Q425">
            <v>1</v>
          </cell>
          <cell r="R425">
            <v>70</v>
          </cell>
          <cell r="T425" t="str">
            <v>CHAMP</v>
          </cell>
          <cell r="U425">
            <v>41609</v>
          </cell>
        </row>
        <row r="426">
          <cell r="B426" t="str">
            <v>Ovi</v>
          </cell>
          <cell r="C426">
            <v>11</v>
          </cell>
          <cell r="D426">
            <v>257</v>
          </cell>
          <cell r="E426">
            <v>24</v>
          </cell>
          <cell r="F426">
            <v>16</v>
          </cell>
          <cell r="G426">
            <v>2</v>
          </cell>
          <cell r="H426">
            <v>28</v>
          </cell>
          <cell r="I426">
            <v>17</v>
          </cell>
          <cell r="M426" t="str">
            <v>&gt;&gt;</v>
          </cell>
          <cell r="N426" t="str">
            <v>Toufiq Ahmed Ovi</v>
          </cell>
          <cell r="O426" t="str">
            <v>CNHM-2</v>
          </cell>
          <cell r="P426" t="str">
            <v>EXTREME BLUSTERS</v>
          </cell>
          <cell r="Q426">
            <v>1</v>
          </cell>
          <cell r="R426">
            <v>70</v>
          </cell>
          <cell r="S426" t="str">
            <v>CPOT</v>
          </cell>
          <cell r="T426" t="str">
            <v>CHAMP</v>
          </cell>
          <cell r="U426">
            <v>41609</v>
          </cell>
        </row>
        <row r="427">
          <cell r="B427" t="str">
            <v>Raihan</v>
          </cell>
          <cell r="C427">
            <v>6</v>
          </cell>
          <cell r="D427">
            <v>88</v>
          </cell>
          <cell r="E427">
            <v>5</v>
          </cell>
          <cell r="F427">
            <v>7</v>
          </cell>
          <cell r="G427">
            <v>0</v>
          </cell>
          <cell r="H427">
            <v>7</v>
          </cell>
          <cell r="I427">
            <v>5</v>
          </cell>
          <cell r="M427" t="str">
            <v>&gt;&gt;</v>
          </cell>
          <cell r="N427" t="str">
            <v>Raihan Al-maMun</v>
          </cell>
          <cell r="O427" t="str">
            <v>CNHM-2</v>
          </cell>
          <cell r="P427" t="str">
            <v>EXTREME BLUSTERS</v>
          </cell>
          <cell r="Q427">
            <v>1</v>
          </cell>
          <cell r="R427">
            <v>70</v>
          </cell>
          <cell r="T427" t="str">
            <v>CHAMP</v>
          </cell>
          <cell r="U427">
            <v>41609</v>
          </cell>
        </row>
        <row r="428">
          <cell r="B428" t="str">
            <v>Jumon</v>
          </cell>
          <cell r="C428">
            <v>12</v>
          </cell>
          <cell r="D428">
            <v>208</v>
          </cell>
          <cell r="E428">
            <v>16</v>
          </cell>
          <cell r="F428">
            <v>20</v>
          </cell>
          <cell r="G428">
            <v>2</v>
          </cell>
          <cell r="H428">
            <v>20</v>
          </cell>
          <cell r="I428">
            <v>11</v>
          </cell>
          <cell r="M428" t="str">
            <v>&gt;&gt;</v>
          </cell>
          <cell r="N428" t="str">
            <v>Foysal Ahmed Jumon</v>
          </cell>
          <cell r="O428" t="str">
            <v>CNHM-2</v>
          </cell>
          <cell r="P428" t="str">
            <v>EXTREME BLUSTERS</v>
          </cell>
          <cell r="Q428">
            <v>1</v>
          </cell>
          <cell r="R428">
            <v>70</v>
          </cell>
          <cell r="T428" t="str">
            <v>CHAMP</v>
          </cell>
          <cell r="U428">
            <v>41609</v>
          </cell>
        </row>
        <row r="429">
          <cell r="B429" t="str">
            <v>Nahid</v>
          </cell>
          <cell r="C429">
            <v>10</v>
          </cell>
          <cell r="D429">
            <v>100</v>
          </cell>
          <cell r="E429">
            <v>8</v>
          </cell>
          <cell r="F429">
            <v>13</v>
          </cell>
          <cell r="G429">
            <v>1</v>
          </cell>
          <cell r="H429">
            <v>6</v>
          </cell>
          <cell r="I429">
            <v>9</v>
          </cell>
          <cell r="M429" t="str">
            <v>&gt;&gt;</v>
          </cell>
          <cell r="N429" t="str">
            <v>Nahid Saifullah</v>
          </cell>
          <cell r="O429" t="str">
            <v>CNHM-2</v>
          </cell>
          <cell r="P429" t="str">
            <v>EXTREME BLUSTERS</v>
          </cell>
          <cell r="Q429">
            <v>1</v>
          </cell>
          <cell r="R429">
            <v>70</v>
          </cell>
          <cell r="T429" t="str">
            <v>CHAMP</v>
          </cell>
          <cell r="U429">
            <v>41609</v>
          </cell>
        </row>
        <row r="430">
          <cell r="B430" t="str">
            <v>Taho</v>
          </cell>
          <cell r="C430">
            <v>2</v>
          </cell>
          <cell r="D430">
            <v>0</v>
          </cell>
          <cell r="E430">
            <v>0</v>
          </cell>
          <cell r="F430">
            <v>1</v>
          </cell>
          <cell r="G430">
            <v>0</v>
          </cell>
          <cell r="H430">
            <v>0</v>
          </cell>
          <cell r="I430">
            <v>0</v>
          </cell>
          <cell r="M430" t="str">
            <v>&gt;&gt;</v>
          </cell>
          <cell r="N430" t="str">
            <v>Taho D. Ace</v>
          </cell>
          <cell r="O430" t="str">
            <v>CNHM-2</v>
          </cell>
          <cell r="P430" t="str">
            <v>EXTREME BLUSTERS</v>
          </cell>
          <cell r="Q430">
            <v>1</v>
          </cell>
          <cell r="R430">
            <v>70</v>
          </cell>
          <cell r="T430" t="str">
            <v>CHAMP</v>
          </cell>
          <cell r="U430">
            <v>41609</v>
          </cell>
        </row>
        <row r="431">
          <cell r="B431" t="str">
            <v>#THE ViPERZ</v>
          </cell>
          <cell r="M431" t="str">
            <v>&gt;&gt;</v>
          </cell>
          <cell r="N431" t="str">
            <v/>
          </cell>
          <cell r="O431" t="str">
            <v>CNHM-2</v>
          </cell>
          <cell r="P431" t="str">
            <v>THE ViPERZ</v>
          </cell>
          <cell r="Q431">
            <v>1</v>
          </cell>
          <cell r="R431">
            <v>71</v>
          </cell>
          <cell r="U431">
            <v>41609</v>
          </cell>
        </row>
        <row r="432">
          <cell r="B432" t="str">
            <v>Rexx</v>
          </cell>
          <cell r="C432">
            <v>12</v>
          </cell>
          <cell r="D432">
            <v>232</v>
          </cell>
          <cell r="E432">
            <v>17</v>
          </cell>
          <cell r="F432">
            <v>20</v>
          </cell>
          <cell r="G432">
            <v>2</v>
          </cell>
          <cell r="H432">
            <v>16</v>
          </cell>
          <cell r="I432">
            <v>18</v>
          </cell>
          <cell r="M432" t="str">
            <v>&gt;&gt;</v>
          </cell>
          <cell r="N432" t="str">
            <v>Bishwajit Sarkar</v>
          </cell>
          <cell r="O432" t="str">
            <v>CNHM-2</v>
          </cell>
          <cell r="P432" t="str">
            <v>THE ViPERZ</v>
          </cell>
          <cell r="Q432">
            <v>1</v>
          </cell>
          <cell r="R432">
            <v>71</v>
          </cell>
          <cell r="U432">
            <v>41609</v>
          </cell>
        </row>
        <row r="433">
          <cell r="B433" t="str">
            <v>Paul</v>
          </cell>
          <cell r="C433">
            <v>11</v>
          </cell>
          <cell r="D433">
            <v>113</v>
          </cell>
          <cell r="E433">
            <v>12</v>
          </cell>
          <cell r="F433">
            <v>15</v>
          </cell>
          <cell r="G433">
            <v>1</v>
          </cell>
          <cell r="H433">
            <v>8</v>
          </cell>
          <cell r="I433">
            <v>4</v>
          </cell>
          <cell r="M433" t="str">
            <v>&gt;&gt;</v>
          </cell>
          <cell r="N433" t="str">
            <v>Susmoy Paul</v>
          </cell>
          <cell r="O433" t="str">
            <v>CNHM-2</v>
          </cell>
          <cell r="P433" t="str">
            <v>THE ViPERZ</v>
          </cell>
          <cell r="Q433">
            <v>1</v>
          </cell>
          <cell r="R433">
            <v>71</v>
          </cell>
          <cell r="U433">
            <v>41609</v>
          </cell>
        </row>
        <row r="434">
          <cell r="B434" t="str">
            <v>Azwad</v>
          </cell>
          <cell r="C434">
            <v>12</v>
          </cell>
          <cell r="D434">
            <v>189</v>
          </cell>
          <cell r="E434">
            <v>18</v>
          </cell>
          <cell r="F434">
            <v>16</v>
          </cell>
          <cell r="G434">
            <v>3</v>
          </cell>
          <cell r="H434">
            <v>19</v>
          </cell>
          <cell r="I434">
            <v>8</v>
          </cell>
          <cell r="M434" t="str">
            <v>&gt;&gt;</v>
          </cell>
          <cell r="N434" t="str">
            <v>Azwad Awsaf</v>
          </cell>
          <cell r="O434" t="str">
            <v>CNHM-2</v>
          </cell>
          <cell r="P434" t="str">
            <v>THE ViPERZ</v>
          </cell>
          <cell r="Q434">
            <v>1</v>
          </cell>
          <cell r="R434">
            <v>71</v>
          </cell>
          <cell r="U434">
            <v>41609</v>
          </cell>
        </row>
        <row r="435">
          <cell r="B435" t="str">
            <v>Oli</v>
          </cell>
          <cell r="C435">
            <v>4</v>
          </cell>
          <cell r="D435">
            <v>14</v>
          </cell>
          <cell r="E435">
            <v>5</v>
          </cell>
          <cell r="F435">
            <v>3</v>
          </cell>
          <cell r="G435">
            <v>0</v>
          </cell>
          <cell r="H435">
            <v>2</v>
          </cell>
          <cell r="I435">
            <v>0</v>
          </cell>
          <cell r="M435" t="str">
            <v>&gt;&gt;</v>
          </cell>
          <cell r="N435" t="str">
            <v>Oli Ullah</v>
          </cell>
          <cell r="O435" t="str">
            <v>CNHM-2</v>
          </cell>
          <cell r="P435" t="str">
            <v>THE ViPERZ</v>
          </cell>
          <cell r="Q435">
            <v>1</v>
          </cell>
          <cell r="R435">
            <v>71</v>
          </cell>
          <cell r="U435">
            <v>41609</v>
          </cell>
        </row>
        <row r="436">
          <cell r="B436" t="str">
            <v>#THE BRAVE ROYALS</v>
          </cell>
          <cell r="M436" t="str">
            <v>&gt;&gt;</v>
          </cell>
          <cell r="N436" t="str">
            <v/>
          </cell>
          <cell r="O436" t="str">
            <v>CNHM-2</v>
          </cell>
          <cell r="P436" t="str">
            <v>THE BRAVE ROYALS</v>
          </cell>
          <cell r="Q436">
            <v>1</v>
          </cell>
          <cell r="R436">
            <v>72</v>
          </cell>
          <cell r="T436" t="str">
            <v>4TH</v>
          </cell>
          <cell r="U436">
            <v>41609</v>
          </cell>
        </row>
        <row r="437">
          <cell r="B437" t="str">
            <v>Tutul</v>
          </cell>
          <cell r="C437">
            <v>12</v>
          </cell>
          <cell r="D437">
            <v>217</v>
          </cell>
          <cell r="E437">
            <v>20</v>
          </cell>
          <cell r="F437">
            <v>22</v>
          </cell>
          <cell r="G437">
            <v>2</v>
          </cell>
          <cell r="H437">
            <v>16</v>
          </cell>
          <cell r="I437">
            <v>13</v>
          </cell>
          <cell r="M437" t="str">
            <v>&gt;&gt;</v>
          </cell>
          <cell r="N437" t="str">
            <v>Kamrul Hasan Tutul</v>
          </cell>
          <cell r="O437" t="str">
            <v>CNHM-2</v>
          </cell>
          <cell r="P437" t="str">
            <v>THE BRAVE ROYALS</v>
          </cell>
          <cell r="Q437">
            <v>1</v>
          </cell>
          <cell r="R437">
            <v>72</v>
          </cell>
          <cell r="T437" t="str">
            <v>4TH</v>
          </cell>
          <cell r="U437">
            <v>41609</v>
          </cell>
        </row>
        <row r="438">
          <cell r="B438" t="str">
            <v>Zaheed</v>
          </cell>
          <cell r="C438">
            <v>12</v>
          </cell>
          <cell r="D438">
            <v>244</v>
          </cell>
          <cell r="E438">
            <v>36</v>
          </cell>
          <cell r="F438">
            <v>20</v>
          </cell>
          <cell r="G438">
            <v>2</v>
          </cell>
          <cell r="H438">
            <v>17</v>
          </cell>
          <cell r="I438">
            <v>16</v>
          </cell>
          <cell r="J438">
            <v>3</v>
          </cell>
          <cell r="M438" t="str">
            <v>&gt;&gt;</v>
          </cell>
          <cell r="N438" t="str">
            <v>Zaheed Hasan</v>
          </cell>
          <cell r="O438" t="str">
            <v>CNHM-2</v>
          </cell>
          <cell r="P438" t="str">
            <v>THE BRAVE ROYALS</v>
          </cell>
          <cell r="Q438">
            <v>1</v>
          </cell>
          <cell r="R438">
            <v>72</v>
          </cell>
          <cell r="S438" t="str">
            <v>MOT</v>
          </cell>
          <cell r="T438" t="str">
            <v>4TH</v>
          </cell>
          <cell r="U438">
            <v>41609</v>
          </cell>
          <cell r="W438">
            <v>1</v>
          </cell>
        </row>
        <row r="439">
          <cell r="B439" t="str">
            <v>Rafikul</v>
          </cell>
          <cell r="C439">
            <v>9</v>
          </cell>
          <cell r="D439">
            <v>85</v>
          </cell>
          <cell r="E439">
            <v>2</v>
          </cell>
          <cell r="F439">
            <v>11</v>
          </cell>
          <cell r="G439">
            <v>2</v>
          </cell>
          <cell r="H439">
            <v>8</v>
          </cell>
          <cell r="I439">
            <v>8</v>
          </cell>
          <cell r="M439" t="str">
            <v>&gt;&gt;</v>
          </cell>
          <cell r="N439" t="str">
            <v>Striker Rafikul</v>
          </cell>
          <cell r="O439" t="str">
            <v>CNHM-2</v>
          </cell>
          <cell r="P439" t="str">
            <v>THE BRAVE ROYALS</v>
          </cell>
          <cell r="Q439">
            <v>1</v>
          </cell>
          <cell r="R439">
            <v>72</v>
          </cell>
          <cell r="T439" t="str">
            <v>4TH</v>
          </cell>
          <cell r="U439">
            <v>41609</v>
          </cell>
        </row>
        <row r="440">
          <cell r="B440" t="str">
            <v>Morshed</v>
          </cell>
          <cell r="C440">
            <v>5</v>
          </cell>
          <cell r="D440">
            <v>58</v>
          </cell>
          <cell r="E440">
            <v>1</v>
          </cell>
          <cell r="F440">
            <v>6</v>
          </cell>
          <cell r="G440">
            <v>2</v>
          </cell>
          <cell r="H440">
            <v>5</v>
          </cell>
          <cell r="I440">
            <v>4</v>
          </cell>
          <cell r="M440" t="str">
            <v>&gt;&gt;</v>
          </cell>
          <cell r="N440" t="str">
            <v>Golam Morshed Nahid</v>
          </cell>
          <cell r="O440" t="str">
            <v>CNHM-2</v>
          </cell>
          <cell r="P440" t="str">
            <v>THE BRAVE ROYALS</v>
          </cell>
          <cell r="Q440">
            <v>1</v>
          </cell>
          <cell r="R440">
            <v>72</v>
          </cell>
          <cell r="T440" t="str">
            <v>4TH</v>
          </cell>
          <cell r="U440">
            <v>41609</v>
          </cell>
        </row>
        <row r="441">
          <cell r="B441" t="str">
            <v>#SUPER BURNERS</v>
          </cell>
          <cell r="M441" t="str">
            <v>&gt;&gt;</v>
          </cell>
          <cell r="N441" t="str">
            <v/>
          </cell>
          <cell r="O441" t="str">
            <v>CNHM-2</v>
          </cell>
          <cell r="P441" t="str">
            <v>SUPER BURNERS</v>
          </cell>
          <cell r="Q441">
            <v>1</v>
          </cell>
          <cell r="R441">
            <v>73</v>
          </cell>
          <cell r="T441" t="str">
            <v>RU</v>
          </cell>
          <cell r="U441">
            <v>41609</v>
          </cell>
        </row>
        <row r="442">
          <cell r="B442" t="str">
            <v>Roman</v>
          </cell>
          <cell r="C442">
            <v>13</v>
          </cell>
          <cell r="D442">
            <v>282</v>
          </cell>
          <cell r="E442">
            <v>20</v>
          </cell>
          <cell r="F442">
            <v>26</v>
          </cell>
          <cell r="G442">
            <v>0</v>
          </cell>
          <cell r="H442">
            <v>26</v>
          </cell>
          <cell r="I442">
            <v>17</v>
          </cell>
          <cell r="M442" t="str">
            <v>&gt;&gt;</v>
          </cell>
          <cell r="N442" t="str">
            <v>Roman mahamud Arko</v>
          </cell>
          <cell r="O442" t="str">
            <v>CNHM-2</v>
          </cell>
          <cell r="P442" t="str">
            <v>SUPER BURNERS</v>
          </cell>
          <cell r="Q442">
            <v>1</v>
          </cell>
          <cell r="R442">
            <v>73</v>
          </cell>
          <cell r="T442" t="str">
            <v>RU</v>
          </cell>
          <cell r="U442">
            <v>41609</v>
          </cell>
        </row>
        <row r="443">
          <cell r="B443" t="str">
            <v>Moon</v>
          </cell>
          <cell r="C443">
            <v>13</v>
          </cell>
          <cell r="D443">
            <v>269</v>
          </cell>
          <cell r="E443">
            <v>21</v>
          </cell>
          <cell r="F443">
            <v>23</v>
          </cell>
          <cell r="G443">
            <v>5</v>
          </cell>
          <cell r="H443">
            <v>19</v>
          </cell>
          <cell r="I443">
            <v>11</v>
          </cell>
          <cell r="M443" t="str">
            <v>&gt;&gt;</v>
          </cell>
          <cell r="N443" t="str">
            <v>Mazharul Islam Moon</v>
          </cell>
          <cell r="O443" t="str">
            <v>CNHM-2</v>
          </cell>
          <cell r="P443" t="str">
            <v>SUPER BURNERS</v>
          </cell>
          <cell r="Q443">
            <v>1</v>
          </cell>
          <cell r="R443">
            <v>73</v>
          </cell>
          <cell r="T443" t="str">
            <v>RU</v>
          </cell>
          <cell r="U443">
            <v>41609</v>
          </cell>
        </row>
        <row r="444">
          <cell r="B444" t="str">
            <v>RI Akash</v>
          </cell>
          <cell r="C444">
            <v>7</v>
          </cell>
          <cell r="D444">
            <v>92</v>
          </cell>
          <cell r="E444">
            <v>8</v>
          </cell>
          <cell r="F444">
            <v>8</v>
          </cell>
          <cell r="G444">
            <v>0</v>
          </cell>
          <cell r="H444">
            <v>8</v>
          </cell>
          <cell r="I444">
            <v>4</v>
          </cell>
          <cell r="M444" t="str">
            <v>&gt;&gt;</v>
          </cell>
          <cell r="N444" t="str">
            <v>Raihan Islam Akash</v>
          </cell>
          <cell r="O444" t="str">
            <v>CNHM-2</v>
          </cell>
          <cell r="P444" t="str">
            <v>SUPER BURNERS</v>
          </cell>
          <cell r="Q444">
            <v>1</v>
          </cell>
          <cell r="R444">
            <v>73</v>
          </cell>
          <cell r="T444" t="str">
            <v>RU</v>
          </cell>
          <cell r="U444">
            <v>41609</v>
          </cell>
        </row>
        <row r="445">
          <cell r="B445" t="str">
            <v>Siyam</v>
          </cell>
          <cell r="C445">
            <v>12</v>
          </cell>
          <cell r="D445">
            <v>93</v>
          </cell>
          <cell r="E445">
            <v>16</v>
          </cell>
          <cell r="F445">
            <v>11</v>
          </cell>
          <cell r="G445">
            <v>1</v>
          </cell>
          <cell r="H445">
            <v>4</v>
          </cell>
          <cell r="I445">
            <v>5</v>
          </cell>
          <cell r="M445" t="str">
            <v>&gt;&gt;</v>
          </cell>
          <cell r="N445" t="str">
            <v>Siyam Ahmed</v>
          </cell>
          <cell r="O445" t="str">
            <v>CNHM-2</v>
          </cell>
          <cell r="P445" t="str">
            <v>SUPER BURNERS</v>
          </cell>
          <cell r="Q445">
            <v>1</v>
          </cell>
          <cell r="R445">
            <v>73</v>
          </cell>
          <cell r="T445" t="str">
            <v>RU</v>
          </cell>
          <cell r="U445">
            <v>41609</v>
          </cell>
        </row>
        <row r="446">
          <cell r="B446" t="str">
            <v>#CRiCKET #WARRiORS</v>
          </cell>
          <cell r="M446" t="str">
            <v>&gt;&gt;</v>
          </cell>
          <cell r="N446" t="str">
            <v/>
          </cell>
          <cell r="O446" t="str">
            <v>CNHM-2</v>
          </cell>
          <cell r="P446" t="str">
            <v>CRiCKET WARRiORS</v>
          </cell>
          <cell r="Q446">
            <v>1</v>
          </cell>
          <cell r="R446">
            <v>74</v>
          </cell>
          <cell r="U446">
            <v>41609</v>
          </cell>
        </row>
        <row r="447">
          <cell r="B447" t="str">
            <v>Sahed</v>
          </cell>
          <cell r="C447">
            <v>3</v>
          </cell>
          <cell r="D447">
            <v>38</v>
          </cell>
          <cell r="E447">
            <v>1</v>
          </cell>
          <cell r="F447">
            <v>6</v>
          </cell>
          <cell r="G447">
            <v>0</v>
          </cell>
          <cell r="H447">
            <v>2</v>
          </cell>
          <cell r="I447">
            <v>0</v>
          </cell>
          <cell r="M447" t="str">
            <v>&gt;&gt;</v>
          </cell>
          <cell r="N447" t="str">
            <v>Sahed Hossain Masum</v>
          </cell>
          <cell r="O447" t="str">
            <v>CNHM-2</v>
          </cell>
          <cell r="P447" t="str">
            <v>CRiCKET WARRiORS</v>
          </cell>
          <cell r="Q447">
            <v>1</v>
          </cell>
          <cell r="R447">
            <v>74</v>
          </cell>
          <cell r="U447">
            <v>41609</v>
          </cell>
        </row>
        <row r="448">
          <cell r="B448" t="str">
            <v>Rinkon</v>
          </cell>
          <cell r="C448">
            <v>3</v>
          </cell>
          <cell r="D448">
            <v>70</v>
          </cell>
          <cell r="E448">
            <v>6</v>
          </cell>
          <cell r="F448">
            <v>6</v>
          </cell>
          <cell r="G448">
            <v>0</v>
          </cell>
          <cell r="H448">
            <v>3</v>
          </cell>
          <cell r="I448">
            <v>5</v>
          </cell>
          <cell r="M448" t="str">
            <v>&gt;&gt;</v>
          </cell>
          <cell r="N448" t="str">
            <v>Rinkon Khan</v>
          </cell>
          <cell r="O448" t="str">
            <v>CNHM-2</v>
          </cell>
          <cell r="P448" t="str">
            <v>CRiCKET WARRiORS</v>
          </cell>
          <cell r="Q448">
            <v>1</v>
          </cell>
          <cell r="R448">
            <v>74</v>
          </cell>
          <cell r="U448">
            <v>41609</v>
          </cell>
        </row>
        <row r="449">
          <cell r="B449" t="str">
            <v>Zohir</v>
          </cell>
          <cell r="C449">
            <v>3</v>
          </cell>
          <cell r="D449">
            <v>50</v>
          </cell>
          <cell r="E449">
            <v>6</v>
          </cell>
          <cell r="F449">
            <v>4</v>
          </cell>
          <cell r="G449">
            <v>0</v>
          </cell>
          <cell r="H449">
            <v>3</v>
          </cell>
          <cell r="I449">
            <v>5</v>
          </cell>
          <cell r="M449" t="str">
            <v>&gt;&gt;</v>
          </cell>
          <cell r="N449" t="str">
            <v>Zi Zohir</v>
          </cell>
          <cell r="O449" t="str">
            <v>CNHM-2</v>
          </cell>
          <cell r="P449" t="str">
            <v>CRiCKET WARRiORS</v>
          </cell>
          <cell r="Q449">
            <v>1</v>
          </cell>
          <cell r="R449">
            <v>74</v>
          </cell>
          <cell r="U449">
            <v>41609</v>
          </cell>
        </row>
        <row r="450">
          <cell r="B450" t="str">
            <v>Suhel</v>
          </cell>
          <cell r="C450">
            <v>2</v>
          </cell>
          <cell r="D450">
            <v>14</v>
          </cell>
          <cell r="E450">
            <v>0</v>
          </cell>
          <cell r="F450">
            <v>2</v>
          </cell>
          <cell r="G450">
            <v>0</v>
          </cell>
          <cell r="H450">
            <v>0</v>
          </cell>
          <cell r="I450">
            <v>0</v>
          </cell>
          <cell r="M450" t="str">
            <v>&gt;&gt;</v>
          </cell>
          <cell r="N450" t="str">
            <v>Suhel Ahmed</v>
          </cell>
          <cell r="O450" t="str">
            <v>CNHM-2</v>
          </cell>
          <cell r="P450" t="str">
            <v>CRiCKET WARRiORS</v>
          </cell>
          <cell r="Q450">
            <v>1</v>
          </cell>
          <cell r="R450">
            <v>74</v>
          </cell>
          <cell r="U450">
            <v>41609</v>
          </cell>
        </row>
        <row r="451">
          <cell r="B451" t="str">
            <v>#BULLET HITTERS</v>
          </cell>
          <cell r="M451" t="str">
            <v>&gt;&gt;</v>
          </cell>
          <cell r="N451" t="str">
            <v/>
          </cell>
          <cell r="O451" t="str">
            <v>CNHM-2</v>
          </cell>
          <cell r="P451" t="str">
            <v>BULLET HITTERS</v>
          </cell>
          <cell r="Q451">
            <v>1</v>
          </cell>
          <cell r="R451">
            <v>75</v>
          </cell>
          <cell r="U451">
            <v>41609</v>
          </cell>
        </row>
        <row r="452">
          <cell r="B452" t="str">
            <v>Sakib Sr.</v>
          </cell>
          <cell r="C452">
            <v>6</v>
          </cell>
          <cell r="D452">
            <v>186</v>
          </cell>
          <cell r="E452">
            <v>7</v>
          </cell>
          <cell r="F452">
            <v>11</v>
          </cell>
          <cell r="G452">
            <v>0</v>
          </cell>
          <cell r="H452">
            <v>18</v>
          </cell>
          <cell r="I452">
            <v>6</v>
          </cell>
          <cell r="M452" t="str">
            <v>&gt;&gt;</v>
          </cell>
          <cell r="N452" t="str">
            <v>Ahmad Sakib Abdullah</v>
          </cell>
          <cell r="O452" t="str">
            <v>CNHM-2</v>
          </cell>
          <cell r="P452" t="str">
            <v>BULLET HITTERS</v>
          </cell>
          <cell r="Q452">
            <v>1</v>
          </cell>
          <cell r="R452">
            <v>75</v>
          </cell>
          <cell r="U452">
            <v>41609</v>
          </cell>
        </row>
        <row r="453">
          <cell r="B453" t="str">
            <v>Rahat</v>
          </cell>
          <cell r="C453">
            <v>5</v>
          </cell>
          <cell r="D453">
            <v>41</v>
          </cell>
          <cell r="E453">
            <v>10</v>
          </cell>
          <cell r="F453">
            <v>7</v>
          </cell>
          <cell r="G453">
            <v>0</v>
          </cell>
          <cell r="H453">
            <v>3</v>
          </cell>
          <cell r="I453">
            <v>3</v>
          </cell>
          <cell r="M453" t="str">
            <v>&gt;&gt;</v>
          </cell>
          <cell r="N453" t="str">
            <v>Saiful Rahat</v>
          </cell>
          <cell r="O453" t="str">
            <v>CNHM-2</v>
          </cell>
          <cell r="P453" t="str">
            <v>BULLET HITTERS</v>
          </cell>
          <cell r="Q453">
            <v>1</v>
          </cell>
          <cell r="R453">
            <v>75</v>
          </cell>
          <cell r="U453">
            <v>41609</v>
          </cell>
        </row>
        <row r="454">
          <cell r="B454" t="str">
            <v>Mashuk</v>
          </cell>
          <cell r="C454">
            <v>3</v>
          </cell>
          <cell r="D454">
            <v>4</v>
          </cell>
          <cell r="E454">
            <v>6</v>
          </cell>
          <cell r="F454">
            <v>3</v>
          </cell>
          <cell r="G454">
            <v>0</v>
          </cell>
          <cell r="H454">
            <v>1</v>
          </cell>
          <cell r="I454">
            <v>0</v>
          </cell>
          <cell r="J454">
            <v>1</v>
          </cell>
          <cell r="M454" t="str">
            <v>&gt;&gt;</v>
          </cell>
          <cell r="N454" t="str">
            <v>Mustofa Muddassir Mahmud Mashuk</v>
          </cell>
          <cell r="O454" t="str">
            <v>CNHM-2</v>
          </cell>
          <cell r="P454" t="str">
            <v>BULLET HITTERS</v>
          </cell>
          <cell r="Q454">
            <v>1</v>
          </cell>
          <cell r="R454">
            <v>75</v>
          </cell>
          <cell r="U454">
            <v>41609</v>
          </cell>
        </row>
        <row r="455">
          <cell r="B455" t="str">
            <v>Tarek</v>
          </cell>
          <cell r="C455">
            <v>6</v>
          </cell>
          <cell r="D455">
            <v>104</v>
          </cell>
          <cell r="E455">
            <v>7</v>
          </cell>
          <cell r="F455">
            <v>8</v>
          </cell>
          <cell r="G455">
            <v>3</v>
          </cell>
          <cell r="H455">
            <v>3</v>
          </cell>
          <cell r="I455">
            <v>11</v>
          </cell>
          <cell r="M455" t="str">
            <v>&gt;&gt;</v>
          </cell>
          <cell r="N455" t="str">
            <v>Prince Tarek</v>
          </cell>
          <cell r="O455" t="str">
            <v>CNHM-2</v>
          </cell>
          <cell r="P455" t="str">
            <v>BULLET HITTERS</v>
          </cell>
          <cell r="Q455">
            <v>1</v>
          </cell>
          <cell r="R455">
            <v>75</v>
          </cell>
          <cell r="U455">
            <v>41609</v>
          </cell>
        </row>
        <row r="456">
          <cell r="B456" t="str">
            <v>#CRiCKET LOVERS</v>
          </cell>
          <cell r="M456" t="str">
            <v>&gt;&gt;</v>
          </cell>
          <cell r="N456" t="str">
            <v/>
          </cell>
          <cell r="O456" t="str">
            <v>CNHM-2</v>
          </cell>
          <cell r="P456" t="str">
            <v>CRiCKET LOVERS</v>
          </cell>
          <cell r="Q456">
            <v>1</v>
          </cell>
          <cell r="R456">
            <v>76</v>
          </cell>
          <cell r="U456">
            <v>41609</v>
          </cell>
        </row>
        <row r="457">
          <cell r="B457" t="str">
            <v>Sabbir</v>
          </cell>
          <cell r="C457">
            <v>6</v>
          </cell>
          <cell r="D457">
            <v>73</v>
          </cell>
          <cell r="E457">
            <v>17</v>
          </cell>
          <cell r="F457">
            <v>10</v>
          </cell>
          <cell r="G457">
            <v>0</v>
          </cell>
          <cell r="H457">
            <v>4</v>
          </cell>
          <cell r="I457">
            <v>6</v>
          </cell>
          <cell r="M457" t="str">
            <v>&gt;&gt;</v>
          </cell>
          <cell r="N457" t="str">
            <v>Sabbir Ahmed</v>
          </cell>
          <cell r="O457" t="str">
            <v>CNHM-2</v>
          </cell>
          <cell r="P457" t="str">
            <v>CRiCKET LOVERS</v>
          </cell>
          <cell r="Q457">
            <v>1</v>
          </cell>
          <cell r="R457">
            <v>76</v>
          </cell>
          <cell r="U457">
            <v>41609</v>
          </cell>
        </row>
        <row r="458">
          <cell r="B458" t="str">
            <v>Hridoy</v>
          </cell>
          <cell r="C458">
            <v>6</v>
          </cell>
          <cell r="D458">
            <v>92</v>
          </cell>
          <cell r="E458">
            <v>7</v>
          </cell>
          <cell r="F458">
            <v>12</v>
          </cell>
          <cell r="G458">
            <v>2</v>
          </cell>
          <cell r="H458">
            <v>3</v>
          </cell>
          <cell r="I458">
            <v>6</v>
          </cell>
          <cell r="M458" t="str">
            <v>&gt;&gt;</v>
          </cell>
          <cell r="N458" t="str">
            <v>Kamrul Hasan Hridoy</v>
          </cell>
          <cell r="O458" t="str">
            <v>CNHM-2</v>
          </cell>
          <cell r="P458" t="str">
            <v>CRiCKET LOVERS</v>
          </cell>
          <cell r="Q458">
            <v>1</v>
          </cell>
          <cell r="R458">
            <v>76</v>
          </cell>
          <cell r="U458">
            <v>41609</v>
          </cell>
        </row>
        <row r="459">
          <cell r="B459" t="str">
            <v>Shahan</v>
          </cell>
          <cell r="C459">
            <v>1</v>
          </cell>
          <cell r="D459">
            <v>0</v>
          </cell>
          <cell r="E459">
            <v>2</v>
          </cell>
          <cell r="F459">
            <v>1</v>
          </cell>
          <cell r="G459">
            <v>0</v>
          </cell>
          <cell r="H459">
            <v>0</v>
          </cell>
          <cell r="I459">
            <v>0</v>
          </cell>
          <cell r="M459" t="str">
            <v>&gt;&gt;</v>
          </cell>
          <cell r="N459" t="str">
            <v>Shahan Ahmed</v>
          </cell>
          <cell r="O459" t="str">
            <v>CNHM-2</v>
          </cell>
          <cell r="P459" t="str">
            <v>CRiCKET LOVERS</v>
          </cell>
          <cell r="Q459">
            <v>1</v>
          </cell>
          <cell r="R459">
            <v>76</v>
          </cell>
          <cell r="U459">
            <v>41609</v>
          </cell>
        </row>
        <row r="460">
          <cell r="B460" t="str">
            <v>Bappi</v>
          </cell>
          <cell r="C460">
            <v>3</v>
          </cell>
          <cell r="D460">
            <v>44</v>
          </cell>
          <cell r="E460">
            <v>4</v>
          </cell>
          <cell r="F460">
            <v>5</v>
          </cell>
          <cell r="G460">
            <v>0</v>
          </cell>
          <cell r="H460">
            <v>5</v>
          </cell>
          <cell r="I460">
            <v>2</v>
          </cell>
          <cell r="M460" t="str">
            <v>&gt;&gt;</v>
          </cell>
          <cell r="N460" t="str">
            <v>Sixer Bappi</v>
          </cell>
          <cell r="O460" t="str">
            <v>CNHM-2</v>
          </cell>
          <cell r="P460" t="str">
            <v>CRiCKET LOVERS</v>
          </cell>
          <cell r="Q460">
            <v>1</v>
          </cell>
          <cell r="R460">
            <v>76</v>
          </cell>
          <cell r="U460">
            <v>41609</v>
          </cell>
        </row>
        <row r="461">
          <cell r="B461" t="str">
            <v>Kawser</v>
          </cell>
          <cell r="C461">
            <v>2</v>
          </cell>
          <cell r="D461">
            <v>73</v>
          </cell>
          <cell r="E461">
            <v>3</v>
          </cell>
          <cell r="F461">
            <v>3</v>
          </cell>
          <cell r="G461">
            <v>1</v>
          </cell>
          <cell r="H461">
            <v>4</v>
          </cell>
          <cell r="I461">
            <v>7</v>
          </cell>
          <cell r="M461" t="str">
            <v>&gt;&gt;</v>
          </cell>
          <cell r="N461" t="str">
            <v>Ahmed Kawser Da Neymar</v>
          </cell>
          <cell r="O461" t="str">
            <v>CNHM-2</v>
          </cell>
          <cell r="P461" t="str">
            <v>CRiCKET LOVERS</v>
          </cell>
          <cell r="Q461">
            <v>1</v>
          </cell>
          <cell r="R461">
            <v>76</v>
          </cell>
          <cell r="U461">
            <v>41609</v>
          </cell>
        </row>
        <row r="462">
          <cell r="B462" t="str">
            <v>#SHiNiNG #SUPER FOUR</v>
          </cell>
          <cell r="M462" t="str">
            <v>&gt;&gt;</v>
          </cell>
          <cell r="N462" t="str">
            <v/>
          </cell>
          <cell r="O462" t="str">
            <v>CNHM-2</v>
          </cell>
          <cell r="P462" t="str">
            <v>SHiNiNG SUPER FOUR</v>
          </cell>
          <cell r="Q462">
            <v>1</v>
          </cell>
          <cell r="R462">
            <v>77</v>
          </cell>
          <cell r="U462">
            <v>41609</v>
          </cell>
        </row>
        <row r="463">
          <cell r="B463" t="str">
            <v>Asif</v>
          </cell>
          <cell r="C463">
            <v>3</v>
          </cell>
          <cell r="D463">
            <v>35</v>
          </cell>
          <cell r="E463">
            <v>3</v>
          </cell>
          <cell r="F463">
            <v>5</v>
          </cell>
          <cell r="G463">
            <v>0</v>
          </cell>
          <cell r="H463">
            <v>2</v>
          </cell>
          <cell r="I463">
            <v>2</v>
          </cell>
          <cell r="M463" t="str">
            <v>&gt;&gt;</v>
          </cell>
          <cell r="N463" t="str">
            <v>Asif Iqbal Khan</v>
          </cell>
          <cell r="O463" t="str">
            <v>CNHM-2</v>
          </cell>
          <cell r="P463" t="str">
            <v>SHiNiNG SUPER FOUR</v>
          </cell>
          <cell r="Q463">
            <v>1</v>
          </cell>
          <cell r="R463">
            <v>77</v>
          </cell>
          <cell r="U463">
            <v>41609</v>
          </cell>
        </row>
        <row r="464">
          <cell r="B464" t="str">
            <v>Emon</v>
          </cell>
          <cell r="C464">
            <v>3</v>
          </cell>
          <cell r="D464">
            <v>49</v>
          </cell>
          <cell r="E464">
            <v>1</v>
          </cell>
          <cell r="F464">
            <v>4</v>
          </cell>
          <cell r="G464">
            <v>0</v>
          </cell>
          <cell r="H464">
            <v>3</v>
          </cell>
          <cell r="I464">
            <v>2</v>
          </cell>
          <cell r="M464" t="str">
            <v>&gt;&gt;</v>
          </cell>
          <cell r="N464" t="str">
            <v>Fahim Shahrear Emon</v>
          </cell>
          <cell r="O464" t="str">
            <v>CNHM-2</v>
          </cell>
          <cell r="P464" t="str">
            <v>SHiNiNG SUPER FOUR</v>
          </cell>
          <cell r="Q464">
            <v>1</v>
          </cell>
          <cell r="R464">
            <v>77</v>
          </cell>
          <cell r="U464">
            <v>41609</v>
          </cell>
        </row>
        <row r="465">
          <cell r="B465" t="str">
            <v>Oliy</v>
          </cell>
          <cell r="C465">
            <v>3</v>
          </cell>
          <cell r="D465">
            <v>22</v>
          </cell>
          <cell r="E465">
            <v>4</v>
          </cell>
          <cell r="F465">
            <v>4</v>
          </cell>
          <cell r="G465">
            <v>0</v>
          </cell>
          <cell r="H465">
            <v>1</v>
          </cell>
          <cell r="I465">
            <v>1</v>
          </cell>
          <cell r="M465" t="str">
            <v>&gt;&gt;</v>
          </cell>
          <cell r="N465" t="str">
            <v>Oliy Saif</v>
          </cell>
          <cell r="O465" t="str">
            <v>CNHM-2</v>
          </cell>
          <cell r="P465" t="str">
            <v>SHiNiNG SUPER FOUR</v>
          </cell>
          <cell r="Q465">
            <v>1</v>
          </cell>
          <cell r="R465">
            <v>77</v>
          </cell>
          <cell r="U465">
            <v>41609</v>
          </cell>
        </row>
        <row r="466">
          <cell r="B466" t="str">
            <v>Shohag</v>
          </cell>
          <cell r="C466">
            <v>3</v>
          </cell>
          <cell r="D466">
            <v>40</v>
          </cell>
          <cell r="E466">
            <v>3</v>
          </cell>
          <cell r="F466">
            <v>3</v>
          </cell>
          <cell r="G466">
            <v>0</v>
          </cell>
          <cell r="H466">
            <v>4</v>
          </cell>
          <cell r="I466">
            <v>4</v>
          </cell>
          <cell r="M466" t="str">
            <v>&gt;&gt;</v>
          </cell>
          <cell r="N466" t="str">
            <v>Hetlar Shohag</v>
          </cell>
          <cell r="O466" t="str">
            <v>CNHM-2</v>
          </cell>
          <cell r="P466" t="str">
            <v>SHiNiNG SUPER FOUR</v>
          </cell>
          <cell r="Q466">
            <v>1</v>
          </cell>
          <cell r="R466">
            <v>77</v>
          </cell>
          <cell r="U466">
            <v>41609</v>
          </cell>
        </row>
        <row r="467">
          <cell r="B467" t="str">
            <v>#LEGENDARY DYNAMiCS</v>
          </cell>
          <cell r="M467" t="str">
            <v>&gt;&gt;</v>
          </cell>
          <cell r="N467" t="str">
            <v/>
          </cell>
          <cell r="O467" t="str">
            <v>CNHM-2</v>
          </cell>
          <cell r="P467" t="str">
            <v>LEGENDARY DYNAMiCS</v>
          </cell>
          <cell r="Q467">
            <v>1</v>
          </cell>
          <cell r="R467">
            <v>78</v>
          </cell>
          <cell r="U467">
            <v>41609</v>
          </cell>
        </row>
        <row r="468">
          <cell r="B468" t="str">
            <v>Manik</v>
          </cell>
          <cell r="C468">
            <v>6</v>
          </cell>
          <cell r="D468">
            <v>149</v>
          </cell>
          <cell r="E468">
            <v>10</v>
          </cell>
          <cell r="F468">
            <v>11</v>
          </cell>
          <cell r="G468">
            <v>2</v>
          </cell>
          <cell r="H468">
            <v>12</v>
          </cell>
          <cell r="I468">
            <v>7</v>
          </cell>
          <cell r="M468" t="str">
            <v>&gt;&gt;</v>
          </cell>
          <cell r="N468" t="str">
            <v>GM Manik</v>
          </cell>
          <cell r="O468" t="str">
            <v>CNHM-2</v>
          </cell>
          <cell r="P468" t="str">
            <v>LEGENDARY DYNAMiCS</v>
          </cell>
          <cell r="Q468">
            <v>1</v>
          </cell>
          <cell r="R468">
            <v>78</v>
          </cell>
          <cell r="U468">
            <v>41609</v>
          </cell>
        </row>
        <row r="469">
          <cell r="B469" t="str">
            <v>Yahya</v>
          </cell>
          <cell r="C469">
            <v>2</v>
          </cell>
          <cell r="D469">
            <v>6</v>
          </cell>
          <cell r="E469">
            <v>3</v>
          </cell>
          <cell r="F469">
            <v>1</v>
          </cell>
          <cell r="G469">
            <v>0</v>
          </cell>
          <cell r="H469">
            <v>1</v>
          </cell>
          <cell r="I469">
            <v>0</v>
          </cell>
          <cell r="M469" t="str">
            <v>&gt;&gt;</v>
          </cell>
          <cell r="N469" t="str">
            <v>Yahya Riyad</v>
          </cell>
          <cell r="O469" t="str">
            <v>CNHM-2</v>
          </cell>
          <cell r="P469" t="str">
            <v>LEGENDARY DYNAMiCS</v>
          </cell>
          <cell r="Q469">
            <v>1</v>
          </cell>
          <cell r="R469">
            <v>78</v>
          </cell>
          <cell r="U469">
            <v>41609</v>
          </cell>
        </row>
        <row r="470">
          <cell r="B470" t="str">
            <v>Back Sakib</v>
          </cell>
          <cell r="C470">
            <v>1</v>
          </cell>
          <cell r="D470">
            <v>10</v>
          </cell>
          <cell r="E470">
            <v>0</v>
          </cell>
          <cell r="F470">
            <v>2</v>
          </cell>
          <cell r="G470">
            <v>1</v>
          </cell>
          <cell r="H470">
            <v>0</v>
          </cell>
          <cell r="I470">
            <v>0</v>
          </cell>
          <cell r="M470" t="str">
            <v>&gt;&gt;</v>
          </cell>
          <cell r="N470" t="str">
            <v>Backbencher Sakib</v>
          </cell>
          <cell r="O470" t="str">
            <v>CNHM-2</v>
          </cell>
          <cell r="P470" t="str">
            <v>LEGENDARY DYNAMiCS</v>
          </cell>
          <cell r="Q470">
            <v>1</v>
          </cell>
          <cell r="R470">
            <v>78</v>
          </cell>
          <cell r="U470">
            <v>41609</v>
          </cell>
        </row>
        <row r="471">
          <cell r="B471" t="str">
            <v>Arif</v>
          </cell>
          <cell r="C471">
            <v>6</v>
          </cell>
          <cell r="D471">
            <v>96</v>
          </cell>
          <cell r="E471">
            <v>6</v>
          </cell>
          <cell r="F471">
            <v>10</v>
          </cell>
          <cell r="G471">
            <v>0</v>
          </cell>
          <cell r="H471">
            <v>9</v>
          </cell>
          <cell r="I471">
            <v>6</v>
          </cell>
          <cell r="M471" t="str">
            <v>&gt;&gt;</v>
          </cell>
          <cell r="N471" t="str">
            <v>Arif Ziad</v>
          </cell>
          <cell r="O471" t="str">
            <v>CNHM-2</v>
          </cell>
          <cell r="P471" t="str">
            <v>LEGENDARY DYNAMiCS</v>
          </cell>
          <cell r="Q471">
            <v>1</v>
          </cell>
          <cell r="R471">
            <v>78</v>
          </cell>
          <cell r="U471">
            <v>41609</v>
          </cell>
        </row>
        <row r="472">
          <cell r="B472" t="str">
            <v>Sadrul</v>
          </cell>
          <cell r="C472">
            <v>4</v>
          </cell>
          <cell r="D472">
            <v>40</v>
          </cell>
          <cell r="E472">
            <v>6</v>
          </cell>
          <cell r="F472">
            <v>8</v>
          </cell>
          <cell r="G472">
            <v>0</v>
          </cell>
          <cell r="H472">
            <v>2</v>
          </cell>
          <cell r="I472">
            <v>2</v>
          </cell>
          <cell r="M472" t="str">
            <v>&gt;&gt;</v>
          </cell>
          <cell r="N472" t="str">
            <v>Sadrul Anam</v>
          </cell>
          <cell r="O472" t="str">
            <v>CNHM-2</v>
          </cell>
          <cell r="P472" t="str">
            <v>LEGENDARY DYNAMiCS</v>
          </cell>
          <cell r="Q472">
            <v>1</v>
          </cell>
          <cell r="R472">
            <v>78</v>
          </cell>
          <cell r="U472">
            <v>41609</v>
          </cell>
        </row>
        <row r="473">
          <cell r="B473" t="str">
            <v>#EXOTiC FiGHTERS</v>
          </cell>
          <cell r="M473" t="str">
            <v>&gt;&gt;</v>
          </cell>
          <cell r="N473" t="str">
            <v/>
          </cell>
          <cell r="O473" t="str">
            <v>CNHM-2</v>
          </cell>
          <cell r="P473" t="str">
            <v>EXOTiC FiGHTERS</v>
          </cell>
          <cell r="Q473">
            <v>1</v>
          </cell>
          <cell r="R473">
            <v>79</v>
          </cell>
          <cell r="T473" t="str">
            <v>3RD</v>
          </cell>
          <cell r="U473">
            <v>41609</v>
          </cell>
        </row>
        <row r="474">
          <cell r="B474" t="str">
            <v>Niamul</v>
          </cell>
          <cell r="C474">
            <v>12</v>
          </cell>
          <cell r="D474">
            <v>135</v>
          </cell>
          <cell r="E474">
            <v>26</v>
          </cell>
          <cell r="F474">
            <v>17</v>
          </cell>
          <cell r="G474">
            <v>1</v>
          </cell>
          <cell r="H474">
            <v>9</v>
          </cell>
          <cell r="I474">
            <v>9</v>
          </cell>
          <cell r="M474" t="str">
            <v>&gt;&gt;</v>
          </cell>
          <cell r="N474" t="str">
            <v>Niamul Habib Setu</v>
          </cell>
          <cell r="O474" t="str">
            <v>CNHM-2</v>
          </cell>
          <cell r="P474" t="str">
            <v>EXOTiC FiGHTERS</v>
          </cell>
          <cell r="Q474">
            <v>1</v>
          </cell>
          <cell r="R474">
            <v>79</v>
          </cell>
          <cell r="T474" t="str">
            <v>3RD</v>
          </cell>
          <cell r="U474">
            <v>41609</v>
          </cell>
        </row>
        <row r="475">
          <cell r="B475" t="str">
            <v>Meyaz</v>
          </cell>
          <cell r="C475">
            <v>12</v>
          </cell>
          <cell r="D475">
            <v>287</v>
          </cell>
          <cell r="E475">
            <v>14</v>
          </cell>
          <cell r="F475">
            <v>20</v>
          </cell>
          <cell r="G475">
            <v>3</v>
          </cell>
          <cell r="H475">
            <v>24</v>
          </cell>
          <cell r="I475">
            <v>20</v>
          </cell>
          <cell r="M475" t="str">
            <v>&gt;&gt;</v>
          </cell>
          <cell r="N475" t="str">
            <v>Meyaz Al Emon</v>
          </cell>
          <cell r="O475" t="str">
            <v>CNHM-2</v>
          </cell>
          <cell r="P475" t="str">
            <v>EXOTiC FiGHTERS</v>
          </cell>
          <cell r="Q475">
            <v>1</v>
          </cell>
          <cell r="R475">
            <v>79</v>
          </cell>
          <cell r="T475" t="str">
            <v>3RD</v>
          </cell>
          <cell r="U475">
            <v>41609</v>
          </cell>
          <cell r="V475">
            <v>1</v>
          </cell>
        </row>
        <row r="476">
          <cell r="B476" t="str">
            <v>Rahaman</v>
          </cell>
          <cell r="C476">
            <v>2</v>
          </cell>
          <cell r="D476">
            <v>5</v>
          </cell>
          <cell r="E476">
            <v>2</v>
          </cell>
          <cell r="F476">
            <v>3</v>
          </cell>
          <cell r="G476">
            <v>0</v>
          </cell>
          <cell r="H476">
            <v>0</v>
          </cell>
          <cell r="I476">
            <v>0</v>
          </cell>
          <cell r="M476" t="str">
            <v>&gt;&gt;</v>
          </cell>
          <cell r="N476" t="str">
            <v>Abdur Rahaman</v>
          </cell>
          <cell r="O476" t="str">
            <v>CNHM-2</v>
          </cell>
          <cell r="P476" t="str">
            <v>EXOTiC FiGHTERS</v>
          </cell>
          <cell r="Q476">
            <v>1</v>
          </cell>
          <cell r="R476">
            <v>79</v>
          </cell>
          <cell r="T476" t="str">
            <v>3RD</v>
          </cell>
          <cell r="U476">
            <v>41609</v>
          </cell>
        </row>
        <row r="477">
          <cell r="B477" t="str">
            <v>Shishir</v>
          </cell>
          <cell r="C477">
            <v>10</v>
          </cell>
          <cell r="D477">
            <v>132</v>
          </cell>
          <cell r="E477">
            <v>15</v>
          </cell>
          <cell r="F477">
            <v>15</v>
          </cell>
          <cell r="G477">
            <v>2</v>
          </cell>
          <cell r="H477">
            <v>7</v>
          </cell>
          <cell r="I477">
            <v>9</v>
          </cell>
          <cell r="M477" t="str">
            <v>&gt;&gt;</v>
          </cell>
          <cell r="N477" t="str">
            <v>ShiShir Hossain</v>
          </cell>
          <cell r="O477" t="str">
            <v>CNHM-2</v>
          </cell>
          <cell r="P477" t="str">
            <v>EXOTiC FiGHTERS</v>
          </cell>
          <cell r="Q477">
            <v>1</v>
          </cell>
          <cell r="R477">
            <v>79</v>
          </cell>
          <cell r="T477" t="str">
            <v>3RD</v>
          </cell>
          <cell r="U477">
            <v>41609</v>
          </cell>
        </row>
        <row r="478">
          <cell r="B478" t="str">
            <v>Arif's Fighters</v>
          </cell>
          <cell r="M478" t="str">
            <v>&gt;&gt;</v>
          </cell>
          <cell r="N478" t="str">
            <v/>
          </cell>
          <cell r="O478" t="str">
            <v>FCC STAR CUP</v>
          </cell>
          <cell r="P478" t="str">
            <v>Arif's Fighters</v>
          </cell>
          <cell r="Q478">
            <v>1</v>
          </cell>
          <cell r="R478">
            <v>80</v>
          </cell>
          <cell r="U478">
            <v>41699</v>
          </cell>
        </row>
        <row r="479">
          <cell r="B479" t="str">
            <v>Arif</v>
          </cell>
          <cell r="C479">
            <v>1</v>
          </cell>
          <cell r="D479">
            <v>0</v>
          </cell>
          <cell r="E479">
            <v>1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M479" t="str">
            <v>&gt;&gt;</v>
          </cell>
          <cell r="N479" t="str">
            <v>Arif Ziad</v>
          </cell>
          <cell r="O479" t="str">
            <v>FCC STAR CUP</v>
          </cell>
          <cell r="P479" t="str">
            <v>Arif's Fighters</v>
          </cell>
          <cell r="Q479">
            <v>1</v>
          </cell>
          <cell r="R479">
            <v>80</v>
          </cell>
          <cell r="U479">
            <v>41699</v>
          </cell>
        </row>
        <row r="480">
          <cell r="B480" t="str">
            <v>Sabbir</v>
          </cell>
          <cell r="C480">
            <v>1</v>
          </cell>
          <cell r="D480">
            <v>7</v>
          </cell>
          <cell r="E480">
            <v>0</v>
          </cell>
          <cell r="F480">
            <v>1</v>
          </cell>
          <cell r="G480">
            <v>0</v>
          </cell>
          <cell r="H480">
            <v>1</v>
          </cell>
          <cell r="I480">
            <v>0</v>
          </cell>
          <cell r="M480" t="str">
            <v>&gt;&gt;</v>
          </cell>
          <cell r="N480" t="str">
            <v>Sabbir Ahmed</v>
          </cell>
          <cell r="O480" t="str">
            <v>FCC STAR CUP</v>
          </cell>
          <cell r="P480" t="str">
            <v>Arif's Fighters</v>
          </cell>
          <cell r="Q480">
            <v>1</v>
          </cell>
          <cell r="R480">
            <v>80</v>
          </cell>
          <cell r="U480">
            <v>41699</v>
          </cell>
        </row>
        <row r="481">
          <cell r="B481" t="str">
            <v>Sahed</v>
          </cell>
          <cell r="C481">
            <v>1</v>
          </cell>
          <cell r="D481">
            <v>0</v>
          </cell>
          <cell r="E481">
            <v>2</v>
          </cell>
          <cell r="F481">
            <v>1</v>
          </cell>
          <cell r="G481">
            <v>0</v>
          </cell>
          <cell r="H481">
            <v>0</v>
          </cell>
          <cell r="I481">
            <v>0</v>
          </cell>
          <cell r="M481" t="str">
            <v>&gt;&gt;</v>
          </cell>
          <cell r="N481" t="str">
            <v>Sahed Hossain Masum</v>
          </cell>
          <cell r="O481" t="str">
            <v>FCC STAR CUP</v>
          </cell>
          <cell r="P481" t="str">
            <v>Arif's Fighters</v>
          </cell>
          <cell r="Q481">
            <v>1</v>
          </cell>
          <cell r="R481">
            <v>80</v>
          </cell>
          <cell r="U481">
            <v>41699</v>
          </cell>
        </row>
        <row r="482">
          <cell r="B482" t="str">
            <v>Meraj</v>
          </cell>
          <cell r="C482">
            <v>1</v>
          </cell>
          <cell r="D482">
            <v>15</v>
          </cell>
          <cell r="E482">
            <v>0</v>
          </cell>
          <cell r="F482">
            <v>1</v>
          </cell>
          <cell r="G482">
            <v>0</v>
          </cell>
          <cell r="H482">
            <v>0</v>
          </cell>
          <cell r="I482">
            <v>1</v>
          </cell>
          <cell r="M482" t="str">
            <v>&gt;&gt;</v>
          </cell>
          <cell r="N482" t="str">
            <v>Samiul Meraj</v>
          </cell>
          <cell r="O482" t="str">
            <v>FCC STAR CUP</v>
          </cell>
          <cell r="P482" t="str">
            <v>Arif's Fighters</v>
          </cell>
          <cell r="Q482">
            <v>1</v>
          </cell>
          <cell r="R482">
            <v>80</v>
          </cell>
          <cell r="U482">
            <v>41699</v>
          </cell>
        </row>
        <row r="483">
          <cell r="B483" t="str">
            <v>Shishir</v>
          </cell>
          <cell r="C483">
            <v>1</v>
          </cell>
          <cell r="D483">
            <v>22</v>
          </cell>
          <cell r="E483">
            <v>1</v>
          </cell>
          <cell r="F483">
            <v>2</v>
          </cell>
          <cell r="G483">
            <v>0</v>
          </cell>
          <cell r="H483">
            <v>3</v>
          </cell>
          <cell r="I483">
            <v>0</v>
          </cell>
          <cell r="M483" t="str">
            <v>&gt;&gt;</v>
          </cell>
          <cell r="N483" t="str">
            <v>ShiShir Hossain</v>
          </cell>
          <cell r="O483" t="str">
            <v>FCC STAR CUP</v>
          </cell>
          <cell r="P483" t="str">
            <v>Arif's Fighters</v>
          </cell>
          <cell r="Q483">
            <v>1</v>
          </cell>
          <cell r="R483">
            <v>80</v>
          </cell>
          <cell r="U483">
            <v>41699</v>
          </cell>
        </row>
        <row r="484">
          <cell r="B484" t="str">
            <v>Rexx</v>
          </cell>
          <cell r="C484">
            <v>1</v>
          </cell>
          <cell r="D484">
            <v>0</v>
          </cell>
          <cell r="E484">
            <v>2</v>
          </cell>
          <cell r="F484">
            <v>1</v>
          </cell>
          <cell r="G484">
            <v>0</v>
          </cell>
          <cell r="H484">
            <v>0</v>
          </cell>
          <cell r="I484">
            <v>0</v>
          </cell>
          <cell r="M484" t="str">
            <v>&gt;&gt;</v>
          </cell>
          <cell r="N484" t="str">
            <v>Bishwajit Sarkar</v>
          </cell>
          <cell r="O484" t="str">
            <v>FCC STAR CUP</v>
          </cell>
          <cell r="P484" t="str">
            <v>Arif's Fighters</v>
          </cell>
          <cell r="Q484">
            <v>1</v>
          </cell>
          <cell r="R484">
            <v>80</v>
          </cell>
          <cell r="U484">
            <v>41699</v>
          </cell>
        </row>
        <row r="485">
          <cell r="B485" t="str">
            <v>Bullet Kings</v>
          </cell>
          <cell r="C485" t="str">
            <v>-</v>
          </cell>
          <cell r="M485" t="str">
            <v>&gt;&gt;</v>
          </cell>
          <cell r="N485" t="str">
            <v/>
          </cell>
          <cell r="O485" t="str">
            <v>FCC STAR CUP</v>
          </cell>
          <cell r="P485" t="str">
            <v>Bullet Kings</v>
          </cell>
          <cell r="Q485">
            <v>1</v>
          </cell>
          <cell r="R485">
            <v>81</v>
          </cell>
          <cell r="T485" t="str">
            <v>3RD</v>
          </cell>
          <cell r="U485">
            <v>41699</v>
          </cell>
        </row>
        <row r="486">
          <cell r="B486" t="str">
            <v>Sakib Sr.</v>
          </cell>
          <cell r="C486">
            <v>2</v>
          </cell>
          <cell r="D486">
            <v>15</v>
          </cell>
          <cell r="E486">
            <v>0</v>
          </cell>
          <cell r="F486">
            <v>2</v>
          </cell>
          <cell r="G486">
            <v>1</v>
          </cell>
          <cell r="H486">
            <v>2</v>
          </cell>
          <cell r="I486">
            <v>0</v>
          </cell>
          <cell r="M486" t="str">
            <v>&gt;&gt;</v>
          </cell>
          <cell r="N486" t="str">
            <v>Ahmad Sakib Abdullah</v>
          </cell>
          <cell r="O486" t="str">
            <v>FCC STAR CUP</v>
          </cell>
          <cell r="P486" t="str">
            <v>Bullet Kings</v>
          </cell>
          <cell r="Q486">
            <v>1</v>
          </cell>
          <cell r="R486">
            <v>81</v>
          </cell>
          <cell r="T486" t="str">
            <v>3RD</v>
          </cell>
          <cell r="U486">
            <v>41699</v>
          </cell>
        </row>
        <row r="487">
          <cell r="B487" t="str">
            <v>Mashuk</v>
          </cell>
          <cell r="C487">
            <v>3</v>
          </cell>
          <cell r="D487">
            <v>42</v>
          </cell>
          <cell r="E487">
            <v>7</v>
          </cell>
          <cell r="F487">
            <v>3</v>
          </cell>
          <cell r="G487">
            <v>1</v>
          </cell>
          <cell r="H487">
            <v>2</v>
          </cell>
          <cell r="I487">
            <v>3</v>
          </cell>
          <cell r="M487" t="str">
            <v>&gt;&gt;</v>
          </cell>
          <cell r="N487" t="str">
            <v>Mustofa Muddassir Mahmud Mashuk</v>
          </cell>
          <cell r="O487" t="str">
            <v>FCC STAR CUP</v>
          </cell>
          <cell r="P487" t="str">
            <v>Bullet Kings</v>
          </cell>
          <cell r="Q487">
            <v>1</v>
          </cell>
          <cell r="R487">
            <v>81</v>
          </cell>
          <cell r="S487" t="str">
            <v>MOT</v>
          </cell>
          <cell r="T487" t="str">
            <v>3RD</v>
          </cell>
          <cell r="U487">
            <v>41699</v>
          </cell>
          <cell r="W487">
            <v>1</v>
          </cell>
        </row>
        <row r="488">
          <cell r="B488" t="str">
            <v>Tonmoy</v>
          </cell>
          <cell r="C488">
            <v>3</v>
          </cell>
          <cell r="D488">
            <v>24</v>
          </cell>
          <cell r="E488">
            <v>3</v>
          </cell>
          <cell r="F488">
            <v>3</v>
          </cell>
          <cell r="G488">
            <v>0</v>
          </cell>
          <cell r="H488">
            <v>2</v>
          </cell>
          <cell r="I488">
            <v>1</v>
          </cell>
          <cell r="M488" t="str">
            <v>&gt;&gt;</v>
          </cell>
          <cell r="N488" t="str">
            <v>Asik Hassan Tonmoy</v>
          </cell>
          <cell r="O488" t="str">
            <v>FCC STAR CUP</v>
          </cell>
          <cell r="P488" t="str">
            <v>Bullet Kings</v>
          </cell>
          <cell r="Q488">
            <v>1</v>
          </cell>
          <cell r="R488">
            <v>81</v>
          </cell>
          <cell r="T488" t="str">
            <v>3RD</v>
          </cell>
          <cell r="U488">
            <v>41699</v>
          </cell>
        </row>
        <row r="489">
          <cell r="B489" t="str">
            <v>Tofayel</v>
          </cell>
          <cell r="C489">
            <v>2</v>
          </cell>
          <cell r="D489">
            <v>34</v>
          </cell>
          <cell r="E489">
            <v>1</v>
          </cell>
          <cell r="F489">
            <v>1</v>
          </cell>
          <cell r="G489">
            <v>0</v>
          </cell>
          <cell r="H489">
            <v>1</v>
          </cell>
          <cell r="I489">
            <v>4</v>
          </cell>
          <cell r="M489" t="str">
            <v>&gt;&gt;</v>
          </cell>
          <cell r="N489" t="str">
            <v>MD Tofayel Ahmed</v>
          </cell>
          <cell r="O489" t="str">
            <v>FCC STAR CUP</v>
          </cell>
          <cell r="P489" t="str">
            <v>Bullet Kings</v>
          </cell>
          <cell r="Q489">
            <v>1</v>
          </cell>
          <cell r="R489">
            <v>81</v>
          </cell>
          <cell r="T489" t="str">
            <v>3RD</v>
          </cell>
          <cell r="U489">
            <v>41699</v>
          </cell>
        </row>
        <row r="490">
          <cell r="B490" t="str">
            <v>Arman</v>
          </cell>
          <cell r="C490">
            <v>2</v>
          </cell>
          <cell r="D490">
            <v>0</v>
          </cell>
          <cell r="E490">
            <v>2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M490" t="str">
            <v>&gt;&gt;</v>
          </cell>
          <cell r="N490" t="str">
            <v>Cricket Pagla Arman</v>
          </cell>
          <cell r="O490" t="str">
            <v>FCC STAR CUP</v>
          </cell>
          <cell r="P490" t="str">
            <v>Bullet Kings</v>
          </cell>
          <cell r="Q490">
            <v>1</v>
          </cell>
          <cell r="R490">
            <v>81</v>
          </cell>
          <cell r="T490" t="str">
            <v>3RD</v>
          </cell>
          <cell r="U490">
            <v>41699</v>
          </cell>
        </row>
        <row r="491">
          <cell r="B491" t="str">
            <v>Nur</v>
          </cell>
          <cell r="C491">
            <v>3</v>
          </cell>
          <cell r="D491">
            <v>55</v>
          </cell>
          <cell r="E491">
            <v>0</v>
          </cell>
          <cell r="F491">
            <v>3</v>
          </cell>
          <cell r="G491">
            <v>0</v>
          </cell>
          <cell r="H491">
            <v>2</v>
          </cell>
          <cell r="I491">
            <v>4</v>
          </cell>
          <cell r="M491" t="str">
            <v>&gt;&gt;</v>
          </cell>
          <cell r="N491" t="str">
            <v>Nur Muhammad</v>
          </cell>
          <cell r="O491" t="str">
            <v>FCC STAR CUP</v>
          </cell>
          <cell r="P491" t="str">
            <v>Bullet Kings</v>
          </cell>
          <cell r="Q491">
            <v>1</v>
          </cell>
          <cell r="R491">
            <v>81</v>
          </cell>
          <cell r="T491" t="str">
            <v>3RD</v>
          </cell>
          <cell r="U491">
            <v>41699</v>
          </cell>
        </row>
        <row r="492">
          <cell r="B492" t="str">
            <v>Sadrul's Warriors</v>
          </cell>
          <cell r="C492" t="str">
            <v>-</v>
          </cell>
          <cell r="M492" t="str">
            <v>&gt;&gt;</v>
          </cell>
          <cell r="N492" t="str">
            <v/>
          </cell>
          <cell r="O492" t="str">
            <v>FCC STAR CUP</v>
          </cell>
          <cell r="P492" t="str">
            <v>Sadrul's Warriors</v>
          </cell>
          <cell r="Q492">
            <v>1</v>
          </cell>
          <cell r="R492">
            <v>82</v>
          </cell>
          <cell r="T492" t="str">
            <v>RU</v>
          </cell>
          <cell r="U492">
            <v>41699</v>
          </cell>
        </row>
        <row r="493">
          <cell r="B493" t="str">
            <v>Sadrul</v>
          </cell>
          <cell r="C493">
            <v>3</v>
          </cell>
          <cell r="D493">
            <v>26</v>
          </cell>
          <cell r="E493">
            <v>4</v>
          </cell>
          <cell r="F493">
            <v>5</v>
          </cell>
          <cell r="G493">
            <v>1</v>
          </cell>
          <cell r="H493">
            <v>3</v>
          </cell>
          <cell r="I493">
            <v>0</v>
          </cell>
          <cell r="M493" t="str">
            <v>&gt;&gt;</v>
          </cell>
          <cell r="N493" t="str">
            <v>Sadrul Anam</v>
          </cell>
          <cell r="O493" t="str">
            <v>FCC STAR CUP</v>
          </cell>
          <cell r="P493" t="str">
            <v>Sadrul's Warriors</v>
          </cell>
          <cell r="Q493">
            <v>1</v>
          </cell>
          <cell r="R493">
            <v>82</v>
          </cell>
          <cell r="T493" t="str">
            <v>RU</v>
          </cell>
          <cell r="U493">
            <v>41699</v>
          </cell>
        </row>
        <row r="494">
          <cell r="B494" t="str">
            <v>Zamil</v>
          </cell>
          <cell r="C494">
            <v>2</v>
          </cell>
          <cell r="D494">
            <v>11</v>
          </cell>
          <cell r="E494">
            <v>4</v>
          </cell>
          <cell r="F494">
            <v>2</v>
          </cell>
          <cell r="G494">
            <v>0</v>
          </cell>
          <cell r="H494">
            <v>1</v>
          </cell>
          <cell r="I494">
            <v>0</v>
          </cell>
          <cell r="M494" t="str">
            <v>&gt;&gt;</v>
          </cell>
          <cell r="N494" t="str">
            <v>Zamil Khan</v>
          </cell>
          <cell r="O494" t="str">
            <v>FCC STAR CUP</v>
          </cell>
          <cell r="P494" t="str">
            <v>Sadrul's Warriors</v>
          </cell>
          <cell r="Q494">
            <v>1</v>
          </cell>
          <cell r="R494">
            <v>82</v>
          </cell>
          <cell r="T494" t="str">
            <v>RU</v>
          </cell>
          <cell r="U494">
            <v>41699</v>
          </cell>
        </row>
        <row r="495">
          <cell r="B495" t="str">
            <v>Shuvro</v>
          </cell>
          <cell r="C495">
            <v>1</v>
          </cell>
          <cell r="D495">
            <v>3</v>
          </cell>
          <cell r="E495">
            <v>0</v>
          </cell>
          <cell r="F495">
            <v>1</v>
          </cell>
          <cell r="G495">
            <v>0</v>
          </cell>
          <cell r="H495">
            <v>0</v>
          </cell>
          <cell r="I495">
            <v>0</v>
          </cell>
          <cell r="M495" t="str">
            <v>&gt;&gt;</v>
          </cell>
          <cell r="N495" t="str">
            <v>Shahriar Shuvro</v>
          </cell>
          <cell r="O495" t="str">
            <v>FCC STAR CUP</v>
          </cell>
          <cell r="P495" t="str">
            <v>Sadrul's Warriors</v>
          </cell>
          <cell r="Q495">
            <v>1</v>
          </cell>
          <cell r="R495">
            <v>82</v>
          </cell>
          <cell r="T495" t="str">
            <v>RU</v>
          </cell>
          <cell r="U495">
            <v>41699</v>
          </cell>
        </row>
        <row r="496">
          <cell r="B496" t="str">
            <v>Dulal</v>
          </cell>
          <cell r="C496">
            <v>3</v>
          </cell>
          <cell r="D496">
            <v>56</v>
          </cell>
          <cell r="E496">
            <v>3</v>
          </cell>
          <cell r="F496">
            <v>4</v>
          </cell>
          <cell r="G496">
            <v>0</v>
          </cell>
          <cell r="H496">
            <v>3</v>
          </cell>
          <cell r="I496">
            <v>5</v>
          </cell>
          <cell r="M496" t="str">
            <v>&gt;&gt;</v>
          </cell>
          <cell r="N496" t="str">
            <v>Md Dulal Miah</v>
          </cell>
          <cell r="O496" t="str">
            <v>FCC STAR CUP</v>
          </cell>
          <cell r="P496" t="str">
            <v>Sadrul's Warriors</v>
          </cell>
          <cell r="Q496">
            <v>1</v>
          </cell>
          <cell r="R496">
            <v>82</v>
          </cell>
          <cell r="T496" t="str">
            <v>RU</v>
          </cell>
          <cell r="U496">
            <v>41699</v>
          </cell>
        </row>
        <row r="497">
          <cell r="B497" t="str">
            <v>Shahan</v>
          </cell>
          <cell r="C497">
            <v>1</v>
          </cell>
          <cell r="D497">
            <v>0</v>
          </cell>
          <cell r="E497">
            <v>0</v>
          </cell>
          <cell r="F497">
            <v>1</v>
          </cell>
          <cell r="G497">
            <v>0</v>
          </cell>
          <cell r="H497">
            <v>0</v>
          </cell>
          <cell r="I497">
            <v>0</v>
          </cell>
          <cell r="M497" t="str">
            <v>&gt;&gt;</v>
          </cell>
          <cell r="N497" t="str">
            <v>Shahan Ahmed</v>
          </cell>
          <cell r="O497" t="str">
            <v>FCC STAR CUP</v>
          </cell>
          <cell r="P497" t="str">
            <v>Sadrul's Warriors</v>
          </cell>
          <cell r="Q497">
            <v>1</v>
          </cell>
          <cell r="R497">
            <v>82</v>
          </cell>
          <cell r="T497" t="str">
            <v>RU</v>
          </cell>
          <cell r="U497">
            <v>41699</v>
          </cell>
        </row>
        <row r="498">
          <cell r="B498" t="str">
            <v>Hridoy</v>
          </cell>
          <cell r="C498">
            <v>3</v>
          </cell>
          <cell r="D498">
            <v>25</v>
          </cell>
          <cell r="E498">
            <v>3</v>
          </cell>
          <cell r="F498">
            <v>3</v>
          </cell>
          <cell r="G498">
            <v>0</v>
          </cell>
          <cell r="H498">
            <v>2</v>
          </cell>
          <cell r="I498">
            <v>2</v>
          </cell>
          <cell r="M498" t="str">
            <v>&gt;&gt;</v>
          </cell>
          <cell r="N498" t="str">
            <v>Kamrul Hasan Hridoy</v>
          </cell>
          <cell r="O498" t="str">
            <v>FCC STAR CUP</v>
          </cell>
          <cell r="P498" t="str">
            <v>Sadrul's Warriors</v>
          </cell>
          <cell r="Q498">
            <v>1</v>
          </cell>
          <cell r="R498">
            <v>82</v>
          </cell>
          <cell r="T498" t="str">
            <v>RU</v>
          </cell>
          <cell r="U498">
            <v>41699</v>
          </cell>
        </row>
        <row r="499">
          <cell r="B499" t="str">
            <v>Al Mamun</v>
          </cell>
          <cell r="C499">
            <v>1</v>
          </cell>
          <cell r="D499">
            <v>6</v>
          </cell>
          <cell r="E499">
            <v>1</v>
          </cell>
          <cell r="F499">
            <v>2</v>
          </cell>
          <cell r="G499">
            <v>0</v>
          </cell>
          <cell r="H499">
            <v>1</v>
          </cell>
          <cell r="I499">
            <v>0</v>
          </cell>
          <cell r="M499" t="str">
            <v>&gt;&gt;</v>
          </cell>
          <cell r="N499" t="str">
            <v>Mohammed Al Mamun</v>
          </cell>
          <cell r="O499" t="str">
            <v>FCC STAR CUP</v>
          </cell>
          <cell r="P499" t="str">
            <v>Sadrul's Warriors</v>
          </cell>
          <cell r="Q499">
            <v>1</v>
          </cell>
          <cell r="R499">
            <v>82</v>
          </cell>
          <cell r="T499" t="str">
            <v>RU</v>
          </cell>
          <cell r="U499">
            <v>41699</v>
          </cell>
        </row>
        <row r="500">
          <cell r="B500" t="str">
            <v>Manik's Monstars</v>
          </cell>
          <cell r="C500" t="str">
            <v>-</v>
          </cell>
          <cell r="M500" t="str">
            <v>&gt;&gt;</v>
          </cell>
          <cell r="N500" t="str">
            <v/>
          </cell>
          <cell r="O500" t="str">
            <v>FCC STAR CUP</v>
          </cell>
          <cell r="P500" t="str">
            <v>Manik's Monstars</v>
          </cell>
          <cell r="Q500">
            <v>1</v>
          </cell>
          <cell r="R500">
            <v>83</v>
          </cell>
          <cell r="U500">
            <v>41699</v>
          </cell>
        </row>
        <row r="501">
          <cell r="B501" t="str">
            <v>Manik</v>
          </cell>
          <cell r="C501">
            <v>1</v>
          </cell>
          <cell r="D501">
            <v>16</v>
          </cell>
          <cell r="E501">
            <v>1</v>
          </cell>
          <cell r="F501">
            <v>1</v>
          </cell>
          <cell r="G501">
            <v>0</v>
          </cell>
          <cell r="H501">
            <v>4</v>
          </cell>
          <cell r="I501">
            <v>0</v>
          </cell>
          <cell r="M501" t="str">
            <v>&gt;&gt;</v>
          </cell>
          <cell r="N501" t="str">
            <v>GM Manik</v>
          </cell>
          <cell r="O501" t="str">
            <v>FCC STAR CUP</v>
          </cell>
          <cell r="P501" t="str">
            <v>Manik's Monstars</v>
          </cell>
          <cell r="Q501">
            <v>1</v>
          </cell>
          <cell r="R501">
            <v>83</v>
          </cell>
          <cell r="U501">
            <v>41699</v>
          </cell>
        </row>
        <row r="502">
          <cell r="B502" t="str">
            <v>Tanvir</v>
          </cell>
          <cell r="C502">
            <v>1</v>
          </cell>
          <cell r="D502">
            <v>18</v>
          </cell>
          <cell r="E502">
            <v>0</v>
          </cell>
          <cell r="F502">
            <v>2</v>
          </cell>
          <cell r="G502">
            <v>0</v>
          </cell>
          <cell r="H502">
            <v>1</v>
          </cell>
          <cell r="I502">
            <v>1</v>
          </cell>
          <cell r="M502" t="str">
            <v>&gt;&gt;</v>
          </cell>
          <cell r="N502" t="str">
            <v>Tanvir Shakib</v>
          </cell>
          <cell r="O502" t="str">
            <v>FCC STAR CUP</v>
          </cell>
          <cell r="P502" t="str">
            <v>Manik's Monstars</v>
          </cell>
          <cell r="Q502">
            <v>1</v>
          </cell>
          <cell r="R502">
            <v>83</v>
          </cell>
          <cell r="U502">
            <v>41699</v>
          </cell>
        </row>
        <row r="503">
          <cell r="B503" t="str">
            <v>Jhony</v>
          </cell>
          <cell r="C503">
            <v>1</v>
          </cell>
          <cell r="D503">
            <v>12</v>
          </cell>
          <cell r="E503">
            <v>0</v>
          </cell>
          <cell r="F503">
            <v>1</v>
          </cell>
          <cell r="G503">
            <v>0</v>
          </cell>
          <cell r="H503">
            <v>0</v>
          </cell>
          <cell r="I503">
            <v>1</v>
          </cell>
          <cell r="M503" t="str">
            <v>&gt;&gt;</v>
          </cell>
          <cell r="N503" t="str">
            <v>Faisal Ahmed Jhony</v>
          </cell>
          <cell r="O503" t="str">
            <v>FCC STAR CUP</v>
          </cell>
          <cell r="P503" t="str">
            <v>Manik's Monstars</v>
          </cell>
          <cell r="Q503">
            <v>1</v>
          </cell>
          <cell r="R503">
            <v>83</v>
          </cell>
          <cell r="U503">
            <v>41699</v>
          </cell>
        </row>
        <row r="504">
          <cell r="B504" t="str">
            <v>Saiful</v>
          </cell>
          <cell r="C504">
            <v>1</v>
          </cell>
          <cell r="D504">
            <v>0</v>
          </cell>
          <cell r="E504">
            <v>1</v>
          </cell>
          <cell r="F504">
            <v>1</v>
          </cell>
          <cell r="G504">
            <v>0</v>
          </cell>
          <cell r="H504">
            <v>0</v>
          </cell>
          <cell r="I504">
            <v>0</v>
          </cell>
          <cell r="M504" t="str">
            <v>&gt;&gt;</v>
          </cell>
          <cell r="N504" t="str">
            <v>Saiful Islam</v>
          </cell>
          <cell r="O504" t="str">
            <v>FCC STAR CUP</v>
          </cell>
          <cell r="P504" t="str">
            <v>Manik's Monstars</v>
          </cell>
          <cell r="Q504">
            <v>1</v>
          </cell>
          <cell r="R504">
            <v>83</v>
          </cell>
          <cell r="U504">
            <v>41699</v>
          </cell>
        </row>
        <row r="505">
          <cell r="B505" t="str">
            <v>Mijan</v>
          </cell>
          <cell r="C505">
            <v>1</v>
          </cell>
          <cell r="D505">
            <v>0</v>
          </cell>
          <cell r="E505">
            <v>0</v>
          </cell>
          <cell r="F505">
            <v>1</v>
          </cell>
          <cell r="G505">
            <v>0</v>
          </cell>
          <cell r="H505">
            <v>0</v>
          </cell>
          <cell r="I505">
            <v>0</v>
          </cell>
          <cell r="M505" t="str">
            <v>&gt;&gt;</v>
          </cell>
          <cell r="N505" t="str">
            <v>Noushed Mijan</v>
          </cell>
          <cell r="O505" t="str">
            <v>FCC STAR CUP</v>
          </cell>
          <cell r="P505" t="str">
            <v>Manik's Monstars</v>
          </cell>
          <cell r="Q505">
            <v>1</v>
          </cell>
          <cell r="R505">
            <v>83</v>
          </cell>
          <cell r="U505">
            <v>41699</v>
          </cell>
        </row>
        <row r="506">
          <cell r="B506" t="str">
            <v>Adnan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M506" t="str">
            <v>&gt;&gt;</v>
          </cell>
          <cell r="N506" t="str">
            <v>Shah Abi Talib Adnan</v>
          </cell>
          <cell r="O506" t="str">
            <v>FCC STAR CUP</v>
          </cell>
          <cell r="P506" t="str">
            <v>Manik's Monstars</v>
          </cell>
          <cell r="Q506">
            <v>1</v>
          </cell>
          <cell r="R506">
            <v>83</v>
          </cell>
          <cell r="U506">
            <v>41699</v>
          </cell>
        </row>
        <row r="507">
          <cell r="B507" t="str">
            <v>Jahin's Dynamits</v>
          </cell>
          <cell r="C507" t="str">
            <v>-</v>
          </cell>
          <cell r="M507" t="str">
            <v>&gt;&gt;</v>
          </cell>
          <cell r="N507" t="str">
            <v/>
          </cell>
          <cell r="O507" t="str">
            <v>FCC STAR CUP</v>
          </cell>
          <cell r="P507" t="str">
            <v>Jahin's Dynamits</v>
          </cell>
          <cell r="Q507">
            <v>1</v>
          </cell>
          <cell r="R507">
            <v>84</v>
          </cell>
          <cell r="U507">
            <v>41699</v>
          </cell>
        </row>
        <row r="508">
          <cell r="B508" t="str">
            <v>Jahin</v>
          </cell>
          <cell r="C508">
            <v>1</v>
          </cell>
          <cell r="D508">
            <v>26</v>
          </cell>
          <cell r="E508">
            <v>1</v>
          </cell>
          <cell r="F508">
            <v>1</v>
          </cell>
          <cell r="G508">
            <v>0</v>
          </cell>
          <cell r="H508">
            <v>2</v>
          </cell>
          <cell r="I508">
            <v>2</v>
          </cell>
          <cell r="M508" t="str">
            <v>&gt;&gt;</v>
          </cell>
          <cell r="N508" t="str">
            <v>Jahin Shahriar Chowdhury</v>
          </cell>
          <cell r="O508" t="str">
            <v>FCC STAR CUP</v>
          </cell>
          <cell r="P508" t="str">
            <v>Jahin's Dynamits</v>
          </cell>
          <cell r="Q508">
            <v>1</v>
          </cell>
          <cell r="R508">
            <v>84</v>
          </cell>
          <cell r="U508">
            <v>41699</v>
          </cell>
        </row>
        <row r="509">
          <cell r="B509" t="str">
            <v>Sumon</v>
          </cell>
          <cell r="C509">
            <v>1</v>
          </cell>
          <cell r="D509">
            <v>0</v>
          </cell>
          <cell r="E509">
            <v>0</v>
          </cell>
          <cell r="F509">
            <v>1</v>
          </cell>
          <cell r="G509">
            <v>0</v>
          </cell>
          <cell r="H509">
            <v>0</v>
          </cell>
          <cell r="I509">
            <v>0</v>
          </cell>
          <cell r="M509" t="str">
            <v>&gt;&gt;</v>
          </cell>
          <cell r="N509" t="str">
            <v>Sumon Ab</v>
          </cell>
          <cell r="O509" t="str">
            <v>FCC STAR CUP</v>
          </cell>
          <cell r="P509" t="str">
            <v>Jahin's Dynamits</v>
          </cell>
          <cell r="Q509">
            <v>1</v>
          </cell>
          <cell r="R509">
            <v>84</v>
          </cell>
          <cell r="U509">
            <v>41699</v>
          </cell>
        </row>
        <row r="510">
          <cell r="B510" t="str">
            <v>Nayem</v>
          </cell>
          <cell r="C510">
            <v>1</v>
          </cell>
          <cell r="D510">
            <v>0</v>
          </cell>
          <cell r="E510">
            <v>0</v>
          </cell>
          <cell r="F510">
            <v>1</v>
          </cell>
          <cell r="G510">
            <v>0</v>
          </cell>
          <cell r="H510">
            <v>0</v>
          </cell>
          <cell r="I510">
            <v>0</v>
          </cell>
          <cell r="M510" t="str">
            <v>&gt;&gt;</v>
          </cell>
          <cell r="N510" t="str">
            <v>Neyem khan</v>
          </cell>
          <cell r="O510" t="str">
            <v>FCC STAR CUP</v>
          </cell>
          <cell r="P510" t="str">
            <v>Jahin's Dynamits</v>
          </cell>
          <cell r="Q510">
            <v>1</v>
          </cell>
          <cell r="R510">
            <v>84</v>
          </cell>
          <cell r="U510">
            <v>41699</v>
          </cell>
        </row>
        <row r="511">
          <cell r="B511" t="str">
            <v>Khokon</v>
          </cell>
          <cell r="C511">
            <v>1</v>
          </cell>
          <cell r="D511">
            <v>4</v>
          </cell>
          <cell r="E511">
            <v>0</v>
          </cell>
          <cell r="F511">
            <v>1</v>
          </cell>
          <cell r="G511">
            <v>0</v>
          </cell>
          <cell r="H511">
            <v>1</v>
          </cell>
          <cell r="I511">
            <v>0</v>
          </cell>
          <cell r="M511" t="str">
            <v>&gt;&gt;</v>
          </cell>
          <cell r="N511" t="str">
            <v>Shahriar Khokon</v>
          </cell>
          <cell r="O511" t="str">
            <v>FCC STAR CUP</v>
          </cell>
          <cell r="P511" t="str">
            <v>Jahin's Dynamits</v>
          </cell>
          <cell r="Q511">
            <v>1</v>
          </cell>
          <cell r="R511">
            <v>84</v>
          </cell>
          <cell r="U511">
            <v>41699</v>
          </cell>
        </row>
        <row r="512">
          <cell r="B512" t="str">
            <v>Kawser</v>
          </cell>
          <cell r="C512">
            <v>1</v>
          </cell>
          <cell r="D512">
            <v>13</v>
          </cell>
          <cell r="E512">
            <v>0</v>
          </cell>
          <cell r="F512">
            <v>1</v>
          </cell>
          <cell r="G512">
            <v>0</v>
          </cell>
          <cell r="H512">
            <v>1</v>
          </cell>
          <cell r="I512">
            <v>0</v>
          </cell>
          <cell r="M512" t="str">
            <v>&gt;&gt;</v>
          </cell>
          <cell r="N512" t="str">
            <v>Ahmed Kawser Da Neymar</v>
          </cell>
          <cell r="O512" t="str">
            <v>FCC STAR CUP</v>
          </cell>
          <cell r="P512" t="str">
            <v>Jahin's Dynamits</v>
          </cell>
          <cell r="Q512">
            <v>1</v>
          </cell>
          <cell r="R512">
            <v>84</v>
          </cell>
          <cell r="U512">
            <v>41699</v>
          </cell>
        </row>
        <row r="513">
          <cell r="B513" t="str">
            <v>Paul</v>
          </cell>
          <cell r="C513">
            <v>1</v>
          </cell>
          <cell r="D513">
            <v>2</v>
          </cell>
          <cell r="E513">
            <v>0</v>
          </cell>
          <cell r="F513">
            <v>1</v>
          </cell>
          <cell r="G513">
            <v>0</v>
          </cell>
          <cell r="H513">
            <v>0</v>
          </cell>
          <cell r="I513">
            <v>0</v>
          </cell>
          <cell r="M513" t="str">
            <v>&gt;&gt;</v>
          </cell>
          <cell r="N513" t="str">
            <v>Susmoy Paul</v>
          </cell>
          <cell r="O513" t="str">
            <v>FCC STAR CUP</v>
          </cell>
          <cell r="P513" t="str">
            <v>Jahin's Dynamits</v>
          </cell>
          <cell r="Q513">
            <v>1</v>
          </cell>
          <cell r="R513">
            <v>84</v>
          </cell>
          <cell r="U513">
            <v>41699</v>
          </cell>
        </row>
        <row r="514">
          <cell r="B514" t="str">
            <v>Zaheed's Strikers</v>
          </cell>
          <cell r="C514" t="str">
            <v>-</v>
          </cell>
          <cell r="M514" t="str">
            <v>&gt;&gt;</v>
          </cell>
          <cell r="N514" t="str">
            <v/>
          </cell>
          <cell r="O514" t="str">
            <v>FCC STAR CUP</v>
          </cell>
          <cell r="P514" t="str">
            <v>Zaheed's Strikers</v>
          </cell>
          <cell r="Q514">
            <v>1</v>
          </cell>
          <cell r="R514">
            <v>85</v>
          </cell>
          <cell r="T514" t="str">
            <v>CHAMP</v>
          </cell>
          <cell r="U514">
            <v>41699</v>
          </cell>
        </row>
        <row r="515">
          <cell r="B515" t="str">
            <v>Zaheed</v>
          </cell>
          <cell r="C515">
            <v>3</v>
          </cell>
          <cell r="D515">
            <v>58</v>
          </cell>
          <cell r="E515">
            <v>3</v>
          </cell>
          <cell r="F515">
            <v>2</v>
          </cell>
          <cell r="G515">
            <v>1</v>
          </cell>
          <cell r="H515">
            <v>5</v>
          </cell>
          <cell r="I515">
            <v>2</v>
          </cell>
          <cell r="M515" t="str">
            <v>&gt;&gt;</v>
          </cell>
          <cell r="N515" t="str">
            <v>Zaheed Hasan</v>
          </cell>
          <cell r="O515" t="str">
            <v>FCC STAR CUP</v>
          </cell>
          <cell r="P515" t="str">
            <v>Zaheed's Strikers</v>
          </cell>
          <cell r="Q515">
            <v>1</v>
          </cell>
          <cell r="R515">
            <v>85</v>
          </cell>
          <cell r="T515" t="str">
            <v>CHAMP</v>
          </cell>
          <cell r="U515">
            <v>41699</v>
          </cell>
          <cell r="V515">
            <v>1</v>
          </cell>
        </row>
        <row r="516">
          <cell r="B516" t="str">
            <v>Abutaleb</v>
          </cell>
          <cell r="C516">
            <v>3</v>
          </cell>
          <cell r="D516">
            <v>4</v>
          </cell>
          <cell r="E516">
            <v>3</v>
          </cell>
          <cell r="F516">
            <v>2</v>
          </cell>
          <cell r="G516">
            <v>0</v>
          </cell>
          <cell r="H516">
            <v>0</v>
          </cell>
          <cell r="I516">
            <v>0</v>
          </cell>
          <cell r="M516" t="str">
            <v>&gt;&gt;</v>
          </cell>
          <cell r="N516" t="str">
            <v>Md. Abutaleb</v>
          </cell>
          <cell r="O516" t="str">
            <v>FCC STAR CUP</v>
          </cell>
          <cell r="P516" t="str">
            <v>Zaheed's Strikers</v>
          </cell>
          <cell r="Q516">
            <v>1</v>
          </cell>
          <cell r="R516">
            <v>85</v>
          </cell>
          <cell r="T516" t="str">
            <v>CHAMP</v>
          </cell>
          <cell r="U516">
            <v>41699</v>
          </cell>
        </row>
        <row r="517">
          <cell r="B517" t="str">
            <v>Brinto</v>
          </cell>
          <cell r="C517">
            <v>3</v>
          </cell>
          <cell r="D517">
            <v>15</v>
          </cell>
          <cell r="E517">
            <v>1</v>
          </cell>
          <cell r="F517">
            <v>2</v>
          </cell>
          <cell r="G517">
            <v>0</v>
          </cell>
          <cell r="H517">
            <v>0</v>
          </cell>
          <cell r="I517">
            <v>1</v>
          </cell>
          <cell r="M517" t="str">
            <v>&gt;&gt;</v>
          </cell>
          <cell r="N517" t="str">
            <v>Shuvayan Saha Brinto</v>
          </cell>
          <cell r="O517" t="str">
            <v>FCC STAR CUP</v>
          </cell>
          <cell r="P517" t="str">
            <v>Zaheed's Strikers</v>
          </cell>
          <cell r="Q517">
            <v>1</v>
          </cell>
          <cell r="R517">
            <v>85</v>
          </cell>
          <cell r="T517" t="str">
            <v>CHAMP</v>
          </cell>
          <cell r="U517">
            <v>41699</v>
          </cell>
        </row>
        <row r="518">
          <cell r="B518" t="str">
            <v>Moon</v>
          </cell>
          <cell r="C518">
            <v>3</v>
          </cell>
          <cell r="D518">
            <v>57</v>
          </cell>
          <cell r="E518">
            <v>5</v>
          </cell>
          <cell r="F518">
            <v>2</v>
          </cell>
          <cell r="G518">
            <v>0</v>
          </cell>
          <cell r="H518">
            <v>6</v>
          </cell>
          <cell r="I518">
            <v>2</v>
          </cell>
          <cell r="M518" t="str">
            <v>&gt;&gt;</v>
          </cell>
          <cell r="N518" t="str">
            <v>Mazharul Islam Moon</v>
          </cell>
          <cell r="O518" t="str">
            <v>FCC STAR CUP</v>
          </cell>
          <cell r="P518" t="str">
            <v>Zaheed's Strikers</v>
          </cell>
          <cell r="Q518">
            <v>1</v>
          </cell>
          <cell r="R518">
            <v>85</v>
          </cell>
          <cell r="S518" t="str">
            <v>CPOT</v>
          </cell>
          <cell r="T518" t="str">
            <v>CHAMP</v>
          </cell>
          <cell r="U518">
            <v>41699</v>
          </cell>
        </row>
        <row r="519">
          <cell r="B519" t="str">
            <v>Azwad</v>
          </cell>
          <cell r="C519">
            <v>3</v>
          </cell>
          <cell r="D519">
            <v>26</v>
          </cell>
          <cell r="E519">
            <v>4</v>
          </cell>
          <cell r="F519">
            <v>3</v>
          </cell>
          <cell r="G519">
            <v>1</v>
          </cell>
          <cell r="H519">
            <v>2</v>
          </cell>
          <cell r="I519">
            <v>2</v>
          </cell>
          <cell r="M519" t="str">
            <v>&gt;&gt;</v>
          </cell>
          <cell r="N519" t="str">
            <v>Azwad Awsaf</v>
          </cell>
          <cell r="O519" t="str">
            <v>FCC STAR CUP</v>
          </cell>
          <cell r="P519" t="str">
            <v>Zaheed's Strikers</v>
          </cell>
          <cell r="Q519">
            <v>1</v>
          </cell>
          <cell r="R519">
            <v>85</v>
          </cell>
          <cell r="T519" t="str">
            <v>CHAMP</v>
          </cell>
          <cell r="U519">
            <v>41699</v>
          </cell>
        </row>
        <row r="520">
          <cell r="B520" t="str">
            <v>Sohan</v>
          </cell>
          <cell r="C520">
            <v>2</v>
          </cell>
          <cell r="D520">
            <v>0</v>
          </cell>
          <cell r="E520">
            <v>0</v>
          </cell>
          <cell r="F520">
            <v>1</v>
          </cell>
          <cell r="G520">
            <v>0</v>
          </cell>
          <cell r="H520">
            <v>0</v>
          </cell>
          <cell r="I520">
            <v>0</v>
          </cell>
          <cell r="M520" t="str">
            <v>&gt;&gt;</v>
          </cell>
          <cell r="N520" t="str">
            <v>Moksedur RaHman SoHan (Duronto Sohan)</v>
          </cell>
          <cell r="O520" t="str">
            <v>FCC STAR CUP</v>
          </cell>
          <cell r="P520" t="str">
            <v>Zaheed's Strikers</v>
          </cell>
          <cell r="Q520">
            <v>1</v>
          </cell>
          <cell r="R520">
            <v>85</v>
          </cell>
          <cell r="T520" t="str">
            <v>CHAMP</v>
          </cell>
          <cell r="U520">
            <v>41699</v>
          </cell>
        </row>
        <row r="521">
          <cell r="B521" t="str">
            <v>Asif's Sixers</v>
          </cell>
          <cell r="M521" t="str">
            <v>&gt;&gt;</v>
          </cell>
          <cell r="N521" t="str">
            <v/>
          </cell>
          <cell r="O521" t="str">
            <v>FCC STAR CUP</v>
          </cell>
          <cell r="P521" t="str">
            <v>Asif's Sixers</v>
          </cell>
          <cell r="Q521">
            <v>1</v>
          </cell>
          <cell r="R521">
            <v>86</v>
          </cell>
          <cell r="U521">
            <v>41699</v>
          </cell>
        </row>
        <row r="522">
          <cell r="B522" t="str">
            <v>Md. Asif</v>
          </cell>
          <cell r="C522">
            <v>3</v>
          </cell>
          <cell r="D522">
            <v>3</v>
          </cell>
          <cell r="E522">
            <v>3</v>
          </cell>
          <cell r="F522">
            <v>2</v>
          </cell>
          <cell r="G522">
            <v>0</v>
          </cell>
          <cell r="H522">
            <v>0</v>
          </cell>
          <cell r="I522">
            <v>0</v>
          </cell>
          <cell r="M522" t="str">
            <v>&gt;&gt;</v>
          </cell>
          <cell r="N522" t="str">
            <v>Mohammad Asif</v>
          </cell>
          <cell r="O522" t="str">
            <v>FCC STAR CUP</v>
          </cell>
          <cell r="P522" t="str">
            <v>Asif's Sixers</v>
          </cell>
          <cell r="Q522">
            <v>1</v>
          </cell>
          <cell r="R522">
            <v>86</v>
          </cell>
          <cell r="U522">
            <v>41699</v>
          </cell>
        </row>
        <row r="523">
          <cell r="B523" t="str">
            <v>Sagar</v>
          </cell>
          <cell r="C523">
            <v>3</v>
          </cell>
          <cell r="D523">
            <v>51</v>
          </cell>
          <cell r="E523">
            <v>3</v>
          </cell>
          <cell r="F523">
            <v>3</v>
          </cell>
          <cell r="G523">
            <v>0</v>
          </cell>
          <cell r="H523">
            <v>5</v>
          </cell>
          <cell r="I523">
            <v>3</v>
          </cell>
          <cell r="M523" t="str">
            <v>&gt;&gt;</v>
          </cell>
          <cell r="N523" t="str">
            <v>Sajjadul Haque Sagar</v>
          </cell>
          <cell r="O523" t="str">
            <v>FCC STAR CUP</v>
          </cell>
          <cell r="P523" t="str">
            <v>Asif's Sixers</v>
          </cell>
          <cell r="Q523">
            <v>1</v>
          </cell>
          <cell r="R523">
            <v>86</v>
          </cell>
          <cell r="U523">
            <v>41699</v>
          </cell>
        </row>
        <row r="524">
          <cell r="B524" t="str">
            <v>Zohir</v>
          </cell>
          <cell r="C524">
            <v>2</v>
          </cell>
          <cell r="D524">
            <v>12</v>
          </cell>
          <cell r="E524">
            <v>4</v>
          </cell>
          <cell r="F524">
            <v>1</v>
          </cell>
          <cell r="G524">
            <v>0</v>
          </cell>
          <cell r="H524">
            <v>1</v>
          </cell>
          <cell r="I524">
            <v>1</v>
          </cell>
          <cell r="M524" t="str">
            <v>&gt;&gt;</v>
          </cell>
          <cell r="N524" t="str">
            <v>Zi Zohir</v>
          </cell>
          <cell r="O524" t="str">
            <v>FCC STAR CUP</v>
          </cell>
          <cell r="P524" t="str">
            <v>Asif's Sixers</v>
          </cell>
          <cell r="Q524">
            <v>1</v>
          </cell>
          <cell r="R524">
            <v>86</v>
          </cell>
          <cell r="U524">
            <v>41699</v>
          </cell>
        </row>
        <row r="525">
          <cell r="B525" t="str">
            <v>Tutul</v>
          </cell>
          <cell r="C525">
            <v>3</v>
          </cell>
          <cell r="D525">
            <v>43</v>
          </cell>
          <cell r="E525">
            <v>3</v>
          </cell>
          <cell r="F525">
            <v>3</v>
          </cell>
          <cell r="G525">
            <v>0</v>
          </cell>
          <cell r="H525">
            <v>4</v>
          </cell>
          <cell r="I525">
            <v>2</v>
          </cell>
          <cell r="M525" t="str">
            <v>&gt;&gt;</v>
          </cell>
          <cell r="N525" t="str">
            <v>Kamrul Hasan Tutul</v>
          </cell>
          <cell r="O525" t="str">
            <v>FCC STAR CUP</v>
          </cell>
          <cell r="P525" t="str">
            <v>Asif's Sixers</v>
          </cell>
          <cell r="Q525">
            <v>1</v>
          </cell>
          <cell r="R525">
            <v>86</v>
          </cell>
          <cell r="U525">
            <v>41699</v>
          </cell>
        </row>
        <row r="526">
          <cell r="B526" t="str">
            <v>Nahid</v>
          </cell>
          <cell r="C526">
            <v>3</v>
          </cell>
          <cell r="D526">
            <v>45</v>
          </cell>
          <cell r="E526">
            <v>2</v>
          </cell>
          <cell r="F526">
            <v>4</v>
          </cell>
          <cell r="G526">
            <v>0</v>
          </cell>
          <cell r="H526">
            <v>2</v>
          </cell>
          <cell r="I526">
            <v>3</v>
          </cell>
          <cell r="M526" t="str">
            <v>&gt;&gt;</v>
          </cell>
          <cell r="N526" t="str">
            <v>Nahid Saifullah</v>
          </cell>
          <cell r="O526" t="str">
            <v>FCC STAR CUP</v>
          </cell>
          <cell r="P526" t="str">
            <v>Asif's Sixers</v>
          </cell>
          <cell r="Q526">
            <v>1</v>
          </cell>
          <cell r="R526">
            <v>86</v>
          </cell>
          <cell r="U526">
            <v>41699</v>
          </cell>
        </row>
        <row r="527">
          <cell r="B527" t="str">
            <v>MH Nayem</v>
          </cell>
          <cell r="C527">
            <v>2</v>
          </cell>
          <cell r="D527">
            <v>0</v>
          </cell>
          <cell r="E527">
            <v>0</v>
          </cell>
          <cell r="F527">
            <v>2</v>
          </cell>
          <cell r="G527">
            <v>0</v>
          </cell>
          <cell r="H527">
            <v>0</v>
          </cell>
          <cell r="I527">
            <v>0</v>
          </cell>
          <cell r="M527" t="str">
            <v>&gt;&gt;</v>
          </cell>
          <cell r="N527" t="str">
            <v>মাহমুদুল হক নাইম</v>
          </cell>
          <cell r="O527" t="str">
            <v>FCC STAR CUP</v>
          </cell>
          <cell r="P527" t="str">
            <v>Asif's Sixers</v>
          </cell>
          <cell r="Q527">
            <v>1</v>
          </cell>
          <cell r="R527">
            <v>86</v>
          </cell>
          <cell r="U527">
            <v>41699</v>
          </cell>
        </row>
        <row r="528">
          <cell r="B528" t="str">
            <v>Himal's Lions</v>
          </cell>
          <cell r="C528" t="str">
            <v>-</v>
          </cell>
          <cell r="M528" t="str">
            <v>&gt;&gt;</v>
          </cell>
          <cell r="N528" t="str">
            <v/>
          </cell>
          <cell r="O528" t="str">
            <v>FCC STAR CUP</v>
          </cell>
          <cell r="P528" t="str">
            <v>Himal's Lions</v>
          </cell>
          <cell r="Q528">
            <v>1</v>
          </cell>
          <cell r="R528">
            <v>87</v>
          </cell>
          <cell r="U528">
            <v>41699</v>
          </cell>
        </row>
        <row r="529">
          <cell r="B529" t="str">
            <v>Akram Himal</v>
          </cell>
          <cell r="C529">
            <v>1</v>
          </cell>
          <cell r="D529">
            <v>12</v>
          </cell>
          <cell r="E529">
            <v>2</v>
          </cell>
          <cell r="F529">
            <v>1</v>
          </cell>
          <cell r="G529">
            <v>0</v>
          </cell>
          <cell r="H529">
            <v>1</v>
          </cell>
          <cell r="I529">
            <v>1</v>
          </cell>
          <cell r="M529" t="str">
            <v>&gt;&gt;</v>
          </cell>
          <cell r="N529" t="str">
            <v>Akram Hosen Himal</v>
          </cell>
          <cell r="O529" t="str">
            <v>FCC STAR CUP</v>
          </cell>
          <cell r="P529" t="str">
            <v>Himal's Lions</v>
          </cell>
          <cell r="Q529">
            <v>1</v>
          </cell>
          <cell r="R529">
            <v>87</v>
          </cell>
          <cell r="U529">
            <v>41699</v>
          </cell>
        </row>
        <row r="530">
          <cell r="B530" t="str">
            <v>Niamul</v>
          </cell>
          <cell r="C530">
            <v>1</v>
          </cell>
          <cell r="D530">
            <v>0</v>
          </cell>
          <cell r="E530">
            <v>2</v>
          </cell>
          <cell r="F530">
            <v>1</v>
          </cell>
          <cell r="G530">
            <v>0</v>
          </cell>
          <cell r="H530">
            <v>0</v>
          </cell>
          <cell r="I530">
            <v>0</v>
          </cell>
          <cell r="M530" t="str">
            <v>&gt;&gt;</v>
          </cell>
          <cell r="N530" t="str">
            <v>Niamul Habib Setu</v>
          </cell>
          <cell r="O530" t="str">
            <v>FCC STAR CUP</v>
          </cell>
          <cell r="P530" t="str">
            <v>Himal's Lions</v>
          </cell>
          <cell r="Q530">
            <v>1</v>
          </cell>
          <cell r="R530">
            <v>87</v>
          </cell>
          <cell r="U530">
            <v>41699</v>
          </cell>
        </row>
        <row r="531">
          <cell r="B531" t="str">
            <v>Ovi</v>
          </cell>
          <cell r="C531">
            <v>1</v>
          </cell>
          <cell r="D531">
            <v>2</v>
          </cell>
          <cell r="E531">
            <v>0</v>
          </cell>
          <cell r="F531">
            <v>1</v>
          </cell>
          <cell r="G531">
            <v>0</v>
          </cell>
          <cell r="H531">
            <v>0</v>
          </cell>
          <cell r="I531">
            <v>0</v>
          </cell>
          <cell r="M531" t="str">
            <v>&gt;&gt;</v>
          </cell>
          <cell r="N531" t="str">
            <v>Toufiq Ahmed Ovi</v>
          </cell>
          <cell r="O531" t="str">
            <v>FCC STAR CUP</v>
          </cell>
          <cell r="P531" t="str">
            <v>Himal's Lions</v>
          </cell>
          <cell r="Q531">
            <v>1</v>
          </cell>
          <cell r="R531">
            <v>87</v>
          </cell>
          <cell r="U531">
            <v>41699</v>
          </cell>
        </row>
        <row r="532">
          <cell r="B532" t="str">
            <v>Meyaz</v>
          </cell>
          <cell r="C532">
            <v>1</v>
          </cell>
          <cell r="D532">
            <v>0</v>
          </cell>
          <cell r="E532">
            <v>0</v>
          </cell>
          <cell r="F532">
            <v>1</v>
          </cell>
          <cell r="G532">
            <v>0</v>
          </cell>
          <cell r="H532">
            <v>0</v>
          </cell>
          <cell r="I532">
            <v>0</v>
          </cell>
          <cell r="M532" t="str">
            <v>&gt;&gt;</v>
          </cell>
          <cell r="N532" t="str">
            <v>Meyaz Al Emon</v>
          </cell>
          <cell r="O532" t="str">
            <v>FCC STAR CUP</v>
          </cell>
          <cell r="P532" t="str">
            <v>Himal's Lions</v>
          </cell>
          <cell r="Q532">
            <v>1</v>
          </cell>
          <cell r="R532">
            <v>87</v>
          </cell>
          <cell r="U532">
            <v>41699</v>
          </cell>
        </row>
        <row r="533">
          <cell r="B533" t="str">
            <v>Rafiul</v>
          </cell>
          <cell r="C533">
            <v>1</v>
          </cell>
          <cell r="D533">
            <v>7</v>
          </cell>
          <cell r="E533">
            <v>2</v>
          </cell>
          <cell r="F533">
            <v>1</v>
          </cell>
          <cell r="G533">
            <v>0</v>
          </cell>
          <cell r="H533">
            <v>1</v>
          </cell>
          <cell r="I533">
            <v>0</v>
          </cell>
          <cell r="M533" t="str">
            <v>&gt;&gt;</v>
          </cell>
          <cell r="N533" t="str">
            <v>Rafiul Haque Sanchay</v>
          </cell>
          <cell r="O533" t="str">
            <v>FCC STAR CUP</v>
          </cell>
          <cell r="P533" t="str">
            <v>Himal's Lions</v>
          </cell>
          <cell r="Q533">
            <v>1</v>
          </cell>
          <cell r="R533">
            <v>87</v>
          </cell>
          <cell r="U533">
            <v>41699</v>
          </cell>
        </row>
        <row r="534">
          <cell r="B534" t="str">
            <v>Md Raju</v>
          </cell>
          <cell r="C534">
            <v>1</v>
          </cell>
          <cell r="D534">
            <v>6</v>
          </cell>
          <cell r="E534">
            <v>0</v>
          </cell>
          <cell r="F534">
            <v>1</v>
          </cell>
          <cell r="G534">
            <v>0</v>
          </cell>
          <cell r="H534">
            <v>0</v>
          </cell>
          <cell r="I534">
            <v>0</v>
          </cell>
          <cell r="M534" t="str">
            <v>&gt;&gt;</v>
          </cell>
          <cell r="N534" t="str">
            <v>Md Raju Islam</v>
          </cell>
          <cell r="O534" t="str">
            <v>FCC STAR CUP</v>
          </cell>
          <cell r="P534" t="str">
            <v>Himal's Lions</v>
          </cell>
          <cell r="Q534">
            <v>1</v>
          </cell>
          <cell r="R534">
            <v>87</v>
          </cell>
          <cell r="U534">
            <v>41699</v>
          </cell>
        </row>
        <row r="535">
          <cell r="B535" t="str">
            <v>#ARGENTINA</v>
          </cell>
          <cell r="C535" t="str">
            <v>-</v>
          </cell>
          <cell r="M535" t="str">
            <v>&gt;&gt;</v>
          </cell>
          <cell r="N535" t="str">
            <v/>
          </cell>
          <cell r="O535" t="str">
            <v>FWC-1</v>
          </cell>
          <cell r="P535" t="str">
            <v>ARGENTINA</v>
          </cell>
          <cell r="Q535">
            <v>1</v>
          </cell>
          <cell r="R535">
            <v>88</v>
          </cell>
          <cell r="U535">
            <v>41791</v>
          </cell>
        </row>
        <row r="536">
          <cell r="B536" t="str">
            <v>Towkir</v>
          </cell>
          <cell r="C536">
            <v>8</v>
          </cell>
          <cell r="D536">
            <v>122</v>
          </cell>
          <cell r="E536">
            <v>9</v>
          </cell>
          <cell r="F536">
            <v>12</v>
          </cell>
          <cell r="G536">
            <v>1</v>
          </cell>
          <cell r="H536">
            <v>12</v>
          </cell>
          <cell r="I536">
            <v>4</v>
          </cell>
          <cell r="M536" t="str">
            <v>&gt;&gt;</v>
          </cell>
          <cell r="N536" t="str">
            <v>Towkir Ahmed Siddique</v>
          </cell>
          <cell r="O536" t="str">
            <v>FWC-1</v>
          </cell>
          <cell r="P536" t="str">
            <v>ARGENTINA</v>
          </cell>
          <cell r="Q536">
            <v>1</v>
          </cell>
          <cell r="R536">
            <v>88</v>
          </cell>
          <cell r="U536">
            <v>41791</v>
          </cell>
        </row>
        <row r="537">
          <cell r="B537" t="str">
            <v>Akram Himal</v>
          </cell>
          <cell r="C537">
            <v>8</v>
          </cell>
          <cell r="D537">
            <v>108</v>
          </cell>
          <cell r="E537">
            <v>8</v>
          </cell>
          <cell r="F537">
            <v>12</v>
          </cell>
          <cell r="G537">
            <v>0</v>
          </cell>
          <cell r="H537">
            <v>13</v>
          </cell>
          <cell r="I537">
            <v>4</v>
          </cell>
          <cell r="M537" t="str">
            <v>&gt;&gt;</v>
          </cell>
          <cell r="N537" t="str">
            <v>Akram Hosen Himal</v>
          </cell>
          <cell r="O537" t="str">
            <v>FWC-1</v>
          </cell>
          <cell r="P537" t="str">
            <v>ARGENTINA</v>
          </cell>
          <cell r="Q537">
            <v>1</v>
          </cell>
          <cell r="R537">
            <v>88</v>
          </cell>
          <cell r="U537">
            <v>41791</v>
          </cell>
        </row>
        <row r="538">
          <cell r="B538" t="str">
            <v>Rahin</v>
          </cell>
          <cell r="C538">
            <v>7</v>
          </cell>
          <cell r="D538">
            <v>114</v>
          </cell>
          <cell r="E538">
            <v>4</v>
          </cell>
          <cell r="F538">
            <v>9</v>
          </cell>
          <cell r="G538">
            <v>2</v>
          </cell>
          <cell r="H538">
            <v>8</v>
          </cell>
          <cell r="I538">
            <v>7</v>
          </cell>
          <cell r="M538" t="str">
            <v>&gt;&gt;</v>
          </cell>
          <cell r="N538" t="str">
            <v>Rahin Superb</v>
          </cell>
          <cell r="O538" t="str">
            <v>FWC-1</v>
          </cell>
          <cell r="P538" t="str">
            <v>ARGENTINA</v>
          </cell>
          <cell r="Q538">
            <v>1</v>
          </cell>
          <cell r="R538">
            <v>88</v>
          </cell>
          <cell r="U538">
            <v>41791</v>
          </cell>
        </row>
        <row r="539">
          <cell r="B539" t="str">
            <v>Mhk</v>
          </cell>
          <cell r="C539">
            <v>7</v>
          </cell>
          <cell r="D539">
            <v>65</v>
          </cell>
          <cell r="E539">
            <v>6</v>
          </cell>
          <cell r="F539">
            <v>6</v>
          </cell>
          <cell r="G539">
            <v>0</v>
          </cell>
          <cell r="H539">
            <v>3</v>
          </cell>
          <cell r="I539">
            <v>4</v>
          </cell>
          <cell r="M539" t="str">
            <v>&gt;&gt;</v>
          </cell>
          <cell r="N539" t="str">
            <v>Hridoy Khan Mhk</v>
          </cell>
          <cell r="O539" t="str">
            <v>FWC-1</v>
          </cell>
          <cell r="P539" t="str">
            <v>ARGENTINA</v>
          </cell>
          <cell r="Q539">
            <v>1</v>
          </cell>
          <cell r="R539">
            <v>88</v>
          </cell>
          <cell r="U539">
            <v>41791</v>
          </cell>
        </row>
        <row r="540">
          <cell r="B540" t="str">
            <v>Shuvro</v>
          </cell>
          <cell r="C540">
            <v>8</v>
          </cell>
          <cell r="D540">
            <v>95</v>
          </cell>
          <cell r="E540">
            <v>20</v>
          </cell>
          <cell r="F540">
            <v>10</v>
          </cell>
          <cell r="G540">
            <v>1</v>
          </cell>
          <cell r="H540">
            <v>3</v>
          </cell>
          <cell r="I540">
            <v>10</v>
          </cell>
          <cell r="M540" t="str">
            <v>&gt;&gt;</v>
          </cell>
          <cell r="N540" t="str">
            <v>Shahriar Shuvro</v>
          </cell>
          <cell r="O540" t="str">
            <v>FWC-1</v>
          </cell>
          <cell r="P540" t="str">
            <v>ARGENTINA</v>
          </cell>
          <cell r="Q540">
            <v>1</v>
          </cell>
          <cell r="R540">
            <v>88</v>
          </cell>
          <cell r="U540">
            <v>41791</v>
          </cell>
        </row>
        <row r="541">
          <cell r="B541" t="str">
            <v>#ENGLAND</v>
          </cell>
          <cell r="C541" t="str">
            <v>-</v>
          </cell>
          <cell r="M541" t="str">
            <v>&gt;&gt;</v>
          </cell>
          <cell r="N541" t="str">
            <v/>
          </cell>
          <cell r="O541" t="str">
            <v>FWC-1</v>
          </cell>
          <cell r="P541" t="str">
            <v>ENGLAND</v>
          </cell>
          <cell r="Q541">
            <v>1</v>
          </cell>
          <cell r="R541">
            <v>89</v>
          </cell>
          <cell r="U541">
            <v>41791</v>
          </cell>
        </row>
        <row r="542">
          <cell r="B542" t="str">
            <v>Al Mamun</v>
          </cell>
          <cell r="C542">
            <v>5</v>
          </cell>
          <cell r="D542">
            <v>78</v>
          </cell>
          <cell r="E542">
            <v>4</v>
          </cell>
          <cell r="F542">
            <v>5</v>
          </cell>
          <cell r="G542">
            <v>0</v>
          </cell>
          <cell r="H542">
            <v>5</v>
          </cell>
          <cell r="I542">
            <v>5</v>
          </cell>
          <cell r="M542" t="str">
            <v>&gt;&gt;</v>
          </cell>
          <cell r="N542" t="str">
            <v>Mohammed Al Mamun</v>
          </cell>
          <cell r="O542" t="str">
            <v>FWC-1</v>
          </cell>
          <cell r="P542" t="str">
            <v>ENGLAND</v>
          </cell>
          <cell r="Q542">
            <v>1</v>
          </cell>
          <cell r="R542">
            <v>89</v>
          </cell>
          <cell r="U542">
            <v>41791</v>
          </cell>
        </row>
        <row r="543">
          <cell r="B543" t="str">
            <v>Tonmoy</v>
          </cell>
          <cell r="C543">
            <v>6</v>
          </cell>
          <cell r="D543">
            <v>102</v>
          </cell>
          <cell r="E543">
            <v>2</v>
          </cell>
          <cell r="F543">
            <v>7</v>
          </cell>
          <cell r="G543">
            <v>0</v>
          </cell>
          <cell r="H543">
            <v>5</v>
          </cell>
          <cell r="I543">
            <v>7</v>
          </cell>
          <cell r="M543" t="str">
            <v>&gt;&gt;</v>
          </cell>
          <cell r="N543" t="str">
            <v>Asik Hassan Tonmoy</v>
          </cell>
          <cell r="O543" t="str">
            <v>FWC-1</v>
          </cell>
          <cell r="P543" t="str">
            <v>ENGLAND</v>
          </cell>
          <cell r="Q543">
            <v>1</v>
          </cell>
          <cell r="R543">
            <v>89</v>
          </cell>
          <cell r="U543">
            <v>41791</v>
          </cell>
        </row>
        <row r="544">
          <cell r="B544" t="str">
            <v>Khokon</v>
          </cell>
          <cell r="C544">
            <v>6</v>
          </cell>
          <cell r="D544">
            <v>199</v>
          </cell>
          <cell r="E544">
            <v>12</v>
          </cell>
          <cell r="F544">
            <v>10</v>
          </cell>
          <cell r="G544">
            <v>5</v>
          </cell>
          <cell r="H544">
            <v>17</v>
          </cell>
          <cell r="I544">
            <v>11</v>
          </cell>
          <cell r="M544" t="str">
            <v>&gt;&gt;</v>
          </cell>
          <cell r="N544" t="str">
            <v>Shahriar Khokon</v>
          </cell>
          <cell r="O544" t="str">
            <v>FWC-1</v>
          </cell>
          <cell r="P544" t="str">
            <v>ENGLAND</v>
          </cell>
          <cell r="Q544">
            <v>1</v>
          </cell>
          <cell r="R544">
            <v>89</v>
          </cell>
          <cell r="U544">
            <v>41791</v>
          </cell>
        </row>
        <row r="545">
          <cell r="B545" t="str">
            <v>ShiShir</v>
          </cell>
          <cell r="C545">
            <v>6</v>
          </cell>
          <cell r="D545">
            <v>46</v>
          </cell>
          <cell r="E545">
            <v>6</v>
          </cell>
          <cell r="F545">
            <v>7</v>
          </cell>
          <cell r="G545">
            <v>0</v>
          </cell>
          <cell r="H545">
            <v>4</v>
          </cell>
          <cell r="I545">
            <v>2</v>
          </cell>
          <cell r="M545" t="str">
            <v>&gt;&gt;</v>
          </cell>
          <cell r="N545" t="str">
            <v>ShiShir Hossain</v>
          </cell>
          <cell r="O545" t="str">
            <v>FWC-1</v>
          </cell>
          <cell r="P545" t="str">
            <v>ENGLAND</v>
          </cell>
          <cell r="Q545">
            <v>1</v>
          </cell>
          <cell r="R545">
            <v>89</v>
          </cell>
          <cell r="U545">
            <v>41791</v>
          </cell>
        </row>
        <row r="546">
          <cell r="B546" t="str">
            <v>Sumon</v>
          </cell>
          <cell r="C546">
            <v>6</v>
          </cell>
          <cell r="D546">
            <v>70</v>
          </cell>
          <cell r="E546">
            <v>5</v>
          </cell>
          <cell r="F546">
            <v>8</v>
          </cell>
          <cell r="G546">
            <v>0</v>
          </cell>
          <cell r="H546">
            <v>7</v>
          </cell>
          <cell r="I546">
            <v>4</v>
          </cell>
          <cell r="M546" t="str">
            <v>&gt;&gt;</v>
          </cell>
          <cell r="N546" t="str">
            <v>Sumon Ab</v>
          </cell>
          <cell r="O546" t="str">
            <v>FWC-1</v>
          </cell>
          <cell r="P546" t="str">
            <v>ENGLAND</v>
          </cell>
          <cell r="Q546">
            <v>1</v>
          </cell>
          <cell r="R546">
            <v>89</v>
          </cell>
          <cell r="U546">
            <v>41791</v>
          </cell>
        </row>
        <row r="547">
          <cell r="B547" t="str">
            <v>#ITALY</v>
          </cell>
          <cell r="C547" t="str">
            <v>-</v>
          </cell>
          <cell r="M547" t="str">
            <v>&gt;&gt;</v>
          </cell>
          <cell r="N547" t="str">
            <v/>
          </cell>
          <cell r="O547" t="str">
            <v>FWC-1</v>
          </cell>
          <cell r="P547" t="str">
            <v>ITALY</v>
          </cell>
          <cell r="Q547">
            <v>1</v>
          </cell>
          <cell r="R547">
            <v>90</v>
          </cell>
          <cell r="U547">
            <v>41791</v>
          </cell>
        </row>
        <row r="548">
          <cell r="B548" t="str">
            <v>Adnan</v>
          </cell>
          <cell r="C548">
            <v>5</v>
          </cell>
          <cell r="D548">
            <v>86</v>
          </cell>
          <cell r="E548">
            <v>2</v>
          </cell>
          <cell r="F548">
            <v>5</v>
          </cell>
          <cell r="G548">
            <v>1</v>
          </cell>
          <cell r="H548">
            <v>6</v>
          </cell>
          <cell r="I548">
            <v>2</v>
          </cell>
          <cell r="M548" t="str">
            <v>&gt;&gt;</v>
          </cell>
          <cell r="N548" t="str">
            <v>Shah Abi Talib Adnan</v>
          </cell>
          <cell r="O548" t="str">
            <v>FWC-1</v>
          </cell>
          <cell r="P548" t="str">
            <v>ITALY</v>
          </cell>
          <cell r="Q548">
            <v>1</v>
          </cell>
          <cell r="R548">
            <v>90</v>
          </cell>
          <cell r="U548">
            <v>41791</v>
          </cell>
        </row>
        <row r="549">
          <cell r="B549" t="str">
            <v>Azwad</v>
          </cell>
          <cell r="C549">
            <v>6</v>
          </cell>
          <cell r="D549">
            <v>108</v>
          </cell>
          <cell r="E549">
            <v>5</v>
          </cell>
          <cell r="F549">
            <v>9</v>
          </cell>
          <cell r="G549">
            <v>1</v>
          </cell>
          <cell r="H549">
            <v>6</v>
          </cell>
          <cell r="I549">
            <v>10</v>
          </cell>
          <cell r="M549" t="str">
            <v>&gt;&gt;</v>
          </cell>
          <cell r="N549" t="str">
            <v>Azwad Awsaf</v>
          </cell>
          <cell r="O549" t="str">
            <v>FWC-1</v>
          </cell>
          <cell r="P549" t="str">
            <v>ITALY</v>
          </cell>
          <cell r="Q549">
            <v>1</v>
          </cell>
          <cell r="R549">
            <v>90</v>
          </cell>
          <cell r="U549">
            <v>41791</v>
          </cell>
        </row>
        <row r="550">
          <cell r="B550" t="str">
            <v>Jhony</v>
          </cell>
          <cell r="C550">
            <v>6</v>
          </cell>
          <cell r="D550">
            <v>112</v>
          </cell>
          <cell r="E550">
            <v>4</v>
          </cell>
          <cell r="F550">
            <v>8</v>
          </cell>
          <cell r="G550">
            <v>0</v>
          </cell>
          <cell r="H550">
            <v>12</v>
          </cell>
          <cell r="I550">
            <v>3</v>
          </cell>
          <cell r="M550" t="str">
            <v>&gt;&gt;</v>
          </cell>
          <cell r="N550" t="str">
            <v>Faisal Ahmed Jhony</v>
          </cell>
          <cell r="O550" t="str">
            <v>FWC-1</v>
          </cell>
          <cell r="P550" t="str">
            <v>ITALY</v>
          </cell>
          <cell r="Q550">
            <v>1</v>
          </cell>
          <cell r="R550">
            <v>90</v>
          </cell>
          <cell r="U550">
            <v>41791</v>
          </cell>
        </row>
        <row r="551">
          <cell r="B551" t="str">
            <v>Tutul</v>
          </cell>
          <cell r="C551">
            <v>6</v>
          </cell>
          <cell r="D551">
            <v>56</v>
          </cell>
          <cell r="E551">
            <v>7</v>
          </cell>
          <cell r="F551">
            <v>9</v>
          </cell>
          <cell r="G551">
            <v>0</v>
          </cell>
          <cell r="H551">
            <v>0</v>
          </cell>
          <cell r="I551">
            <v>5</v>
          </cell>
          <cell r="M551" t="str">
            <v>&gt;&gt;</v>
          </cell>
          <cell r="N551" t="str">
            <v>Kamrul Hasan Tutul</v>
          </cell>
          <cell r="O551" t="str">
            <v>FWC-1</v>
          </cell>
          <cell r="P551" t="str">
            <v>ITALY</v>
          </cell>
          <cell r="Q551">
            <v>1</v>
          </cell>
          <cell r="R551">
            <v>90</v>
          </cell>
          <cell r="U551">
            <v>41791</v>
          </cell>
        </row>
        <row r="552">
          <cell r="B552" t="str">
            <v>Brinto</v>
          </cell>
          <cell r="C552">
            <v>5</v>
          </cell>
          <cell r="D552">
            <v>61</v>
          </cell>
          <cell r="E552">
            <v>6</v>
          </cell>
          <cell r="F552">
            <v>7</v>
          </cell>
          <cell r="G552">
            <v>0</v>
          </cell>
          <cell r="H552">
            <v>8</v>
          </cell>
          <cell r="I552">
            <v>4</v>
          </cell>
          <cell r="M552" t="str">
            <v>&gt;&gt;</v>
          </cell>
          <cell r="N552" t="str">
            <v>Shuvayan Saha Brinto</v>
          </cell>
          <cell r="O552" t="str">
            <v>FWC-1</v>
          </cell>
          <cell r="P552" t="str">
            <v>ITALY</v>
          </cell>
          <cell r="Q552">
            <v>1</v>
          </cell>
          <cell r="R552">
            <v>90</v>
          </cell>
          <cell r="U552">
            <v>41791</v>
          </cell>
        </row>
        <row r="553">
          <cell r="B553" t="str">
            <v>#URUGUAY</v>
          </cell>
          <cell r="C553" t="str">
            <v>-</v>
          </cell>
          <cell r="M553" t="str">
            <v>&gt;&gt;</v>
          </cell>
          <cell r="N553" t="str">
            <v/>
          </cell>
          <cell r="O553" t="str">
            <v>FWC-1</v>
          </cell>
          <cell r="P553" t="str">
            <v>URUGUAY</v>
          </cell>
          <cell r="Q553">
            <v>1</v>
          </cell>
          <cell r="R553">
            <v>91</v>
          </cell>
          <cell r="U553">
            <v>41791</v>
          </cell>
        </row>
        <row r="554">
          <cell r="B554" t="str">
            <v>Nayem</v>
          </cell>
          <cell r="C554">
            <v>9</v>
          </cell>
          <cell r="D554">
            <v>141</v>
          </cell>
          <cell r="E554">
            <v>12</v>
          </cell>
          <cell r="F554">
            <v>12</v>
          </cell>
          <cell r="G554">
            <v>0</v>
          </cell>
          <cell r="H554">
            <v>8</v>
          </cell>
          <cell r="I554">
            <v>12</v>
          </cell>
          <cell r="M554" t="str">
            <v>&gt;&gt;</v>
          </cell>
          <cell r="N554" t="str">
            <v>Neyem khan</v>
          </cell>
          <cell r="O554" t="str">
            <v>FWC-1</v>
          </cell>
          <cell r="P554" t="str">
            <v>URUGUAY</v>
          </cell>
          <cell r="Q554">
            <v>1</v>
          </cell>
          <cell r="R554">
            <v>91</v>
          </cell>
          <cell r="U554">
            <v>41791</v>
          </cell>
        </row>
        <row r="555">
          <cell r="B555" t="str">
            <v>Kamil</v>
          </cell>
          <cell r="C555">
            <v>9</v>
          </cell>
          <cell r="D555">
            <v>134</v>
          </cell>
          <cell r="E555">
            <v>7</v>
          </cell>
          <cell r="F555">
            <v>11</v>
          </cell>
          <cell r="G555">
            <v>1</v>
          </cell>
          <cell r="H555">
            <v>8</v>
          </cell>
          <cell r="I555">
            <v>11</v>
          </cell>
          <cell r="M555" t="str">
            <v>&gt;&gt;</v>
          </cell>
          <cell r="N555" t="str">
            <v>Kamil Ahmed</v>
          </cell>
          <cell r="O555" t="str">
            <v>FWC-1</v>
          </cell>
          <cell r="P555" t="str">
            <v>URUGUAY</v>
          </cell>
          <cell r="Q555">
            <v>1</v>
          </cell>
          <cell r="R555">
            <v>91</v>
          </cell>
          <cell r="U555">
            <v>41791</v>
          </cell>
        </row>
        <row r="556">
          <cell r="B556" t="str">
            <v>Nur</v>
          </cell>
          <cell r="C556">
            <v>9</v>
          </cell>
          <cell r="D556">
            <v>81</v>
          </cell>
          <cell r="E556">
            <v>10</v>
          </cell>
          <cell r="F556">
            <v>12</v>
          </cell>
          <cell r="G556">
            <v>1</v>
          </cell>
          <cell r="H556">
            <v>3</v>
          </cell>
          <cell r="I556">
            <v>5</v>
          </cell>
          <cell r="M556" t="str">
            <v>&gt;&gt;</v>
          </cell>
          <cell r="N556" t="str">
            <v>Nur Muhammad</v>
          </cell>
          <cell r="O556" t="str">
            <v>FWC-1</v>
          </cell>
          <cell r="P556" t="str">
            <v>URUGUAY</v>
          </cell>
          <cell r="Q556">
            <v>1</v>
          </cell>
          <cell r="R556">
            <v>91</v>
          </cell>
          <cell r="U556">
            <v>41791</v>
          </cell>
        </row>
        <row r="557">
          <cell r="B557" t="str">
            <v>Washim</v>
          </cell>
          <cell r="C557">
            <v>9</v>
          </cell>
          <cell r="D557">
            <v>153</v>
          </cell>
          <cell r="E557">
            <v>4</v>
          </cell>
          <cell r="F557">
            <v>13</v>
          </cell>
          <cell r="G557">
            <v>2</v>
          </cell>
          <cell r="H557">
            <v>11</v>
          </cell>
          <cell r="I557">
            <v>8</v>
          </cell>
          <cell r="M557" t="str">
            <v>&gt;&gt;</v>
          </cell>
          <cell r="N557" t="str">
            <v>Akram Husan (Washim)</v>
          </cell>
          <cell r="O557" t="str">
            <v>FWC-1</v>
          </cell>
          <cell r="P557" t="str">
            <v>URUGUAY</v>
          </cell>
          <cell r="Q557">
            <v>1</v>
          </cell>
          <cell r="R557">
            <v>91</v>
          </cell>
          <cell r="U557">
            <v>41791</v>
          </cell>
        </row>
        <row r="558">
          <cell r="B558" t="str">
            <v>Tofayel</v>
          </cell>
          <cell r="C558">
            <v>9</v>
          </cell>
          <cell r="D558">
            <v>114</v>
          </cell>
          <cell r="E558">
            <v>22</v>
          </cell>
          <cell r="F558">
            <v>11</v>
          </cell>
          <cell r="G558">
            <v>1</v>
          </cell>
          <cell r="H558">
            <v>4</v>
          </cell>
          <cell r="I558">
            <v>10</v>
          </cell>
          <cell r="M558" t="str">
            <v>&gt;&gt;</v>
          </cell>
          <cell r="N558" t="str">
            <v>MD Tofayel Ahmed</v>
          </cell>
          <cell r="O558" t="str">
            <v>FWC-1</v>
          </cell>
          <cell r="P558" t="str">
            <v>URUGUAY</v>
          </cell>
          <cell r="Q558">
            <v>1</v>
          </cell>
          <cell r="R558">
            <v>91</v>
          </cell>
          <cell r="U558">
            <v>41791</v>
          </cell>
        </row>
        <row r="559">
          <cell r="B559" t="str">
            <v>#GHANA</v>
          </cell>
          <cell r="C559" t="str">
            <v>-</v>
          </cell>
          <cell r="M559" t="str">
            <v>&gt;&gt;</v>
          </cell>
          <cell r="N559" t="str">
            <v/>
          </cell>
          <cell r="O559" t="str">
            <v>FWC-1</v>
          </cell>
          <cell r="P559" t="str">
            <v>GHANA</v>
          </cell>
          <cell r="Q559">
            <v>1</v>
          </cell>
          <cell r="R559">
            <v>92</v>
          </cell>
          <cell r="U559">
            <v>41791</v>
          </cell>
        </row>
        <row r="560">
          <cell r="B560" t="str">
            <v>Zaheed</v>
          </cell>
          <cell r="C560">
            <v>6</v>
          </cell>
          <cell r="D560">
            <v>63</v>
          </cell>
          <cell r="E560">
            <v>10</v>
          </cell>
          <cell r="F560">
            <v>9</v>
          </cell>
          <cell r="G560">
            <v>1</v>
          </cell>
          <cell r="H560">
            <v>0</v>
          </cell>
          <cell r="I560">
            <v>6</v>
          </cell>
          <cell r="M560" t="str">
            <v>&gt;&gt;</v>
          </cell>
          <cell r="N560" t="str">
            <v>Zaheed Hasan</v>
          </cell>
          <cell r="O560" t="str">
            <v>FWC-1</v>
          </cell>
          <cell r="P560" t="str">
            <v>GHANA</v>
          </cell>
          <cell r="Q560">
            <v>1</v>
          </cell>
          <cell r="R560">
            <v>92</v>
          </cell>
          <cell r="U560">
            <v>41791</v>
          </cell>
        </row>
        <row r="561">
          <cell r="B561" t="str">
            <v>Asif</v>
          </cell>
          <cell r="C561">
            <v>2</v>
          </cell>
          <cell r="D561">
            <v>0</v>
          </cell>
          <cell r="E561">
            <v>2</v>
          </cell>
          <cell r="F561">
            <v>3</v>
          </cell>
          <cell r="G561">
            <v>0</v>
          </cell>
          <cell r="H561">
            <v>0</v>
          </cell>
          <cell r="I561">
            <v>0</v>
          </cell>
          <cell r="M561" t="str">
            <v>&gt;&gt;</v>
          </cell>
          <cell r="N561" t="str">
            <v>Asif Iqbal Khan</v>
          </cell>
          <cell r="O561" t="str">
            <v>FWC-1</v>
          </cell>
          <cell r="P561" t="str">
            <v>GHANA</v>
          </cell>
          <cell r="Q561">
            <v>1</v>
          </cell>
          <cell r="R561">
            <v>92</v>
          </cell>
          <cell r="U561">
            <v>41791</v>
          </cell>
        </row>
        <row r="562">
          <cell r="B562" t="str">
            <v>Dulal</v>
          </cell>
          <cell r="C562">
            <v>6</v>
          </cell>
          <cell r="D562">
            <v>135</v>
          </cell>
          <cell r="E562">
            <v>8</v>
          </cell>
          <cell r="F562">
            <v>7</v>
          </cell>
          <cell r="G562">
            <v>0</v>
          </cell>
          <cell r="H562">
            <v>10</v>
          </cell>
          <cell r="I562">
            <v>12</v>
          </cell>
          <cell r="M562" t="str">
            <v>&gt;&gt;</v>
          </cell>
          <cell r="N562" t="str">
            <v>Md Dulal Miah</v>
          </cell>
          <cell r="O562" t="str">
            <v>FWC-1</v>
          </cell>
          <cell r="P562" t="str">
            <v>GHANA</v>
          </cell>
          <cell r="Q562">
            <v>1</v>
          </cell>
          <cell r="R562">
            <v>92</v>
          </cell>
          <cell r="U562">
            <v>41791</v>
          </cell>
        </row>
        <row r="563">
          <cell r="B563" t="str">
            <v>Zohir</v>
          </cell>
          <cell r="C563">
            <v>4</v>
          </cell>
          <cell r="D563">
            <v>76</v>
          </cell>
          <cell r="E563">
            <v>4</v>
          </cell>
          <cell r="F563">
            <v>6</v>
          </cell>
          <cell r="G563">
            <v>0</v>
          </cell>
          <cell r="H563">
            <v>7</v>
          </cell>
          <cell r="I563">
            <v>5</v>
          </cell>
          <cell r="M563" t="str">
            <v>&gt;&gt;</v>
          </cell>
          <cell r="N563" t="str">
            <v>Zi Zohir</v>
          </cell>
          <cell r="O563" t="str">
            <v>FWC-1</v>
          </cell>
          <cell r="P563" t="str">
            <v>GHANA</v>
          </cell>
          <cell r="Q563">
            <v>1</v>
          </cell>
          <cell r="R563">
            <v>92</v>
          </cell>
          <cell r="U563">
            <v>41791</v>
          </cell>
        </row>
        <row r="564">
          <cell r="B564" t="str">
            <v>Arafat</v>
          </cell>
          <cell r="C564">
            <v>5</v>
          </cell>
          <cell r="D564">
            <v>69</v>
          </cell>
          <cell r="E564">
            <v>4</v>
          </cell>
          <cell r="F564">
            <v>7</v>
          </cell>
          <cell r="G564">
            <v>1</v>
          </cell>
          <cell r="H564">
            <v>5</v>
          </cell>
          <cell r="I564">
            <v>3</v>
          </cell>
          <cell r="M564" t="str">
            <v>&gt;&gt;</v>
          </cell>
          <cell r="N564" t="str">
            <v>Sakib Arafat</v>
          </cell>
          <cell r="O564" t="str">
            <v>FWC-1</v>
          </cell>
          <cell r="P564" t="str">
            <v>GHANA</v>
          </cell>
          <cell r="Q564">
            <v>1</v>
          </cell>
          <cell r="R564">
            <v>92</v>
          </cell>
          <cell r="U564">
            <v>41791</v>
          </cell>
        </row>
        <row r="565">
          <cell r="B565" t="str">
            <v>#IRAN</v>
          </cell>
          <cell r="C565" t="str">
            <v>-</v>
          </cell>
          <cell r="M565" t="str">
            <v>&gt;&gt;</v>
          </cell>
          <cell r="N565" t="str">
            <v/>
          </cell>
          <cell r="O565" t="str">
            <v>FWC-1</v>
          </cell>
          <cell r="P565" t="str">
            <v>IRAN</v>
          </cell>
          <cell r="Q565">
            <v>1</v>
          </cell>
          <cell r="R565">
            <v>93</v>
          </cell>
          <cell r="U565">
            <v>41791</v>
          </cell>
        </row>
        <row r="566">
          <cell r="B566" t="str">
            <v>Paul</v>
          </cell>
          <cell r="C566">
            <v>9</v>
          </cell>
          <cell r="D566">
            <v>301</v>
          </cell>
          <cell r="E566">
            <v>19</v>
          </cell>
          <cell r="F566">
            <v>17</v>
          </cell>
          <cell r="G566">
            <v>4</v>
          </cell>
          <cell r="H566">
            <v>29</v>
          </cell>
          <cell r="I566">
            <v>18</v>
          </cell>
          <cell r="M566" t="str">
            <v>&gt;&gt;</v>
          </cell>
          <cell r="N566" t="str">
            <v>Susmoy Paul</v>
          </cell>
          <cell r="O566" t="str">
            <v>FWC-1</v>
          </cell>
          <cell r="P566" t="str">
            <v>IRAN</v>
          </cell>
          <cell r="Q566">
            <v>1</v>
          </cell>
          <cell r="R566">
            <v>93</v>
          </cell>
          <cell r="U566">
            <v>41791</v>
          </cell>
        </row>
        <row r="567">
          <cell r="B567" t="str">
            <v>Niamul</v>
          </cell>
          <cell r="C567">
            <v>9</v>
          </cell>
          <cell r="D567">
            <v>194</v>
          </cell>
          <cell r="E567">
            <v>7</v>
          </cell>
          <cell r="F567">
            <v>14</v>
          </cell>
          <cell r="G567">
            <v>2</v>
          </cell>
          <cell r="H567">
            <v>10</v>
          </cell>
          <cell r="I567">
            <v>13</v>
          </cell>
          <cell r="M567" t="str">
            <v>&gt;&gt;</v>
          </cell>
          <cell r="N567" t="str">
            <v>Niamul Habib Setu</v>
          </cell>
          <cell r="O567" t="str">
            <v>FWC-1</v>
          </cell>
          <cell r="P567" t="str">
            <v>IRAN</v>
          </cell>
          <cell r="Q567">
            <v>1</v>
          </cell>
          <cell r="R567">
            <v>93</v>
          </cell>
          <cell r="U567">
            <v>41791</v>
          </cell>
        </row>
        <row r="568">
          <cell r="B568" t="str">
            <v>Faisal</v>
          </cell>
          <cell r="C568">
            <v>4</v>
          </cell>
          <cell r="D568">
            <v>1</v>
          </cell>
          <cell r="E568">
            <v>3</v>
          </cell>
          <cell r="F568">
            <v>2</v>
          </cell>
          <cell r="G568">
            <v>0</v>
          </cell>
          <cell r="H568">
            <v>0</v>
          </cell>
          <cell r="I568">
            <v>0</v>
          </cell>
          <cell r="M568" t="str">
            <v>&gt;&gt;</v>
          </cell>
          <cell r="N568" t="str">
            <v>Red Heart Faisal (Fayze Ahamed)</v>
          </cell>
          <cell r="O568" t="str">
            <v>FWC-1</v>
          </cell>
          <cell r="P568" t="str">
            <v>IRAN</v>
          </cell>
          <cell r="Q568">
            <v>1</v>
          </cell>
          <cell r="R568">
            <v>93</v>
          </cell>
          <cell r="U568">
            <v>41791</v>
          </cell>
        </row>
        <row r="569">
          <cell r="B569" t="str">
            <v>Rafikul</v>
          </cell>
          <cell r="C569">
            <v>8</v>
          </cell>
          <cell r="D569">
            <v>78</v>
          </cell>
          <cell r="E569">
            <v>13</v>
          </cell>
          <cell r="F569">
            <v>7</v>
          </cell>
          <cell r="G569">
            <v>0</v>
          </cell>
          <cell r="H569">
            <v>8</v>
          </cell>
          <cell r="I569">
            <v>4</v>
          </cell>
          <cell r="J569">
            <v>1</v>
          </cell>
          <cell r="M569" t="str">
            <v>&gt;&gt;</v>
          </cell>
          <cell r="N569" t="str">
            <v>Striker Rafikul</v>
          </cell>
          <cell r="O569" t="str">
            <v>FWC-1</v>
          </cell>
          <cell r="P569" t="str">
            <v>IRAN</v>
          </cell>
          <cell r="Q569">
            <v>1</v>
          </cell>
          <cell r="R569">
            <v>93</v>
          </cell>
          <cell r="U569">
            <v>41791</v>
          </cell>
        </row>
        <row r="570">
          <cell r="B570" t="str">
            <v>Mortaza</v>
          </cell>
          <cell r="C570">
            <v>8</v>
          </cell>
          <cell r="D570">
            <v>63</v>
          </cell>
          <cell r="E570">
            <v>5</v>
          </cell>
          <cell r="F570">
            <v>9</v>
          </cell>
          <cell r="G570">
            <v>0</v>
          </cell>
          <cell r="H570">
            <v>5</v>
          </cell>
          <cell r="I570">
            <v>2</v>
          </cell>
          <cell r="M570" t="str">
            <v>&gt;&gt;</v>
          </cell>
          <cell r="N570" t="str">
            <v>Sakib Mortaza</v>
          </cell>
          <cell r="O570" t="str">
            <v>FWC-1</v>
          </cell>
          <cell r="P570" t="str">
            <v>IRAN</v>
          </cell>
          <cell r="Q570">
            <v>1</v>
          </cell>
          <cell r="R570">
            <v>93</v>
          </cell>
          <cell r="U570">
            <v>41791</v>
          </cell>
        </row>
        <row r="571">
          <cell r="B571" t="str">
            <v>BOSNIA</v>
          </cell>
          <cell r="C571" t="str">
            <v>-</v>
          </cell>
          <cell r="M571" t="str">
            <v>&gt;&gt;</v>
          </cell>
          <cell r="N571" t="str">
            <v/>
          </cell>
          <cell r="O571" t="str">
            <v>FWC-1</v>
          </cell>
          <cell r="P571" t="str">
            <v>BOSNIA</v>
          </cell>
          <cell r="Q571">
            <v>1</v>
          </cell>
          <cell r="R571">
            <v>94</v>
          </cell>
          <cell r="U571">
            <v>41791</v>
          </cell>
        </row>
        <row r="572">
          <cell r="B572" t="str">
            <v>Roman</v>
          </cell>
          <cell r="C572">
            <v>10</v>
          </cell>
          <cell r="D572">
            <v>314</v>
          </cell>
          <cell r="E572">
            <v>26</v>
          </cell>
          <cell r="F572">
            <v>27</v>
          </cell>
          <cell r="G572">
            <v>3</v>
          </cell>
          <cell r="H572">
            <v>17</v>
          </cell>
          <cell r="I572">
            <v>13</v>
          </cell>
          <cell r="M572" t="str">
            <v>&gt;&gt;</v>
          </cell>
          <cell r="N572" t="str">
            <v>Roman mahamud Arko</v>
          </cell>
          <cell r="O572" t="str">
            <v>FWC-1</v>
          </cell>
          <cell r="P572" t="str">
            <v>BOSNIA</v>
          </cell>
          <cell r="Q572">
            <v>1</v>
          </cell>
          <cell r="R572">
            <v>94</v>
          </cell>
          <cell r="S572" t="str">
            <v>CPOT</v>
          </cell>
          <cell r="U572">
            <v>41791</v>
          </cell>
          <cell r="V572">
            <v>1</v>
          </cell>
          <cell r="W572">
            <v>1</v>
          </cell>
        </row>
        <row r="573">
          <cell r="B573" t="str">
            <v>Miraj</v>
          </cell>
          <cell r="C573">
            <v>6</v>
          </cell>
          <cell r="D573">
            <v>152</v>
          </cell>
          <cell r="E573">
            <v>13</v>
          </cell>
          <cell r="F573">
            <v>12</v>
          </cell>
          <cell r="G573">
            <v>0</v>
          </cell>
          <cell r="H573">
            <v>11</v>
          </cell>
          <cell r="I573">
            <v>11</v>
          </cell>
          <cell r="M573" t="str">
            <v>&gt;&gt;</v>
          </cell>
          <cell r="N573" t="str">
            <v>Shafayat Miraj</v>
          </cell>
          <cell r="O573" t="str">
            <v>FWC-1</v>
          </cell>
          <cell r="P573" t="str">
            <v>BOSNIA</v>
          </cell>
          <cell r="Q573">
            <v>1</v>
          </cell>
          <cell r="R573">
            <v>94</v>
          </cell>
          <cell r="U573">
            <v>41791</v>
          </cell>
        </row>
        <row r="574">
          <cell r="B574" t="str">
            <v>Shipu</v>
          </cell>
          <cell r="C574">
            <v>9</v>
          </cell>
          <cell r="D574">
            <v>126</v>
          </cell>
          <cell r="E574">
            <v>11</v>
          </cell>
          <cell r="F574">
            <v>12</v>
          </cell>
          <cell r="G574">
            <v>0</v>
          </cell>
          <cell r="H574">
            <v>6</v>
          </cell>
          <cell r="I574">
            <v>11</v>
          </cell>
          <cell r="M574" t="str">
            <v>&gt;&gt;</v>
          </cell>
          <cell r="N574" t="str">
            <v>Ah Shipu</v>
          </cell>
          <cell r="O574" t="str">
            <v>FWC-1</v>
          </cell>
          <cell r="P574" t="str">
            <v>BOSNIA</v>
          </cell>
          <cell r="Q574">
            <v>1</v>
          </cell>
          <cell r="R574">
            <v>94</v>
          </cell>
          <cell r="U574">
            <v>41791</v>
          </cell>
        </row>
        <row r="575">
          <cell r="B575" t="str">
            <v>Bappi</v>
          </cell>
          <cell r="C575">
            <v>1</v>
          </cell>
          <cell r="D575">
            <v>0</v>
          </cell>
          <cell r="E575">
            <v>0</v>
          </cell>
          <cell r="F575">
            <v>1</v>
          </cell>
          <cell r="G575">
            <v>0</v>
          </cell>
          <cell r="H575">
            <v>0</v>
          </cell>
          <cell r="I575">
            <v>0</v>
          </cell>
          <cell r="M575" t="str">
            <v>&gt;&gt;</v>
          </cell>
          <cell r="N575" t="str">
            <v>Sixer Bappi</v>
          </cell>
          <cell r="O575" t="str">
            <v>FWC-1</v>
          </cell>
          <cell r="P575" t="str">
            <v>BOSNIA</v>
          </cell>
          <cell r="Q575">
            <v>1</v>
          </cell>
          <cell r="R575">
            <v>94</v>
          </cell>
          <cell r="U575">
            <v>41791</v>
          </cell>
        </row>
        <row r="576">
          <cell r="B576" t="str">
            <v>Mullah</v>
          </cell>
          <cell r="C576">
            <v>10</v>
          </cell>
          <cell r="D576">
            <v>166</v>
          </cell>
          <cell r="E576">
            <v>8</v>
          </cell>
          <cell r="F576">
            <v>14</v>
          </cell>
          <cell r="G576">
            <v>0</v>
          </cell>
          <cell r="H576">
            <v>12</v>
          </cell>
          <cell r="I576">
            <v>9</v>
          </cell>
          <cell r="M576" t="str">
            <v>&gt;&gt;</v>
          </cell>
          <cell r="N576" t="str">
            <v>Mohammad Haris Mullah</v>
          </cell>
          <cell r="O576" t="str">
            <v>FWC-1</v>
          </cell>
          <cell r="P576" t="str">
            <v>BOSNIA</v>
          </cell>
          <cell r="Q576">
            <v>1</v>
          </cell>
          <cell r="R576">
            <v>94</v>
          </cell>
          <cell r="U576">
            <v>41791</v>
          </cell>
        </row>
        <row r="577">
          <cell r="B577" t="str">
            <v>SPAIN</v>
          </cell>
          <cell r="C577" t="str">
            <v>-</v>
          </cell>
          <cell r="M577" t="str">
            <v>&gt;&gt;</v>
          </cell>
          <cell r="N577" t="str">
            <v/>
          </cell>
          <cell r="O577" t="str">
            <v>FWC-1</v>
          </cell>
          <cell r="P577" t="str">
            <v>SPAIN</v>
          </cell>
          <cell r="Q577">
            <v>1</v>
          </cell>
          <cell r="R577">
            <v>95</v>
          </cell>
          <cell r="U577">
            <v>41791</v>
          </cell>
        </row>
        <row r="578">
          <cell r="B578" t="str">
            <v>Rafiul</v>
          </cell>
          <cell r="C578">
            <v>4</v>
          </cell>
          <cell r="D578">
            <v>40</v>
          </cell>
          <cell r="E578">
            <v>2</v>
          </cell>
          <cell r="F578">
            <v>6</v>
          </cell>
          <cell r="G578">
            <v>0</v>
          </cell>
          <cell r="H578">
            <v>1</v>
          </cell>
          <cell r="I578">
            <v>3</v>
          </cell>
          <cell r="M578" t="str">
            <v>&gt;&gt;</v>
          </cell>
          <cell r="N578" t="str">
            <v>Rafiul Haque Sanchay</v>
          </cell>
          <cell r="O578" t="str">
            <v>FWC-1</v>
          </cell>
          <cell r="P578" t="str">
            <v>SPAIN</v>
          </cell>
          <cell r="Q578">
            <v>1</v>
          </cell>
          <cell r="R578">
            <v>95</v>
          </cell>
          <cell r="U578">
            <v>41791</v>
          </cell>
        </row>
        <row r="579">
          <cell r="B579" t="str">
            <v>Sabbir</v>
          </cell>
          <cell r="C579">
            <v>5</v>
          </cell>
          <cell r="D579">
            <v>41</v>
          </cell>
          <cell r="E579">
            <v>8</v>
          </cell>
          <cell r="F579">
            <v>7</v>
          </cell>
          <cell r="G579">
            <v>0</v>
          </cell>
          <cell r="H579">
            <v>4</v>
          </cell>
          <cell r="I579">
            <v>0</v>
          </cell>
          <cell r="M579" t="str">
            <v>&gt;&gt;</v>
          </cell>
          <cell r="N579" t="str">
            <v>Sabbir Ahmed</v>
          </cell>
          <cell r="O579" t="str">
            <v>FWC-1</v>
          </cell>
          <cell r="P579" t="str">
            <v>SPAIN</v>
          </cell>
          <cell r="Q579">
            <v>1</v>
          </cell>
          <cell r="R579">
            <v>95</v>
          </cell>
          <cell r="U579">
            <v>41791</v>
          </cell>
        </row>
        <row r="580">
          <cell r="B580" t="str">
            <v>Rexx</v>
          </cell>
          <cell r="C580">
            <v>5</v>
          </cell>
          <cell r="D580">
            <v>107</v>
          </cell>
          <cell r="E580">
            <v>8</v>
          </cell>
          <cell r="F580">
            <v>12</v>
          </cell>
          <cell r="G580">
            <v>1</v>
          </cell>
          <cell r="H580">
            <v>12</v>
          </cell>
          <cell r="I580">
            <v>7</v>
          </cell>
          <cell r="M580" t="str">
            <v>&gt;&gt;</v>
          </cell>
          <cell r="N580" t="str">
            <v>Bishwajit Sarkar</v>
          </cell>
          <cell r="O580" t="str">
            <v>FWC-1</v>
          </cell>
          <cell r="P580" t="str">
            <v>SPAIN</v>
          </cell>
          <cell r="Q580">
            <v>1</v>
          </cell>
          <cell r="R580">
            <v>95</v>
          </cell>
          <cell r="U580">
            <v>41791</v>
          </cell>
        </row>
        <row r="581">
          <cell r="B581" t="str">
            <v>Hridoy</v>
          </cell>
          <cell r="C581">
            <v>4</v>
          </cell>
          <cell r="D581">
            <v>68</v>
          </cell>
          <cell r="E581">
            <v>2</v>
          </cell>
          <cell r="F581">
            <v>6</v>
          </cell>
          <cell r="G581">
            <v>0</v>
          </cell>
          <cell r="H581">
            <v>4</v>
          </cell>
          <cell r="I581">
            <v>4</v>
          </cell>
          <cell r="M581" t="str">
            <v>&gt;&gt;</v>
          </cell>
          <cell r="N581" t="str">
            <v>Kamrul Hasan Hridoy</v>
          </cell>
          <cell r="O581" t="str">
            <v>FWC-1</v>
          </cell>
          <cell r="P581" t="str">
            <v>SPAIN</v>
          </cell>
          <cell r="Q581">
            <v>1</v>
          </cell>
          <cell r="R581">
            <v>95</v>
          </cell>
          <cell r="U581">
            <v>41791</v>
          </cell>
        </row>
        <row r="582">
          <cell r="B582" t="str">
            <v>Rakib</v>
          </cell>
          <cell r="C582">
            <v>1</v>
          </cell>
          <cell r="D582">
            <v>14</v>
          </cell>
          <cell r="E582">
            <v>1</v>
          </cell>
          <cell r="F582">
            <v>1</v>
          </cell>
          <cell r="G582">
            <v>0</v>
          </cell>
          <cell r="H582">
            <v>0</v>
          </cell>
          <cell r="I582">
            <v>1</v>
          </cell>
          <cell r="M582" t="str">
            <v>&gt;&gt;</v>
          </cell>
          <cell r="N582" t="str">
            <v>Rakib Hasan</v>
          </cell>
          <cell r="O582" t="str">
            <v>FWC-1</v>
          </cell>
          <cell r="P582" t="str">
            <v>SPAIN</v>
          </cell>
          <cell r="Q582">
            <v>1</v>
          </cell>
          <cell r="R582">
            <v>95</v>
          </cell>
          <cell r="U582">
            <v>41791</v>
          </cell>
        </row>
        <row r="583">
          <cell r="B583" t="str">
            <v>BRAZIL</v>
          </cell>
          <cell r="C583" t="str">
            <v>-</v>
          </cell>
          <cell r="M583" t="str">
            <v>&gt;&gt;</v>
          </cell>
          <cell r="N583" t="str">
            <v/>
          </cell>
          <cell r="O583" t="str">
            <v>FWC-1</v>
          </cell>
          <cell r="P583" t="str">
            <v>BRAZIL</v>
          </cell>
          <cell r="Q583">
            <v>1</v>
          </cell>
          <cell r="R583">
            <v>96</v>
          </cell>
          <cell r="U583">
            <v>41791</v>
          </cell>
        </row>
        <row r="584">
          <cell r="B584" t="str">
            <v>Helal</v>
          </cell>
          <cell r="C584">
            <v>11</v>
          </cell>
          <cell r="D584">
            <v>188</v>
          </cell>
          <cell r="E584">
            <v>23</v>
          </cell>
          <cell r="F584">
            <v>15</v>
          </cell>
          <cell r="G584">
            <v>1</v>
          </cell>
          <cell r="H584">
            <v>12</v>
          </cell>
          <cell r="I584">
            <v>8</v>
          </cell>
          <cell r="M584" t="str">
            <v>&gt;&gt;</v>
          </cell>
          <cell r="N584" t="str">
            <v>Sheik Helal Ahmed</v>
          </cell>
          <cell r="O584" t="str">
            <v>FWC-1</v>
          </cell>
          <cell r="P584" t="str">
            <v>BRAZIL</v>
          </cell>
          <cell r="Q584">
            <v>1</v>
          </cell>
          <cell r="R584">
            <v>96</v>
          </cell>
          <cell r="U584">
            <v>41791</v>
          </cell>
        </row>
        <row r="585">
          <cell r="B585" t="str">
            <v>Rinkon</v>
          </cell>
          <cell r="C585">
            <v>11</v>
          </cell>
          <cell r="D585">
            <v>311</v>
          </cell>
          <cell r="E585">
            <v>12</v>
          </cell>
          <cell r="F585">
            <v>19</v>
          </cell>
          <cell r="G585">
            <v>1</v>
          </cell>
          <cell r="H585">
            <v>20</v>
          </cell>
          <cell r="I585">
            <v>22</v>
          </cell>
          <cell r="M585" t="str">
            <v>&gt;&gt;</v>
          </cell>
          <cell r="N585" t="str">
            <v>Rinkon Khan</v>
          </cell>
          <cell r="O585" t="str">
            <v>FWC-1</v>
          </cell>
          <cell r="P585" t="str">
            <v>BRAZIL</v>
          </cell>
          <cell r="Q585">
            <v>1</v>
          </cell>
          <cell r="R585">
            <v>96</v>
          </cell>
          <cell r="U585">
            <v>41791</v>
          </cell>
        </row>
        <row r="586">
          <cell r="B586" t="str">
            <v>Abutaleb</v>
          </cell>
          <cell r="C586">
            <v>9</v>
          </cell>
          <cell r="D586">
            <v>131</v>
          </cell>
          <cell r="E586">
            <v>8</v>
          </cell>
          <cell r="F586">
            <v>11</v>
          </cell>
          <cell r="G586">
            <v>0</v>
          </cell>
          <cell r="H586">
            <v>7</v>
          </cell>
          <cell r="I586">
            <v>11</v>
          </cell>
          <cell r="M586" t="str">
            <v>&gt;&gt;</v>
          </cell>
          <cell r="N586" t="str">
            <v>Md. Abutaleb</v>
          </cell>
          <cell r="O586" t="str">
            <v>FWC-1</v>
          </cell>
          <cell r="P586" t="str">
            <v>BRAZIL</v>
          </cell>
          <cell r="Q586">
            <v>1</v>
          </cell>
          <cell r="R586">
            <v>96</v>
          </cell>
          <cell r="U586">
            <v>41791</v>
          </cell>
        </row>
        <row r="587">
          <cell r="B587" t="str">
            <v>Sahed</v>
          </cell>
          <cell r="C587">
            <v>7</v>
          </cell>
          <cell r="D587">
            <v>133</v>
          </cell>
          <cell r="E587">
            <v>3</v>
          </cell>
          <cell r="F587">
            <v>10</v>
          </cell>
          <cell r="G587">
            <v>1</v>
          </cell>
          <cell r="H587">
            <v>6</v>
          </cell>
          <cell r="I587">
            <v>13</v>
          </cell>
          <cell r="M587" t="str">
            <v>&gt;&gt;</v>
          </cell>
          <cell r="N587" t="str">
            <v>Sahed Hossain Masum</v>
          </cell>
          <cell r="O587" t="str">
            <v>FWC-1</v>
          </cell>
          <cell r="P587" t="str">
            <v>BRAZIL</v>
          </cell>
          <cell r="Q587">
            <v>1</v>
          </cell>
          <cell r="R587">
            <v>96</v>
          </cell>
          <cell r="U587">
            <v>41791</v>
          </cell>
        </row>
        <row r="588">
          <cell r="B588" t="str">
            <v>Meraj</v>
          </cell>
          <cell r="C588">
            <v>11</v>
          </cell>
          <cell r="D588">
            <v>173</v>
          </cell>
          <cell r="E588">
            <v>24</v>
          </cell>
          <cell r="F588">
            <v>13</v>
          </cell>
          <cell r="G588">
            <v>1</v>
          </cell>
          <cell r="H588">
            <v>14</v>
          </cell>
          <cell r="I588">
            <v>11</v>
          </cell>
          <cell r="M588" t="str">
            <v>&gt;&gt;</v>
          </cell>
          <cell r="N588" t="str">
            <v>Samiul Meraj</v>
          </cell>
          <cell r="O588" t="str">
            <v>FWC-1</v>
          </cell>
          <cell r="P588" t="str">
            <v>BRAZIL</v>
          </cell>
          <cell r="Q588">
            <v>1</v>
          </cell>
          <cell r="R588">
            <v>96</v>
          </cell>
          <cell r="U588">
            <v>41791</v>
          </cell>
        </row>
        <row r="589">
          <cell r="B589" t="str">
            <v>GERMANY</v>
          </cell>
          <cell r="C589" t="str">
            <v>-</v>
          </cell>
          <cell r="M589" t="str">
            <v>&gt;&gt;</v>
          </cell>
          <cell r="N589" t="str">
            <v/>
          </cell>
          <cell r="O589" t="str">
            <v>FWC-1</v>
          </cell>
          <cell r="P589" t="str">
            <v>GERMANY</v>
          </cell>
          <cell r="Q589">
            <v>1</v>
          </cell>
          <cell r="R589">
            <v>97</v>
          </cell>
          <cell r="U589">
            <v>41791</v>
          </cell>
        </row>
        <row r="590">
          <cell r="B590" t="str">
            <v>Jumon</v>
          </cell>
          <cell r="C590">
            <v>9</v>
          </cell>
          <cell r="D590">
            <v>82</v>
          </cell>
          <cell r="E590">
            <v>13</v>
          </cell>
          <cell r="F590">
            <v>10</v>
          </cell>
          <cell r="G590">
            <v>1</v>
          </cell>
          <cell r="H590">
            <v>10</v>
          </cell>
          <cell r="I590">
            <v>4</v>
          </cell>
          <cell r="M590" t="str">
            <v>&gt;&gt;</v>
          </cell>
          <cell r="N590" t="str">
            <v>Foysal Ahmed Jumon</v>
          </cell>
          <cell r="O590" t="str">
            <v>FWC-1</v>
          </cell>
          <cell r="P590" t="str">
            <v>GERMANY</v>
          </cell>
          <cell r="Q590">
            <v>1</v>
          </cell>
          <cell r="R590">
            <v>97</v>
          </cell>
          <cell r="U590">
            <v>41791</v>
          </cell>
        </row>
        <row r="591">
          <cell r="B591" t="str">
            <v>Pranto</v>
          </cell>
          <cell r="C591">
            <v>7</v>
          </cell>
          <cell r="D591">
            <v>144</v>
          </cell>
          <cell r="E591">
            <v>8</v>
          </cell>
          <cell r="F591">
            <v>7</v>
          </cell>
          <cell r="G591">
            <v>0</v>
          </cell>
          <cell r="H591">
            <v>9</v>
          </cell>
          <cell r="I591">
            <v>6</v>
          </cell>
          <cell r="M591" t="str">
            <v>&gt;&gt;</v>
          </cell>
          <cell r="N591" t="str">
            <v>Bandhon Podder Pranto</v>
          </cell>
          <cell r="O591" t="str">
            <v>FWC-1</v>
          </cell>
          <cell r="P591" t="str">
            <v>GERMANY</v>
          </cell>
          <cell r="Q591">
            <v>1</v>
          </cell>
          <cell r="R591">
            <v>97</v>
          </cell>
          <cell r="U591">
            <v>41791</v>
          </cell>
        </row>
        <row r="592">
          <cell r="B592" t="str">
            <v>Jahin</v>
          </cell>
          <cell r="C592">
            <v>9</v>
          </cell>
          <cell r="D592">
            <v>243</v>
          </cell>
          <cell r="E592">
            <v>12</v>
          </cell>
          <cell r="F592">
            <v>14</v>
          </cell>
          <cell r="G592">
            <v>2</v>
          </cell>
          <cell r="H592">
            <v>18</v>
          </cell>
          <cell r="I592">
            <v>13</v>
          </cell>
          <cell r="M592" t="str">
            <v>&gt;&gt;</v>
          </cell>
          <cell r="N592" t="str">
            <v>Jahin Shahriar Chowdhury</v>
          </cell>
          <cell r="O592" t="str">
            <v>FWC-1</v>
          </cell>
          <cell r="P592" t="str">
            <v>GERMANY</v>
          </cell>
          <cell r="Q592">
            <v>1</v>
          </cell>
          <cell r="R592">
            <v>97</v>
          </cell>
          <cell r="U592">
            <v>41791</v>
          </cell>
        </row>
        <row r="593">
          <cell r="B593" t="str">
            <v>Mashuk</v>
          </cell>
          <cell r="C593">
            <v>9</v>
          </cell>
          <cell r="D593">
            <v>161</v>
          </cell>
          <cell r="E593">
            <v>16</v>
          </cell>
          <cell r="F593">
            <v>12</v>
          </cell>
          <cell r="G593">
            <v>2</v>
          </cell>
          <cell r="H593">
            <v>9</v>
          </cell>
          <cell r="I593">
            <v>16</v>
          </cell>
          <cell r="M593" t="str">
            <v>&gt;&gt;</v>
          </cell>
          <cell r="N593" t="str">
            <v>Mustofa Muddassir Mahmud Mashuk</v>
          </cell>
          <cell r="O593" t="str">
            <v>FWC-1</v>
          </cell>
          <cell r="P593" t="str">
            <v>GERMANY</v>
          </cell>
          <cell r="Q593">
            <v>1</v>
          </cell>
          <cell r="R593">
            <v>97</v>
          </cell>
          <cell r="U593">
            <v>41791</v>
          </cell>
        </row>
        <row r="594">
          <cell r="B594" t="str">
            <v>Sohan</v>
          </cell>
          <cell r="C594">
            <v>2</v>
          </cell>
          <cell r="D594">
            <v>8</v>
          </cell>
          <cell r="E594">
            <v>2</v>
          </cell>
          <cell r="F594">
            <v>2</v>
          </cell>
          <cell r="G594">
            <v>0</v>
          </cell>
          <cell r="H594">
            <v>0</v>
          </cell>
          <cell r="I594">
            <v>1</v>
          </cell>
          <cell r="M594" t="str">
            <v>&gt;&gt;</v>
          </cell>
          <cell r="N594" t="str">
            <v>Moksedur RaHman SoHan (Duronto Sohan)</v>
          </cell>
          <cell r="O594" t="str">
            <v>FWC-1</v>
          </cell>
          <cell r="P594" t="str">
            <v>PORTUGAL</v>
          </cell>
          <cell r="Q594">
            <v>1</v>
          </cell>
          <cell r="R594">
            <v>98</v>
          </cell>
          <cell r="T594" t="str">
            <v>RU</v>
          </cell>
          <cell r="U594">
            <v>41791</v>
          </cell>
        </row>
        <row r="595">
          <cell r="B595" t="str">
            <v>PORTUGAL</v>
          </cell>
          <cell r="C595" t="str">
            <v>-</v>
          </cell>
          <cell r="M595" t="str">
            <v>&gt;&gt;</v>
          </cell>
          <cell r="N595" t="str">
            <v/>
          </cell>
          <cell r="O595" t="str">
            <v>FWC-1</v>
          </cell>
          <cell r="P595" t="str">
            <v>PORTUGAL</v>
          </cell>
          <cell r="Q595">
            <v>1</v>
          </cell>
          <cell r="R595">
            <v>98</v>
          </cell>
          <cell r="T595" t="str">
            <v>RU</v>
          </cell>
          <cell r="U595">
            <v>41791</v>
          </cell>
        </row>
        <row r="596">
          <cell r="B596" t="str">
            <v>AR Shohag</v>
          </cell>
          <cell r="C596">
            <v>10</v>
          </cell>
          <cell r="D596">
            <v>82</v>
          </cell>
          <cell r="E596">
            <v>17</v>
          </cell>
          <cell r="F596">
            <v>11</v>
          </cell>
          <cell r="G596">
            <v>0</v>
          </cell>
          <cell r="H596">
            <v>5</v>
          </cell>
          <cell r="I596">
            <v>7</v>
          </cell>
          <cell r="M596" t="str">
            <v>&gt;&gt;</v>
          </cell>
          <cell r="N596" t="str">
            <v>A.R. Shohag</v>
          </cell>
          <cell r="O596" t="str">
            <v>FWC-1</v>
          </cell>
          <cell r="P596" t="str">
            <v>PORTUGAL</v>
          </cell>
          <cell r="Q596">
            <v>1</v>
          </cell>
          <cell r="R596">
            <v>98</v>
          </cell>
          <cell r="T596" t="str">
            <v>RU</v>
          </cell>
          <cell r="U596">
            <v>41791</v>
          </cell>
        </row>
        <row r="597">
          <cell r="B597" t="str">
            <v>Rifat</v>
          </cell>
          <cell r="C597">
            <v>1</v>
          </cell>
          <cell r="D597">
            <v>24</v>
          </cell>
          <cell r="E597">
            <v>0</v>
          </cell>
          <cell r="F597">
            <v>2</v>
          </cell>
          <cell r="G597">
            <v>0</v>
          </cell>
          <cell r="H597">
            <v>2</v>
          </cell>
          <cell r="I597">
            <v>1</v>
          </cell>
          <cell r="M597" t="str">
            <v>&gt;&gt;</v>
          </cell>
          <cell r="N597" t="str">
            <v>Rifat Ullah</v>
          </cell>
          <cell r="O597" t="str">
            <v>FWC-1</v>
          </cell>
          <cell r="P597" t="str">
            <v>PORTUGAL</v>
          </cell>
          <cell r="Q597">
            <v>1</v>
          </cell>
          <cell r="R597">
            <v>98</v>
          </cell>
          <cell r="T597" t="str">
            <v>RU</v>
          </cell>
          <cell r="U597">
            <v>41791</v>
          </cell>
        </row>
        <row r="598">
          <cell r="B598" t="str">
            <v>Raihan</v>
          </cell>
          <cell r="C598">
            <v>10</v>
          </cell>
          <cell r="D598">
            <v>312</v>
          </cell>
          <cell r="E598">
            <v>25</v>
          </cell>
          <cell r="F598">
            <v>17</v>
          </cell>
          <cell r="G598">
            <v>5</v>
          </cell>
          <cell r="H598">
            <v>16</v>
          </cell>
          <cell r="I598">
            <v>16</v>
          </cell>
          <cell r="M598" t="str">
            <v>&gt;&gt;</v>
          </cell>
          <cell r="N598" t="str">
            <v>Raihan Al-maMun</v>
          </cell>
          <cell r="O598" t="str">
            <v>FWC-1</v>
          </cell>
          <cell r="P598" t="str">
            <v>PORTUGAL</v>
          </cell>
          <cell r="Q598">
            <v>1</v>
          </cell>
          <cell r="R598">
            <v>98</v>
          </cell>
          <cell r="S598" t="str">
            <v>MOT</v>
          </cell>
          <cell r="T598" t="str">
            <v>RU</v>
          </cell>
          <cell r="U598">
            <v>41791</v>
          </cell>
        </row>
        <row r="599">
          <cell r="B599" t="str">
            <v>Meyaz</v>
          </cell>
          <cell r="C599">
            <v>11</v>
          </cell>
          <cell r="D599">
            <v>167</v>
          </cell>
          <cell r="E599">
            <v>11</v>
          </cell>
          <cell r="F599">
            <v>17</v>
          </cell>
          <cell r="G599">
            <v>0</v>
          </cell>
          <cell r="H599">
            <v>15</v>
          </cell>
          <cell r="I599">
            <v>14</v>
          </cell>
          <cell r="M599" t="str">
            <v>&gt;&gt;</v>
          </cell>
          <cell r="N599" t="str">
            <v>Meyaz Al Emon</v>
          </cell>
          <cell r="O599" t="str">
            <v>FWC-1</v>
          </cell>
          <cell r="P599" t="str">
            <v>PORTUGAL</v>
          </cell>
          <cell r="Q599">
            <v>1</v>
          </cell>
          <cell r="R599">
            <v>98</v>
          </cell>
          <cell r="T599" t="str">
            <v>RU</v>
          </cell>
          <cell r="U599">
            <v>41791</v>
          </cell>
        </row>
        <row r="600">
          <cell r="B600" t="str">
            <v>Moon</v>
          </cell>
          <cell r="C600">
            <v>11</v>
          </cell>
          <cell r="D600">
            <v>179</v>
          </cell>
          <cell r="E600">
            <v>12</v>
          </cell>
          <cell r="F600">
            <v>15</v>
          </cell>
          <cell r="G600">
            <v>3</v>
          </cell>
          <cell r="H600">
            <v>8</v>
          </cell>
          <cell r="I600">
            <v>10</v>
          </cell>
          <cell r="M600" t="str">
            <v>&gt;&gt;</v>
          </cell>
          <cell r="N600" t="str">
            <v>Mazharul Islam Moon</v>
          </cell>
          <cell r="O600" t="str">
            <v>FWC-1</v>
          </cell>
          <cell r="P600" t="str">
            <v>PORTUGAL</v>
          </cell>
          <cell r="Q600">
            <v>1</v>
          </cell>
          <cell r="R600">
            <v>98</v>
          </cell>
          <cell r="T600" t="str">
            <v>RU</v>
          </cell>
          <cell r="U600">
            <v>41791</v>
          </cell>
        </row>
        <row r="601">
          <cell r="B601" t="str">
            <v>HONDURAS</v>
          </cell>
          <cell r="C601" t="str">
            <v>-</v>
          </cell>
          <cell r="M601" t="str">
            <v>&gt;&gt;</v>
          </cell>
          <cell r="N601" t="str">
            <v/>
          </cell>
          <cell r="O601" t="str">
            <v>FWC-1</v>
          </cell>
          <cell r="P601" t="str">
            <v>HONDURAS</v>
          </cell>
          <cell r="Q601">
            <v>1</v>
          </cell>
          <cell r="R601">
            <v>99</v>
          </cell>
          <cell r="U601">
            <v>41791</v>
          </cell>
        </row>
        <row r="602">
          <cell r="B602" t="str">
            <v>Nahid</v>
          </cell>
          <cell r="C602">
            <v>5</v>
          </cell>
          <cell r="D602">
            <v>41</v>
          </cell>
          <cell r="E602">
            <v>10</v>
          </cell>
          <cell r="F602">
            <v>10</v>
          </cell>
          <cell r="G602">
            <v>1</v>
          </cell>
          <cell r="H602">
            <v>3</v>
          </cell>
          <cell r="I602">
            <v>3</v>
          </cell>
          <cell r="M602" t="str">
            <v>&gt;&gt;</v>
          </cell>
          <cell r="N602" t="str">
            <v>Nahid Saifullah</v>
          </cell>
          <cell r="O602" t="str">
            <v>FWC-1</v>
          </cell>
          <cell r="P602" t="str">
            <v>HONDURAS</v>
          </cell>
          <cell r="Q602">
            <v>1</v>
          </cell>
          <cell r="R602">
            <v>99</v>
          </cell>
          <cell r="U602">
            <v>41791</v>
          </cell>
        </row>
        <row r="603">
          <cell r="B603" t="str">
            <v>Tarek</v>
          </cell>
          <cell r="C603">
            <v>1</v>
          </cell>
          <cell r="D603">
            <v>1</v>
          </cell>
          <cell r="E603">
            <v>1</v>
          </cell>
          <cell r="F603">
            <v>1</v>
          </cell>
          <cell r="G603">
            <v>0</v>
          </cell>
          <cell r="H603">
            <v>0</v>
          </cell>
          <cell r="I603">
            <v>0</v>
          </cell>
          <cell r="M603" t="str">
            <v>&gt;&gt;</v>
          </cell>
          <cell r="N603" t="str">
            <v>Prince Tarek</v>
          </cell>
          <cell r="O603" t="str">
            <v>FWC-1</v>
          </cell>
          <cell r="P603" t="str">
            <v>HONDURAS</v>
          </cell>
          <cell r="Q603">
            <v>1</v>
          </cell>
          <cell r="R603">
            <v>99</v>
          </cell>
          <cell r="U603">
            <v>41791</v>
          </cell>
        </row>
        <row r="604">
          <cell r="B604" t="str">
            <v>Himel</v>
          </cell>
          <cell r="C604">
            <v>4</v>
          </cell>
          <cell r="D604">
            <v>108</v>
          </cell>
          <cell r="E604">
            <v>3</v>
          </cell>
          <cell r="F604">
            <v>8</v>
          </cell>
          <cell r="G604">
            <v>0</v>
          </cell>
          <cell r="H604">
            <v>5</v>
          </cell>
          <cell r="I604">
            <v>4</v>
          </cell>
          <cell r="M604" t="str">
            <v>&gt;&gt;</v>
          </cell>
          <cell r="N604" t="str">
            <v>Hj Himel</v>
          </cell>
          <cell r="O604" t="str">
            <v>FWC-1</v>
          </cell>
          <cell r="P604" t="str">
            <v>HONDURAS</v>
          </cell>
          <cell r="Q604">
            <v>1</v>
          </cell>
          <cell r="R604">
            <v>99</v>
          </cell>
          <cell r="U604">
            <v>41791</v>
          </cell>
        </row>
        <row r="605">
          <cell r="B605" t="str">
            <v>Rico</v>
          </cell>
          <cell r="C605">
            <v>5</v>
          </cell>
          <cell r="D605">
            <v>164</v>
          </cell>
          <cell r="E605">
            <v>7</v>
          </cell>
          <cell r="F605">
            <v>10</v>
          </cell>
          <cell r="G605">
            <v>0</v>
          </cell>
          <cell r="H605">
            <v>7</v>
          </cell>
          <cell r="I605">
            <v>12</v>
          </cell>
          <cell r="M605" t="str">
            <v>&gt;&gt;</v>
          </cell>
          <cell r="N605" t="str">
            <v>Mamun Hossain Rico</v>
          </cell>
          <cell r="O605" t="str">
            <v>FWC-1</v>
          </cell>
          <cell r="P605" t="str">
            <v>HONDURAS</v>
          </cell>
          <cell r="Q605">
            <v>1</v>
          </cell>
          <cell r="R605">
            <v>99</v>
          </cell>
          <cell r="U605">
            <v>41791</v>
          </cell>
        </row>
        <row r="606">
          <cell r="B606" t="str">
            <v>Taho</v>
          </cell>
          <cell r="C606">
            <v>4</v>
          </cell>
          <cell r="D606">
            <v>12</v>
          </cell>
          <cell r="E606">
            <v>0</v>
          </cell>
          <cell r="F606">
            <v>5</v>
          </cell>
          <cell r="G606">
            <v>0</v>
          </cell>
          <cell r="H606">
            <v>0</v>
          </cell>
          <cell r="I606">
            <v>0</v>
          </cell>
          <cell r="M606" t="str">
            <v>&gt;&gt;</v>
          </cell>
          <cell r="N606" t="str">
            <v>Taho D. Ace</v>
          </cell>
          <cell r="O606" t="str">
            <v>FWC-1</v>
          </cell>
          <cell r="P606" t="str">
            <v>HONDURAS</v>
          </cell>
          <cell r="Q606">
            <v>1</v>
          </cell>
          <cell r="R606">
            <v>99</v>
          </cell>
          <cell r="U606">
            <v>41791</v>
          </cell>
        </row>
        <row r="607">
          <cell r="B607" t="str">
            <v>#FRANCE</v>
          </cell>
          <cell r="C607" t="str">
            <v>-</v>
          </cell>
          <cell r="M607" t="str">
            <v>&gt;&gt;</v>
          </cell>
          <cell r="N607" t="str">
            <v/>
          </cell>
          <cell r="O607" t="str">
            <v>FWC-1</v>
          </cell>
          <cell r="P607" t="str">
            <v>FRANCE</v>
          </cell>
          <cell r="Q607">
            <v>1</v>
          </cell>
          <cell r="R607">
            <v>100</v>
          </cell>
          <cell r="T607" t="str">
            <v>CHAMP</v>
          </cell>
          <cell r="U607">
            <v>41791</v>
          </cell>
        </row>
        <row r="608">
          <cell r="B608" t="str">
            <v>Md. Asif</v>
          </cell>
          <cell r="C608">
            <v>11</v>
          </cell>
          <cell r="D608">
            <v>120</v>
          </cell>
          <cell r="E608">
            <v>13</v>
          </cell>
          <cell r="F608">
            <v>9</v>
          </cell>
          <cell r="G608">
            <v>1</v>
          </cell>
          <cell r="H608">
            <v>8</v>
          </cell>
          <cell r="I608">
            <v>10</v>
          </cell>
          <cell r="M608" t="str">
            <v>&gt;&gt;</v>
          </cell>
          <cell r="N608" t="str">
            <v>Mohammad Asif</v>
          </cell>
          <cell r="O608" t="str">
            <v>FWC-1</v>
          </cell>
          <cell r="P608" t="str">
            <v>FRANCE</v>
          </cell>
          <cell r="Q608">
            <v>1</v>
          </cell>
          <cell r="R608">
            <v>100</v>
          </cell>
          <cell r="T608" t="str">
            <v>CHAMP</v>
          </cell>
          <cell r="U608">
            <v>41791</v>
          </cell>
        </row>
        <row r="609">
          <cell r="B609" t="str">
            <v>Tanvir</v>
          </cell>
          <cell r="C609">
            <v>11</v>
          </cell>
          <cell r="D609">
            <v>211</v>
          </cell>
          <cell r="E609">
            <v>13</v>
          </cell>
          <cell r="F609">
            <v>12</v>
          </cell>
          <cell r="G609">
            <v>2</v>
          </cell>
          <cell r="H609">
            <v>18</v>
          </cell>
          <cell r="I609">
            <v>13</v>
          </cell>
          <cell r="M609" t="str">
            <v>&gt;&gt;</v>
          </cell>
          <cell r="N609" t="str">
            <v>Tanvir Shakib</v>
          </cell>
          <cell r="O609" t="str">
            <v>FWC-1</v>
          </cell>
          <cell r="P609" t="str">
            <v>FRANCE</v>
          </cell>
          <cell r="Q609">
            <v>1</v>
          </cell>
          <cell r="R609">
            <v>100</v>
          </cell>
          <cell r="T609" t="str">
            <v>CHAMP</v>
          </cell>
          <cell r="U609">
            <v>41791</v>
          </cell>
        </row>
        <row r="610">
          <cell r="B610" t="str">
            <v>Saiful</v>
          </cell>
          <cell r="C610">
            <v>11</v>
          </cell>
          <cell r="D610">
            <v>121</v>
          </cell>
          <cell r="E610">
            <v>11</v>
          </cell>
          <cell r="F610">
            <v>13</v>
          </cell>
          <cell r="G610">
            <v>2</v>
          </cell>
          <cell r="H610">
            <v>10</v>
          </cell>
          <cell r="I610">
            <v>8</v>
          </cell>
          <cell r="M610" t="str">
            <v>&gt;&gt;</v>
          </cell>
          <cell r="N610" t="str">
            <v>Saiful Islam</v>
          </cell>
          <cell r="O610" t="str">
            <v>FWC-1</v>
          </cell>
          <cell r="P610" t="str">
            <v>FRANCE</v>
          </cell>
          <cell r="Q610">
            <v>1</v>
          </cell>
          <cell r="R610">
            <v>100</v>
          </cell>
          <cell r="T610" t="str">
            <v>CHAMP</v>
          </cell>
          <cell r="U610">
            <v>41791</v>
          </cell>
        </row>
        <row r="611">
          <cell r="B611" t="str">
            <v>Sagar</v>
          </cell>
          <cell r="C611">
            <v>11</v>
          </cell>
          <cell r="D611">
            <v>185</v>
          </cell>
          <cell r="E611">
            <v>14</v>
          </cell>
          <cell r="F611">
            <v>11</v>
          </cell>
          <cell r="G611">
            <v>0</v>
          </cell>
          <cell r="H611">
            <v>13</v>
          </cell>
          <cell r="I611">
            <v>11</v>
          </cell>
          <cell r="M611" t="str">
            <v>&gt;&gt;</v>
          </cell>
          <cell r="N611" t="str">
            <v>Sajjadul Haque Sagar</v>
          </cell>
          <cell r="O611" t="str">
            <v>FWC-1</v>
          </cell>
          <cell r="P611" t="str">
            <v>FRANCE</v>
          </cell>
          <cell r="Q611">
            <v>1</v>
          </cell>
          <cell r="R611">
            <v>100</v>
          </cell>
          <cell r="T611" t="str">
            <v>CHAMP</v>
          </cell>
          <cell r="U611">
            <v>41791</v>
          </cell>
        </row>
        <row r="612">
          <cell r="B612" t="str">
            <v>Arif</v>
          </cell>
          <cell r="C612">
            <v>11</v>
          </cell>
          <cell r="D612">
            <v>191</v>
          </cell>
          <cell r="E612">
            <v>16</v>
          </cell>
          <cell r="F612">
            <v>10</v>
          </cell>
          <cell r="G612">
            <v>4</v>
          </cell>
          <cell r="H612">
            <v>17</v>
          </cell>
          <cell r="I612">
            <v>12</v>
          </cell>
          <cell r="M612" t="str">
            <v>&gt;&gt;</v>
          </cell>
          <cell r="N612" t="str">
            <v>Arif Ziad</v>
          </cell>
          <cell r="O612" t="str">
            <v>FWC-1</v>
          </cell>
          <cell r="P612" t="str">
            <v>FRANCE</v>
          </cell>
          <cell r="Q612">
            <v>1</v>
          </cell>
          <cell r="R612">
            <v>100</v>
          </cell>
          <cell r="T612" t="str">
            <v>CHAMP</v>
          </cell>
          <cell r="U612">
            <v>41791</v>
          </cell>
        </row>
        <row r="613">
          <cell r="B613" t="str">
            <v>#COLOMBIA</v>
          </cell>
          <cell r="C613" t="str">
            <v>-</v>
          </cell>
          <cell r="M613" t="str">
            <v>&gt;&gt;</v>
          </cell>
          <cell r="N613" t="str">
            <v/>
          </cell>
          <cell r="O613" t="str">
            <v>FWC-1</v>
          </cell>
          <cell r="P613" t="str">
            <v>COLOMBIA</v>
          </cell>
          <cell r="Q613">
            <v>1</v>
          </cell>
          <cell r="R613">
            <v>101</v>
          </cell>
          <cell r="U613">
            <v>41791</v>
          </cell>
        </row>
        <row r="614">
          <cell r="B614" t="str">
            <v>Rahat</v>
          </cell>
          <cell r="C614">
            <v>4</v>
          </cell>
          <cell r="D614">
            <v>115</v>
          </cell>
          <cell r="E614">
            <v>5</v>
          </cell>
          <cell r="F614">
            <v>9</v>
          </cell>
          <cell r="G614">
            <v>0</v>
          </cell>
          <cell r="H614">
            <v>8</v>
          </cell>
          <cell r="I614">
            <v>10</v>
          </cell>
          <cell r="M614" t="str">
            <v>&gt;&gt;</v>
          </cell>
          <cell r="N614" t="str">
            <v>Saiful Rahat</v>
          </cell>
          <cell r="O614" t="str">
            <v>FWC-1</v>
          </cell>
          <cell r="P614" t="str">
            <v>COLOMBIA</v>
          </cell>
          <cell r="Q614">
            <v>1</v>
          </cell>
          <cell r="R614">
            <v>101</v>
          </cell>
          <cell r="U614">
            <v>41791</v>
          </cell>
        </row>
        <row r="615">
          <cell r="B615" t="str">
            <v>Oli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M615" t="str">
            <v>&gt;&gt;</v>
          </cell>
          <cell r="N615" t="str">
            <v>Oli Ullah</v>
          </cell>
          <cell r="O615" t="str">
            <v>FWC-1</v>
          </cell>
          <cell r="P615" t="str">
            <v>COLOMBIA</v>
          </cell>
          <cell r="Q615">
            <v>1</v>
          </cell>
          <cell r="R615">
            <v>101</v>
          </cell>
          <cell r="U615">
            <v>41791</v>
          </cell>
        </row>
        <row r="616">
          <cell r="B616" t="str">
            <v>Zamil</v>
          </cell>
          <cell r="C616">
            <v>4</v>
          </cell>
          <cell r="D616">
            <v>68</v>
          </cell>
          <cell r="E616">
            <v>5</v>
          </cell>
          <cell r="F616">
            <v>9</v>
          </cell>
          <cell r="G616">
            <v>0</v>
          </cell>
          <cell r="H616">
            <v>1</v>
          </cell>
          <cell r="I616">
            <v>3</v>
          </cell>
          <cell r="M616" t="str">
            <v>&gt;&gt;</v>
          </cell>
          <cell r="N616" t="str">
            <v>Zamil Khan</v>
          </cell>
          <cell r="O616" t="str">
            <v>FWC-1</v>
          </cell>
          <cell r="P616" t="str">
            <v>COLOMBIA</v>
          </cell>
          <cell r="Q616">
            <v>1</v>
          </cell>
          <cell r="R616">
            <v>101</v>
          </cell>
          <cell r="U616">
            <v>41791</v>
          </cell>
        </row>
        <row r="617">
          <cell r="B617" t="str">
            <v>Rayhan</v>
          </cell>
          <cell r="C617">
            <v>1</v>
          </cell>
          <cell r="D617">
            <v>0</v>
          </cell>
          <cell r="E617">
            <v>1</v>
          </cell>
          <cell r="F617">
            <v>1</v>
          </cell>
          <cell r="G617">
            <v>0</v>
          </cell>
          <cell r="H617">
            <v>0</v>
          </cell>
          <cell r="I617">
            <v>0</v>
          </cell>
          <cell r="M617" t="str">
            <v>&gt;&gt;</v>
          </cell>
          <cell r="N617" t="str">
            <v>Rayhan Rahman</v>
          </cell>
          <cell r="O617" t="str">
            <v>FWC-1</v>
          </cell>
          <cell r="P617" t="str">
            <v>COLOMBIA</v>
          </cell>
          <cell r="Q617">
            <v>1</v>
          </cell>
          <cell r="R617">
            <v>101</v>
          </cell>
          <cell r="U617">
            <v>41791</v>
          </cell>
        </row>
        <row r="618">
          <cell r="B618" t="str">
            <v>Ashik</v>
          </cell>
          <cell r="C618">
            <v>4</v>
          </cell>
          <cell r="D618">
            <v>49</v>
          </cell>
          <cell r="E618">
            <v>1</v>
          </cell>
          <cell r="F618">
            <v>7</v>
          </cell>
          <cell r="G618">
            <v>0</v>
          </cell>
          <cell r="H618">
            <v>2</v>
          </cell>
          <cell r="I618">
            <v>2</v>
          </cell>
          <cell r="M618" t="str">
            <v>&gt;&gt;</v>
          </cell>
          <cell r="N618" t="str">
            <v>Ashikur Rahman Ashik</v>
          </cell>
          <cell r="O618" t="str">
            <v>FWC-1</v>
          </cell>
          <cell r="P618" t="str">
            <v>COLOMBIA</v>
          </cell>
          <cell r="Q618">
            <v>1</v>
          </cell>
          <cell r="R618">
            <v>101</v>
          </cell>
          <cell r="U618">
            <v>41791</v>
          </cell>
        </row>
        <row r="619">
          <cell r="B619" t="str">
            <v>Sadrul</v>
          </cell>
          <cell r="C619">
            <v>1</v>
          </cell>
          <cell r="D619">
            <v>26</v>
          </cell>
          <cell r="E619">
            <v>2</v>
          </cell>
          <cell r="F619">
            <v>2</v>
          </cell>
          <cell r="G619">
            <v>1</v>
          </cell>
          <cell r="H619">
            <v>3</v>
          </cell>
          <cell r="I619">
            <v>1</v>
          </cell>
          <cell r="M619" t="str">
            <v>&gt;&gt;</v>
          </cell>
          <cell r="N619" t="str">
            <v>Sadrul Anam</v>
          </cell>
          <cell r="O619" t="str">
            <v>FWC-1</v>
          </cell>
          <cell r="P619" t="str">
            <v>COLOMBIA</v>
          </cell>
          <cell r="Q619">
            <v>1</v>
          </cell>
          <cell r="R619">
            <v>101</v>
          </cell>
          <cell r="U619">
            <v>41791</v>
          </cell>
        </row>
        <row r="620">
          <cell r="B620" t="str">
            <v>Jowel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M620" t="str">
            <v>&gt;&gt;</v>
          </cell>
          <cell r="N620" t="str">
            <v>Jøwël Chý</v>
          </cell>
          <cell r="O620" t="str">
            <v>FWC-1</v>
          </cell>
          <cell r="P620" t="str">
            <v>COLOMBIA</v>
          </cell>
          <cell r="Q620">
            <v>1</v>
          </cell>
          <cell r="R620">
            <v>101</v>
          </cell>
          <cell r="U620">
            <v>41791</v>
          </cell>
        </row>
        <row r="621">
          <cell r="B621" t="str">
            <v>FREEDOM LOVERS</v>
          </cell>
          <cell r="M621" t="str">
            <v>&gt;&gt;</v>
          </cell>
          <cell r="N621" t="str">
            <v/>
          </cell>
          <cell r="O621" t="str">
            <v>FVC-2</v>
          </cell>
          <cell r="P621" t="str">
            <v>FREEDOM LOVERS</v>
          </cell>
          <cell r="Q621">
            <v>1</v>
          </cell>
          <cell r="R621">
            <v>102</v>
          </cell>
          <cell r="U621">
            <v>42339</v>
          </cell>
        </row>
        <row r="622">
          <cell r="B622" t="str">
            <v>Asif</v>
          </cell>
          <cell r="C622">
            <v>4</v>
          </cell>
          <cell r="D622">
            <v>29</v>
          </cell>
          <cell r="E622">
            <v>5</v>
          </cell>
          <cell r="F622">
            <v>5</v>
          </cell>
          <cell r="G622">
            <v>0</v>
          </cell>
          <cell r="H622">
            <v>5</v>
          </cell>
          <cell r="I622">
            <v>0</v>
          </cell>
          <cell r="M622" t="str">
            <v>&gt;&gt;</v>
          </cell>
          <cell r="N622" t="str">
            <v>Asif Iqbal Khan</v>
          </cell>
          <cell r="O622" t="str">
            <v>FVC-2</v>
          </cell>
          <cell r="P622" t="str">
            <v>FREEDOM LOVERS</v>
          </cell>
          <cell r="Q622">
            <v>1</v>
          </cell>
          <cell r="R622">
            <v>102</v>
          </cell>
          <cell r="U622">
            <v>42339</v>
          </cell>
        </row>
        <row r="623">
          <cell r="B623" t="str">
            <v>Kamil</v>
          </cell>
          <cell r="C623">
            <v>4</v>
          </cell>
          <cell r="D623">
            <v>99</v>
          </cell>
          <cell r="E623">
            <v>6</v>
          </cell>
          <cell r="F623">
            <v>8</v>
          </cell>
          <cell r="G623">
            <v>1</v>
          </cell>
          <cell r="H623">
            <v>10</v>
          </cell>
          <cell r="I623">
            <v>4</v>
          </cell>
          <cell r="M623" t="str">
            <v>&gt;&gt;</v>
          </cell>
          <cell r="N623" t="str">
            <v>Kamil Ahmed</v>
          </cell>
          <cell r="O623" t="str">
            <v>FVC-2</v>
          </cell>
          <cell r="P623" t="str">
            <v>FREEDOM LOVERS</v>
          </cell>
          <cell r="Q623">
            <v>1</v>
          </cell>
          <cell r="R623">
            <v>102</v>
          </cell>
          <cell r="U623">
            <v>42339</v>
          </cell>
        </row>
        <row r="624">
          <cell r="B624" t="str">
            <v>Sohan</v>
          </cell>
          <cell r="C624">
            <v>5</v>
          </cell>
          <cell r="D624">
            <v>113</v>
          </cell>
          <cell r="E624">
            <v>5</v>
          </cell>
          <cell r="F624">
            <v>8</v>
          </cell>
          <cell r="G624">
            <v>1</v>
          </cell>
          <cell r="H624">
            <v>11</v>
          </cell>
          <cell r="I624">
            <v>8</v>
          </cell>
          <cell r="M624" t="str">
            <v>&gt;&gt;</v>
          </cell>
          <cell r="N624" t="str">
            <v>Moksedur RaHman SoHan (Duronto Sohan)</v>
          </cell>
          <cell r="O624" t="str">
            <v>FVC-2</v>
          </cell>
          <cell r="P624" t="str">
            <v>FREEDOM LOVERS</v>
          </cell>
          <cell r="Q624">
            <v>1</v>
          </cell>
          <cell r="R624">
            <v>102</v>
          </cell>
          <cell r="U624">
            <v>42339</v>
          </cell>
        </row>
        <row r="625">
          <cell r="B625" t="str">
            <v>Istiak</v>
          </cell>
          <cell r="C625">
            <v>4</v>
          </cell>
          <cell r="D625">
            <v>91</v>
          </cell>
          <cell r="E625">
            <v>5</v>
          </cell>
          <cell r="F625">
            <v>10</v>
          </cell>
          <cell r="G625">
            <v>1</v>
          </cell>
          <cell r="H625">
            <v>3</v>
          </cell>
          <cell r="I625">
            <v>5</v>
          </cell>
          <cell r="M625" t="str">
            <v>&gt;&gt;</v>
          </cell>
          <cell r="N625" t="str">
            <v>Istiak Ahamed Emon</v>
          </cell>
          <cell r="O625" t="str">
            <v>FVC-2</v>
          </cell>
          <cell r="P625" t="str">
            <v>FREEDOM LOVERS</v>
          </cell>
          <cell r="Q625">
            <v>1</v>
          </cell>
          <cell r="R625">
            <v>102</v>
          </cell>
          <cell r="U625">
            <v>42339</v>
          </cell>
        </row>
        <row r="626">
          <cell r="B626" t="str">
            <v>SH Shanto</v>
          </cell>
          <cell r="C626">
            <v>3</v>
          </cell>
          <cell r="D626">
            <v>58</v>
          </cell>
          <cell r="E626">
            <v>6</v>
          </cell>
          <cell r="F626">
            <v>3</v>
          </cell>
          <cell r="G626">
            <v>0</v>
          </cell>
          <cell r="H626">
            <v>4</v>
          </cell>
          <cell r="I626">
            <v>4</v>
          </cell>
          <cell r="M626" t="str">
            <v>&gt;&gt;</v>
          </cell>
          <cell r="N626" t="str">
            <v>Sakhawat Hossain Shanto</v>
          </cell>
          <cell r="O626" t="str">
            <v>FVC-2</v>
          </cell>
          <cell r="P626" t="str">
            <v>FREEDOM LOVERS</v>
          </cell>
          <cell r="Q626">
            <v>1</v>
          </cell>
          <cell r="R626">
            <v>102</v>
          </cell>
          <cell r="U626">
            <v>42339</v>
          </cell>
        </row>
        <row r="627">
          <cell r="B627" t="str">
            <v>FREEDOM BOYZ</v>
          </cell>
          <cell r="M627" t="str">
            <v>&gt;&gt;</v>
          </cell>
          <cell r="N627" t="str">
            <v/>
          </cell>
          <cell r="O627" t="str">
            <v>FVC-2</v>
          </cell>
          <cell r="P627" t="str">
            <v>FREEDOM BOYZ</v>
          </cell>
          <cell r="Q627">
            <v>1</v>
          </cell>
          <cell r="R627">
            <v>103</v>
          </cell>
          <cell r="U627">
            <v>42339</v>
          </cell>
        </row>
        <row r="628">
          <cell r="B628" t="str">
            <v>Sumon</v>
          </cell>
          <cell r="C628">
            <v>4</v>
          </cell>
          <cell r="D628">
            <v>21</v>
          </cell>
          <cell r="E628">
            <v>7</v>
          </cell>
          <cell r="F628">
            <v>5</v>
          </cell>
          <cell r="G628">
            <v>0</v>
          </cell>
          <cell r="H628">
            <v>0</v>
          </cell>
          <cell r="I628">
            <v>3</v>
          </cell>
          <cell r="M628" t="str">
            <v>&gt;&gt;</v>
          </cell>
          <cell r="N628" t="str">
            <v>Sumon Ab</v>
          </cell>
          <cell r="O628" t="str">
            <v>FVC-2</v>
          </cell>
          <cell r="P628" t="str">
            <v>FREEDOM BOYZ</v>
          </cell>
          <cell r="Q628">
            <v>1</v>
          </cell>
          <cell r="R628">
            <v>103</v>
          </cell>
          <cell r="U628">
            <v>42339</v>
          </cell>
        </row>
        <row r="629">
          <cell r="B629" t="str">
            <v>Jumon</v>
          </cell>
          <cell r="C629">
            <v>5</v>
          </cell>
          <cell r="D629">
            <v>128</v>
          </cell>
          <cell r="E629">
            <v>8</v>
          </cell>
          <cell r="F629">
            <v>9</v>
          </cell>
          <cell r="G629">
            <v>1</v>
          </cell>
          <cell r="H629">
            <v>17</v>
          </cell>
          <cell r="I629">
            <v>8</v>
          </cell>
          <cell r="M629" t="str">
            <v>&gt;&gt;</v>
          </cell>
          <cell r="N629" t="str">
            <v>Foysal Ahmed Jumon</v>
          </cell>
          <cell r="O629" t="str">
            <v>FVC-2</v>
          </cell>
          <cell r="P629" t="str">
            <v>FREEDOM BOYZ</v>
          </cell>
          <cell r="Q629">
            <v>1</v>
          </cell>
          <cell r="R629">
            <v>103</v>
          </cell>
          <cell r="U629">
            <v>42339</v>
          </cell>
        </row>
        <row r="630">
          <cell r="B630" t="str">
            <v>Raihan</v>
          </cell>
          <cell r="C630">
            <v>4</v>
          </cell>
          <cell r="D630">
            <v>100</v>
          </cell>
          <cell r="E630">
            <v>4</v>
          </cell>
          <cell r="F630">
            <v>6</v>
          </cell>
          <cell r="G630">
            <v>1</v>
          </cell>
          <cell r="H630">
            <v>6</v>
          </cell>
          <cell r="I630">
            <v>10</v>
          </cell>
          <cell r="M630" t="str">
            <v>&gt;&gt;</v>
          </cell>
          <cell r="N630" t="str">
            <v>Raihan Al-maMun</v>
          </cell>
          <cell r="O630" t="str">
            <v>FVC-2</v>
          </cell>
          <cell r="P630" t="str">
            <v>FREEDOM BOYZ</v>
          </cell>
          <cell r="Q630">
            <v>1</v>
          </cell>
          <cell r="R630">
            <v>103</v>
          </cell>
          <cell r="U630">
            <v>42339</v>
          </cell>
        </row>
        <row r="631">
          <cell r="B631" t="str">
            <v>Mijan</v>
          </cell>
          <cell r="C631">
            <v>3</v>
          </cell>
          <cell r="D631">
            <v>84</v>
          </cell>
          <cell r="E631">
            <v>1</v>
          </cell>
          <cell r="F631">
            <v>5</v>
          </cell>
          <cell r="G631">
            <v>0</v>
          </cell>
          <cell r="H631">
            <v>5</v>
          </cell>
          <cell r="I631">
            <v>3</v>
          </cell>
          <cell r="M631" t="str">
            <v>&gt;&gt;</v>
          </cell>
          <cell r="N631" t="str">
            <v>Noushed Mijan</v>
          </cell>
          <cell r="O631" t="str">
            <v>FVC-2</v>
          </cell>
          <cell r="P631" t="str">
            <v>FREEDOM BOYZ</v>
          </cell>
          <cell r="Q631">
            <v>1</v>
          </cell>
          <cell r="R631">
            <v>103</v>
          </cell>
          <cell r="U631">
            <v>42339</v>
          </cell>
        </row>
        <row r="632">
          <cell r="B632" t="str">
            <v>Mithu</v>
          </cell>
          <cell r="C632">
            <v>4</v>
          </cell>
          <cell r="D632">
            <v>53</v>
          </cell>
          <cell r="E632">
            <v>4</v>
          </cell>
          <cell r="F632">
            <v>6</v>
          </cell>
          <cell r="G632">
            <v>0</v>
          </cell>
          <cell r="H632">
            <v>2</v>
          </cell>
          <cell r="I632">
            <v>2</v>
          </cell>
          <cell r="M632" t="str">
            <v>&gt;&gt;</v>
          </cell>
          <cell r="N632" t="str">
            <v>Mostafizur Rahman Mithu</v>
          </cell>
          <cell r="O632" t="str">
            <v>FVC-2</v>
          </cell>
          <cell r="P632" t="str">
            <v>FREEDOM BOYZ</v>
          </cell>
          <cell r="Q632">
            <v>1</v>
          </cell>
          <cell r="R632">
            <v>103</v>
          </cell>
          <cell r="U632">
            <v>42339</v>
          </cell>
        </row>
        <row r="633">
          <cell r="B633" t="str">
            <v>FREEDOM WARRIORS</v>
          </cell>
          <cell r="M633" t="str">
            <v>&gt;&gt;</v>
          </cell>
          <cell r="N633" t="str">
            <v/>
          </cell>
          <cell r="O633" t="str">
            <v>FVC-2</v>
          </cell>
          <cell r="P633" t="str">
            <v>FREEDOM WARRIORS</v>
          </cell>
          <cell r="Q633">
            <v>1</v>
          </cell>
          <cell r="R633">
            <v>104</v>
          </cell>
          <cell r="U633">
            <v>42339</v>
          </cell>
        </row>
        <row r="634">
          <cell r="B634" t="str">
            <v>Roman</v>
          </cell>
          <cell r="C634">
            <v>5</v>
          </cell>
          <cell r="D634">
            <v>151</v>
          </cell>
          <cell r="E634">
            <v>11</v>
          </cell>
          <cell r="F634">
            <v>10</v>
          </cell>
          <cell r="G634">
            <v>2</v>
          </cell>
          <cell r="H634">
            <v>12</v>
          </cell>
          <cell r="I634">
            <v>4</v>
          </cell>
          <cell r="M634" t="str">
            <v>&gt;&gt;</v>
          </cell>
          <cell r="N634" t="str">
            <v>Roman mahamud Arko</v>
          </cell>
          <cell r="O634" t="str">
            <v>FVC-2</v>
          </cell>
          <cell r="P634" t="str">
            <v>FREEDOM WARRIORS</v>
          </cell>
          <cell r="Q634">
            <v>1</v>
          </cell>
          <cell r="R634">
            <v>104</v>
          </cell>
          <cell r="U634">
            <v>42339</v>
          </cell>
        </row>
        <row r="635">
          <cell r="B635" t="str">
            <v>Shakil</v>
          </cell>
          <cell r="C635">
            <v>4</v>
          </cell>
          <cell r="D635">
            <v>109</v>
          </cell>
          <cell r="E635">
            <v>3</v>
          </cell>
          <cell r="F635">
            <v>6</v>
          </cell>
          <cell r="G635">
            <v>1</v>
          </cell>
          <cell r="H635">
            <v>5</v>
          </cell>
          <cell r="I635">
            <v>9</v>
          </cell>
          <cell r="M635" t="str">
            <v>&gt;&gt;</v>
          </cell>
          <cell r="N635" t="str">
            <v>M R Shakil</v>
          </cell>
          <cell r="O635" t="str">
            <v>FVC-2</v>
          </cell>
          <cell r="P635" t="str">
            <v>FREEDOM WARRIORS</v>
          </cell>
          <cell r="Q635">
            <v>1</v>
          </cell>
          <cell r="R635">
            <v>104</v>
          </cell>
          <cell r="U635">
            <v>42339</v>
          </cell>
        </row>
        <row r="636">
          <cell r="B636" t="str">
            <v>Azwad</v>
          </cell>
          <cell r="C636">
            <v>4</v>
          </cell>
          <cell r="D636">
            <v>27</v>
          </cell>
          <cell r="E636">
            <v>4</v>
          </cell>
          <cell r="F636">
            <v>6</v>
          </cell>
          <cell r="G636">
            <v>0</v>
          </cell>
          <cell r="H636">
            <v>3</v>
          </cell>
          <cell r="I636">
            <v>1</v>
          </cell>
          <cell r="M636" t="str">
            <v>&gt;&gt;</v>
          </cell>
          <cell r="N636" t="str">
            <v>Azwad Awsaf</v>
          </cell>
          <cell r="O636" t="str">
            <v>FVC-2</v>
          </cell>
          <cell r="P636" t="str">
            <v>FREEDOM WARRIORS</v>
          </cell>
          <cell r="Q636">
            <v>1</v>
          </cell>
          <cell r="R636">
            <v>104</v>
          </cell>
          <cell r="U636">
            <v>42339</v>
          </cell>
        </row>
        <row r="637">
          <cell r="B637" t="str">
            <v>Sabbir</v>
          </cell>
          <cell r="C637">
            <v>5</v>
          </cell>
          <cell r="D637">
            <v>76</v>
          </cell>
          <cell r="E637">
            <v>10</v>
          </cell>
          <cell r="F637">
            <v>8</v>
          </cell>
          <cell r="G637">
            <v>0</v>
          </cell>
          <cell r="H637">
            <v>9</v>
          </cell>
          <cell r="I637">
            <v>5</v>
          </cell>
          <cell r="M637" t="str">
            <v>&gt;&gt;</v>
          </cell>
          <cell r="N637" t="str">
            <v>Sabbir Ahmed</v>
          </cell>
          <cell r="O637" t="str">
            <v>FVC-2</v>
          </cell>
          <cell r="P637" t="str">
            <v>FREEDOM WARRIORS</v>
          </cell>
          <cell r="Q637">
            <v>1</v>
          </cell>
          <cell r="R637">
            <v>104</v>
          </cell>
          <cell r="U637">
            <v>42339</v>
          </cell>
        </row>
        <row r="638">
          <cell r="B638" t="str">
            <v>Sahed</v>
          </cell>
          <cell r="C638">
            <v>1</v>
          </cell>
          <cell r="D638">
            <v>13</v>
          </cell>
          <cell r="E638">
            <v>0</v>
          </cell>
          <cell r="F638">
            <v>1</v>
          </cell>
          <cell r="G638">
            <v>0</v>
          </cell>
          <cell r="H638">
            <v>0</v>
          </cell>
          <cell r="I638">
            <v>1</v>
          </cell>
          <cell r="M638" t="str">
            <v>&gt;&gt;</v>
          </cell>
          <cell r="N638" t="str">
            <v>Sahed Hossain Masum</v>
          </cell>
          <cell r="O638" t="str">
            <v>FVC-2</v>
          </cell>
          <cell r="P638" t="str">
            <v>FREEDOM WARRIORS</v>
          </cell>
          <cell r="Q638">
            <v>1</v>
          </cell>
          <cell r="R638">
            <v>104</v>
          </cell>
          <cell r="U638">
            <v>42339</v>
          </cell>
        </row>
        <row r="639">
          <cell r="B639" t="str">
            <v>FREEDOM SIXER</v>
          </cell>
          <cell r="M639" t="str">
            <v>&gt;&gt;</v>
          </cell>
          <cell r="N639" t="str">
            <v/>
          </cell>
          <cell r="O639" t="str">
            <v>FVC-2</v>
          </cell>
          <cell r="P639" t="str">
            <v>FREEDOM SIXER</v>
          </cell>
          <cell r="Q639">
            <v>1</v>
          </cell>
          <cell r="R639">
            <v>105</v>
          </cell>
          <cell r="T639" t="str">
            <v>CHAMP</v>
          </cell>
          <cell r="U639">
            <v>42339</v>
          </cell>
        </row>
        <row r="640">
          <cell r="B640" t="str">
            <v>Jahin</v>
          </cell>
          <cell r="C640">
            <v>7</v>
          </cell>
          <cell r="D640">
            <v>271</v>
          </cell>
          <cell r="E640">
            <v>9</v>
          </cell>
          <cell r="F640">
            <v>12</v>
          </cell>
          <cell r="G640">
            <v>3</v>
          </cell>
          <cell r="H640">
            <v>25</v>
          </cell>
          <cell r="I640">
            <v>17</v>
          </cell>
          <cell r="M640" t="str">
            <v>&gt;&gt;</v>
          </cell>
          <cell r="N640" t="str">
            <v>Jahin Shahriar Chowdhury</v>
          </cell>
          <cell r="O640" t="str">
            <v>FVC-2</v>
          </cell>
          <cell r="P640" t="str">
            <v>FREEDOM SIXER</v>
          </cell>
          <cell r="Q640">
            <v>1</v>
          </cell>
          <cell r="R640">
            <v>105</v>
          </cell>
          <cell r="S640" t="str">
            <v>MOT</v>
          </cell>
          <cell r="T640" t="str">
            <v>CHAMP</v>
          </cell>
          <cell r="U640">
            <v>42339</v>
          </cell>
          <cell r="V640">
            <v>1</v>
          </cell>
        </row>
        <row r="641">
          <cell r="B641" t="str">
            <v>Rexx</v>
          </cell>
          <cell r="C641">
            <v>7</v>
          </cell>
          <cell r="D641">
            <v>111</v>
          </cell>
          <cell r="E641">
            <v>15</v>
          </cell>
          <cell r="F641">
            <v>9</v>
          </cell>
          <cell r="G641">
            <v>1</v>
          </cell>
          <cell r="H641">
            <v>9</v>
          </cell>
          <cell r="I641">
            <v>10</v>
          </cell>
          <cell r="M641" t="str">
            <v>&gt;&gt;</v>
          </cell>
          <cell r="N641" t="str">
            <v>Bishwajit Sarkar</v>
          </cell>
          <cell r="O641" t="str">
            <v>FVC-2</v>
          </cell>
          <cell r="P641" t="str">
            <v>FREEDOM SIXER</v>
          </cell>
          <cell r="Q641">
            <v>1</v>
          </cell>
          <cell r="R641">
            <v>105</v>
          </cell>
          <cell r="T641" t="str">
            <v>CHAMP</v>
          </cell>
          <cell r="U641">
            <v>42339</v>
          </cell>
          <cell r="W641">
            <v>1</v>
          </cell>
        </row>
        <row r="642">
          <cell r="B642" t="str">
            <v>Shohag</v>
          </cell>
          <cell r="C642">
            <v>7</v>
          </cell>
          <cell r="D642">
            <v>103</v>
          </cell>
          <cell r="E642">
            <v>7</v>
          </cell>
          <cell r="F642">
            <v>10</v>
          </cell>
          <cell r="G642">
            <v>1</v>
          </cell>
          <cell r="H642">
            <v>8</v>
          </cell>
          <cell r="I642">
            <v>6</v>
          </cell>
          <cell r="M642" t="str">
            <v>&gt;&gt;</v>
          </cell>
          <cell r="N642" t="str">
            <v>Hetlar Shohag</v>
          </cell>
          <cell r="O642" t="str">
            <v>FVC-2</v>
          </cell>
          <cell r="P642" t="str">
            <v>FREEDOM SIXER</v>
          </cell>
          <cell r="Q642">
            <v>1</v>
          </cell>
          <cell r="R642">
            <v>105</v>
          </cell>
          <cell r="T642" t="str">
            <v>CHAMP</v>
          </cell>
          <cell r="U642">
            <v>42339</v>
          </cell>
        </row>
        <row r="643">
          <cell r="B643" t="str">
            <v>Sabab</v>
          </cell>
          <cell r="C643">
            <v>5</v>
          </cell>
          <cell r="D643">
            <v>53</v>
          </cell>
          <cell r="E643">
            <v>2</v>
          </cell>
          <cell r="F643">
            <v>4</v>
          </cell>
          <cell r="G643">
            <v>1</v>
          </cell>
          <cell r="H643">
            <v>5</v>
          </cell>
          <cell r="I643">
            <v>1</v>
          </cell>
          <cell r="M643" t="str">
            <v>&gt;&gt;</v>
          </cell>
          <cell r="N643" t="str">
            <v>Sz Sabab</v>
          </cell>
          <cell r="O643" t="str">
            <v>FVC-2</v>
          </cell>
          <cell r="P643" t="str">
            <v>FREEDOM SIXER</v>
          </cell>
          <cell r="Q643">
            <v>1</v>
          </cell>
          <cell r="R643">
            <v>105</v>
          </cell>
          <cell r="T643" t="str">
            <v>CHAMP</v>
          </cell>
          <cell r="U643">
            <v>42339</v>
          </cell>
        </row>
        <row r="644">
          <cell r="B644" t="str">
            <v>Faisal</v>
          </cell>
          <cell r="C644">
            <v>3</v>
          </cell>
          <cell r="D644">
            <v>82</v>
          </cell>
          <cell r="E644">
            <v>7</v>
          </cell>
          <cell r="F644">
            <v>4</v>
          </cell>
          <cell r="G644">
            <v>0</v>
          </cell>
          <cell r="H644">
            <v>1</v>
          </cell>
          <cell r="I644">
            <v>7</v>
          </cell>
          <cell r="M644" t="str">
            <v>&gt;&gt;</v>
          </cell>
          <cell r="N644" t="str">
            <v>Red Heart Faisal (Fayze Ahamed)</v>
          </cell>
          <cell r="O644" t="str">
            <v>FVC-2</v>
          </cell>
          <cell r="P644" t="str">
            <v>FREEDOM SIXER</v>
          </cell>
          <cell r="Q644">
            <v>1</v>
          </cell>
          <cell r="R644">
            <v>105</v>
          </cell>
          <cell r="T644" t="str">
            <v>CHAMP</v>
          </cell>
          <cell r="U644">
            <v>42339</v>
          </cell>
        </row>
        <row r="645">
          <cell r="B645" t="str">
            <v>FREEDOM FiGHTERS</v>
          </cell>
          <cell r="M645" t="str">
            <v>&gt;&gt;</v>
          </cell>
          <cell r="N645" t="str">
            <v/>
          </cell>
          <cell r="O645" t="str">
            <v>FVC-2</v>
          </cell>
          <cell r="P645" t="str">
            <v>FREEDOM FiGHTERS</v>
          </cell>
          <cell r="Q645">
            <v>1</v>
          </cell>
          <cell r="R645">
            <v>106</v>
          </cell>
          <cell r="U645">
            <v>42339</v>
          </cell>
        </row>
        <row r="646">
          <cell r="B646" t="str">
            <v>Sagar</v>
          </cell>
          <cell r="C646">
            <v>5</v>
          </cell>
          <cell r="D646">
            <v>196</v>
          </cell>
          <cell r="E646">
            <v>7</v>
          </cell>
          <cell r="F646">
            <v>10</v>
          </cell>
          <cell r="G646">
            <v>0</v>
          </cell>
          <cell r="H646">
            <v>16</v>
          </cell>
          <cell r="I646">
            <v>9</v>
          </cell>
          <cell r="M646" t="str">
            <v>&gt;&gt;</v>
          </cell>
          <cell r="N646" t="str">
            <v>Sajjadul Haque Sagar</v>
          </cell>
          <cell r="O646" t="str">
            <v>FVC-2</v>
          </cell>
          <cell r="P646" t="str">
            <v>FREEDOM FiGHTERS</v>
          </cell>
          <cell r="Q646">
            <v>1</v>
          </cell>
          <cell r="R646">
            <v>106</v>
          </cell>
          <cell r="U646">
            <v>42339</v>
          </cell>
        </row>
        <row r="647">
          <cell r="B647" t="str">
            <v>Ovi</v>
          </cell>
          <cell r="C647">
            <v>5</v>
          </cell>
          <cell r="D647">
            <v>53</v>
          </cell>
          <cell r="E647">
            <v>8</v>
          </cell>
          <cell r="F647">
            <v>6</v>
          </cell>
          <cell r="G647">
            <v>0</v>
          </cell>
          <cell r="H647">
            <v>7</v>
          </cell>
          <cell r="I647">
            <v>2</v>
          </cell>
          <cell r="M647" t="str">
            <v>&gt;&gt;</v>
          </cell>
          <cell r="N647" t="str">
            <v>Toufiq Ahmed Ovi</v>
          </cell>
          <cell r="O647" t="str">
            <v>FVC-2</v>
          </cell>
          <cell r="P647" t="str">
            <v>FREEDOM FiGHTERS</v>
          </cell>
          <cell r="Q647">
            <v>1</v>
          </cell>
          <cell r="R647">
            <v>106</v>
          </cell>
          <cell r="U647">
            <v>42339</v>
          </cell>
        </row>
        <row r="648">
          <cell r="B648" t="str">
            <v>Meraj</v>
          </cell>
          <cell r="C648">
            <v>5</v>
          </cell>
          <cell r="D648">
            <v>100</v>
          </cell>
          <cell r="E648">
            <v>5</v>
          </cell>
          <cell r="F648">
            <v>9</v>
          </cell>
          <cell r="G648">
            <v>1</v>
          </cell>
          <cell r="H648">
            <v>6</v>
          </cell>
          <cell r="I648">
            <v>7</v>
          </cell>
          <cell r="M648" t="str">
            <v>&gt;&gt;</v>
          </cell>
          <cell r="N648" t="str">
            <v>Samiul Meraj</v>
          </cell>
          <cell r="O648" t="str">
            <v>FVC-2</v>
          </cell>
          <cell r="P648" t="str">
            <v>FREEDOM FiGHTERS</v>
          </cell>
          <cell r="Q648">
            <v>1</v>
          </cell>
          <cell r="R648">
            <v>106</v>
          </cell>
          <cell r="U648">
            <v>42339</v>
          </cell>
        </row>
        <row r="649">
          <cell r="B649" t="str">
            <v>Mhk</v>
          </cell>
          <cell r="C649">
            <v>5</v>
          </cell>
          <cell r="D649">
            <v>42</v>
          </cell>
          <cell r="E649">
            <v>9</v>
          </cell>
          <cell r="F649">
            <v>5</v>
          </cell>
          <cell r="G649">
            <v>1</v>
          </cell>
          <cell r="H649">
            <v>3</v>
          </cell>
          <cell r="I649">
            <v>1</v>
          </cell>
          <cell r="M649" t="str">
            <v>&gt;&gt;</v>
          </cell>
          <cell r="N649" t="str">
            <v>Hridoy Khan Mhk</v>
          </cell>
          <cell r="O649" t="str">
            <v>FVC-2</v>
          </cell>
          <cell r="P649" t="str">
            <v>FREEDOM FiGHTERS</v>
          </cell>
          <cell r="Q649">
            <v>1</v>
          </cell>
          <cell r="R649">
            <v>106</v>
          </cell>
          <cell r="U649">
            <v>42339</v>
          </cell>
        </row>
        <row r="650">
          <cell r="B650" t="str">
            <v>Al Mamun</v>
          </cell>
          <cell r="C650">
            <v>2</v>
          </cell>
          <cell r="D650">
            <v>10</v>
          </cell>
          <cell r="E650">
            <v>2</v>
          </cell>
          <cell r="F650">
            <v>2</v>
          </cell>
          <cell r="G650">
            <v>1</v>
          </cell>
          <cell r="H650">
            <v>0</v>
          </cell>
          <cell r="I650">
            <v>0</v>
          </cell>
          <cell r="M650" t="str">
            <v>&gt;&gt;</v>
          </cell>
          <cell r="N650" t="str">
            <v>Mohammed Al Mamun</v>
          </cell>
          <cell r="O650" t="str">
            <v>FVC-2</v>
          </cell>
          <cell r="P650" t="str">
            <v>FREEDOM FiGHTERS</v>
          </cell>
          <cell r="Q650">
            <v>1</v>
          </cell>
          <cell r="R650">
            <v>106</v>
          </cell>
          <cell r="U650">
            <v>42339</v>
          </cell>
        </row>
        <row r="651">
          <cell r="B651" t="str">
            <v>FREEDOM GLADIATORS</v>
          </cell>
          <cell r="M651" t="str">
            <v>&gt;&gt;</v>
          </cell>
          <cell r="N651" t="str">
            <v/>
          </cell>
          <cell r="O651" t="str">
            <v>FVC-2</v>
          </cell>
          <cell r="P651" t="str">
            <v>FREEDOM GLADIATORS</v>
          </cell>
          <cell r="Q651">
            <v>1</v>
          </cell>
          <cell r="R651">
            <v>107</v>
          </cell>
          <cell r="T651" t="str">
            <v>RU</v>
          </cell>
          <cell r="U651">
            <v>42339</v>
          </cell>
        </row>
        <row r="652">
          <cell r="B652" t="str">
            <v>Tofayel</v>
          </cell>
          <cell r="C652">
            <v>7</v>
          </cell>
          <cell r="D652">
            <v>100</v>
          </cell>
          <cell r="E652">
            <v>13</v>
          </cell>
          <cell r="F652">
            <v>7</v>
          </cell>
          <cell r="G652">
            <v>3</v>
          </cell>
          <cell r="H652">
            <v>7</v>
          </cell>
          <cell r="I652">
            <v>6</v>
          </cell>
          <cell r="M652" t="str">
            <v>&gt;&gt;</v>
          </cell>
          <cell r="N652" t="str">
            <v>MD Tofayel Ahmed</v>
          </cell>
          <cell r="O652" t="str">
            <v>FVC-2</v>
          </cell>
          <cell r="P652" t="str">
            <v>FREEDOM GLADIATORS</v>
          </cell>
          <cell r="Q652">
            <v>1</v>
          </cell>
          <cell r="R652">
            <v>107</v>
          </cell>
          <cell r="T652" t="str">
            <v>RU</v>
          </cell>
          <cell r="U652">
            <v>42339</v>
          </cell>
        </row>
        <row r="653">
          <cell r="B653" t="str">
            <v>Akram Himal</v>
          </cell>
          <cell r="C653">
            <v>7</v>
          </cell>
          <cell r="D653">
            <v>121</v>
          </cell>
          <cell r="E653">
            <v>5</v>
          </cell>
          <cell r="F653">
            <v>9</v>
          </cell>
          <cell r="G653">
            <v>0</v>
          </cell>
          <cell r="H653">
            <v>15</v>
          </cell>
          <cell r="I653">
            <v>5</v>
          </cell>
          <cell r="M653" t="str">
            <v>&gt;&gt;</v>
          </cell>
          <cell r="N653" t="str">
            <v>Akram Hosen Himal</v>
          </cell>
          <cell r="O653" t="str">
            <v>FVC-2</v>
          </cell>
          <cell r="P653" t="str">
            <v>FREEDOM GLADIATORS</v>
          </cell>
          <cell r="Q653">
            <v>1</v>
          </cell>
          <cell r="R653">
            <v>107</v>
          </cell>
          <cell r="T653" t="str">
            <v>RU</v>
          </cell>
          <cell r="U653">
            <v>42339</v>
          </cell>
        </row>
        <row r="654">
          <cell r="B654" t="str">
            <v>Mullah</v>
          </cell>
          <cell r="C654">
            <v>5</v>
          </cell>
          <cell r="D654">
            <v>19</v>
          </cell>
          <cell r="E654">
            <v>6</v>
          </cell>
          <cell r="F654">
            <v>4</v>
          </cell>
          <cell r="G654">
            <v>0</v>
          </cell>
          <cell r="H654">
            <v>1</v>
          </cell>
          <cell r="I654">
            <v>2</v>
          </cell>
          <cell r="M654" t="str">
            <v>&gt;&gt;</v>
          </cell>
          <cell r="N654" t="str">
            <v>Mohammad Haris Mullah</v>
          </cell>
          <cell r="O654" t="str">
            <v>FVC-2</v>
          </cell>
          <cell r="P654" t="str">
            <v>FREEDOM GLADIATORS</v>
          </cell>
          <cell r="Q654">
            <v>1</v>
          </cell>
          <cell r="R654">
            <v>107</v>
          </cell>
          <cell r="T654" t="str">
            <v>RU</v>
          </cell>
          <cell r="U654">
            <v>42339</v>
          </cell>
        </row>
        <row r="655">
          <cell r="B655" t="str">
            <v>Pritom</v>
          </cell>
          <cell r="C655">
            <v>7</v>
          </cell>
          <cell r="D655">
            <v>268</v>
          </cell>
          <cell r="E655">
            <v>9</v>
          </cell>
          <cell r="F655">
            <v>11</v>
          </cell>
          <cell r="G655">
            <v>1</v>
          </cell>
          <cell r="H655">
            <v>9</v>
          </cell>
          <cell r="I655">
            <v>19</v>
          </cell>
          <cell r="M655" t="str">
            <v>&gt;&gt;</v>
          </cell>
          <cell r="N655" t="str">
            <v>Sanju Pritom</v>
          </cell>
          <cell r="O655" t="str">
            <v>FVC-2</v>
          </cell>
          <cell r="P655" t="str">
            <v>FREEDOM GLADIATORS</v>
          </cell>
          <cell r="Q655">
            <v>1</v>
          </cell>
          <cell r="R655">
            <v>107</v>
          </cell>
          <cell r="S655" t="str">
            <v>CPOT</v>
          </cell>
          <cell r="T655" t="str">
            <v>RU</v>
          </cell>
          <cell r="U655">
            <v>42339</v>
          </cell>
        </row>
        <row r="656">
          <cell r="B656" t="str">
            <v>Nur</v>
          </cell>
          <cell r="C656">
            <v>5</v>
          </cell>
          <cell r="D656">
            <v>40</v>
          </cell>
          <cell r="E656">
            <v>9</v>
          </cell>
          <cell r="F656">
            <v>4</v>
          </cell>
          <cell r="G656">
            <v>0</v>
          </cell>
          <cell r="H656">
            <v>5</v>
          </cell>
          <cell r="I656">
            <v>1</v>
          </cell>
          <cell r="M656" t="str">
            <v>&gt;&gt;</v>
          </cell>
          <cell r="N656" t="str">
            <v>Nur Muhammad</v>
          </cell>
          <cell r="O656" t="str">
            <v>FVC-2</v>
          </cell>
          <cell r="P656" t="str">
            <v>FREEDOM GLADIATORS</v>
          </cell>
          <cell r="Q656">
            <v>1</v>
          </cell>
          <cell r="R656">
            <v>107</v>
          </cell>
          <cell r="T656" t="str">
            <v>RU</v>
          </cell>
          <cell r="U656">
            <v>42339</v>
          </cell>
        </row>
        <row r="657">
          <cell r="B657" t="str">
            <v>BiJOY BURNERS</v>
          </cell>
          <cell r="M657" t="str">
            <v>&gt;&gt;</v>
          </cell>
          <cell r="N657" t="str">
            <v/>
          </cell>
          <cell r="O657" t="str">
            <v>FVC-2</v>
          </cell>
          <cell r="P657" t="str">
            <v>BiJOY BURNERS</v>
          </cell>
          <cell r="Q657">
            <v>1</v>
          </cell>
          <cell r="R657">
            <v>108</v>
          </cell>
          <cell r="U657">
            <v>42339</v>
          </cell>
        </row>
        <row r="658">
          <cell r="B658" t="str">
            <v>Moon</v>
          </cell>
          <cell r="C658">
            <v>7</v>
          </cell>
          <cell r="D658">
            <v>52</v>
          </cell>
          <cell r="E658">
            <v>10</v>
          </cell>
          <cell r="F658">
            <v>7</v>
          </cell>
          <cell r="G658">
            <v>0</v>
          </cell>
          <cell r="H658">
            <v>6</v>
          </cell>
          <cell r="I658">
            <v>3</v>
          </cell>
          <cell r="M658" t="str">
            <v>&gt;&gt;</v>
          </cell>
          <cell r="N658" t="str">
            <v>Mazharul Islam Moon</v>
          </cell>
          <cell r="O658" t="str">
            <v>FVC-2</v>
          </cell>
          <cell r="P658" t="str">
            <v>BiJOY BURNERS</v>
          </cell>
          <cell r="Q658">
            <v>1</v>
          </cell>
          <cell r="R658">
            <v>108</v>
          </cell>
          <cell r="U658">
            <v>42339</v>
          </cell>
        </row>
        <row r="659">
          <cell r="B659" t="str">
            <v>Rahin</v>
          </cell>
          <cell r="C659">
            <v>7</v>
          </cell>
          <cell r="D659">
            <v>102</v>
          </cell>
          <cell r="E659">
            <v>9</v>
          </cell>
          <cell r="F659">
            <v>10</v>
          </cell>
          <cell r="G659">
            <v>1</v>
          </cell>
          <cell r="H659">
            <v>7</v>
          </cell>
          <cell r="I659">
            <v>7</v>
          </cell>
          <cell r="M659" t="str">
            <v>&gt;&gt;</v>
          </cell>
          <cell r="N659" t="str">
            <v>Rahin Superb</v>
          </cell>
          <cell r="O659" t="str">
            <v>FVC-2</v>
          </cell>
          <cell r="P659" t="str">
            <v>BiJOY BURNERS</v>
          </cell>
          <cell r="Q659">
            <v>1</v>
          </cell>
          <cell r="R659">
            <v>108</v>
          </cell>
          <cell r="U659">
            <v>42339</v>
          </cell>
        </row>
        <row r="660">
          <cell r="B660" t="str">
            <v>Hridoy</v>
          </cell>
          <cell r="C660">
            <v>7</v>
          </cell>
          <cell r="D660">
            <v>175</v>
          </cell>
          <cell r="E660">
            <v>11</v>
          </cell>
          <cell r="F660">
            <v>12</v>
          </cell>
          <cell r="G660">
            <v>3</v>
          </cell>
          <cell r="H660">
            <v>5</v>
          </cell>
          <cell r="I660">
            <v>15</v>
          </cell>
          <cell r="M660" t="str">
            <v>&gt;&gt;</v>
          </cell>
          <cell r="N660" t="str">
            <v>Kamrul Hasan Hridoy</v>
          </cell>
          <cell r="O660" t="str">
            <v>FVC-2</v>
          </cell>
          <cell r="P660" t="str">
            <v>BiJOY BURNERS</v>
          </cell>
          <cell r="Q660">
            <v>1</v>
          </cell>
          <cell r="R660">
            <v>108</v>
          </cell>
          <cell r="U660">
            <v>42339</v>
          </cell>
        </row>
        <row r="661">
          <cell r="B661" t="str">
            <v>Nahid</v>
          </cell>
          <cell r="C661">
            <v>6</v>
          </cell>
          <cell r="D661">
            <v>86</v>
          </cell>
          <cell r="E661">
            <v>5</v>
          </cell>
          <cell r="F661">
            <v>7</v>
          </cell>
          <cell r="G661">
            <v>0</v>
          </cell>
          <cell r="H661">
            <v>5</v>
          </cell>
          <cell r="I661">
            <v>7</v>
          </cell>
          <cell r="M661" t="str">
            <v>&gt;&gt;</v>
          </cell>
          <cell r="N661" t="str">
            <v>Nahid Saifullah</v>
          </cell>
          <cell r="O661" t="str">
            <v>FVC-2</v>
          </cell>
          <cell r="P661" t="str">
            <v>BiJOY BURNERS</v>
          </cell>
          <cell r="Q661">
            <v>1</v>
          </cell>
          <cell r="R661">
            <v>108</v>
          </cell>
          <cell r="U661">
            <v>42339</v>
          </cell>
        </row>
        <row r="662">
          <cell r="B662" t="str">
            <v>Soyeb</v>
          </cell>
          <cell r="C662">
            <v>6</v>
          </cell>
          <cell r="D662">
            <v>132</v>
          </cell>
          <cell r="E662">
            <v>3</v>
          </cell>
          <cell r="F662">
            <v>8</v>
          </cell>
          <cell r="G662">
            <v>0</v>
          </cell>
          <cell r="H662">
            <v>9</v>
          </cell>
          <cell r="I662">
            <v>9</v>
          </cell>
          <cell r="M662" t="str">
            <v>&gt;&gt;</v>
          </cell>
          <cell r="N662" t="str">
            <v>Soyeb Hossain</v>
          </cell>
          <cell r="O662" t="str">
            <v>FVC-2</v>
          </cell>
          <cell r="P662" t="str">
            <v>BiJOY BURNERS</v>
          </cell>
          <cell r="Q662">
            <v>1</v>
          </cell>
          <cell r="R662">
            <v>108</v>
          </cell>
          <cell r="U662">
            <v>42339</v>
          </cell>
        </row>
        <row r="663">
          <cell r="B663" t="str">
            <v>BiJOY THUNDERS</v>
          </cell>
          <cell r="M663" t="str">
            <v>&gt;&gt;</v>
          </cell>
          <cell r="N663" t="str">
            <v/>
          </cell>
          <cell r="O663" t="str">
            <v>FVC-2</v>
          </cell>
          <cell r="P663" t="str">
            <v>BiJOY THUNDERS</v>
          </cell>
          <cell r="Q663">
            <v>1</v>
          </cell>
          <cell r="R663">
            <v>109</v>
          </cell>
          <cell r="U663">
            <v>42339</v>
          </cell>
        </row>
        <row r="664">
          <cell r="B664" t="str">
            <v>Saiful</v>
          </cell>
          <cell r="C664">
            <v>5</v>
          </cell>
          <cell r="D664">
            <v>76</v>
          </cell>
          <cell r="E664">
            <v>7</v>
          </cell>
          <cell r="F664">
            <v>7</v>
          </cell>
          <cell r="G664">
            <v>0</v>
          </cell>
          <cell r="H664">
            <v>6</v>
          </cell>
          <cell r="I664">
            <v>5</v>
          </cell>
          <cell r="M664" t="str">
            <v>&gt;&gt;</v>
          </cell>
          <cell r="N664" t="str">
            <v>Saiful Islam</v>
          </cell>
          <cell r="O664" t="str">
            <v>FVC-2</v>
          </cell>
          <cell r="P664" t="str">
            <v>BiJOY THUNDERS</v>
          </cell>
          <cell r="Q664">
            <v>1</v>
          </cell>
          <cell r="R664">
            <v>109</v>
          </cell>
          <cell r="U664">
            <v>42339</v>
          </cell>
        </row>
        <row r="665">
          <cell r="B665" t="str">
            <v>AR Shohag</v>
          </cell>
          <cell r="C665">
            <v>5</v>
          </cell>
          <cell r="D665">
            <v>19</v>
          </cell>
          <cell r="E665">
            <v>5</v>
          </cell>
          <cell r="F665">
            <v>7</v>
          </cell>
          <cell r="G665">
            <v>0</v>
          </cell>
          <cell r="H665">
            <v>0</v>
          </cell>
          <cell r="I665">
            <v>1</v>
          </cell>
          <cell r="M665" t="str">
            <v>&gt;&gt;</v>
          </cell>
          <cell r="N665" t="str">
            <v>A.R. Shohag</v>
          </cell>
          <cell r="O665" t="str">
            <v>FVC-2</v>
          </cell>
          <cell r="P665" t="str">
            <v>BiJOY THUNDERS</v>
          </cell>
          <cell r="Q665">
            <v>1</v>
          </cell>
          <cell r="R665">
            <v>109</v>
          </cell>
          <cell r="U665">
            <v>42339</v>
          </cell>
        </row>
        <row r="666">
          <cell r="B666" t="str">
            <v>Jhony</v>
          </cell>
          <cell r="C666">
            <v>5</v>
          </cell>
          <cell r="D666">
            <v>30</v>
          </cell>
          <cell r="E666">
            <v>7</v>
          </cell>
          <cell r="F666">
            <v>7</v>
          </cell>
          <cell r="G666">
            <v>1</v>
          </cell>
          <cell r="H666">
            <v>1</v>
          </cell>
          <cell r="I666">
            <v>2</v>
          </cell>
          <cell r="M666" t="str">
            <v>&gt;&gt;</v>
          </cell>
          <cell r="N666" t="str">
            <v>Faisal Ahmed Jhony</v>
          </cell>
          <cell r="O666" t="str">
            <v>FVC-2</v>
          </cell>
          <cell r="P666" t="str">
            <v>BiJOY THUNDERS</v>
          </cell>
          <cell r="Q666">
            <v>1</v>
          </cell>
          <cell r="R666">
            <v>109</v>
          </cell>
          <cell r="U666">
            <v>42339</v>
          </cell>
        </row>
        <row r="667">
          <cell r="B667" t="str">
            <v>SA Shanto</v>
          </cell>
          <cell r="C667">
            <v>3</v>
          </cell>
          <cell r="D667">
            <v>17</v>
          </cell>
          <cell r="E667">
            <v>3</v>
          </cell>
          <cell r="F667">
            <v>3</v>
          </cell>
          <cell r="G667">
            <v>0</v>
          </cell>
          <cell r="H667">
            <v>1</v>
          </cell>
          <cell r="I667">
            <v>0</v>
          </cell>
          <cell r="M667" t="str">
            <v>&gt;&gt;</v>
          </cell>
          <cell r="N667" t="str">
            <v>Sayed Anowar Shanto</v>
          </cell>
          <cell r="O667" t="str">
            <v>FVC-2</v>
          </cell>
          <cell r="P667" t="str">
            <v>BiJOY THUNDERS</v>
          </cell>
          <cell r="Q667">
            <v>1</v>
          </cell>
          <cell r="R667">
            <v>109</v>
          </cell>
          <cell r="U667">
            <v>42339</v>
          </cell>
        </row>
        <row r="668">
          <cell r="B668" t="str">
            <v>MD Hridoy</v>
          </cell>
          <cell r="C668">
            <v>5</v>
          </cell>
          <cell r="D668">
            <v>187</v>
          </cell>
          <cell r="E668">
            <v>5</v>
          </cell>
          <cell r="F668">
            <v>7</v>
          </cell>
          <cell r="G668">
            <v>0</v>
          </cell>
          <cell r="H668">
            <v>13</v>
          </cell>
          <cell r="I668">
            <v>13</v>
          </cell>
          <cell r="M668" t="str">
            <v>&gt;&gt;</v>
          </cell>
          <cell r="N668" t="str">
            <v>MD Hridoy (শুন্য হৃদয়, অবুজ বালক)</v>
          </cell>
          <cell r="O668" t="str">
            <v>FVC-2</v>
          </cell>
          <cell r="P668" t="str">
            <v>BiJOY THUNDERS</v>
          </cell>
          <cell r="Q668">
            <v>1</v>
          </cell>
          <cell r="R668">
            <v>109</v>
          </cell>
          <cell r="U668">
            <v>42339</v>
          </cell>
        </row>
        <row r="669">
          <cell r="B669" t="str">
            <v>BiJOY RiDERS</v>
          </cell>
          <cell r="M669" t="str">
            <v>&gt;&gt;</v>
          </cell>
          <cell r="N669" t="str">
            <v/>
          </cell>
          <cell r="O669" t="str">
            <v>FVC-2</v>
          </cell>
          <cell r="P669" t="str">
            <v>BiJOY RiDERS</v>
          </cell>
          <cell r="Q669">
            <v>1</v>
          </cell>
          <cell r="R669">
            <v>110</v>
          </cell>
          <cell r="U669">
            <v>42339</v>
          </cell>
        </row>
        <row r="670">
          <cell r="B670" t="str">
            <v>Niamul</v>
          </cell>
          <cell r="C670">
            <v>5</v>
          </cell>
          <cell r="D670">
            <v>78</v>
          </cell>
          <cell r="E670">
            <v>8</v>
          </cell>
          <cell r="F670">
            <v>6</v>
          </cell>
          <cell r="G670">
            <v>1</v>
          </cell>
          <cell r="H670">
            <v>4</v>
          </cell>
          <cell r="I670">
            <v>6</v>
          </cell>
          <cell r="M670" t="str">
            <v>&gt;&gt;</v>
          </cell>
          <cell r="N670" t="str">
            <v>Niamul Habib Setu</v>
          </cell>
          <cell r="O670" t="str">
            <v>FVC-2</v>
          </cell>
          <cell r="P670" t="str">
            <v>BiJOY RiDERS</v>
          </cell>
          <cell r="Q670">
            <v>1</v>
          </cell>
          <cell r="R670">
            <v>110</v>
          </cell>
          <cell r="U670">
            <v>42339</v>
          </cell>
        </row>
        <row r="671">
          <cell r="B671" t="str">
            <v>Tanvir</v>
          </cell>
          <cell r="C671">
            <v>5</v>
          </cell>
          <cell r="D671">
            <v>71</v>
          </cell>
          <cell r="E671">
            <v>8</v>
          </cell>
          <cell r="F671">
            <v>8</v>
          </cell>
          <cell r="G671">
            <v>1</v>
          </cell>
          <cell r="H671">
            <v>7</v>
          </cell>
          <cell r="I671">
            <v>3</v>
          </cell>
          <cell r="M671" t="str">
            <v>&gt;&gt;</v>
          </cell>
          <cell r="N671" t="str">
            <v>Tanvir Shakib</v>
          </cell>
          <cell r="O671" t="str">
            <v>FVC-2</v>
          </cell>
          <cell r="P671" t="str">
            <v>BiJOY RiDERS</v>
          </cell>
          <cell r="Q671">
            <v>1</v>
          </cell>
          <cell r="R671">
            <v>110</v>
          </cell>
          <cell r="U671">
            <v>42339</v>
          </cell>
        </row>
        <row r="672">
          <cell r="B672" t="str">
            <v>Rifat</v>
          </cell>
          <cell r="C672">
            <v>3</v>
          </cell>
          <cell r="D672">
            <v>26</v>
          </cell>
          <cell r="E672">
            <v>4</v>
          </cell>
          <cell r="F672">
            <v>3</v>
          </cell>
          <cell r="G672">
            <v>0</v>
          </cell>
          <cell r="H672">
            <v>2</v>
          </cell>
          <cell r="I672">
            <v>1</v>
          </cell>
          <cell r="M672" t="str">
            <v>&gt;&gt;</v>
          </cell>
          <cell r="N672" t="str">
            <v>Rifat Ullah</v>
          </cell>
          <cell r="O672" t="str">
            <v>FVC-2</v>
          </cell>
          <cell r="P672" t="str">
            <v>BiJOY RiDERS</v>
          </cell>
          <cell r="Q672">
            <v>1</v>
          </cell>
          <cell r="R672">
            <v>110</v>
          </cell>
          <cell r="U672">
            <v>42339</v>
          </cell>
        </row>
        <row r="673">
          <cell r="B673" t="str">
            <v>Shishir</v>
          </cell>
          <cell r="C673">
            <v>5</v>
          </cell>
          <cell r="D673">
            <v>86</v>
          </cell>
          <cell r="E673">
            <v>10</v>
          </cell>
          <cell r="F673">
            <v>8</v>
          </cell>
          <cell r="G673">
            <v>1</v>
          </cell>
          <cell r="H673">
            <v>9</v>
          </cell>
          <cell r="I673">
            <v>6</v>
          </cell>
          <cell r="M673" t="str">
            <v>&gt;&gt;</v>
          </cell>
          <cell r="N673" t="str">
            <v>ShiShir Hossain</v>
          </cell>
          <cell r="O673" t="str">
            <v>FVC-2</v>
          </cell>
          <cell r="P673" t="str">
            <v>BiJOY RiDERS</v>
          </cell>
          <cell r="Q673">
            <v>1</v>
          </cell>
          <cell r="R673">
            <v>110</v>
          </cell>
          <cell r="U673">
            <v>42339</v>
          </cell>
        </row>
        <row r="674">
          <cell r="B674" t="str">
            <v>Mahfuzor</v>
          </cell>
          <cell r="C674">
            <v>5</v>
          </cell>
          <cell r="D674">
            <v>61</v>
          </cell>
          <cell r="E674">
            <v>2</v>
          </cell>
          <cell r="F674">
            <v>5</v>
          </cell>
          <cell r="G674">
            <v>0</v>
          </cell>
          <cell r="H674">
            <v>4</v>
          </cell>
          <cell r="I674">
            <v>4</v>
          </cell>
          <cell r="M674" t="str">
            <v>&gt;&gt;</v>
          </cell>
          <cell r="N674" t="str">
            <v>মোঃ মাহফুজুর রহমান রাকিব</v>
          </cell>
          <cell r="O674" t="str">
            <v>FVC-2</v>
          </cell>
          <cell r="P674" t="str">
            <v>BiJOY RiDERS</v>
          </cell>
          <cell r="Q674">
            <v>1</v>
          </cell>
          <cell r="R674">
            <v>110</v>
          </cell>
          <cell r="U674">
            <v>42339</v>
          </cell>
        </row>
        <row r="675">
          <cell r="B675" t="str">
            <v>BiJOY KiNGS</v>
          </cell>
          <cell r="M675" t="str">
            <v>&gt;&gt;</v>
          </cell>
          <cell r="N675" t="str">
            <v/>
          </cell>
          <cell r="O675" t="str">
            <v>FVC-2</v>
          </cell>
          <cell r="P675" t="str">
            <v>BiJOY KiNGS</v>
          </cell>
          <cell r="Q675">
            <v>1</v>
          </cell>
          <cell r="R675">
            <v>111</v>
          </cell>
          <cell r="U675">
            <v>42339</v>
          </cell>
        </row>
        <row r="676">
          <cell r="B676" t="str">
            <v>Sadrul</v>
          </cell>
          <cell r="C676">
            <v>4</v>
          </cell>
          <cell r="D676">
            <v>65</v>
          </cell>
          <cell r="E676">
            <v>11</v>
          </cell>
          <cell r="F676">
            <v>7</v>
          </cell>
          <cell r="G676">
            <v>0</v>
          </cell>
          <cell r="H676">
            <v>4</v>
          </cell>
          <cell r="I676">
            <v>5</v>
          </cell>
          <cell r="M676" t="str">
            <v>&gt;&gt;</v>
          </cell>
          <cell r="N676" t="str">
            <v>Sadrul Anam</v>
          </cell>
          <cell r="O676" t="str">
            <v>FVC-2</v>
          </cell>
          <cell r="P676" t="str">
            <v>BiJOY KiNGS</v>
          </cell>
          <cell r="Q676">
            <v>1</v>
          </cell>
          <cell r="R676">
            <v>111</v>
          </cell>
          <cell r="U676">
            <v>42339</v>
          </cell>
        </row>
        <row r="677">
          <cell r="B677" t="str">
            <v>Meyaz</v>
          </cell>
          <cell r="C677">
            <v>4</v>
          </cell>
          <cell r="D677">
            <v>46</v>
          </cell>
          <cell r="E677">
            <v>5</v>
          </cell>
          <cell r="F677">
            <v>6</v>
          </cell>
          <cell r="G677">
            <v>0</v>
          </cell>
          <cell r="H677">
            <v>3</v>
          </cell>
          <cell r="I677">
            <v>4</v>
          </cell>
          <cell r="M677" t="str">
            <v>&gt;&gt;</v>
          </cell>
          <cell r="N677" t="str">
            <v>Meyaz Al Emon</v>
          </cell>
          <cell r="O677" t="str">
            <v>FVC-2</v>
          </cell>
          <cell r="P677" t="str">
            <v>BiJOY KiNGS</v>
          </cell>
          <cell r="Q677">
            <v>1</v>
          </cell>
          <cell r="R677">
            <v>111</v>
          </cell>
          <cell r="U677">
            <v>42339</v>
          </cell>
        </row>
        <row r="678">
          <cell r="B678" t="str">
            <v>Mashuk</v>
          </cell>
          <cell r="C678">
            <v>3</v>
          </cell>
          <cell r="D678">
            <v>27</v>
          </cell>
          <cell r="E678">
            <v>3</v>
          </cell>
          <cell r="F678">
            <v>3</v>
          </cell>
          <cell r="G678">
            <v>0</v>
          </cell>
          <cell r="H678">
            <v>2</v>
          </cell>
          <cell r="I678">
            <v>1</v>
          </cell>
          <cell r="M678" t="str">
            <v>&gt;&gt;</v>
          </cell>
          <cell r="N678" t="str">
            <v>Mustofa Muddassir Mahmud Mashuk</v>
          </cell>
          <cell r="O678" t="str">
            <v>FVC-2</v>
          </cell>
          <cell r="P678" t="str">
            <v>BiJOY KiNGS</v>
          </cell>
          <cell r="Q678">
            <v>1</v>
          </cell>
          <cell r="R678">
            <v>111</v>
          </cell>
          <cell r="U678">
            <v>42339</v>
          </cell>
        </row>
        <row r="679">
          <cell r="B679" t="str">
            <v>Sajeeb</v>
          </cell>
          <cell r="C679">
            <v>4</v>
          </cell>
          <cell r="D679">
            <v>6</v>
          </cell>
          <cell r="E679">
            <v>0</v>
          </cell>
          <cell r="F679">
            <v>5</v>
          </cell>
          <cell r="G679">
            <v>0</v>
          </cell>
          <cell r="H679">
            <v>0</v>
          </cell>
          <cell r="I679">
            <v>0</v>
          </cell>
          <cell r="M679" t="str">
            <v>&gt;&gt;</v>
          </cell>
          <cell r="N679" t="str">
            <v>ShaHadat H. SaJeeb</v>
          </cell>
          <cell r="O679" t="str">
            <v>FVC-2</v>
          </cell>
          <cell r="P679" t="str">
            <v>BiJOY KiNGS</v>
          </cell>
          <cell r="Q679">
            <v>1</v>
          </cell>
          <cell r="R679">
            <v>111</v>
          </cell>
          <cell r="U679">
            <v>42339</v>
          </cell>
        </row>
        <row r="680">
          <cell r="B680" t="str">
            <v>Sahad</v>
          </cell>
          <cell r="C680">
            <v>4</v>
          </cell>
          <cell r="D680">
            <v>66</v>
          </cell>
          <cell r="E680">
            <v>5</v>
          </cell>
          <cell r="F680">
            <v>5</v>
          </cell>
          <cell r="G680">
            <v>0</v>
          </cell>
          <cell r="H680">
            <v>4</v>
          </cell>
          <cell r="I680">
            <v>5</v>
          </cell>
          <cell r="M680" t="str">
            <v>&gt;&gt;</v>
          </cell>
          <cell r="N680" t="str">
            <v>শাহাদাৎ আহমেদ সাহাদ</v>
          </cell>
          <cell r="O680" t="str">
            <v>FVC-2</v>
          </cell>
          <cell r="P680" t="str">
            <v>BiJOY KiNGS</v>
          </cell>
          <cell r="Q680">
            <v>1</v>
          </cell>
          <cell r="R680">
            <v>111</v>
          </cell>
          <cell r="U680">
            <v>42339</v>
          </cell>
        </row>
        <row r="681">
          <cell r="B681" t="str">
            <v>BiJOY HiTTERS</v>
          </cell>
          <cell r="M681" t="str">
            <v>&gt;&gt;</v>
          </cell>
          <cell r="N681" t="str">
            <v/>
          </cell>
          <cell r="O681" t="str">
            <v>FVC-2</v>
          </cell>
          <cell r="P681" t="str">
            <v>BiJOY HiTTERS</v>
          </cell>
          <cell r="Q681">
            <v>1</v>
          </cell>
          <cell r="R681">
            <v>112</v>
          </cell>
          <cell r="U681">
            <v>42339</v>
          </cell>
        </row>
        <row r="682">
          <cell r="B682" t="str">
            <v>Helal</v>
          </cell>
          <cell r="C682">
            <v>5</v>
          </cell>
          <cell r="D682">
            <v>34</v>
          </cell>
          <cell r="E682">
            <v>6</v>
          </cell>
          <cell r="F682">
            <v>7</v>
          </cell>
          <cell r="G682">
            <v>0</v>
          </cell>
          <cell r="H682">
            <v>1</v>
          </cell>
          <cell r="I682">
            <v>2</v>
          </cell>
          <cell r="M682" t="str">
            <v>&gt;&gt;</v>
          </cell>
          <cell r="N682" t="str">
            <v>Sheik Helal Ahmed</v>
          </cell>
          <cell r="O682" t="str">
            <v>FVC-2</v>
          </cell>
          <cell r="P682" t="str">
            <v>BiJOY HiTTERS</v>
          </cell>
          <cell r="Q682">
            <v>1</v>
          </cell>
          <cell r="R682">
            <v>112</v>
          </cell>
          <cell r="U682">
            <v>42339</v>
          </cell>
        </row>
        <row r="683">
          <cell r="B683" t="str">
            <v>Sakib Sr.</v>
          </cell>
          <cell r="C683">
            <v>4</v>
          </cell>
          <cell r="D683">
            <v>40</v>
          </cell>
          <cell r="E683">
            <v>5</v>
          </cell>
          <cell r="F683">
            <v>5</v>
          </cell>
          <cell r="G683">
            <v>0</v>
          </cell>
          <cell r="H683">
            <v>4</v>
          </cell>
          <cell r="I683">
            <v>4</v>
          </cell>
          <cell r="M683" t="str">
            <v>&gt;&gt;</v>
          </cell>
          <cell r="N683" t="str">
            <v>Ahmad Sakib Abdullah</v>
          </cell>
          <cell r="O683" t="str">
            <v>FVC-2</v>
          </cell>
          <cell r="P683" t="str">
            <v>BiJOY HiTTERS</v>
          </cell>
          <cell r="Q683">
            <v>1</v>
          </cell>
          <cell r="R683">
            <v>112</v>
          </cell>
          <cell r="U683">
            <v>42339</v>
          </cell>
        </row>
        <row r="684">
          <cell r="B684" t="str">
            <v>Towkir</v>
          </cell>
          <cell r="C684">
            <v>4</v>
          </cell>
          <cell r="D684">
            <v>85</v>
          </cell>
          <cell r="E684">
            <v>7</v>
          </cell>
          <cell r="F684">
            <v>6</v>
          </cell>
          <cell r="G684">
            <v>0</v>
          </cell>
          <cell r="H684">
            <v>4</v>
          </cell>
          <cell r="I684">
            <v>5</v>
          </cell>
          <cell r="M684" t="str">
            <v>&gt;&gt;</v>
          </cell>
          <cell r="N684" t="str">
            <v>Towkir Ahmed Siddique</v>
          </cell>
          <cell r="O684" t="str">
            <v>FVC-2</v>
          </cell>
          <cell r="P684" t="str">
            <v>BiJOY HiTTERS</v>
          </cell>
          <cell r="Q684">
            <v>1</v>
          </cell>
          <cell r="R684">
            <v>112</v>
          </cell>
          <cell r="U684">
            <v>42339</v>
          </cell>
        </row>
        <row r="685">
          <cell r="B685" t="str">
            <v>Kamal</v>
          </cell>
          <cell r="C685">
            <v>5</v>
          </cell>
          <cell r="D685">
            <v>56</v>
          </cell>
          <cell r="E685">
            <v>11</v>
          </cell>
          <cell r="F685">
            <v>7</v>
          </cell>
          <cell r="G685">
            <v>2</v>
          </cell>
          <cell r="H685">
            <v>2</v>
          </cell>
          <cell r="I685">
            <v>4</v>
          </cell>
          <cell r="M685" t="str">
            <v>&gt;&gt;</v>
          </cell>
          <cell r="N685" t="str">
            <v>MD Kamal Hossain Kamal</v>
          </cell>
          <cell r="O685" t="str">
            <v>FVC-2</v>
          </cell>
          <cell r="P685" t="str">
            <v>BiJOY HiTTERS</v>
          </cell>
          <cell r="Q685">
            <v>1</v>
          </cell>
          <cell r="R685">
            <v>112</v>
          </cell>
          <cell r="U685">
            <v>42339</v>
          </cell>
        </row>
        <row r="686">
          <cell r="B686" t="str">
            <v>Shamim</v>
          </cell>
          <cell r="C686">
            <v>5</v>
          </cell>
          <cell r="D686">
            <v>48</v>
          </cell>
          <cell r="E686">
            <v>1</v>
          </cell>
          <cell r="F686">
            <v>6</v>
          </cell>
          <cell r="G686">
            <v>0</v>
          </cell>
          <cell r="H686">
            <v>5</v>
          </cell>
          <cell r="I686">
            <v>3</v>
          </cell>
          <cell r="M686" t="str">
            <v>&gt;&gt;</v>
          </cell>
          <cell r="N686" t="str">
            <v>SH Shamim</v>
          </cell>
          <cell r="O686" t="str">
            <v>FVC-2</v>
          </cell>
          <cell r="P686" t="str">
            <v>BiJOY HiTTERS</v>
          </cell>
          <cell r="Q686">
            <v>1</v>
          </cell>
          <cell r="R686">
            <v>112</v>
          </cell>
          <cell r="U686">
            <v>42339</v>
          </cell>
        </row>
        <row r="687">
          <cell r="B687" t="str">
            <v>BiJOY DYNAMICS</v>
          </cell>
          <cell r="M687" t="str">
            <v>&gt;&gt;</v>
          </cell>
          <cell r="N687" t="str">
            <v/>
          </cell>
          <cell r="O687" t="str">
            <v>FVC-2</v>
          </cell>
          <cell r="P687" t="str">
            <v>BiJOY DYNAMICS</v>
          </cell>
          <cell r="Q687">
            <v>1</v>
          </cell>
          <cell r="R687">
            <v>113</v>
          </cell>
          <cell r="U687">
            <v>42339</v>
          </cell>
        </row>
        <row r="688">
          <cell r="B688" t="str">
            <v>Tutul</v>
          </cell>
          <cell r="C688">
            <v>6</v>
          </cell>
          <cell r="D688">
            <v>126</v>
          </cell>
          <cell r="E688">
            <v>12</v>
          </cell>
          <cell r="F688">
            <v>12</v>
          </cell>
          <cell r="G688">
            <v>0</v>
          </cell>
          <cell r="H688">
            <v>12</v>
          </cell>
          <cell r="I688">
            <v>4</v>
          </cell>
          <cell r="M688" t="str">
            <v>&gt;&gt;</v>
          </cell>
          <cell r="N688" t="str">
            <v>Kamrul Hasan Tutul</v>
          </cell>
          <cell r="O688" t="str">
            <v>FVC-2</v>
          </cell>
          <cell r="P688" t="str">
            <v>BiJOY DYNAMICS</v>
          </cell>
          <cell r="Q688">
            <v>1</v>
          </cell>
          <cell r="R688">
            <v>113</v>
          </cell>
          <cell r="U688">
            <v>42339</v>
          </cell>
        </row>
        <row r="689">
          <cell r="B689" t="str">
            <v>Brinto</v>
          </cell>
          <cell r="C689">
            <v>6</v>
          </cell>
          <cell r="D689">
            <v>76</v>
          </cell>
          <cell r="E689">
            <v>8</v>
          </cell>
          <cell r="F689">
            <v>9</v>
          </cell>
          <cell r="G689">
            <v>1</v>
          </cell>
          <cell r="H689">
            <v>3</v>
          </cell>
          <cell r="I689">
            <v>9</v>
          </cell>
          <cell r="M689" t="str">
            <v>&gt;&gt;</v>
          </cell>
          <cell r="N689" t="str">
            <v>Shuvayan Saha Brinto</v>
          </cell>
          <cell r="O689" t="str">
            <v>FVC-2</v>
          </cell>
          <cell r="P689" t="str">
            <v>BiJOY DYNAMICS</v>
          </cell>
          <cell r="Q689">
            <v>1</v>
          </cell>
          <cell r="R689">
            <v>113</v>
          </cell>
          <cell r="U689">
            <v>42339</v>
          </cell>
        </row>
        <row r="690">
          <cell r="B690" t="str">
            <v>Pranto</v>
          </cell>
          <cell r="C690">
            <v>6</v>
          </cell>
          <cell r="D690">
            <v>138</v>
          </cell>
          <cell r="E690">
            <v>7</v>
          </cell>
          <cell r="F690">
            <v>13</v>
          </cell>
          <cell r="G690">
            <v>2</v>
          </cell>
          <cell r="H690">
            <v>9</v>
          </cell>
          <cell r="I690">
            <v>6</v>
          </cell>
          <cell r="M690" t="str">
            <v>&gt;&gt;</v>
          </cell>
          <cell r="N690" t="str">
            <v>Bandhon Podder Pranto</v>
          </cell>
          <cell r="O690" t="str">
            <v>FVC-2</v>
          </cell>
          <cell r="P690" t="str">
            <v>BiJOY DYNAMICS</v>
          </cell>
          <cell r="Q690">
            <v>1</v>
          </cell>
          <cell r="R690">
            <v>113</v>
          </cell>
          <cell r="U690">
            <v>42339</v>
          </cell>
        </row>
        <row r="691">
          <cell r="B691" t="str">
            <v>AR Tawhid</v>
          </cell>
          <cell r="C691">
            <v>2</v>
          </cell>
          <cell r="D691">
            <v>0</v>
          </cell>
          <cell r="E691">
            <v>0</v>
          </cell>
          <cell r="F691">
            <v>1</v>
          </cell>
          <cell r="G691">
            <v>0</v>
          </cell>
          <cell r="H691">
            <v>0</v>
          </cell>
          <cell r="I691">
            <v>0</v>
          </cell>
          <cell r="M691" t="str">
            <v>&gt;&gt;</v>
          </cell>
          <cell r="N691" t="str">
            <v>AR Tawhid</v>
          </cell>
          <cell r="O691" t="str">
            <v>FVC-2</v>
          </cell>
          <cell r="P691" t="str">
            <v>BiJOY DYNAMICS</v>
          </cell>
          <cell r="Q691">
            <v>1</v>
          </cell>
          <cell r="R691">
            <v>113</v>
          </cell>
          <cell r="U691">
            <v>42339</v>
          </cell>
        </row>
        <row r="692">
          <cell r="B692" t="str">
            <v>Aneek</v>
          </cell>
          <cell r="C692">
            <v>3</v>
          </cell>
          <cell r="D692">
            <v>63</v>
          </cell>
          <cell r="E692">
            <v>2</v>
          </cell>
          <cell r="F692">
            <v>3</v>
          </cell>
          <cell r="G692">
            <v>0</v>
          </cell>
          <cell r="H692">
            <v>4</v>
          </cell>
          <cell r="I692">
            <v>4</v>
          </cell>
          <cell r="M692" t="str">
            <v>&gt;&gt;</v>
          </cell>
          <cell r="N692" t="str">
            <v>Md Aneek Rashid</v>
          </cell>
          <cell r="O692" t="str">
            <v>FVC-2</v>
          </cell>
          <cell r="P692" t="str">
            <v>BiJOY DYNAMICS</v>
          </cell>
          <cell r="Q692">
            <v>1</v>
          </cell>
          <cell r="R692">
            <v>113</v>
          </cell>
          <cell r="U692">
            <v>42339</v>
          </cell>
        </row>
        <row r="693">
          <cell r="B693" t="str">
            <v>Silent Killers</v>
          </cell>
          <cell r="M693" t="str">
            <v>&gt;&gt;</v>
          </cell>
          <cell r="N693" t="str">
            <v/>
          </cell>
          <cell r="O693" t="str">
            <v>FCL-3</v>
          </cell>
          <cell r="P693" t="str">
            <v>Silent Killers</v>
          </cell>
          <cell r="Q693">
            <v>1</v>
          </cell>
          <cell r="R693">
            <v>114</v>
          </cell>
          <cell r="T693" t="str">
            <v>CHAMP</v>
          </cell>
          <cell r="U693">
            <v>42036</v>
          </cell>
        </row>
        <row r="694">
          <cell r="B694" t="str">
            <v>Khokon</v>
          </cell>
          <cell r="C694">
            <v>13</v>
          </cell>
          <cell r="D694">
            <v>363</v>
          </cell>
          <cell r="E694">
            <v>24</v>
          </cell>
          <cell r="F694">
            <v>22</v>
          </cell>
          <cell r="G694">
            <v>6</v>
          </cell>
          <cell r="H694">
            <v>32</v>
          </cell>
          <cell r="I694">
            <v>25</v>
          </cell>
          <cell r="M694" t="str">
            <v>&gt;&gt;</v>
          </cell>
          <cell r="N694" t="str">
            <v>Shahriar Khokon</v>
          </cell>
          <cell r="O694" t="str">
            <v>FCL-3</v>
          </cell>
          <cell r="P694" t="str">
            <v>Silent Killers</v>
          </cell>
          <cell r="Q694">
            <v>1</v>
          </cell>
          <cell r="R694">
            <v>114</v>
          </cell>
          <cell r="S694" t="str">
            <v>CPOT</v>
          </cell>
          <cell r="T694" t="str">
            <v>CHAMP</v>
          </cell>
          <cell r="U694">
            <v>42036</v>
          </cell>
        </row>
        <row r="695">
          <cell r="B695" t="str">
            <v>Towkir</v>
          </cell>
          <cell r="C695">
            <v>13</v>
          </cell>
          <cell r="D695">
            <v>176</v>
          </cell>
          <cell r="E695">
            <v>18</v>
          </cell>
          <cell r="F695">
            <v>16</v>
          </cell>
          <cell r="G695">
            <v>2</v>
          </cell>
          <cell r="H695">
            <v>8</v>
          </cell>
          <cell r="I695">
            <v>6</v>
          </cell>
          <cell r="M695" t="str">
            <v>&gt;&gt;</v>
          </cell>
          <cell r="N695" t="str">
            <v>Towkir Ahmed Siddique</v>
          </cell>
          <cell r="O695" t="str">
            <v>FCL-3</v>
          </cell>
          <cell r="P695" t="str">
            <v>Silent Killers</v>
          </cell>
          <cell r="Q695">
            <v>1</v>
          </cell>
          <cell r="R695">
            <v>114</v>
          </cell>
          <cell r="T695" t="str">
            <v>CHAMP</v>
          </cell>
          <cell r="U695">
            <v>42036</v>
          </cell>
        </row>
        <row r="696">
          <cell r="B696" t="str">
            <v>Mullah</v>
          </cell>
          <cell r="C696">
            <v>10</v>
          </cell>
          <cell r="D696">
            <v>141</v>
          </cell>
          <cell r="E696">
            <v>4</v>
          </cell>
          <cell r="F696">
            <v>10</v>
          </cell>
          <cell r="G696">
            <v>0</v>
          </cell>
          <cell r="H696">
            <v>10</v>
          </cell>
          <cell r="I696">
            <v>4</v>
          </cell>
          <cell r="M696" t="str">
            <v>&gt;&gt;</v>
          </cell>
          <cell r="N696" t="str">
            <v>Mohammad Haris Mullah</v>
          </cell>
          <cell r="O696" t="str">
            <v>FCL-3</v>
          </cell>
          <cell r="P696" t="str">
            <v>Silent Killers</v>
          </cell>
          <cell r="Q696">
            <v>1</v>
          </cell>
          <cell r="R696">
            <v>114</v>
          </cell>
          <cell r="T696" t="str">
            <v>CHAMP</v>
          </cell>
          <cell r="U696">
            <v>42036</v>
          </cell>
        </row>
        <row r="697">
          <cell r="B697" t="str">
            <v>Arif</v>
          </cell>
          <cell r="C697">
            <v>12</v>
          </cell>
          <cell r="D697">
            <v>205</v>
          </cell>
          <cell r="E697">
            <v>18</v>
          </cell>
          <cell r="F697">
            <v>14</v>
          </cell>
          <cell r="G697">
            <v>3</v>
          </cell>
          <cell r="H697">
            <v>13</v>
          </cell>
          <cell r="I697">
            <v>9</v>
          </cell>
          <cell r="M697" t="str">
            <v>&gt;&gt;</v>
          </cell>
          <cell r="N697" t="str">
            <v>Arif Ziad</v>
          </cell>
          <cell r="O697" t="str">
            <v>FCL-3</v>
          </cell>
          <cell r="P697" t="str">
            <v>Silent Killers</v>
          </cell>
          <cell r="Q697">
            <v>1</v>
          </cell>
          <cell r="R697">
            <v>114</v>
          </cell>
          <cell r="T697" t="str">
            <v>CHAMP</v>
          </cell>
          <cell r="U697">
            <v>42036</v>
          </cell>
        </row>
        <row r="698">
          <cell r="B698" t="str">
            <v>Prottoy</v>
          </cell>
          <cell r="C698">
            <v>11</v>
          </cell>
          <cell r="D698">
            <v>115</v>
          </cell>
          <cell r="E698">
            <v>16</v>
          </cell>
          <cell r="F698">
            <v>8</v>
          </cell>
          <cell r="G698">
            <v>0</v>
          </cell>
          <cell r="H698">
            <v>6</v>
          </cell>
          <cell r="I698">
            <v>6</v>
          </cell>
          <cell r="M698" t="str">
            <v>&gt;&gt;</v>
          </cell>
          <cell r="N698" t="str">
            <v>Mahrus Hasan Prottoy</v>
          </cell>
          <cell r="O698" t="str">
            <v>FCL-3</v>
          </cell>
          <cell r="P698" t="str">
            <v>Silent Killers</v>
          </cell>
          <cell r="Q698">
            <v>1</v>
          </cell>
          <cell r="R698">
            <v>114</v>
          </cell>
          <cell r="T698" t="str">
            <v>CHAMP</v>
          </cell>
          <cell r="U698">
            <v>42036</v>
          </cell>
        </row>
        <row r="699">
          <cell r="B699" t="str">
            <v>Tanbir</v>
          </cell>
          <cell r="C699">
            <v>13</v>
          </cell>
          <cell r="D699">
            <v>74</v>
          </cell>
          <cell r="E699">
            <v>12</v>
          </cell>
          <cell r="F699">
            <v>12</v>
          </cell>
          <cell r="G699">
            <v>0</v>
          </cell>
          <cell r="H699">
            <v>3</v>
          </cell>
          <cell r="I699">
            <v>3</v>
          </cell>
          <cell r="M699" t="str">
            <v>&gt;&gt;</v>
          </cell>
          <cell r="N699" t="str">
            <v>Tanbir Hasan</v>
          </cell>
          <cell r="O699" t="str">
            <v>FCL-3</v>
          </cell>
          <cell r="P699" t="str">
            <v>Silent Killers</v>
          </cell>
          <cell r="Q699">
            <v>1</v>
          </cell>
          <cell r="R699">
            <v>114</v>
          </cell>
          <cell r="T699" t="str">
            <v>CHAMP</v>
          </cell>
          <cell r="U699">
            <v>42036</v>
          </cell>
        </row>
        <row r="700">
          <cell r="B700" t="str">
            <v>Leading Challengers</v>
          </cell>
          <cell r="M700" t="str">
            <v>&gt;&gt;</v>
          </cell>
          <cell r="N700" t="str">
            <v/>
          </cell>
          <cell r="O700" t="str">
            <v>FCL-3</v>
          </cell>
          <cell r="P700" t="str">
            <v>Leading Challengers</v>
          </cell>
          <cell r="Q700">
            <v>1</v>
          </cell>
          <cell r="R700">
            <v>115</v>
          </cell>
          <cell r="T700" t="str">
            <v>RU</v>
          </cell>
          <cell r="U700">
            <v>42036</v>
          </cell>
        </row>
        <row r="701">
          <cell r="B701" t="str">
            <v>Sadrul</v>
          </cell>
          <cell r="C701">
            <v>14</v>
          </cell>
          <cell r="D701">
            <v>188</v>
          </cell>
          <cell r="E701">
            <v>29</v>
          </cell>
          <cell r="F701">
            <v>20</v>
          </cell>
          <cell r="G701">
            <v>0</v>
          </cell>
          <cell r="H701">
            <v>15</v>
          </cell>
          <cell r="I701">
            <v>11</v>
          </cell>
          <cell r="M701" t="str">
            <v>&gt;&gt;</v>
          </cell>
          <cell r="N701" t="str">
            <v>Sadrul Anam</v>
          </cell>
          <cell r="O701" t="str">
            <v>FCL-3</v>
          </cell>
          <cell r="P701" t="str">
            <v>Leading Challengers</v>
          </cell>
          <cell r="Q701">
            <v>1</v>
          </cell>
          <cell r="R701">
            <v>115</v>
          </cell>
          <cell r="T701" t="str">
            <v>RU</v>
          </cell>
          <cell r="U701">
            <v>42036</v>
          </cell>
        </row>
        <row r="702">
          <cell r="B702" t="str">
            <v>Tofayel</v>
          </cell>
          <cell r="C702">
            <v>13</v>
          </cell>
          <cell r="D702">
            <v>278</v>
          </cell>
          <cell r="E702">
            <v>14</v>
          </cell>
          <cell r="F702">
            <v>19</v>
          </cell>
          <cell r="G702">
            <v>4</v>
          </cell>
          <cell r="H702">
            <v>18</v>
          </cell>
          <cell r="I702">
            <v>25</v>
          </cell>
          <cell r="M702" t="str">
            <v>&gt;&gt;</v>
          </cell>
          <cell r="N702" t="str">
            <v>MD Tofayel Ahmed</v>
          </cell>
          <cell r="O702" t="str">
            <v>FCL-3</v>
          </cell>
          <cell r="P702" t="str">
            <v>Leading Challengers</v>
          </cell>
          <cell r="Q702">
            <v>1</v>
          </cell>
          <cell r="R702">
            <v>115</v>
          </cell>
          <cell r="T702" t="str">
            <v>RU</v>
          </cell>
          <cell r="U702">
            <v>42036</v>
          </cell>
        </row>
        <row r="703">
          <cell r="B703" t="str">
            <v>Mithu</v>
          </cell>
          <cell r="C703">
            <v>14</v>
          </cell>
          <cell r="D703">
            <v>145</v>
          </cell>
          <cell r="E703">
            <v>12</v>
          </cell>
          <cell r="F703">
            <v>15</v>
          </cell>
          <cell r="G703">
            <v>1</v>
          </cell>
          <cell r="H703">
            <v>9</v>
          </cell>
          <cell r="I703">
            <v>11</v>
          </cell>
          <cell r="M703" t="str">
            <v>&gt;&gt;</v>
          </cell>
          <cell r="N703" t="str">
            <v>Mostafizur Rahman Mithu</v>
          </cell>
          <cell r="O703" t="str">
            <v>FCL-3</v>
          </cell>
          <cell r="P703" t="str">
            <v>Leading Challengers</v>
          </cell>
          <cell r="Q703">
            <v>1</v>
          </cell>
          <cell r="R703">
            <v>115</v>
          </cell>
          <cell r="T703" t="str">
            <v>RU</v>
          </cell>
          <cell r="U703">
            <v>42036</v>
          </cell>
        </row>
        <row r="704">
          <cell r="B704" t="str">
            <v>Pranto</v>
          </cell>
          <cell r="C704">
            <v>14</v>
          </cell>
          <cell r="D704">
            <v>375</v>
          </cell>
          <cell r="E704">
            <v>28</v>
          </cell>
          <cell r="F704">
            <v>21</v>
          </cell>
          <cell r="G704">
            <v>1</v>
          </cell>
          <cell r="H704">
            <v>30</v>
          </cell>
          <cell r="I704">
            <v>27</v>
          </cell>
          <cell r="M704" t="str">
            <v>&gt;&gt;</v>
          </cell>
          <cell r="N704" t="str">
            <v>Bandhon Podder Pranto</v>
          </cell>
          <cell r="O704" t="str">
            <v>FCL-3</v>
          </cell>
          <cell r="P704" t="str">
            <v>Leading Challengers</v>
          </cell>
          <cell r="Q704">
            <v>1</v>
          </cell>
          <cell r="R704">
            <v>115</v>
          </cell>
          <cell r="S704" t="str">
            <v>MOT</v>
          </cell>
          <cell r="T704" t="str">
            <v>RU</v>
          </cell>
          <cell r="U704">
            <v>42036</v>
          </cell>
        </row>
        <row r="705">
          <cell r="B705" t="str">
            <v>Sagar</v>
          </cell>
          <cell r="C705">
            <v>14</v>
          </cell>
          <cell r="D705">
            <v>81</v>
          </cell>
          <cell r="E705">
            <v>7</v>
          </cell>
          <cell r="F705">
            <v>16</v>
          </cell>
          <cell r="G705">
            <v>1</v>
          </cell>
          <cell r="H705">
            <v>4</v>
          </cell>
          <cell r="I705">
            <v>3</v>
          </cell>
          <cell r="M705" t="str">
            <v>&gt;&gt;</v>
          </cell>
          <cell r="N705" t="str">
            <v>Sajjadul Haque Sagar</v>
          </cell>
          <cell r="O705" t="str">
            <v>FCL-3</v>
          </cell>
          <cell r="P705" t="str">
            <v>Leading Challengers</v>
          </cell>
          <cell r="Q705">
            <v>1</v>
          </cell>
          <cell r="R705">
            <v>115</v>
          </cell>
          <cell r="T705" t="str">
            <v>RU</v>
          </cell>
          <cell r="U705">
            <v>42036</v>
          </cell>
        </row>
        <row r="706">
          <cell r="B706" t="str">
            <v>Shuvro</v>
          </cell>
          <cell r="C706">
            <v>10</v>
          </cell>
          <cell r="D706">
            <v>76</v>
          </cell>
          <cell r="E706">
            <v>13</v>
          </cell>
          <cell r="F706">
            <v>6</v>
          </cell>
          <cell r="G706">
            <v>0</v>
          </cell>
          <cell r="H706">
            <v>6</v>
          </cell>
          <cell r="I706">
            <v>2</v>
          </cell>
          <cell r="M706" t="str">
            <v>&gt;&gt;</v>
          </cell>
          <cell r="N706" t="str">
            <v>Shahriar Shuvro</v>
          </cell>
          <cell r="O706" t="str">
            <v>FCL-3</v>
          </cell>
          <cell r="P706" t="str">
            <v>Leading Challengers</v>
          </cell>
          <cell r="Q706">
            <v>1</v>
          </cell>
          <cell r="R706">
            <v>115</v>
          </cell>
          <cell r="T706" t="str">
            <v>RU</v>
          </cell>
          <cell r="U706">
            <v>42036</v>
          </cell>
        </row>
        <row r="707">
          <cell r="B707" t="str">
            <v>Hazardous Hitters</v>
          </cell>
          <cell r="M707" t="str">
            <v>&gt;&gt;</v>
          </cell>
          <cell r="N707" t="str">
            <v/>
          </cell>
          <cell r="O707" t="str">
            <v>FCL-3</v>
          </cell>
          <cell r="P707" t="str">
            <v>Hazardous Hitters</v>
          </cell>
          <cell r="Q707">
            <v>1</v>
          </cell>
          <cell r="R707">
            <v>116</v>
          </cell>
          <cell r="U707">
            <v>42036</v>
          </cell>
        </row>
        <row r="708">
          <cell r="B708" t="str">
            <v>Rexx</v>
          </cell>
          <cell r="C708">
            <v>13</v>
          </cell>
          <cell r="D708">
            <v>176</v>
          </cell>
          <cell r="E708">
            <v>15</v>
          </cell>
          <cell r="F708">
            <v>18</v>
          </cell>
          <cell r="G708">
            <v>1</v>
          </cell>
          <cell r="H708">
            <v>15</v>
          </cell>
          <cell r="I708">
            <v>11</v>
          </cell>
          <cell r="M708" t="str">
            <v>&gt;&gt;</v>
          </cell>
          <cell r="N708" t="str">
            <v>Bishwajit Sarkar</v>
          </cell>
          <cell r="O708" t="str">
            <v>FCL-3</v>
          </cell>
          <cell r="P708" t="str">
            <v>Hazardous Hitters</v>
          </cell>
          <cell r="Q708">
            <v>1</v>
          </cell>
          <cell r="R708">
            <v>116</v>
          </cell>
          <cell r="U708">
            <v>42036</v>
          </cell>
        </row>
        <row r="709">
          <cell r="B709" t="str">
            <v>Jahin</v>
          </cell>
          <cell r="C709">
            <v>13</v>
          </cell>
          <cell r="D709">
            <v>301</v>
          </cell>
          <cell r="E709">
            <v>23</v>
          </cell>
          <cell r="F709">
            <v>16</v>
          </cell>
          <cell r="G709">
            <v>2</v>
          </cell>
          <cell r="H709">
            <v>20</v>
          </cell>
          <cell r="I709">
            <v>18</v>
          </cell>
          <cell r="M709" t="str">
            <v>&gt;&gt;</v>
          </cell>
          <cell r="N709" t="str">
            <v>Jahin Shahriar Chowdhury</v>
          </cell>
          <cell r="O709" t="str">
            <v>FCL-3</v>
          </cell>
          <cell r="P709" t="str">
            <v>Hazardous Hitters</v>
          </cell>
          <cell r="Q709">
            <v>1</v>
          </cell>
          <cell r="R709">
            <v>116</v>
          </cell>
          <cell r="U709">
            <v>42036</v>
          </cell>
        </row>
        <row r="710">
          <cell r="B710" t="str">
            <v>Washim</v>
          </cell>
          <cell r="C710">
            <v>11</v>
          </cell>
          <cell r="D710">
            <v>268</v>
          </cell>
          <cell r="E710">
            <v>12</v>
          </cell>
          <cell r="F710">
            <v>15</v>
          </cell>
          <cell r="G710">
            <v>1</v>
          </cell>
          <cell r="H710">
            <v>8</v>
          </cell>
          <cell r="I710">
            <v>14</v>
          </cell>
          <cell r="M710" t="str">
            <v>&gt;&gt;</v>
          </cell>
          <cell r="N710" t="str">
            <v>Akram Husan (Washim)</v>
          </cell>
          <cell r="O710" t="str">
            <v>FCL-3</v>
          </cell>
          <cell r="P710" t="str">
            <v>Hazardous Hitters</v>
          </cell>
          <cell r="Q710">
            <v>1</v>
          </cell>
          <cell r="R710">
            <v>116</v>
          </cell>
          <cell r="U710">
            <v>42036</v>
          </cell>
        </row>
        <row r="711">
          <cell r="B711" t="str">
            <v>Saaj</v>
          </cell>
          <cell r="C711">
            <v>13</v>
          </cell>
          <cell r="D711">
            <v>54</v>
          </cell>
          <cell r="E711">
            <v>30</v>
          </cell>
          <cell r="F711">
            <v>11</v>
          </cell>
          <cell r="G711">
            <v>0</v>
          </cell>
          <cell r="H711">
            <v>5</v>
          </cell>
          <cell r="I711">
            <v>2</v>
          </cell>
          <cell r="M711" t="str">
            <v>&gt;&gt;</v>
          </cell>
          <cell r="N711" t="str">
            <v>AB Saaj</v>
          </cell>
          <cell r="O711" t="str">
            <v>FCL-3</v>
          </cell>
          <cell r="P711" t="str">
            <v>Hazardous Hitters</v>
          </cell>
          <cell r="Q711">
            <v>1</v>
          </cell>
          <cell r="R711">
            <v>116</v>
          </cell>
          <cell r="U711">
            <v>42036</v>
          </cell>
          <cell r="W711">
            <v>1</v>
          </cell>
        </row>
        <row r="712">
          <cell r="B712" t="str">
            <v>Shakil</v>
          </cell>
          <cell r="C712">
            <v>11</v>
          </cell>
          <cell r="D712">
            <v>52</v>
          </cell>
          <cell r="E712">
            <v>12</v>
          </cell>
          <cell r="F712">
            <v>8</v>
          </cell>
          <cell r="G712">
            <v>0</v>
          </cell>
          <cell r="H712">
            <v>5</v>
          </cell>
          <cell r="I712">
            <v>3</v>
          </cell>
          <cell r="M712" t="str">
            <v>&gt;&gt;</v>
          </cell>
          <cell r="N712" t="str">
            <v>M R Shakil</v>
          </cell>
          <cell r="O712" t="str">
            <v>FCL-3</v>
          </cell>
          <cell r="P712" t="str">
            <v>Hazardous Hitters</v>
          </cell>
          <cell r="Q712">
            <v>1</v>
          </cell>
          <cell r="R712">
            <v>116</v>
          </cell>
          <cell r="U712">
            <v>42036</v>
          </cell>
        </row>
        <row r="713">
          <cell r="B713" t="str">
            <v>Tawhid</v>
          </cell>
          <cell r="C713">
            <v>6</v>
          </cell>
          <cell r="D713">
            <v>98</v>
          </cell>
          <cell r="E713">
            <v>1</v>
          </cell>
          <cell r="F713">
            <v>7</v>
          </cell>
          <cell r="G713">
            <v>1</v>
          </cell>
          <cell r="H713">
            <v>8</v>
          </cell>
          <cell r="I713">
            <v>5</v>
          </cell>
          <cell r="M713" t="str">
            <v>&gt;&gt;</v>
          </cell>
          <cell r="N713" t="str">
            <v>S M Tawhid Zihad</v>
          </cell>
          <cell r="O713" t="str">
            <v>FCL-3</v>
          </cell>
          <cell r="P713" t="str">
            <v>Hazardous Hitters</v>
          </cell>
          <cell r="Q713">
            <v>1</v>
          </cell>
          <cell r="R713">
            <v>116</v>
          </cell>
          <cell r="U713">
            <v>42036</v>
          </cell>
        </row>
        <row r="714">
          <cell r="B714" t="str">
            <v>Vigorous Knights</v>
          </cell>
          <cell r="M714" t="str">
            <v>&gt;&gt;</v>
          </cell>
          <cell r="N714" t="str">
            <v/>
          </cell>
          <cell r="O714" t="str">
            <v>FCL-3</v>
          </cell>
          <cell r="P714" t="str">
            <v>Vigorous Knights</v>
          </cell>
          <cell r="Q714">
            <v>1</v>
          </cell>
          <cell r="R714">
            <v>117</v>
          </cell>
          <cell r="U714">
            <v>42036</v>
          </cell>
        </row>
        <row r="715">
          <cell r="B715" t="str">
            <v>Azwad</v>
          </cell>
          <cell r="C715">
            <v>12</v>
          </cell>
          <cell r="D715">
            <v>140</v>
          </cell>
          <cell r="E715">
            <v>10</v>
          </cell>
          <cell r="F715">
            <v>11</v>
          </cell>
          <cell r="G715">
            <v>1</v>
          </cell>
          <cell r="H715">
            <v>14</v>
          </cell>
          <cell r="I715">
            <v>8</v>
          </cell>
          <cell r="M715" t="str">
            <v>&gt;&gt;</v>
          </cell>
          <cell r="N715" t="str">
            <v>Azwad Awsaf</v>
          </cell>
          <cell r="O715" t="str">
            <v>FCL-3</v>
          </cell>
          <cell r="P715" t="str">
            <v>Vigorous Knights</v>
          </cell>
          <cell r="Q715">
            <v>1</v>
          </cell>
          <cell r="R715">
            <v>117</v>
          </cell>
          <cell r="U715">
            <v>42036</v>
          </cell>
        </row>
        <row r="716">
          <cell r="B716" t="str">
            <v>Brinto</v>
          </cell>
          <cell r="C716">
            <v>11</v>
          </cell>
          <cell r="D716">
            <v>222</v>
          </cell>
          <cell r="E716">
            <v>9</v>
          </cell>
          <cell r="F716">
            <v>17</v>
          </cell>
          <cell r="G716">
            <v>2</v>
          </cell>
          <cell r="H716">
            <v>22</v>
          </cell>
          <cell r="I716">
            <v>10</v>
          </cell>
          <cell r="M716" t="str">
            <v>&gt;&gt;</v>
          </cell>
          <cell r="N716" t="str">
            <v>Shuvayan Saha Brinto</v>
          </cell>
          <cell r="O716" t="str">
            <v>FCL-3</v>
          </cell>
          <cell r="P716" t="str">
            <v>Vigorous Knights</v>
          </cell>
          <cell r="Q716">
            <v>1</v>
          </cell>
          <cell r="R716">
            <v>117</v>
          </cell>
          <cell r="U716">
            <v>42036</v>
          </cell>
        </row>
        <row r="717">
          <cell r="B717" t="str">
            <v>Shafi</v>
          </cell>
          <cell r="C717">
            <v>12</v>
          </cell>
          <cell r="D717">
            <v>147</v>
          </cell>
          <cell r="E717">
            <v>9</v>
          </cell>
          <cell r="F717">
            <v>13</v>
          </cell>
          <cell r="G717">
            <v>1</v>
          </cell>
          <cell r="H717">
            <v>11</v>
          </cell>
          <cell r="I717">
            <v>9</v>
          </cell>
          <cell r="M717" t="str">
            <v>&gt;&gt;</v>
          </cell>
          <cell r="N717" t="str">
            <v>Mohammed Shafi</v>
          </cell>
          <cell r="O717" t="str">
            <v>FCL-3</v>
          </cell>
          <cell r="P717" t="str">
            <v>Vigorous Knights</v>
          </cell>
          <cell r="Q717">
            <v>1</v>
          </cell>
          <cell r="R717">
            <v>117</v>
          </cell>
          <cell r="U717">
            <v>42036</v>
          </cell>
        </row>
        <row r="718">
          <cell r="B718" t="str">
            <v>AR Shohag</v>
          </cell>
          <cell r="C718">
            <v>12</v>
          </cell>
          <cell r="D718">
            <v>265</v>
          </cell>
          <cell r="E718">
            <v>14</v>
          </cell>
          <cell r="F718">
            <v>18</v>
          </cell>
          <cell r="G718">
            <v>2</v>
          </cell>
          <cell r="H718">
            <v>14</v>
          </cell>
          <cell r="I718">
            <v>21</v>
          </cell>
          <cell r="M718" t="str">
            <v>&gt;&gt;</v>
          </cell>
          <cell r="N718" t="str">
            <v>A.R. Shohag</v>
          </cell>
          <cell r="O718" t="str">
            <v>FCL-3</v>
          </cell>
          <cell r="P718" t="str">
            <v>Vigorous Knights</v>
          </cell>
          <cell r="Q718">
            <v>1</v>
          </cell>
          <cell r="R718">
            <v>117</v>
          </cell>
          <cell r="U718">
            <v>42036</v>
          </cell>
        </row>
        <row r="719">
          <cell r="B719" t="str">
            <v>Tarek</v>
          </cell>
          <cell r="C719">
            <v>12</v>
          </cell>
          <cell r="D719">
            <v>136</v>
          </cell>
          <cell r="E719">
            <v>15</v>
          </cell>
          <cell r="F719">
            <v>11</v>
          </cell>
          <cell r="G719">
            <v>0</v>
          </cell>
          <cell r="H719">
            <v>10</v>
          </cell>
          <cell r="I719">
            <v>8</v>
          </cell>
          <cell r="M719" t="str">
            <v>&gt;&gt;</v>
          </cell>
          <cell r="N719" t="str">
            <v>Prince Tarek</v>
          </cell>
          <cell r="O719" t="str">
            <v>FCL-3</v>
          </cell>
          <cell r="P719" t="str">
            <v>Vigorous Knights</v>
          </cell>
          <cell r="Q719">
            <v>1</v>
          </cell>
          <cell r="R719">
            <v>117</v>
          </cell>
          <cell r="U719">
            <v>42036</v>
          </cell>
        </row>
        <row r="720">
          <cell r="B720" t="str">
            <v>Md. Asif</v>
          </cell>
          <cell r="C720">
            <v>11</v>
          </cell>
          <cell r="D720">
            <v>149</v>
          </cell>
          <cell r="E720">
            <v>14</v>
          </cell>
          <cell r="F720">
            <v>10</v>
          </cell>
          <cell r="G720">
            <v>1</v>
          </cell>
          <cell r="H720">
            <v>8</v>
          </cell>
          <cell r="I720">
            <v>9</v>
          </cell>
          <cell r="M720" t="str">
            <v>&gt;&gt;</v>
          </cell>
          <cell r="N720" t="str">
            <v>Mohammad Asif</v>
          </cell>
          <cell r="O720" t="str">
            <v>FCL-3</v>
          </cell>
          <cell r="P720" t="str">
            <v>Vigorous Knights</v>
          </cell>
          <cell r="Q720">
            <v>1</v>
          </cell>
          <cell r="R720">
            <v>117</v>
          </cell>
          <cell r="U720">
            <v>42036</v>
          </cell>
        </row>
        <row r="721">
          <cell r="B721" t="str">
            <v>Spinal Tappers</v>
          </cell>
          <cell r="M721" t="str">
            <v>&gt;&gt;</v>
          </cell>
          <cell r="N721" t="str">
            <v/>
          </cell>
          <cell r="O721" t="str">
            <v>FCL-3</v>
          </cell>
          <cell r="P721" t="str">
            <v>Spinal Tappers</v>
          </cell>
          <cell r="Q721">
            <v>1</v>
          </cell>
          <cell r="R721">
            <v>118</v>
          </cell>
          <cell r="U721">
            <v>42036</v>
          </cell>
        </row>
        <row r="722">
          <cell r="B722" t="str">
            <v>Sumon</v>
          </cell>
          <cell r="C722">
            <v>11</v>
          </cell>
          <cell r="D722">
            <v>225</v>
          </cell>
          <cell r="E722">
            <v>19</v>
          </cell>
          <cell r="F722">
            <v>19</v>
          </cell>
          <cell r="G722">
            <v>2</v>
          </cell>
          <cell r="H722">
            <v>19</v>
          </cell>
          <cell r="I722">
            <v>15</v>
          </cell>
          <cell r="M722" t="str">
            <v>&gt;&gt;</v>
          </cell>
          <cell r="N722" t="str">
            <v>Sumon Ab</v>
          </cell>
          <cell r="O722" t="str">
            <v>FCL-3</v>
          </cell>
          <cell r="P722" t="str">
            <v>Spinal Tappers</v>
          </cell>
          <cell r="Q722">
            <v>1</v>
          </cell>
          <cell r="R722">
            <v>118</v>
          </cell>
          <cell r="U722">
            <v>42036</v>
          </cell>
        </row>
        <row r="723">
          <cell r="B723" t="str">
            <v>ShiShir</v>
          </cell>
          <cell r="C723">
            <v>11</v>
          </cell>
          <cell r="D723">
            <v>260</v>
          </cell>
          <cell r="E723">
            <v>22</v>
          </cell>
          <cell r="F723">
            <v>19</v>
          </cell>
          <cell r="G723">
            <v>0</v>
          </cell>
          <cell r="H723">
            <v>16</v>
          </cell>
          <cell r="I723">
            <v>21</v>
          </cell>
          <cell r="M723" t="str">
            <v>&gt;&gt;</v>
          </cell>
          <cell r="N723" t="str">
            <v>ShiShir Hossain</v>
          </cell>
          <cell r="O723" t="str">
            <v>FCL-3</v>
          </cell>
          <cell r="P723" t="str">
            <v>Spinal Tappers</v>
          </cell>
          <cell r="Q723">
            <v>1</v>
          </cell>
          <cell r="R723">
            <v>118</v>
          </cell>
          <cell r="U723">
            <v>42036</v>
          </cell>
        </row>
        <row r="724">
          <cell r="B724" t="str">
            <v>Tutul</v>
          </cell>
          <cell r="C724">
            <v>11</v>
          </cell>
          <cell r="D724">
            <v>211</v>
          </cell>
          <cell r="E724">
            <v>11</v>
          </cell>
          <cell r="F724">
            <v>18</v>
          </cell>
          <cell r="G724">
            <v>2</v>
          </cell>
          <cell r="H724">
            <v>22</v>
          </cell>
          <cell r="I724">
            <v>9</v>
          </cell>
          <cell r="M724" t="str">
            <v>&gt;&gt;</v>
          </cell>
          <cell r="N724" t="str">
            <v>Kamrul Hasan Tutul</v>
          </cell>
          <cell r="O724" t="str">
            <v>FCL-3</v>
          </cell>
          <cell r="P724" t="str">
            <v>Spinal Tappers</v>
          </cell>
          <cell r="Q724">
            <v>1</v>
          </cell>
          <cell r="R724">
            <v>118</v>
          </cell>
          <cell r="U724">
            <v>42036</v>
          </cell>
        </row>
        <row r="725">
          <cell r="B725" t="str">
            <v>Shamim</v>
          </cell>
          <cell r="C725">
            <v>11</v>
          </cell>
          <cell r="D725">
            <v>176</v>
          </cell>
          <cell r="E725">
            <v>7</v>
          </cell>
          <cell r="F725">
            <v>9</v>
          </cell>
          <cell r="G725">
            <v>0</v>
          </cell>
          <cell r="H725">
            <v>10</v>
          </cell>
          <cell r="I725">
            <v>9</v>
          </cell>
          <cell r="M725" t="str">
            <v>&gt;&gt;</v>
          </cell>
          <cell r="N725" t="str">
            <v>SH Shamim</v>
          </cell>
          <cell r="O725" t="str">
            <v>FCL-3</v>
          </cell>
          <cell r="P725" t="str">
            <v>Spinal Tappers</v>
          </cell>
          <cell r="Q725">
            <v>1</v>
          </cell>
          <cell r="R725">
            <v>118</v>
          </cell>
          <cell r="U725">
            <v>42036</v>
          </cell>
        </row>
        <row r="726">
          <cell r="B726" t="str">
            <v>Rayhan</v>
          </cell>
          <cell r="C726">
            <v>7</v>
          </cell>
          <cell r="D726">
            <v>48</v>
          </cell>
          <cell r="E726">
            <v>2</v>
          </cell>
          <cell r="F726">
            <v>7</v>
          </cell>
          <cell r="G726">
            <v>1</v>
          </cell>
          <cell r="H726">
            <v>5</v>
          </cell>
          <cell r="I726">
            <v>1</v>
          </cell>
          <cell r="M726" t="str">
            <v>&gt;&gt;</v>
          </cell>
          <cell r="N726" t="str">
            <v>Rayhan Rahman</v>
          </cell>
          <cell r="O726" t="str">
            <v>FCL-3</v>
          </cell>
          <cell r="P726" t="str">
            <v>Spinal Tappers</v>
          </cell>
          <cell r="Q726">
            <v>1</v>
          </cell>
          <cell r="R726">
            <v>118</v>
          </cell>
          <cell r="U726">
            <v>42036</v>
          </cell>
        </row>
        <row r="727">
          <cell r="B727" t="str">
            <v>Tomal</v>
          </cell>
          <cell r="C727">
            <v>4</v>
          </cell>
          <cell r="D727">
            <v>33</v>
          </cell>
          <cell r="E727">
            <v>7</v>
          </cell>
          <cell r="F727">
            <v>4</v>
          </cell>
          <cell r="G727">
            <v>0</v>
          </cell>
          <cell r="H727">
            <v>3</v>
          </cell>
          <cell r="I727">
            <v>1</v>
          </cell>
          <cell r="M727" t="str">
            <v>&gt;&gt;</v>
          </cell>
          <cell r="N727" t="str">
            <v>Safiqur Tomal</v>
          </cell>
          <cell r="O727" t="str">
            <v>FCL-3</v>
          </cell>
          <cell r="P727" t="str">
            <v>Spinal Tappers</v>
          </cell>
          <cell r="Q727">
            <v>1</v>
          </cell>
          <cell r="R727">
            <v>118</v>
          </cell>
          <cell r="U727">
            <v>42036</v>
          </cell>
        </row>
        <row r="728">
          <cell r="B728" t="str">
            <v>Dream Chasers</v>
          </cell>
          <cell r="M728" t="str">
            <v>&gt;&gt;</v>
          </cell>
          <cell r="N728" t="str">
            <v/>
          </cell>
          <cell r="O728" t="str">
            <v>FCL-3</v>
          </cell>
          <cell r="P728" t="str">
            <v>Dream Chasers</v>
          </cell>
          <cell r="Q728">
            <v>1</v>
          </cell>
          <cell r="R728">
            <v>119</v>
          </cell>
          <cell r="U728">
            <v>42036</v>
          </cell>
        </row>
        <row r="729">
          <cell r="B729" t="str">
            <v>Jumon</v>
          </cell>
          <cell r="C729">
            <v>11</v>
          </cell>
          <cell r="D729">
            <v>174</v>
          </cell>
          <cell r="E729">
            <v>14</v>
          </cell>
          <cell r="F729">
            <v>15</v>
          </cell>
          <cell r="G729">
            <v>1</v>
          </cell>
          <cell r="H729">
            <v>17</v>
          </cell>
          <cell r="I729">
            <v>6</v>
          </cell>
          <cell r="M729" t="str">
            <v>&gt;&gt;</v>
          </cell>
          <cell r="N729" t="str">
            <v>Foysal Ahmed Jumon</v>
          </cell>
          <cell r="O729" t="str">
            <v>FCL-3</v>
          </cell>
          <cell r="P729" t="str">
            <v>Dream Chasers</v>
          </cell>
          <cell r="Q729">
            <v>1</v>
          </cell>
          <cell r="R729">
            <v>119</v>
          </cell>
          <cell r="U729">
            <v>42036</v>
          </cell>
        </row>
        <row r="730">
          <cell r="B730" t="str">
            <v>Tanvir</v>
          </cell>
          <cell r="C730">
            <v>11</v>
          </cell>
          <cell r="D730">
            <v>340</v>
          </cell>
          <cell r="E730">
            <v>13</v>
          </cell>
          <cell r="F730">
            <v>22</v>
          </cell>
          <cell r="G730">
            <v>2</v>
          </cell>
          <cell r="H730">
            <v>28</v>
          </cell>
          <cell r="I730">
            <v>17</v>
          </cell>
          <cell r="M730" t="str">
            <v>&gt;&gt;</v>
          </cell>
          <cell r="N730" t="str">
            <v>Tanvir Shakib</v>
          </cell>
          <cell r="O730" t="str">
            <v>FCL-3</v>
          </cell>
          <cell r="P730" t="str">
            <v>Dream Chasers</v>
          </cell>
          <cell r="Q730">
            <v>1</v>
          </cell>
          <cell r="R730">
            <v>119</v>
          </cell>
          <cell r="U730">
            <v>42036</v>
          </cell>
        </row>
        <row r="731">
          <cell r="B731" t="str">
            <v>Mridul</v>
          </cell>
          <cell r="C731">
            <v>10</v>
          </cell>
          <cell r="D731">
            <v>112</v>
          </cell>
          <cell r="E731">
            <v>16</v>
          </cell>
          <cell r="F731">
            <v>10</v>
          </cell>
          <cell r="G731">
            <v>0</v>
          </cell>
          <cell r="H731">
            <v>4</v>
          </cell>
          <cell r="I731">
            <v>8</v>
          </cell>
          <cell r="M731" t="str">
            <v>&gt;&gt;</v>
          </cell>
          <cell r="N731" t="str">
            <v>Mridul Haque</v>
          </cell>
          <cell r="O731" t="str">
            <v>FCL-3</v>
          </cell>
          <cell r="P731" t="str">
            <v>Dream Chasers</v>
          </cell>
          <cell r="Q731">
            <v>1</v>
          </cell>
          <cell r="R731">
            <v>119</v>
          </cell>
          <cell r="U731">
            <v>42036</v>
          </cell>
        </row>
        <row r="732">
          <cell r="B732" t="str">
            <v>Rahat</v>
          </cell>
          <cell r="C732">
            <v>9</v>
          </cell>
          <cell r="D732">
            <v>114</v>
          </cell>
          <cell r="E732">
            <v>12</v>
          </cell>
          <cell r="F732">
            <v>8</v>
          </cell>
          <cell r="G732">
            <v>0</v>
          </cell>
          <cell r="H732">
            <v>11</v>
          </cell>
          <cell r="I732">
            <v>6</v>
          </cell>
          <cell r="M732" t="str">
            <v>&gt;&gt;</v>
          </cell>
          <cell r="N732" t="str">
            <v>Saiful Rahat</v>
          </cell>
          <cell r="O732" t="str">
            <v>FCL-3</v>
          </cell>
          <cell r="P732" t="str">
            <v>Dream Chasers</v>
          </cell>
          <cell r="Q732">
            <v>1</v>
          </cell>
          <cell r="R732">
            <v>119</v>
          </cell>
          <cell r="U732">
            <v>42036</v>
          </cell>
        </row>
        <row r="733">
          <cell r="B733" t="str">
            <v>Fairooz</v>
          </cell>
          <cell r="C733">
            <v>6</v>
          </cell>
          <cell r="D733">
            <v>36</v>
          </cell>
          <cell r="E733">
            <v>7</v>
          </cell>
          <cell r="F733">
            <v>5</v>
          </cell>
          <cell r="G733">
            <v>0</v>
          </cell>
          <cell r="H733">
            <v>3</v>
          </cell>
          <cell r="I733">
            <v>1</v>
          </cell>
          <cell r="M733" t="str">
            <v>&gt;&gt;</v>
          </cell>
          <cell r="N733" t="str">
            <v>Fairooz Wasif Saiku</v>
          </cell>
          <cell r="O733" t="str">
            <v>FCL-3</v>
          </cell>
          <cell r="P733" t="str">
            <v>Dream Chasers</v>
          </cell>
          <cell r="Q733">
            <v>1</v>
          </cell>
          <cell r="R733">
            <v>119</v>
          </cell>
          <cell r="U733">
            <v>42036</v>
          </cell>
        </row>
        <row r="734">
          <cell r="B734" t="str">
            <v>Al Mamun</v>
          </cell>
          <cell r="C734">
            <v>6</v>
          </cell>
          <cell r="D734">
            <v>65</v>
          </cell>
          <cell r="E734">
            <v>3</v>
          </cell>
          <cell r="F734">
            <v>6</v>
          </cell>
          <cell r="G734">
            <v>0</v>
          </cell>
          <cell r="H734">
            <v>7</v>
          </cell>
          <cell r="I734">
            <v>2</v>
          </cell>
          <cell r="M734" t="str">
            <v>&gt;&gt;</v>
          </cell>
          <cell r="N734" t="str">
            <v>Mohammed Al Mamun</v>
          </cell>
          <cell r="O734" t="str">
            <v>FCL-3</v>
          </cell>
          <cell r="P734" t="str">
            <v>Dream Chasers</v>
          </cell>
          <cell r="Q734">
            <v>1</v>
          </cell>
          <cell r="R734">
            <v>119</v>
          </cell>
          <cell r="U734">
            <v>42036</v>
          </cell>
        </row>
        <row r="735">
          <cell r="B735" t="str">
            <v>Roaring Tigers</v>
          </cell>
          <cell r="M735" t="str">
            <v>&gt;&gt;</v>
          </cell>
          <cell r="N735" t="str">
            <v/>
          </cell>
          <cell r="O735" t="str">
            <v>FCL-3</v>
          </cell>
          <cell r="P735" t="str">
            <v>Roaring Tigers</v>
          </cell>
          <cell r="Q735">
            <v>1</v>
          </cell>
          <cell r="R735">
            <v>120</v>
          </cell>
          <cell r="U735">
            <v>42036</v>
          </cell>
        </row>
        <row r="736">
          <cell r="B736" t="str">
            <v>Roman</v>
          </cell>
          <cell r="C736">
            <v>11</v>
          </cell>
          <cell r="D736">
            <v>196</v>
          </cell>
          <cell r="E736">
            <v>16</v>
          </cell>
          <cell r="F736">
            <v>22</v>
          </cell>
          <cell r="G736">
            <v>2</v>
          </cell>
          <cell r="H736">
            <v>9</v>
          </cell>
          <cell r="I736">
            <v>10</v>
          </cell>
          <cell r="M736" t="str">
            <v>&gt;&gt;</v>
          </cell>
          <cell r="N736" t="str">
            <v>Roman mahamud Arko</v>
          </cell>
          <cell r="O736" t="str">
            <v>FCL-3</v>
          </cell>
          <cell r="P736" t="str">
            <v>Roaring Tigers</v>
          </cell>
          <cell r="Q736">
            <v>1</v>
          </cell>
          <cell r="R736">
            <v>120</v>
          </cell>
          <cell r="U736">
            <v>42036</v>
          </cell>
        </row>
        <row r="737">
          <cell r="B737" t="str">
            <v>Zaheed</v>
          </cell>
          <cell r="C737">
            <v>11</v>
          </cell>
          <cell r="D737">
            <v>411</v>
          </cell>
          <cell r="E737">
            <v>28</v>
          </cell>
          <cell r="F737">
            <v>24</v>
          </cell>
          <cell r="G737">
            <v>2</v>
          </cell>
          <cell r="H737">
            <v>34</v>
          </cell>
          <cell r="I737">
            <v>24</v>
          </cell>
          <cell r="J737">
            <v>3</v>
          </cell>
          <cell r="M737" t="str">
            <v>&gt;&gt;</v>
          </cell>
          <cell r="N737" t="str">
            <v>Zaheed Hasan</v>
          </cell>
          <cell r="O737" t="str">
            <v>FCL-3</v>
          </cell>
          <cell r="P737" t="str">
            <v>Roaring Tigers</v>
          </cell>
          <cell r="Q737">
            <v>1</v>
          </cell>
          <cell r="R737">
            <v>120</v>
          </cell>
          <cell r="U737">
            <v>42036</v>
          </cell>
          <cell r="V737">
            <v>1</v>
          </cell>
        </row>
        <row r="738">
          <cell r="B738" t="str">
            <v>Nur</v>
          </cell>
          <cell r="C738">
            <v>11</v>
          </cell>
          <cell r="D738">
            <v>172</v>
          </cell>
          <cell r="E738">
            <v>17</v>
          </cell>
          <cell r="F738">
            <v>19</v>
          </cell>
          <cell r="G738">
            <v>2</v>
          </cell>
          <cell r="H738">
            <v>15</v>
          </cell>
          <cell r="I738">
            <v>10</v>
          </cell>
          <cell r="M738" t="str">
            <v>&gt;&gt;</v>
          </cell>
          <cell r="N738" t="str">
            <v>Nur Muhammad</v>
          </cell>
          <cell r="O738" t="str">
            <v>FCL-3</v>
          </cell>
          <cell r="P738" t="str">
            <v>Roaring Tigers</v>
          </cell>
          <cell r="Q738">
            <v>1</v>
          </cell>
          <cell r="R738">
            <v>120</v>
          </cell>
          <cell r="U738">
            <v>42036</v>
          </cell>
        </row>
        <row r="739">
          <cell r="B739" t="str">
            <v>Sajeeb</v>
          </cell>
          <cell r="C739">
            <v>9</v>
          </cell>
          <cell r="D739">
            <v>81</v>
          </cell>
          <cell r="E739">
            <v>11</v>
          </cell>
          <cell r="F739">
            <v>8</v>
          </cell>
          <cell r="G739">
            <v>0</v>
          </cell>
          <cell r="H739">
            <v>5</v>
          </cell>
          <cell r="I739">
            <v>2</v>
          </cell>
          <cell r="M739" t="str">
            <v>&gt;&gt;</v>
          </cell>
          <cell r="N739" t="str">
            <v>ShaHadat H. SaJeeb</v>
          </cell>
          <cell r="O739" t="str">
            <v>FCL-3</v>
          </cell>
          <cell r="P739" t="str">
            <v>Roaring Tigers</v>
          </cell>
          <cell r="Q739">
            <v>1</v>
          </cell>
          <cell r="R739">
            <v>120</v>
          </cell>
          <cell r="U739">
            <v>42036</v>
          </cell>
        </row>
        <row r="740">
          <cell r="B740" t="str">
            <v>Redwan</v>
          </cell>
          <cell r="C740">
            <v>3</v>
          </cell>
          <cell r="D740">
            <v>26</v>
          </cell>
          <cell r="E740">
            <v>2</v>
          </cell>
          <cell r="F740">
            <v>2</v>
          </cell>
          <cell r="G740">
            <v>0</v>
          </cell>
          <cell r="H740">
            <v>1</v>
          </cell>
          <cell r="I740">
            <v>2</v>
          </cell>
          <cell r="M740" t="str">
            <v>&gt;&gt;</v>
          </cell>
          <cell r="N740" t="str">
            <v>Redwan Ahmed</v>
          </cell>
          <cell r="O740" t="str">
            <v>FCL-3</v>
          </cell>
          <cell r="P740" t="str">
            <v>Roaring Tigers</v>
          </cell>
          <cell r="Q740">
            <v>1</v>
          </cell>
          <cell r="R740">
            <v>120</v>
          </cell>
          <cell r="U740">
            <v>42036</v>
          </cell>
        </row>
        <row r="741">
          <cell r="B741" t="str">
            <v>MHK</v>
          </cell>
          <cell r="C741">
            <v>1</v>
          </cell>
          <cell r="D741">
            <v>27</v>
          </cell>
          <cell r="E741">
            <v>0</v>
          </cell>
          <cell r="F741">
            <v>1</v>
          </cell>
          <cell r="G741">
            <v>0</v>
          </cell>
          <cell r="H741">
            <v>3</v>
          </cell>
          <cell r="I741">
            <v>2</v>
          </cell>
          <cell r="M741" t="str">
            <v>&gt;&gt;</v>
          </cell>
          <cell r="N741" t="str">
            <v>Hridoy Khan Mhk</v>
          </cell>
          <cell r="O741" t="str">
            <v>FCL-3</v>
          </cell>
          <cell r="P741" t="str">
            <v>Roaring Tigers</v>
          </cell>
          <cell r="Q741">
            <v>1</v>
          </cell>
          <cell r="R741">
            <v>120</v>
          </cell>
          <cell r="U741">
            <v>42036</v>
          </cell>
        </row>
        <row r="742">
          <cell r="B742" t="str">
            <v>Lightning Thunders</v>
          </cell>
          <cell r="M742" t="str">
            <v>&gt;&gt;</v>
          </cell>
          <cell r="N742" t="str">
            <v/>
          </cell>
          <cell r="O742" t="str">
            <v>FCL-3</v>
          </cell>
          <cell r="P742" t="str">
            <v>Lightning Thunders</v>
          </cell>
          <cell r="Q742">
            <v>1</v>
          </cell>
          <cell r="R742">
            <v>121</v>
          </cell>
          <cell r="U742">
            <v>42036</v>
          </cell>
        </row>
        <row r="743">
          <cell r="B743" t="str">
            <v>Sakib Sr.</v>
          </cell>
          <cell r="C743">
            <v>11</v>
          </cell>
          <cell r="D743">
            <v>298</v>
          </cell>
          <cell r="E743">
            <v>15</v>
          </cell>
          <cell r="F743">
            <v>21</v>
          </cell>
          <cell r="G743">
            <v>2</v>
          </cell>
          <cell r="H743">
            <v>18</v>
          </cell>
          <cell r="I743">
            <v>14</v>
          </cell>
          <cell r="M743" t="str">
            <v>&gt;&gt;</v>
          </cell>
          <cell r="N743" t="str">
            <v>Ahmad Sakib Abdullah</v>
          </cell>
          <cell r="O743" t="str">
            <v>FCL-3</v>
          </cell>
          <cell r="P743" t="str">
            <v>Lightning Thunders</v>
          </cell>
          <cell r="Q743">
            <v>1</v>
          </cell>
          <cell r="R743">
            <v>121</v>
          </cell>
          <cell r="U743">
            <v>42036</v>
          </cell>
        </row>
        <row r="744">
          <cell r="B744" t="str">
            <v>Sabbir</v>
          </cell>
          <cell r="C744">
            <v>10</v>
          </cell>
          <cell r="D744">
            <v>144</v>
          </cell>
          <cell r="E744">
            <v>8</v>
          </cell>
          <cell r="F744">
            <v>12</v>
          </cell>
          <cell r="G744">
            <v>0</v>
          </cell>
          <cell r="H744">
            <v>7</v>
          </cell>
          <cell r="I744">
            <v>10</v>
          </cell>
          <cell r="M744" t="str">
            <v>&gt;&gt;</v>
          </cell>
          <cell r="N744" t="str">
            <v>Sabbir Ahmed</v>
          </cell>
          <cell r="O744" t="str">
            <v>FCL-3</v>
          </cell>
          <cell r="P744" t="str">
            <v>Lightning Thunders</v>
          </cell>
          <cell r="Q744">
            <v>1</v>
          </cell>
          <cell r="R744">
            <v>121</v>
          </cell>
          <cell r="U744">
            <v>42036</v>
          </cell>
        </row>
        <row r="745">
          <cell r="B745" t="str">
            <v>Faisal</v>
          </cell>
          <cell r="C745">
            <v>7</v>
          </cell>
          <cell r="D745">
            <v>155</v>
          </cell>
          <cell r="E745">
            <v>9</v>
          </cell>
          <cell r="F745">
            <v>7</v>
          </cell>
          <cell r="G745">
            <v>0</v>
          </cell>
          <cell r="H745">
            <v>12</v>
          </cell>
          <cell r="I745">
            <v>10</v>
          </cell>
          <cell r="M745" t="str">
            <v>&gt;&gt;</v>
          </cell>
          <cell r="N745" t="str">
            <v>Red Heart Faisal (Fayze Ahamed)</v>
          </cell>
          <cell r="O745" t="str">
            <v>FCL-3</v>
          </cell>
          <cell r="P745" t="str">
            <v>Lightning Thunders</v>
          </cell>
          <cell r="Q745">
            <v>1</v>
          </cell>
          <cell r="R745">
            <v>121</v>
          </cell>
          <cell r="U745">
            <v>42036</v>
          </cell>
        </row>
        <row r="746">
          <cell r="B746" t="str">
            <v>Sahed</v>
          </cell>
          <cell r="C746">
            <v>9</v>
          </cell>
          <cell r="D746">
            <v>131</v>
          </cell>
          <cell r="E746">
            <v>10</v>
          </cell>
          <cell r="F746">
            <v>14</v>
          </cell>
          <cell r="G746">
            <v>3</v>
          </cell>
          <cell r="H746">
            <v>8</v>
          </cell>
          <cell r="I746">
            <v>11</v>
          </cell>
          <cell r="M746" t="str">
            <v>&gt;&gt;</v>
          </cell>
          <cell r="N746" t="str">
            <v>Sahed Hossain Masum</v>
          </cell>
          <cell r="O746" t="str">
            <v>FCL-3</v>
          </cell>
          <cell r="P746" t="str">
            <v>Lightning Thunders</v>
          </cell>
          <cell r="Q746">
            <v>1</v>
          </cell>
          <cell r="R746">
            <v>121</v>
          </cell>
          <cell r="U746">
            <v>42036</v>
          </cell>
        </row>
        <row r="747">
          <cell r="B747" t="str">
            <v>AR Shohag</v>
          </cell>
          <cell r="C747">
            <v>11</v>
          </cell>
          <cell r="D747">
            <v>70</v>
          </cell>
          <cell r="E747">
            <v>10</v>
          </cell>
          <cell r="F747">
            <v>9</v>
          </cell>
          <cell r="G747">
            <v>0</v>
          </cell>
          <cell r="H747">
            <v>5</v>
          </cell>
          <cell r="I747">
            <v>3</v>
          </cell>
          <cell r="M747" t="str">
            <v>&gt;&gt;</v>
          </cell>
          <cell r="N747" t="str">
            <v>A.R. Shohag</v>
          </cell>
          <cell r="O747" t="str">
            <v>FCL-3</v>
          </cell>
          <cell r="P747" t="str">
            <v>Lightning Thunders</v>
          </cell>
          <cell r="Q747">
            <v>1</v>
          </cell>
          <cell r="R747">
            <v>121</v>
          </cell>
          <cell r="U747">
            <v>42036</v>
          </cell>
        </row>
        <row r="748">
          <cell r="B748" t="str">
            <v>Nahid</v>
          </cell>
          <cell r="C748">
            <v>8</v>
          </cell>
          <cell r="D748">
            <v>68</v>
          </cell>
          <cell r="E748">
            <v>9</v>
          </cell>
          <cell r="F748">
            <v>8</v>
          </cell>
          <cell r="G748">
            <v>0</v>
          </cell>
          <cell r="H748">
            <v>3</v>
          </cell>
          <cell r="I748">
            <v>3</v>
          </cell>
          <cell r="M748" t="str">
            <v>&gt;&gt;</v>
          </cell>
          <cell r="N748" t="str">
            <v>Nahid Saifullah</v>
          </cell>
          <cell r="O748" t="str">
            <v>FCL-3</v>
          </cell>
          <cell r="P748" t="str">
            <v>Lightning Thunders</v>
          </cell>
          <cell r="Q748">
            <v>1</v>
          </cell>
          <cell r="R748">
            <v>121</v>
          </cell>
          <cell r="U748">
            <v>42036</v>
          </cell>
        </row>
        <row r="749">
          <cell r="B749" t="str">
            <v>Giant Storm</v>
          </cell>
          <cell r="M749" t="str">
            <v>&gt;&gt;</v>
          </cell>
          <cell r="N749" t="str">
            <v/>
          </cell>
          <cell r="O749" t="str">
            <v>FCL-3</v>
          </cell>
          <cell r="P749" t="str">
            <v>Giant Storm</v>
          </cell>
          <cell r="Q749">
            <v>1</v>
          </cell>
          <cell r="R749">
            <v>122</v>
          </cell>
          <cell r="U749">
            <v>42036</v>
          </cell>
        </row>
        <row r="750">
          <cell r="B750" t="str">
            <v>Ovi</v>
          </cell>
          <cell r="C750">
            <v>8</v>
          </cell>
          <cell r="D750">
            <v>224</v>
          </cell>
          <cell r="E750">
            <v>15</v>
          </cell>
          <cell r="F750">
            <v>16</v>
          </cell>
          <cell r="G750">
            <v>2</v>
          </cell>
          <cell r="H750">
            <v>13</v>
          </cell>
          <cell r="I750">
            <v>16</v>
          </cell>
          <cell r="M750" t="str">
            <v>&gt;&gt;</v>
          </cell>
          <cell r="N750" t="str">
            <v>Toufiq Ahmed Ovi</v>
          </cell>
          <cell r="O750" t="str">
            <v>FCL-3</v>
          </cell>
          <cell r="P750" t="str">
            <v>Giant Storm</v>
          </cell>
          <cell r="Q750">
            <v>1</v>
          </cell>
          <cell r="R750">
            <v>122</v>
          </cell>
          <cell r="U750">
            <v>42036</v>
          </cell>
        </row>
        <row r="751">
          <cell r="B751" t="str">
            <v>Meyaz</v>
          </cell>
          <cell r="C751">
            <v>7</v>
          </cell>
          <cell r="D751">
            <v>169</v>
          </cell>
          <cell r="E751">
            <v>6</v>
          </cell>
          <cell r="F751">
            <v>14</v>
          </cell>
          <cell r="G751">
            <v>0</v>
          </cell>
          <cell r="H751">
            <v>8</v>
          </cell>
          <cell r="I751">
            <v>6</v>
          </cell>
          <cell r="M751" t="str">
            <v>&gt;&gt;</v>
          </cell>
          <cell r="N751" t="str">
            <v>Meyaz Al Emon</v>
          </cell>
          <cell r="O751" t="str">
            <v>FCL-3</v>
          </cell>
          <cell r="P751" t="str">
            <v>Giant Storm</v>
          </cell>
          <cell r="Q751">
            <v>1</v>
          </cell>
          <cell r="R751">
            <v>122</v>
          </cell>
          <cell r="U751">
            <v>42036</v>
          </cell>
        </row>
        <row r="752">
          <cell r="B752" t="str">
            <v>Sohan</v>
          </cell>
          <cell r="C752">
            <v>9</v>
          </cell>
          <cell r="D752">
            <v>190</v>
          </cell>
          <cell r="E752">
            <v>10</v>
          </cell>
          <cell r="F752">
            <v>16</v>
          </cell>
          <cell r="G752">
            <v>1</v>
          </cell>
          <cell r="H752">
            <v>13</v>
          </cell>
          <cell r="I752">
            <v>13</v>
          </cell>
          <cell r="M752" t="str">
            <v>&gt;&gt;</v>
          </cell>
          <cell r="N752" t="str">
            <v>Moksedur RaHman SoHan (Duronto Sohan)</v>
          </cell>
          <cell r="O752" t="str">
            <v>FCL-3</v>
          </cell>
          <cell r="P752" t="str">
            <v>Giant Storm</v>
          </cell>
          <cell r="Q752">
            <v>1</v>
          </cell>
          <cell r="R752">
            <v>122</v>
          </cell>
          <cell r="U752">
            <v>42036</v>
          </cell>
        </row>
        <row r="753">
          <cell r="B753" t="str">
            <v>Moon</v>
          </cell>
          <cell r="C753">
            <v>6</v>
          </cell>
          <cell r="D753">
            <v>116</v>
          </cell>
          <cell r="E753">
            <v>8</v>
          </cell>
          <cell r="F753">
            <v>11</v>
          </cell>
          <cell r="G753">
            <v>1</v>
          </cell>
          <cell r="H753">
            <v>12</v>
          </cell>
          <cell r="I753">
            <v>5</v>
          </cell>
          <cell r="M753" t="str">
            <v>&gt;&gt;</v>
          </cell>
          <cell r="N753" t="str">
            <v>Mazharul Islam Moon</v>
          </cell>
          <cell r="O753" t="str">
            <v>FCL-3</v>
          </cell>
          <cell r="P753" t="str">
            <v>Giant Storm</v>
          </cell>
          <cell r="Q753">
            <v>1</v>
          </cell>
          <cell r="R753">
            <v>122</v>
          </cell>
          <cell r="U753">
            <v>42036</v>
          </cell>
        </row>
        <row r="754">
          <cell r="B754" t="str">
            <v>Mijan</v>
          </cell>
          <cell r="C754">
            <v>5</v>
          </cell>
          <cell r="D754">
            <v>45</v>
          </cell>
          <cell r="E754">
            <v>6</v>
          </cell>
          <cell r="F754">
            <v>5</v>
          </cell>
          <cell r="G754">
            <v>1</v>
          </cell>
          <cell r="H754">
            <v>2</v>
          </cell>
          <cell r="I754">
            <v>3</v>
          </cell>
          <cell r="M754" t="str">
            <v>&gt;&gt;</v>
          </cell>
          <cell r="N754" t="str">
            <v>Noushed Mijan</v>
          </cell>
          <cell r="O754" t="str">
            <v>FCL-3</v>
          </cell>
          <cell r="P754" t="str">
            <v>Giant Storm</v>
          </cell>
          <cell r="Q754">
            <v>1</v>
          </cell>
          <cell r="R754">
            <v>122</v>
          </cell>
          <cell r="U754">
            <v>42036</v>
          </cell>
        </row>
        <row r="755">
          <cell r="B755" t="str">
            <v>Adnan</v>
          </cell>
          <cell r="C755">
            <v>8</v>
          </cell>
          <cell r="D755">
            <v>83</v>
          </cell>
          <cell r="E755">
            <v>1</v>
          </cell>
          <cell r="F755">
            <v>11</v>
          </cell>
          <cell r="G755">
            <v>0</v>
          </cell>
          <cell r="H755">
            <v>10</v>
          </cell>
          <cell r="I755">
            <v>7</v>
          </cell>
          <cell r="M755" t="str">
            <v>&gt;&gt;</v>
          </cell>
          <cell r="N755" t="str">
            <v>Shah Abi Talib Adnan</v>
          </cell>
          <cell r="O755" t="str">
            <v>FCL-3</v>
          </cell>
          <cell r="P755" t="str">
            <v>Giant Storm</v>
          </cell>
          <cell r="Q755">
            <v>1</v>
          </cell>
          <cell r="R755">
            <v>122</v>
          </cell>
          <cell r="U755">
            <v>42036</v>
          </cell>
        </row>
        <row r="756">
          <cell r="B756" t="str">
            <v>Master Blaster</v>
          </cell>
          <cell r="M756" t="str">
            <v>&gt;&gt;</v>
          </cell>
          <cell r="N756" t="str">
            <v/>
          </cell>
          <cell r="O756" t="str">
            <v>FCL-3</v>
          </cell>
          <cell r="P756" t="str">
            <v>Master Blaster</v>
          </cell>
          <cell r="Q756">
            <v>1</v>
          </cell>
          <cell r="R756">
            <v>123</v>
          </cell>
          <cell r="U756">
            <v>42036</v>
          </cell>
        </row>
        <row r="757">
          <cell r="B757" t="str">
            <v>Niamul</v>
          </cell>
          <cell r="C757">
            <v>11</v>
          </cell>
          <cell r="D757">
            <v>226</v>
          </cell>
          <cell r="E757">
            <v>22</v>
          </cell>
          <cell r="F757">
            <v>16</v>
          </cell>
          <cell r="G757">
            <v>4</v>
          </cell>
          <cell r="H757">
            <v>14</v>
          </cell>
          <cell r="I757">
            <v>18</v>
          </cell>
          <cell r="M757" t="str">
            <v>&gt;&gt;</v>
          </cell>
          <cell r="N757" t="str">
            <v>Niamul Habib Setu</v>
          </cell>
          <cell r="O757" t="str">
            <v>FCL-3</v>
          </cell>
          <cell r="P757" t="str">
            <v>Master Blaster</v>
          </cell>
          <cell r="Q757">
            <v>1</v>
          </cell>
          <cell r="R757">
            <v>123</v>
          </cell>
          <cell r="U757">
            <v>42036</v>
          </cell>
        </row>
        <row r="758">
          <cell r="B758" t="str">
            <v>Manik</v>
          </cell>
          <cell r="C758">
            <v>11</v>
          </cell>
          <cell r="D758">
            <v>163</v>
          </cell>
          <cell r="E758">
            <v>22</v>
          </cell>
          <cell r="F758">
            <v>16</v>
          </cell>
          <cell r="G758">
            <v>1</v>
          </cell>
          <cell r="H758">
            <v>9</v>
          </cell>
          <cell r="I758">
            <v>13</v>
          </cell>
          <cell r="M758" t="str">
            <v>&gt;&gt;</v>
          </cell>
          <cell r="N758" t="str">
            <v>GM Manik</v>
          </cell>
          <cell r="O758" t="str">
            <v>FCL-3</v>
          </cell>
          <cell r="P758" t="str">
            <v>Master Blaster</v>
          </cell>
          <cell r="Q758">
            <v>1</v>
          </cell>
          <cell r="R758">
            <v>123</v>
          </cell>
          <cell r="U758">
            <v>42036</v>
          </cell>
        </row>
        <row r="759">
          <cell r="B759" t="str">
            <v>Ariful</v>
          </cell>
          <cell r="C759">
            <v>10</v>
          </cell>
          <cell r="D759">
            <v>218</v>
          </cell>
          <cell r="E759">
            <v>11</v>
          </cell>
          <cell r="F759">
            <v>13</v>
          </cell>
          <cell r="G759">
            <v>0</v>
          </cell>
          <cell r="H759">
            <v>12</v>
          </cell>
          <cell r="I759">
            <v>15</v>
          </cell>
          <cell r="M759" t="str">
            <v>&gt;&gt;</v>
          </cell>
          <cell r="N759" t="str">
            <v>Ahammed Ariful Haq</v>
          </cell>
          <cell r="O759" t="str">
            <v>FCL-3</v>
          </cell>
          <cell r="P759" t="str">
            <v>Master Blaster</v>
          </cell>
          <cell r="Q759">
            <v>1</v>
          </cell>
          <cell r="R759">
            <v>123</v>
          </cell>
          <cell r="U759">
            <v>42036</v>
          </cell>
        </row>
        <row r="760">
          <cell r="B760" t="str">
            <v>Ruhin</v>
          </cell>
          <cell r="C760">
            <v>10</v>
          </cell>
          <cell r="D760">
            <v>132</v>
          </cell>
          <cell r="E760">
            <v>4</v>
          </cell>
          <cell r="F760">
            <v>13</v>
          </cell>
          <cell r="G760">
            <v>1</v>
          </cell>
          <cell r="H760">
            <v>7</v>
          </cell>
          <cell r="I760">
            <v>6</v>
          </cell>
          <cell r="M760" t="str">
            <v>&gt;&gt;</v>
          </cell>
          <cell r="N760" t="str">
            <v>Md. Ruhin</v>
          </cell>
          <cell r="O760" t="str">
            <v>FCL-3</v>
          </cell>
          <cell r="P760" t="str">
            <v>Master Blaster</v>
          </cell>
          <cell r="Q760">
            <v>1</v>
          </cell>
          <cell r="R760">
            <v>123</v>
          </cell>
          <cell r="U760">
            <v>42036</v>
          </cell>
        </row>
        <row r="761">
          <cell r="B761" t="str">
            <v>Kamil</v>
          </cell>
          <cell r="C761">
            <v>4</v>
          </cell>
          <cell r="D761">
            <v>40</v>
          </cell>
          <cell r="E761">
            <v>6</v>
          </cell>
          <cell r="F761">
            <v>7</v>
          </cell>
          <cell r="G761">
            <v>0</v>
          </cell>
          <cell r="H761">
            <v>2</v>
          </cell>
          <cell r="I761">
            <v>0</v>
          </cell>
          <cell r="M761" t="str">
            <v>&gt;&gt;</v>
          </cell>
          <cell r="N761" t="str">
            <v>Kamil Ahmed</v>
          </cell>
          <cell r="O761" t="str">
            <v>FCL-3</v>
          </cell>
          <cell r="P761" t="str">
            <v>Master Blaster</v>
          </cell>
          <cell r="Q761">
            <v>1</v>
          </cell>
          <cell r="R761">
            <v>123</v>
          </cell>
          <cell r="U761">
            <v>42036</v>
          </cell>
        </row>
        <row r="762">
          <cell r="B762" t="str">
            <v>Rafiul</v>
          </cell>
          <cell r="C762">
            <v>2</v>
          </cell>
          <cell r="D762">
            <v>28</v>
          </cell>
          <cell r="E762">
            <v>2</v>
          </cell>
          <cell r="F762">
            <v>3</v>
          </cell>
          <cell r="G762">
            <v>0</v>
          </cell>
          <cell r="H762">
            <v>1</v>
          </cell>
          <cell r="I762">
            <v>0</v>
          </cell>
          <cell r="M762" t="str">
            <v>&gt;&gt;</v>
          </cell>
          <cell r="N762" t="str">
            <v>Rafiul Haque Sanchay</v>
          </cell>
          <cell r="O762" t="str">
            <v>FCL-3</v>
          </cell>
          <cell r="P762" t="str">
            <v>Master Blaster</v>
          </cell>
          <cell r="Q762">
            <v>1</v>
          </cell>
          <cell r="R762">
            <v>123</v>
          </cell>
          <cell r="U762">
            <v>42036</v>
          </cell>
        </row>
        <row r="763">
          <cell r="B763" t="str">
            <v>Mighty Tigers</v>
          </cell>
          <cell r="M763" t="str">
            <v>&gt;&gt;</v>
          </cell>
          <cell r="N763" t="str">
            <v/>
          </cell>
          <cell r="O763" t="str">
            <v>FCL-3</v>
          </cell>
          <cell r="P763" t="str">
            <v>Mighty Tigers</v>
          </cell>
          <cell r="Q763">
            <v>1</v>
          </cell>
          <cell r="R763">
            <v>124</v>
          </cell>
          <cell r="U763">
            <v>42036</v>
          </cell>
        </row>
        <row r="764">
          <cell r="B764" t="str">
            <v>Hridoy</v>
          </cell>
          <cell r="C764">
            <v>10</v>
          </cell>
          <cell r="D764">
            <v>138</v>
          </cell>
          <cell r="E764">
            <v>15</v>
          </cell>
          <cell r="F764">
            <v>19</v>
          </cell>
          <cell r="G764">
            <v>2</v>
          </cell>
          <cell r="H764">
            <v>10</v>
          </cell>
          <cell r="I764">
            <v>9</v>
          </cell>
          <cell r="M764" t="str">
            <v>&gt;&gt;</v>
          </cell>
          <cell r="N764" t="str">
            <v>Kamrul Hasan Hridoy</v>
          </cell>
          <cell r="O764" t="str">
            <v>FCL-3</v>
          </cell>
          <cell r="P764" t="str">
            <v>Mighty Tigers</v>
          </cell>
          <cell r="Q764">
            <v>1</v>
          </cell>
          <cell r="R764">
            <v>124</v>
          </cell>
          <cell r="U764">
            <v>42036</v>
          </cell>
        </row>
        <row r="765">
          <cell r="B765" t="str">
            <v>SA Shanto</v>
          </cell>
          <cell r="C765">
            <v>11</v>
          </cell>
          <cell r="D765">
            <v>337</v>
          </cell>
          <cell r="E765">
            <v>9</v>
          </cell>
          <cell r="F765">
            <v>22</v>
          </cell>
          <cell r="G765">
            <v>0</v>
          </cell>
          <cell r="H765">
            <v>22</v>
          </cell>
          <cell r="I765">
            <v>15</v>
          </cell>
          <cell r="M765" t="str">
            <v>&gt;&gt;</v>
          </cell>
          <cell r="N765" t="str">
            <v>Sayed Anowar Shanto</v>
          </cell>
          <cell r="O765" t="str">
            <v>FCL-3</v>
          </cell>
          <cell r="P765" t="str">
            <v>Mighty Tigers</v>
          </cell>
          <cell r="Q765">
            <v>1</v>
          </cell>
          <cell r="R765">
            <v>124</v>
          </cell>
          <cell r="U765">
            <v>42036</v>
          </cell>
        </row>
        <row r="766">
          <cell r="B766" t="str">
            <v>Sakif</v>
          </cell>
          <cell r="C766">
            <v>10</v>
          </cell>
          <cell r="D766">
            <v>319</v>
          </cell>
          <cell r="E766">
            <v>6</v>
          </cell>
          <cell r="F766">
            <v>18</v>
          </cell>
          <cell r="G766">
            <v>3</v>
          </cell>
          <cell r="H766">
            <v>20</v>
          </cell>
          <cell r="I766">
            <v>18</v>
          </cell>
          <cell r="M766" t="str">
            <v>&gt;&gt;</v>
          </cell>
          <cell r="N766" t="str">
            <v>Sakif Rahaman</v>
          </cell>
          <cell r="O766" t="str">
            <v>FCL-3</v>
          </cell>
          <cell r="P766" t="str">
            <v>Mighty Tigers</v>
          </cell>
          <cell r="Q766">
            <v>1</v>
          </cell>
          <cell r="R766">
            <v>124</v>
          </cell>
          <cell r="U766">
            <v>42036</v>
          </cell>
        </row>
        <row r="767">
          <cell r="B767" t="str">
            <v>Tonmoy</v>
          </cell>
          <cell r="C767">
            <v>3</v>
          </cell>
          <cell r="D767">
            <v>132</v>
          </cell>
          <cell r="E767">
            <v>9</v>
          </cell>
          <cell r="F767">
            <v>7</v>
          </cell>
          <cell r="G767">
            <v>0</v>
          </cell>
          <cell r="H767">
            <v>8</v>
          </cell>
          <cell r="I767">
            <v>7</v>
          </cell>
          <cell r="M767" t="str">
            <v>&gt;&gt;</v>
          </cell>
          <cell r="N767" t="str">
            <v>Asik Hassan Tonmoy</v>
          </cell>
          <cell r="O767" t="str">
            <v>FCL-3</v>
          </cell>
          <cell r="P767" t="str">
            <v>Mighty Tigers</v>
          </cell>
          <cell r="Q767">
            <v>1</v>
          </cell>
          <cell r="R767">
            <v>124</v>
          </cell>
          <cell r="U767">
            <v>42036</v>
          </cell>
        </row>
        <row r="768">
          <cell r="B768" t="str">
            <v>Zohir</v>
          </cell>
          <cell r="C768">
            <v>10</v>
          </cell>
          <cell r="D768">
            <v>39</v>
          </cell>
          <cell r="E768">
            <v>10</v>
          </cell>
          <cell r="F768">
            <v>10</v>
          </cell>
          <cell r="G768">
            <v>0</v>
          </cell>
          <cell r="H768">
            <v>5</v>
          </cell>
          <cell r="I768">
            <v>1</v>
          </cell>
          <cell r="M768" t="str">
            <v>&gt;&gt;</v>
          </cell>
          <cell r="N768" t="str">
            <v>Zi Zohir</v>
          </cell>
          <cell r="O768" t="str">
            <v>FCL-3</v>
          </cell>
          <cell r="P768" t="str">
            <v>Mighty Tigers</v>
          </cell>
          <cell r="Q768">
            <v>1</v>
          </cell>
          <cell r="R768">
            <v>124</v>
          </cell>
          <cell r="U768">
            <v>42036</v>
          </cell>
        </row>
        <row r="769">
          <cell r="B769" t="str">
            <v>Mashuk</v>
          </cell>
          <cell r="C769">
            <v>2</v>
          </cell>
          <cell r="D769">
            <v>14</v>
          </cell>
          <cell r="E769">
            <v>1</v>
          </cell>
          <cell r="F769">
            <v>1</v>
          </cell>
          <cell r="G769">
            <v>0</v>
          </cell>
          <cell r="H769">
            <v>1</v>
          </cell>
          <cell r="I769">
            <v>1</v>
          </cell>
          <cell r="M769" t="str">
            <v>&gt;&gt;</v>
          </cell>
          <cell r="N769" t="str">
            <v>Mustofa Muddassir Mahmud Mashuk</v>
          </cell>
          <cell r="O769" t="str">
            <v>FCL-3</v>
          </cell>
          <cell r="P769" t="str">
            <v>Mighty Tigers</v>
          </cell>
          <cell r="Q769">
            <v>1</v>
          </cell>
          <cell r="R769">
            <v>124</v>
          </cell>
          <cell r="U769">
            <v>42036</v>
          </cell>
        </row>
        <row r="770">
          <cell r="B770" t="str">
            <v>Rocking Dynamite</v>
          </cell>
          <cell r="M770" t="str">
            <v>&gt;&gt;</v>
          </cell>
          <cell r="N770" t="str">
            <v/>
          </cell>
          <cell r="O770" t="str">
            <v>FCL-3</v>
          </cell>
          <cell r="P770" t="str">
            <v>Rocking Dynamite</v>
          </cell>
          <cell r="Q770">
            <v>1</v>
          </cell>
          <cell r="R770">
            <v>125</v>
          </cell>
          <cell r="U770">
            <v>42036</v>
          </cell>
        </row>
        <row r="771">
          <cell r="B771" t="str">
            <v>Raihan</v>
          </cell>
          <cell r="C771">
            <v>9</v>
          </cell>
          <cell r="D771">
            <v>161</v>
          </cell>
          <cell r="E771">
            <v>14</v>
          </cell>
          <cell r="F771">
            <v>17</v>
          </cell>
          <cell r="G771">
            <v>0</v>
          </cell>
          <cell r="H771">
            <v>10</v>
          </cell>
          <cell r="I771">
            <v>10</v>
          </cell>
          <cell r="M771" t="str">
            <v>&gt;&gt;</v>
          </cell>
          <cell r="N771" t="str">
            <v>Raihan Al-maMun</v>
          </cell>
          <cell r="O771" t="str">
            <v>FCL-3</v>
          </cell>
          <cell r="P771" t="str">
            <v>Rocking Dynamite</v>
          </cell>
          <cell r="Q771">
            <v>1</v>
          </cell>
          <cell r="R771">
            <v>125</v>
          </cell>
          <cell r="U771">
            <v>42036</v>
          </cell>
        </row>
        <row r="772">
          <cell r="B772" t="str">
            <v>Kamal</v>
          </cell>
          <cell r="C772">
            <v>10</v>
          </cell>
          <cell r="D772">
            <v>325</v>
          </cell>
          <cell r="E772">
            <v>15</v>
          </cell>
          <cell r="F772">
            <v>21</v>
          </cell>
          <cell r="G772">
            <v>2</v>
          </cell>
          <cell r="H772">
            <v>15</v>
          </cell>
          <cell r="I772">
            <v>24</v>
          </cell>
          <cell r="M772" t="str">
            <v>&gt;&gt;</v>
          </cell>
          <cell r="N772" t="str">
            <v>MD Kamal Hossain Kamal</v>
          </cell>
          <cell r="O772" t="str">
            <v>FCL-3</v>
          </cell>
          <cell r="P772" t="str">
            <v>Rocking Dynamite</v>
          </cell>
          <cell r="Q772">
            <v>1</v>
          </cell>
          <cell r="R772">
            <v>125</v>
          </cell>
          <cell r="U772">
            <v>42036</v>
          </cell>
        </row>
        <row r="773">
          <cell r="B773" t="str">
            <v>Nayem</v>
          </cell>
          <cell r="C773">
            <v>9</v>
          </cell>
          <cell r="D773">
            <v>110</v>
          </cell>
          <cell r="E773">
            <v>6</v>
          </cell>
          <cell r="F773">
            <v>12</v>
          </cell>
          <cell r="G773">
            <v>1</v>
          </cell>
          <cell r="H773">
            <v>3</v>
          </cell>
          <cell r="I773">
            <v>7</v>
          </cell>
          <cell r="M773" t="str">
            <v>&gt;&gt;</v>
          </cell>
          <cell r="N773" t="str">
            <v>Neyem khan</v>
          </cell>
          <cell r="O773" t="str">
            <v>FCL-3</v>
          </cell>
          <cell r="P773" t="str">
            <v>Rocking Dynamite</v>
          </cell>
          <cell r="Q773">
            <v>1</v>
          </cell>
          <cell r="R773">
            <v>125</v>
          </cell>
          <cell r="U773">
            <v>42036</v>
          </cell>
        </row>
        <row r="774">
          <cell r="B774" t="str">
            <v>Sabbir</v>
          </cell>
          <cell r="C774">
            <v>6</v>
          </cell>
          <cell r="D774">
            <v>104</v>
          </cell>
          <cell r="E774">
            <v>10</v>
          </cell>
          <cell r="F774">
            <v>9</v>
          </cell>
          <cell r="G774">
            <v>0</v>
          </cell>
          <cell r="H774">
            <v>7</v>
          </cell>
          <cell r="I774">
            <v>9</v>
          </cell>
          <cell r="M774" t="str">
            <v>&gt;&gt;</v>
          </cell>
          <cell r="N774" t="str">
            <v>Sabbir Ahmed</v>
          </cell>
          <cell r="O774" t="str">
            <v>FCL-3</v>
          </cell>
          <cell r="P774" t="str">
            <v>Rocking Dynamite</v>
          </cell>
          <cell r="Q774">
            <v>1</v>
          </cell>
          <cell r="R774">
            <v>125</v>
          </cell>
          <cell r="U774">
            <v>42036</v>
          </cell>
        </row>
        <row r="775">
          <cell r="B775" t="str">
            <v>Helal</v>
          </cell>
          <cell r="C775">
            <v>8</v>
          </cell>
          <cell r="D775">
            <v>126</v>
          </cell>
          <cell r="E775">
            <v>6</v>
          </cell>
          <cell r="F775">
            <v>10</v>
          </cell>
          <cell r="G775">
            <v>1</v>
          </cell>
          <cell r="H775">
            <v>3</v>
          </cell>
          <cell r="I775">
            <v>8</v>
          </cell>
          <cell r="M775" t="str">
            <v>&gt;&gt;</v>
          </cell>
          <cell r="N775" t="str">
            <v>Sheik Helal Ahmed</v>
          </cell>
          <cell r="O775" t="str">
            <v>FCL-3</v>
          </cell>
          <cell r="P775" t="str">
            <v>Rocking Dynamite</v>
          </cell>
          <cell r="Q775">
            <v>1</v>
          </cell>
          <cell r="R775">
            <v>125</v>
          </cell>
          <cell r="U775">
            <v>42036</v>
          </cell>
        </row>
        <row r="776">
          <cell r="B776" t="str">
            <v>Pritom</v>
          </cell>
          <cell r="C776">
            <v>4</v>
          </cell>
          <cell r="D776">
            <v>64</v>
          </cell>
          <cell r="E776">
            <v>0</v>
          </cell>
          <cell r="F776">
            <v>4</v>
          </cell>
          <cell r="G776">
            <v>0</v>
          </cell>
          <cell r="H776">
            <v>4</v>
          </cell>
          <cell r="I776">
            <v>0</v>
          </cell>
          <cell r="M776" t="str">
            <v>&gt;&gt;</v>
          </cell>
          <cell r="N776" t="str">
            <v>Sanju Pritom</v>
          </cell>
          <cell r="O776" t="str">
            <v>FCL-3</v>
          </cell>
          <cell r="P776" t="str">
            <v>Rocking Dynamite</v>
          </cell>
          <cell r="Q776">
            <v>1</v>
          </cell>
          <cell r="R776">
            <v>125</v>
          </cell>
          <cell r="U776">
            <v>42036</v>
          </cell>
        </row>
        <row r="777">
          <cell r="B777" t="str">
            <v>Knockout-Kings</v>
          </cell>
          <cell r="M777" t="str">
            <v>&gt;&gt;</v>
          </cell>
          <cell r="N777" t="str">
            <v/>
          </cell>
          <cell r="O777" t="str">
            <v>FIC-2</v>
          </cell>
          <cell r="P777" t="str">
            <v>Knockout-Kings</v>
          </cell>
          <cell r="Q777">
            <v>1</v>
          </cell>
          <cell r="R777">
            <v>126</v>
          </cell>
          <cell r="T777" t="str">
            <v>CHAMP</v>
          </cell>
          <cell r="U777">
            <v>42125</v>
          </cell>
        </row>
        <row r="778">
          <cell r="B778" t="str">
            <v>Khokon</v>
          </cell>
          <cell r="C778">
            <v>9</v>
          </cell>
          <cell r="D778">
            <v>225</v>
          </cell>
          <cell r="E778">
            <v>17</v>
          </cell>
          <cell r="F778">
            <v>17</v>
          </cell>
          <cell r="G778">
            <v>3</v>
          </cell>
          <cell r="H778">
            <v>18</v>
          </cell>
          <cell r="I778">
            <v>15</v>
          </cell>
          <cell r="M778" t="str">
            <v>&gt;&gt;</v>
          </cell>
          <cell r="N778" t="str">
            <v>Shahriar Khokon</v>
          </cell>
          <cell r="O778" t="str">
            <v>FIC-2</v>
          </cell>
          <cell r="P778" t="str">
            <v>Knockout-Kings</v>
          </cell>
          <cell r="Q778">
            <v>1</v>
          </cell>
          <cell r="R778">
            <v>126</v>
          </cell>
          <cell r="S778" t="str">
            <v>MOT</v>
          </cell>
          <cell r="T778" t="str">
            <v>CHAMP</v>
          </cell>
          <cell r="U778">
            <v>42125</v>
          </cell>
        </row>
        <row r="779">
          <cell r="B779" t="str">
            <v>Zaheed</v>
          </cell>
          <cell r="C779">
            <v>9</v>
          </cell>
          <cell r="D779">
            <v>179</v>
          </cell>
          <cell r="E779">
            <v>22</v>
          </cell>
          <cell r="F779">
            <v>14</v>
          </cell>
          <cell r="G779">
            <v>2</v>
          </cell>
          <cell r="H779">
            <v>16</v>
          </cell>
          <cell r="I779">
            <v>9</v>
          </cell>
          <cell r="M779" t="str">
            <v>&gt;&gt;</v>
          </cell>
          <cell r="N779" t="str">
            <v>Zaheed Hasan</v>
          </cell>
          <cell r="O779" t="str">
            <v>FIC-2</v>
          </cell>
          <cell r="P779" t="str">
            <v>Knockout-Kings</v>
          </cell>
          <cell r="Q779">
            <v>1</v>
          </cell>
          <cell r="R779">
            <v>126</v>
          </cell>
          <cell r="T779" t="str">
            <v>CHAMP</v>
          </cell>
          <cell r="U779">
            <v>42125</v>
          </cell>
        </row>
        <row r="780">
          <cell r="B780" t="str">
            <v>Rashed</v>
          </cell>
          <cell r="C780">
            <v>9</v>
          </cell>
          <cell r="D780">
            <v>115</v>
          </cell>
          <cell r="E780">
            <v>4</v>
          </cell>
          <cell r="F780">
            <v>9</v>
          </cell>
          <cell r="G780">
            <v>0</v>
          </cell>
          <cell r="H780">
            <v>10</v>
          </cell>
          <cell r="I780">
            <v>5</v>
          </cell>
          <cell r="M780" t="str">
            <v>&gt;&gt;</v>
          </cell>
          <cell r="N780" t="str">
            <v>KM Rashedul Islam Rashed</v>
          </cell>
          <cell r="O780" t="str">
            <v>FIC-2</v>
          </cell>
          <cell r="P780" t="str">
            <v>Knockout-Kings</v>
          </cell>
          <cell r="Q780">
            <v>1</v>
          </cell>
          <cell r="R780">
            <v>126</v>
          </cell>
          <cell r="T780" t="str">
            <v>CHAMP</v>
          </cell>
          <cell r="U780">
            <v>42125</v>
          </cell>
        </row>
        <row r="781">
          <cell r="B781" t="str">
            <v>Mijan</v>
          </cell>
          <cell r="C781">
            <v>7</v>
          </cell>
          <cell r="D781">
            <v>123</v>
          </cell>
          <cell r="E781">
            <v>8</v>
          </cell>
          <cell r="F781">
            <v>9</v>
          </cell>
          <cell r="G781">
            <v>1</v>
          </cell>
          <cell r="H781">
            <v>11</v>
          </cell>
          <cell r="I781">
            <v>7</v>
          </cell>
          <cell r="M781" t="str">
            <v>&gt;&gt;</v>
          </cell>
          <cell r="N781" t="str">
            <v>Noushed Mijan</v>
          </cell>
          <cell r="O781" t="str">
            <v>FIC-2</v>
          </cell>
          <cell r="P781" t="str">
            <v>Knockout-Kings</v>
          </cell>
          <cell r="Q781">
            <v>1</v>
          </cell>
          <cell r="R781">
            <v>126</v>
          </cell>
          <cell r="T781" t="str">
            <v>CHAMP</v>
          </cell>
          <cell r="U781">
            <v>42125</v>
          </cell>
        </row>
        <row r="782">
          <cell r="B782" t="str">
            <v>Washim</v>
          </cell>
          <cell r="C782">
            <v>4</v>
          </cell>
          <cell r="D782">
            <v>46</v>
          </cell>
          <cell r="E782">
            <v>3</v>
          </cell>
          <cell r="F782">
            <v>7</v>
          </cell>
          <cell r="G782">
            <v>1</v>
          </cell>
          <cell r="H782">
            <v>2</v>
          </cell>
          <cell r="I782">
            <v>1</v>
          </cell>
          <cell r="M782" t="str">
            <v>&gt;&gt;</v>
          </cell>
          <cell r="N782" t="str">
            <v>Akram Husan (Washim)</v>
          </cell>
          <cell r="O782" t="str">
            <v>FIC-2</v>
          </cell>
          <cell r="P782" t="str">
            <v>Knockout-Kings</v>
          </cell>
          <cell r="Q782">
            <v>1</v>
          </cell>
          <cell r="R782">
            <v>126</v>
          </cell>
          <cell r="T782" t="str">
            <v>CHAMP</v>
          </cell>
          <cell r="U782">
            <v>42125</v>
          </cell>
        </row>
        <row r="783">
          <cell r="B783" t="str">
            <v>Rocket-Thunders</v>
          </cell>
          <cell r="M783" t="str">
            <v>&gt;&gt;</v>
          </cell>
          <cell r="N783" t="str">
            <v/>
          </cell>
          <cell r="O783" t="str">
            <v>FIC-2</v>
          </cell>
          <cell r="P783" t="str">
            <v>Rocket-Thunders</v>
          </cell>
          <cell r="Q783">
            <v>1</v>
          </cell>
          <cell r="R783">
            <v>127</v>
          </cell>
          <cell r="T783" t="str">
            <v>RU</v>
          </cell>
          <cell r="U783">
            <v>42125</v>
          </cell>
        </row>
        <row r="784">
          <cell r="B784" t="str">
            <v>Tutul</v>
          </cell>
          <cell r="C784">
            <v>9</v>
          </cell>
          <cell r="D784">
            <v>145</v>
          </cell>
          <cell r="E784">
            <v>22</v>
          </cell>
          <cell r="F784">
            <v>17</v>
          </cell>
          <cell r="G784">
            <v>2</v>
          </cell>
          <cell r="H784">
            <v>16</v>
          </cell>
          <cell r="I784">
            <v>9</v>
          </cell>
          <cell r="M784" t="str">
            <v>&gt;&gt;</v>
          </cell>
          <cell r="N784" t="str">
            <v>Kamrul Hasan Tutul</v>
          </cell>
          <cell r="O784" t="str">
            <v>FIC-2</v>
          </cell>
          <cell r="P784" t="str">
            <v>Rocket-Thunders</v>
          </cell>
          <cell r="Q784">
            <v>1</v>
          </cell>
          <cell r="R784">
            <v>127</v>
          </cell>
          <cell r="T784" t="str">
            <v>RU</v>
          </cell>
          <cell r="U784">
            <v>42125</v>
          </cell>
        </row>
        <row r="785">
          <cell r="B785" t="str">
            <v>Helal</v>
          </cell>
          <cell r="C785">
            <v>9</v>
          </cell>
          <cell r="D785">
            <v>178</v>
          </cell>
          <cell r="E785">
            <v>12</v>
          </cell>
          <cell r="F785">
            <v>15</v>
          </cell>
          <cell r="G785">
            <v>1</v>
          </cell>
          <cell r="H785">
            <v>6</v>
          </cell>
          <cell r="I785">
            <v>15</v>
          </cell>
          <cell r="M785" t="str">
            <v>&gt;&gt;</v>
          </cell>
          <cell r="N785" t="str">
            <v>Sheik Helal Ahmed</v>
          </cell>
          <cell r="O785" t="str">
            <v>FIC-2</v>
          </cell>
          <cell r="P785" t="str">
            <v>Rocket-Thunders</v>
          </cell>
          <cell r="Q785">
            <v>1</v>
          </cell>
          <cell r="R785">
            <v>127</v>
          </cell>
          <cell r="T785" t="str">
            <v>RU</v>
          </cell>
          <cell r="U785">
            <v>42125</v>
          </cell>
        </row>
        <row r="786">
          <cell r="B786" t="str">
            <v>Faruque</v>
          </cell>
          <cell r="C786">
            <v>9</v>
          </cell>
          <cell r="D786">
            <v>169</v>
          </cell>
          <cell r="E786">
            <v>11</v>
          </cell>
          <cell r="F786">
            <v>13</v>
          </cell>
          <cell r="G786">
            <v>3</v>
          </cell>
          <cell r="H786">
            <v>18</v>
          </cell>
          <cell r="I786">
            <v>9</v>
          </cell>
          <cell r="M786" t="str">
            <v>&gt;&gt;</v>
          </cell>
          <cell r="N786" t="str">
            <v>Mohammad Faruque</v>
          </cell>
          <cell r="O786" t="str">
            <v>FIC-2</v>
          </cell>
          <cell r="P786" t="str">
            <v>Rocket-Thunders</v>
          </cell>
          <cell r="Q786">
            <v>1</v>
          </cell>
          <cell r="R786">
            <v>127</v>
          </cell>
          <cell r="T786" t="str">
            <v>RU</v>
          </cell>
          <cell r="U786">
            <v>42125</v>
          </cell>
        </row>
        <row r="787">
          <cell r="B787" t="str">
            <v>Shamim</v>
          </cell>
          <cell r="C787">
            <v>9</v>
          </cell>
          <cell r="D787">
            <v>76</v>
          </cell>
          <cell r="E787">
            <v>6</v>
          </cell>
          <cell r="F787">
            <v>10</v>
          </cell>
          <cell r="G787">
            <v>0</v>
          </cell>
          <cell r="H787">
            <v>4</v>
          </cell>
          <cell r="I787">
            <v>6</v>
          </cell>
          <cell r="M787" t="str">
            <v>&gt;&gt;</v>
          </cell>
          <cell r="N787" t="str">
            <v>SH Shamim</v>
          </cell>
          <cell r="O787" t="str">
            <v>FIC-2</v>
          </cell>
          <cell r="P787" t="str">
            <v>Rocket-Thunders</v>
          </cell>
          <cell r="Q787">
            <v>1</v>
          </cell>
          <cell r="R787">
            <v>127</v>
          </cell>
          <cell r="T787" t="str">
            <v>RU</v>
          </cell>
          <cell r="U787">
            <v>42125</v>
          </cell>
        </row>
        <row r="788">
          <cell r="B788" t="str">
            <v>Prottoy</v>
          </cell>
          <cell r="C788">
            <v>3</v>
          </cell>
          <cell r="D788">
            <v>45</v>
          </cell>
          <cell r="E788">
            <v>0</v>
          </cell>
          <cell r="F788">
            <v>3</v>
          </cell>
          <cell r="G788">
            <v>0</v>
          </cell>
          <cell r="H788">
            <v>2</v>
          </cell>
          <cell r="I788">
            <v>1</v>
          </cell>
          <cell r="M788" t="str">
            <v>&gt;&gt;</v>
          </cell>
          <cell r="N788" t="str">
            <v>Mahrus Hasan Prottoy</v>
          </cell>
          <cell r="O788" t="str">
            <v>FIC-2</v>
          </cell>
          <cell r="P788" t="str">
            <v>Rocket-Thunders</v>
          </cell>
          <cell r="Q788">
            <v>1</v>
          </cell>
          <cell r="R788">
            <v>127</v>
          </cell>
          <cell r="T788" t="str">
            <v>RU</v>
          </cell>
          <cell r="U788">
            <v>42125</v>
          </cell>
        </row>
        <row r="789">
          <cell r="B789" t="str">
            <v>Dark-Horse</v>
          </cell>
          <cell r="M789" t="str">
            <v>&gt;&gt;</v>
          </cell>
          <cell r="N789" t="str">
            <v/>
          </cell>
          <cell r="O789" t="str">
            <v>FIC-2</v>
          </cell>
          <cell r="P789" t="str">
            <v>Dark-Horse</v>
          </cell>
          <cell r="Q789">
            <v>1</v>
          </cell>
          <cell r="R789">
            <v>128</v>
          </cell>
          <cell r="U789">
            <v>42125</v>
          </cell>
        </row>
        <row r="790">
          <cell r="B790" t="str">
            <v>Pranto</v>
          </cell>
          <cell r="C790">
            <v>7</v>
          </cell>
          <cell r="D790">
            <v>160</v>
          </cell>
          <cell r="E790">
            <v>12</v>
          </cell>
          <cell r="F790">
            <v>12</v>
          </cell>
          <cell r="G790">
            <v>2</v>
          </cell>
          <cell r="H790">
            <v>15</v>
          </cell>
          <cell r="I790">
            <v>10</v>
          </cell>
          <cell r="M790" t="str">
            <v>&gt;&gt;</v>
          </cell>
          <cell r="N790" t="str">
            <v>Bandhon Podder Pranto</v>
          </cell>
          <cell r="O790" t="str">
            <v>FIC-2</v>
          </cell>
          <cell r="P790" t="str">
            <v>Dark-Horse</v>
          </cell>
          <cell r="Q790">
            <v>1</v>
          </cell>
          <cell r="R790">
            <v>128</v>
          </cell>
          <cell r="U790">
            <v>42125</v>
          </cell>
        </row>
        <row r="791">
          <cell r="B791" t="str">
            <v>Moon</v>
          </cell>
          <cell r="C791">
            <v>6</v>
          </cell>
          <cell r="D791">
            <v>129</v>
          </cell>
          <cell r="E791">
            <v>13</v>
          </cell>
          <cell r="F791">
            <v>11</v>
          </cell>
          <cell r="G791">
            <v>2</v>
          </cell>
          <cell r="H791">
            <v>15</v>
          </cell>
          <cell r="I791">
            <v>5</v>
          </cell>
          <cell r="M791" t="str">
            <v>&gt;&gt;</v>
          </cell>
          <cell r="N791" t="str">
            <v>Mazharul Islam Moon</v>
          </cell>
          <cell r="O791" t="str">
            <v>FIC-2</v>
          </cell>
          <cell r="P791" t="str">
            <v>Dark-Horse</v>
          </cell>
          <cell r="Q791">
            <v>1</v>
          </cell>
          <cell r="R791">
            <v>128</v>
          </cell>
          <cell r="U791">
            <v>42125</v>
          </cell>
        </row>
        <row r="792">
          <cell r="B792" t="str">
            <v>Mithu</v>
          </cell>
          <cell r="C792">
            <v>5</v>
          </cell>
          <cell r="D792">
            <v>67</v>
          </cell>
          <cell r="E792">
            <v>9</v>
          </cell>
          <cell r="F792">
            <v>8</v>
          </cell>
          <cell r="G792">
            <v>0</v>
          </cell>
          <cell r="H792">
            <v>5</v>
          </cell>
          <cell r="I792">
            <v>5</v>
          </cell>
          <cell r="M792" t="str">
            <v>&gt;&gt;</v>
          </cell>
          <cell r="N792" t="str">
            <v>Mostafizur Rahman Mithu</v>
          </cell>
          <cell r="O792" t="str">
            <v>FIC-2</v>
          </cell>
          <cell r="P792" t="str">
            <v>Dark-Horse</v>
          </cell>
          <cell r="Q792">
            <v>1</v>
          </cell>
          <cell r="R792">
            <v>128</v>
          </cell>
          <cell r="U792">
            <v>42125</v>
          </cell>
        </row>
        <row r="793">
          <cell r="B793" t="str">
            <v>Sohan</v>
          </cell>
          <cell r="C793">
            <v>4</v>
          </cell>
          <cell r="D793">
            <v>42</v>
          </cell>
          <cell r="E793">
            <v>8</v>
          </cell>
          <cell r="F793">
            <v>5</v>
          </cell>
          <cell r="G793">
            <v>0</v>
          </cell>
          <cell r="H793">
            <v>4</v>
          </cell>
          <cell r="I793">
            <v>2</v>
          </cell>
          <cell r="M793" t="str">
            <v>&gt;&gt;</v>
          </cell>
          <cell r="N793" t="str">
            <v>Moksedur RaHman SoHan (Duronto Sohan)</v>
          </cell>
          <cell r="O793" t="str">
            <v>FIC-2</v>
          </cell>
          <cell r="P793" t="str">
            <v>Dark-Horse</v>
          </cell>
          <cell r="Q793">
            <v>1</v>
          </cell>
          <cell r="R793">
            <v>128</v>
          </cell>
          <cell r="U793">
            <v>42125</v>
          </cell>
        </row>
        <row r="794">
          <cell r="B794" t="str">
            <v>Meyaz</v>
          </cell>
          <cell r="C794">
            <v>3</v>
          </cell>
          <cell r="D794">
            <v>37</v>
          </cell>
          <cell r="E794">
            <v>2</v>
          </cell>
          <cell r="F794">
            <v>3</v>
          </cell>
          <cell r="G794">
            <v>0</v>
          </cell>
          <cell r="H794">
            <v>3</v>
          </cell>
          <cell r="I794">
            <v>3</v>
          </cell>
          <cell r="M794" t="str">
            <v>&gt;&gt;</v>
          </cell>
          <cell r="N794" t="str">
            <v>Meyaz Al Emon</v>
          </cell>
          <cell r="O794" t="str">
            <v>FIC-2</v>
          </cell>
          <cell r="P794" t="str">
            <v>Dark-Horse</v>
          </cell>
          <cell r="Q794">
            <v>1</v>
          </cell>
          <cell r="R794">
            <v>128</v>
          </cell>
          <cell r="U794">
            <v>42125</v>
          </cell>
        </row>
        <row r="795">
          <cell r="B795" t="str">
            <v>Blazzing-Stars</v>
          </cell>
          <cell r="M795" t="str">
            <v>&gt;&gt;</v>
          </cell>
          <cell r="N795" t="str">
            <v/>
          </cell>
          <cell r="O795" t="str">
            <v>FIC-2</v>
          </cell>
          <cell r="P795" t="str">
            <v>Blazzing-Stars</v>
          </cell>
          <cell r="Q795">
            <v>1</v>
          </cell>
          <cell r="R795">
            <v>129</v>
          </cell>
          <cell r="U795">
            <v>42125</v>
          </cell>
        </row>
        <row r="796">
          <cell r="B796" t="str">
            <v>Nur</v>
          </cell>
          <cell r="C796">
            <v>5</v>
          </cell>
          <cell r="D796">
            <v>63</v>
          </cell>
          <cell r="E796">
            <v>12</v>
          </cell>
          <cell r="F796">
            <v>7</v>
          </cell>
          <cell r="G796">
            <v>0</v>
          </cell>
          <cell r="H796">
            <v>7</v>
          </cell>
          <cell r="I796">
            <v>3</v>
          </cell>
          <cell r="M796" t="str">
            <v>&gt;&gt;</v>
          </cell>
          <cell r="N796" t="str">
            <v>Nur Muhammad</v>
          </cell>
          <cell r="O796" t="str">
            <v>FIC-2</v>
          </cell>
          <cell r="P796" t="str">
            <v>Blazzing-Stars</v>
          </cell>
          <cell r="Q796">
            <v>1</v>
          </cell>
          <cell r="R796">
            <v>129</v>
          </cell>
          <cell r="U796">
            <v>42125</v>
          </cell>
        </row>
        <row r="797">
          <cell r="B797" t="str">
            <v>Hridoy</v>
          </cell>
          <cell r="C797">
            <v>6</v>
          </cell>
          <cell r="D797">
            <v>108</v>
          </cell>
          <cell r="E797">
            <v>6</v>
          </cell>
          <cell r="F797">
            <v>8</v>
          </cell>
          <cell r="G797">
            <v>0</v>
          </cell>
          <cell r="H797">
            <v>6</v>
          </cell>
          <cell r="I797">
            <v>5</v>
          </cell>
          <cell r="M797" t="str">
            <v>&gt;&gt;</v>
          </cell>
          <cell r="N797" t="str">
            <v>Kamrul Hasan Hridoy</v>
          </cell>
          <cell r="O797" t="str">
            <v>FIC-2</v>
          </cell>
          <cell r="P797" t="str">
            <v>Blazzing-Stars</v>
          </cell>
          <cell r="Q797">
            <v>1</v>
          </cell>
          <cell r="R797">
            <v>129</v>
          </cell>
          <cell r="U797">
            <v>42125</v>
          </cell>
        </row>
        <row r="798">
          <cell r="B798" t="str">
            <v>Pritom</v>
          </cell>
          <cell r="C798">
            <v>5</v>
          </cell>
          <cell r="D798">
            <v>145</v>
          </cell>
          <cell r="E798">
            <v>8</v>
          </cell>
          <cell r="F798">
            <v>12</v>
          </cell>
          <cell r="G798">
            <v>0</v>
          </cell>
          <cell r="H798">
            <v>10</v>
          </cell>
          <cell r="I798">
            <v>10</v>
          </cell>
          <cell r="M798" t="str">
            <v>&gt;&gt;</v>
          </cell>
          <cell r="N798" t="str">
            <v>Sanju Pritom</v>
          </cell>
          <cell r="O798" t="str">
            <v>FIC-2</v>
          </cell>
          <cell r="P798" t="str">
            <v>Blazzing-Stars</v>
          </cell>
          <cell r="Q798">
            <v>1</v>
          </cell>
          <cell r="R798">
            <v>129</v>
          </cell>
          <cell r="U798">
            <v>42125</v>
          </cell>
        </row>
        <row r="799">
          <cell r="B799" t="str">
            <v>Faisal</v>
          </cell>
          <cell r="C799">
            <v>5</v>
          </cell>
          <cell r="D799">
            <v>69</v>
          </cell>
          <cell r="E799">
            <v>6</v>
          </cell>
          <cell r="F799">
            <v>7</v>
          </cell>
          <cell r="G799">
            <v>1</v>
          </cell>
          <cell r="H799">
            <v>6</v>
          </cell>
          <cell r="I799">
            <v>4</v>
          </cell>
          <cell r="M799" t="str">
            <v>&gt;&gt;</v>
          </cell>
          <cell r="N799" t="str">
            <v>Red Heart Faisal (Fayze Ahamed)</v>
          </cell>
          <cell r="O799" t="str">
            <v>FIC-2</v>
          </cell>
          <cell r="P799" t="str">
            <v>Blazzing-Stars</v>
          </cell>
          <cell r="Q799">
            <v>1</v>
          </cell>
          <cell r="R799">
            <v>129</v>
          </cell>
          <cell r="U799">
            <v>42125</v>
          </cell>
        </row>
        <row r="800">
          <cell r="B800" t="str">
            <v>Tuhin</v>
          </cell>
          <cell r="C800">
            <v>3</v>
          </cell>
          <cell r="D800">
            <v>8</v>
          </cell>
          <cell r="E800">
            <v>2</v>
          </cell>
          <cell r="F800">
            <v>4</v>
          </cell>
          <cell r="G800">
            <v>0</v>
          </cell>
          <cell r="H800">
            <v>0</v>
          </cell>
          <cell r="I800">
            <v>1</v>
          </cell>
          <cell r="M800" t="str">
            <v>&gt;&gt;</v>
          </cell>
          <cell r="N800" t="str">
            <v>Nasir Ahmed Tuhin</v>
          </cell>
          <cell r="O800" t="str">
            <v>FIC-2</v>
          </cell>
          <cell r="P800" t="str">
            <v>Blazzing-Stars</v>
          </cell>
          <cell r="Q800">
            <v>1</v>
          </cell>
          <cell r="R800">
            <v>129</v>
          </cell>
          <cell r="U800">
            <v>42125</v>
          </cell>
        </row>
        <row r="801">
          <cell r="B801" t="str">
            <v>Dangerous-Scorchers</v>
          </cell>
          <cell r="M801" t="str">
            <v>&gt;&gt;</v>
          </cell>
          <cell r="N801" t="str">
            <v/>
          </cell>
          <cell r="O801" t="str">
            <v>FIC-2</v>
          </cell>
          <cell r="P801" t="str">
            <v>Dangerous-Scorchers</v>
          </cell>
          <cell r="Q801">
            <v>1</v>
          </cell>
          <cell r="R801">
            <v>130</v>
          </cell>
          <cell r="U801">
            <v>42125</v>
          </cell>
        </row>
        <row r="802">
          <cell r="B802" t="str">
            <v>Jahin</v>
          </cell>
          <cell r="C802">
            <v>7</v>
          </cell>
          <cell r="D802">
            <v>190</v>
          </cell>
          <cell r="E802">
            <v>13</v>
          </cell>
          <cell r="F802">
            <v>13</v>
          </cell>
          <cell r="G802">
            <v>2</v>
          </cell>
          <cell r="H802">
            <v>11</v>
          </cell>
          <cell r="I802">
            <v>13</v>
          </cell>
          <cell r="M802" t="str">
            <v>&gt;&gt;</v>
          </cell>
          <cell r="N802" t="str">
            <v>Jahin Shahriar Chowdhury</v>
          </cell>
          <cell r="O802" t="str">
            <v>FIC-2</v>
          </cell>
          <cell r="P802" t="str">
            <v>Dangerous-Scorchers</v>
          </cell>
          <cell r="Q802">
            <v>1</v>
          </cell>
          <cell r="R802">
            <v>130</v>
          </cell>
          <cell r="U802">
            <v>42125</v>
          </cell>
        </row>
        <row r="803">
          <cell r="B803" t="str">
            <v>Rexx</v>
          </cell>
          <cell r="C803">
            <v>7</v>
          </cell>
          <cell r="D803">
            <v>63</v>
          </cell>
          <cell r="E803">
            <v>9</v>
          </cell>
          <cell r="F803">
            <v>9</v>
          </cell>
          <cell r="G803">
            <v>1</v>
          </cell>
          <cell r="H803">
            <v>9</v>
          </cell>
          <cell r="I803">
            <v>2</v>
          </cell>
          <cell r="M803" t="str">
            <v>&gt;&gt;</v>
          </cell>
          <cell r="N803" t="str">
            <v>Bishwajit Sarkar</v>
          </cell>
          <cell r="O803" t="str">
            <v>FIC-2</v>
          </cell>
          <cell r="P803" t="str">
            <v>Dangerous-Scorchers</v>
          </cell>
          <cell r="Q803">
            <v>1</v>
          </cell>
          <cell r="R803">
            <v>130</v>
          </cell>
          <cell r="U803">
            <v>42125</v>
          </cell>
        </row>
        <row r="804">
          <cell r="B804" t="str">
            <v>Manik</v>
          </cell>
          <cell r="C804">
            <v>6</v>
          </cell>
          <cell r="D804">
            <v>87</v>
          </cell>
          <cell r="E804">
            <v>6</v>
          </cell>
          <cell r="F804">
            <v>7</v>
          </cell>
          <cell r="G804">
            <v>0</v>
          </cell>
          <cell r="H804">
            <v>4</v>
          </cell>
          <cell r="I804">
            <v>11</v>
          </cell>
          <cell r="M804" t="str">
            <v>&gt;&gt;</v>
          </cell>
          <cell r="N804" t="str">
            <v>GM Manik</v>
          </cell>
          <cell r="O804" t="str">
            <v>FIC-2</v>
          </cell>
          <cell r="P804" t="str">
            <v>Dangerous-Scorchers</v>
          </cell>
          <cell r="Q804">
            <v>1</v>
          </cell>
          <cell r="R804">
            <v>130</v>
          </cell>
          <cell r="U804">
            <v>42125</v>
          </cell>
        </row>
        <row r="805">
          <cell r="B805" t="str">
            <v>TafShir</v>
          </cell>
          <cell r="C805">
            <v>5</v>
          </cell>
          <cell r="D805">
            <v>64</v>
          </cell>
          <cell r="E805">
            <v>3</v>
          </cell>
          <cell r="F805">
            <v>8</v>
          </cell>
          <cell r="G805">
            <v>0</v>
          </cell>
          <cell r="H805">
            <v>2</v>
          </cell>
          <cell r="I805">
            <v>4</v>
          </cell>
          <cell r="M805" t="str">
            <v>&gt;&gt;</v>
          </cell>
          <cell r="N805" t="str">
            <v>Tafshir Takib</v>
          </cell>
          <cell r="O805" t="str">
            <v>FIC-2</v>
          </cell>
          <cell r="P805" t="str">
            <v>Dangerous-Scorchers</v>
          </cell>
          <cell r="Q805">
            <v>1</v>
          </cell>
          <cell r="R805">
            <v>130</v>
          </cell>
          <cell r="U805">
            <v>42125</v>
          </cell>
        </row>
        <row r="806">
          <cell r="B806" t="str">
            <v>Al Mamun</v>
          </cell>
          <cell r="C806">
            <v>7</v>
          </cell>
          <cell r="D806">
            <v>30</v>
          </cell>
          <cell r="E806">
            <v>9</v>
          </cell>
          <cell r="F806">
            <v>6</v>
          </cell>
          <cell r="G806">
            <v>0</v>
          </cell>
          <cell r="H806">
            <v>1</v>
          </cell>
          <cell r="I806">
            <v>1</v>
          </cell>
          <cell r="M806" t="str">
            <v>&gt;&gt;</v>
          </cell>
          <cell r="N806" t="str">
            <v>Mohammed Al Mamun</v>
          </cell>
          <cell r="O806" t="str">
            <v>FIC-2</v>
          </cell>
          <cell r="P806" t="str">
            <v>Dangerous-Scorchers</v>
          </cell>
          <cell r="Q806">
            <v>1</v>
          </cell>
          <cell r="R806">
            <v>130</v>
          </cell>
          <cell r="U806">
            <v>42125</v>
          </cell>
        </row>
        <row r="807">
          <cell r="B807" t="str">
            <v>Luck-Riders</v>
          </cell>
          <cell r="M807" t="str">
            <v>&gt;&gt;</v>
          </cell>
          <cell r="N807" t="str">
            <v/>
          </cell>
          <cell r="O807" t="str">
            <v>FIC-2</v>
          </cell>
          <cell r="P807" t="str">
            <v>Luck-Riders</v>
          </cell>
          <cell r="Q807">
            <v>1</v>
          </cell>
          <cell r="R807">
            <v>131</v>
          </cell>
          <cell r="U807">
            <v>42125</v>
          </cell>
        </row>
        <row r="808">
          <cell r="B808" t="str">
            <v>Niamul</v>
          </cell>
          <cell r="C808">
            <v>6</v>
          </cell>
          <cell r="D808">
            <v>149</v>
          </cell>
          <cell r="E808">
            <v>7</v>
          </cell>
          <cell r="F808">
            <v>9</v>
          </cell>
          <cell r="G808">
            <v>1</v>
          </cell>
          <cell r="H808">
            <v>9</v>
          </cell>
          <cell r="I808">
            <v>10</v>
          </cell>
          <cell r="M808" t="str">
            <v>&gt;&gt;</v>
          </cell>
          <cell r="N808" t="str">
            <v>Niamul Habib Setu</v>
          </cell>
          <cell r="O808" t="str">
            <v>FIC-2</v>
          </cell>
          <cell r="P808" t="str">
            <v>Luck-Riders</v>
          </cell>
          <cell r="Q808">
            <v>1</v>
          </cell>
          <cell r="R808">
            <v>131</v>
          </cell>
          <cell r="U808">
            <v>42125</v>
          </cell>
        </row>
        <row r="809">
          <cell r="B809" t="str">
            <v>Zohir</v>
          </cell>
          <cell r="C809">
            <v>6</v>
          </cell>
          <cell r="D809">
            <v>132</v>
          </cell>
          <cell r="E809">
            <v>7</v>
          </cell>
          <cell r="F809">
            <v>8</v>
          </cell>
          <cell r="G809">
            <v>0</v>
          </cell>
          <cell r="H809">
            <v>13</v>
          </cell>
          <cell r="I809">
            <v>12</v>
          </cell>
          <cell r="M809" t="str">
            <v>&gt;&gt;</v>
          </cell>
          <cell r="N809" t="str">
            <v>Zi Zohir</v>
          </cell>
          <cell r="O809" t="str">
            <v>FIC-2</v>
          </cell>
          <cell r="P809" t="str">
            <v>Luck-Riders</v>
          </cell>
          <cell r="Q809">
            <v>1</v>
          </cell>
          <cell r="R809">
            <v>131</v>
          </cell>
          <cell r="U809">
            <v>42125</v>
          </cell>
        </row>
        <row r="810">
          <cell r="B810" t="str">
            <v>Ariful</v>
          </cell>
          <cell r="C810">
            <v>6</v>
          </cell>
          <cell r="D810">
            <v>73</v>
          </cell>
          <cell r="E810">
            <v>9</v>
          </cell>
          <cell r="F810">
            <v>11</v>
          </cell>
          <cell r="G810">
            <v>1</v>
          </cell>
          <cell r="H810">
            <v>10</v>
          </cell>
          <cell r="I810">
            <v>3</v>
          </cell>
          <cell r="M810" t="str">
            <v>&gt;&gt;</v>
          </cell>
          <cell r="N810" t="str">
            <v>Ahammed Ariful Haq</v>
          </cell>
          <cell r="O810" t="str">
            <v>FIC-2</v>
          </cell>
          <cell r="P810" t="str">
            <v>Luck-Riders</v>
          </cell>
          <cell r="Q810">
            <v>1</v>
          </cell>
          <cell r="R810">
            <v>131</v>
          </cell>
          <cell r="U810">
            <v>42125</v>
          </cell>
        </row>
        <row r="811">
          <cell r="B811" t="str">
            <v>Nayeem</v>
          </cell>
          <cell r="C811">
            <v>6</v>
          </cell>
          <cell r="D811">
            <v>52</v>
          </cell>
          <cell r="E811">
            <v>7</v>
          </cell>
          <cell r="F811">
            <v>10</v>
          </cell>
          <cell r="G811">
            <v>0</v>
          </cell>
          <cell r="H811">
            <v>3</v>
          </cell>
          <cell r="I811">
            <v>1</v>
          </cell>
          <cell r="M811" t="str">
            <v>&gt;&gt;</v>
          </cell>
          <cell r="N811" t="str">
            <v>Saiful NayEem</v>
          </cell>
          <cell r="O811" t="str">
            <v>FIC-2</v>
          </cell>
          <cell r="P811" t="str">
            <v>Luck-Riders</v>
          </cell>
          <cell r="Q811">
            <v>1</v>
          </cell>
          <cell r="R811">
            <v>131</v>
          </cell>
          <cell r="U811">
            <v>42125</v>
          </cell>
        </row>
        <row r="812">
          <cell r="B812" t="str">
            <v>Md. Asif</v>
          </cell>
          <cell r="C812">
            <v>3</v>
          </cell>
          <cell r="D812">
            <v>37</v>
          </cell>
          <cell r="E812">
            <v>2</v>
          </cell>
          <cell r="F812">
            <v>4</v>
          </cell>
          <cell r="G812">
            <v>0</v>
          </cell>
          <cell r="H812">
            <v>1</v>
          </cell>
          <cell r="I812">
            <v>3</v>
          </cell>
          <cell r="M812" t="str">
            <v>&gt;&gt;</v>
          </cell>
          <cell r="N812" t="str">
            <v>Mohammad Asif</v>
          </cell>
          <cell r="O812" t="str">
            <v>FIC-2</v>
          </cell>
          <cell r="P812" t="str">
            <v>Luck-Riders</v>
          </cell>
          <cell r="Q812">
            <v>1</v>
          </cell>
          <cell r="R812">
            <v>131</v>
          </cell>
          <cell r="U812">
            <v>42125</v>
          </cell>
        </row>
        <row r="813">
          <cell r="B813" t="str">
            <v>Glory-Hunters</v>
          </cell>
          <cell r="M813" t="str">
            <v>&gt;&gt;</v>
          </cell>
          <cell r="N813" t="str">
            <v/>
          </cell>
          <cell r="O813" t="str">
            <v>FIC-2</v>
          </cell>
          <cell r="P813" t="str">
            <v>Glory-Hunters</v>
          </cell>
          <cell r="Q813">
            <v>1</v>
          </cell>
          <cell r="R813">
            <v>132</v>
          </cell>
          <cell r="U813">
            <v>42125</v>
          </cell>
        </row>
        <row r="814">
          <cell r="B814" t="str">
            <v>Tofayel</v>
          </cell>
          <cell r="C814">
            <v>6</v>
          </cell>
          <cell r="D814">
            <v>76</v>
          </cell>
          <cell r="E814">
            <v>8</v>
          </cell>
          <cell r="F814">
            <v>8</v>
          </cell>
          <cell r="G814">
            <v>0</v>
          </cell>
          <cell r="H814">
            <v>12</v>
          </cell>
          <cell r="I814">
            <v>3</v>
          </cell>
          <cell r="M814" t="str">
            <v>&gt;&gt;</v>
          </cell>
          <cell r="N814" t="str">
            <v>MD Tofayel Ahmed</v>
          </cell>
          <cell r="O814" t="str">
            <v>FIC-2</v>
          </cell>
          <cell r="P814" t="str">
            <v>Glory-Hunters</v>
          </cell>
          <cell r="Q814">
            <v>1</v>
          </cell>
          <cell r="R814">
            <v>132</v>
          </cell>
          <cell r="U814">
            <v>42125</v>
          </cell>
        </row>
        <row r="815">
          <cell r="B815" t="str">
            <v>Roman</v>
          </cell>
          <cell r="C815">
            <v>6</v>
          </cell>
          <cell r="D815">
            <v>141</v>
          </cell>
          <cell r="E815">
            <v>7</v>
          </cell>
          <cell r="F815">
            <v>13</v>
          </cell>
          <cell r="G815">
            <v>2</v>
          </cell>
          <cell r="H815">
            <v>14</v>
          </cell>
          <cell r="I815">
            <v>5</v>
          </cell>
          <cell r="M815" t="str">
            <v>&gt;&gt;</v>
          </cell>
          <cell r="N815" t="str">
            <v>Roman mahamud Arko</v>
          </cell>
          <cell r="O815" t="str">
            <v>FIC-2</v>
          </cell>
          <cell r="P815" t="str">
            <v>Glory-Hunters</v>
          </cell>
          <cell r="Q815">
            <v>1</v>
          </cell>
          <cell r="R815">
            <v>132</v>
          </cell>
          <cell r="U815">
            <v>42125</v>
          </cell>
        </row>
        <row r="816">
          <cell r="B816" t="str">
            <v>Mridul</v>
          </cell>
          <cell r="C816">
            <v>5</v>
          </cell>
          <cell r="D816">
            <v>95</v>
          </cell>
          <cell r="E816">
            <v>5</v>
          </cell>
          <cell r="F816">
            <v>6</v>
          </cell>
          <cell r="G816">
            <v>0</v>
          </cell>
          <cell r="H816">
            <v>7</v>
          </cell>
          <cell r="I816">
            <v>8</v>
          </cell>
          <cell r="M816" t="str">
            <v>&gt;&gt;</v>
          </cell>
          <cell r="N816" t="str">
            <v>Mridul Haque</v>
          </cell>
          <cell r="O816" t="str">
            <v>FIC-2</v>
          </cell>
          <cell r="P816" t="str">
            <v>Glory-Hunters</v>
          </cell>
          <cell r="Q816">
            <v>1</v>
          </cell>
          <cell r="R816">
            <v>132</v>
          </cell>
          <cell r="U816">
            <v>42125</v>
          </cell>
        </row>
        <row r="817">
          <cell r="B817" t="str">
            <v>Nahid</v>
          </cell>
          <cell r="C817">
            <v>6</v>
          </cell>
          <cell r="D817">
            <v>92</v>
          </cell>
          <cell r="E817">
            <v>7</v>
          </cell>
          <cell r="F817">
            <v>11</v>
          </cell>
          <cell r="G817">
            <v>0</v>
          </cell>
          <cell r="H817">
            <v>6</v>
          </cell>
          <cell r="I817">
            <v>6</v>
          </cell>
          <cell r="M817" t="str">
            <v>&gt;&gt;</v>
          </cell>
          <cell r="N817" t="str">
            <v>Nahid Saifullah</v>
          </cell>
          <cell r="O817" t="str">
            <v>FIC-2</v>
          </cell>
          <cell r="P817" t="str">
            <v>Glory-Hunters</v>
          </cell>
          <cell r="Q817">
            <v>1</v>
          </cell>
          <cell r="R817">
            <v>132</v>
          </cell>
          <cell r="U817">
            <v>42125</v>
          </cell>
        </row>
        <row r="818">
          <cell r="B818" t="str">
            <v>Mullah</v>
          </cell>
          <cell r="C818">
            <v>5</v>
          </cell>
          <cell r="D818">
            <v>16</v>
          </cell>
          <cell r="E818">
            <v>3</v>
          </cell>
          <cell r="F818">
            <v>1</v>
          </cell>
          <cell r="G818">
            <v>0</v>
          </cell>
          <cell r="H818">
            <v>2</v>
          </cell>
          <cell r="I818">
            <v>1</v>
          </cell>
          <cell r="M818" t="str">
            <v>&gt;&gt;</v>
          </cell>
          <cell r="N818" t="str">
            <v>Mohammad Haris Mullah</v>
          </cell>
          <cell r="O818" t="str">
            <v>FIC-2</v>
          </cell>
          <cell r="P818" t="str">
            <v>Glory-Hunters</v>
          </cell>
          <cell r="Q818">
            <v>1</v>
          </cell>
          <cell r="R818">
            <v>132</v>
          </cell>
          <cell r="U818">
            <v>42125</v>
          </cell>
        </row>
        <row r="819">
          <cell r="B819" t="str">
            <v>Atom-Sixers</v>
          </cell>
          <cell r="M819" t="str">
            <v>&gt;&gt;</v>
          </cell>
          <cell r="N819" t="str">
            <v/>
          </cell>
          <cell r="O819" t="str">
            <v>FIC-2</v>
          </cell>
          <cell r="P819" t="str">
            <v>Atom-Sixers</v>
          </cell>
          <cell r="Q819">
            <v>1</v>
          </cell>
          <cell r="R819">
            <v>133</v>
          </cell>
          <cell r="U819">
            <v>42125</v>
          </cell>
        </row>
        <row r="820">
          <cell r="B820" t="str">
            <v>SA Shanto</v>
          </cell>
          <cell r="C820">
            <v>6</v>
          </cell>
          <cell r="D820">
            <v>76</v>
          </cell>
          <cell r="E820">
            <v>14</v>
          </cell>
          <cell r="F820">
            <v>9</v>
          </cell>
          <cell r="G820">
            <v>1</v>
          </cell>
          <cell r="H820">
            <v>3</v>
          </cell>
          <cell r="I820">
            <v>5</v>
          </cell>
          <cell r="M820" t="str">
            <v>&gt;&gt;</v>
          </cell>
          <cell r="N820" t="str">
            <v>Sayed Anowar Shanto</v>
          </cell>
          <cell r="O820" t="str">
            <v>FIC-2</v>
          </cell>
          <cell r="P820" t="str">
            <v>Atom-Sixers</v>
          </cell>
          <cell r="Q820">
            <v>1</v>
          </cell>
          <cell r="R820">
            <v>133</v>
          </cell>
          <cell r="U820">
            <v>42125</v>
          </cell>
        </row>
        <row r="821">
          <cell r="B821" t="str">
            <v>Ruhin</v>
          </cell>
          <cell r="C821">
            <v>6</v>
          </cell>
          <cell r="D821">
            <v>123</v>
          </cell>
          <cell r="E821">
            <v>13</v>
          </cell>
          <cell r="F821">
            <v>6</v>
          </cell>
          <cell r="G821">
            <v>0</v>
          </cell>
          <cell r="H821">
            <v>12</v>
          </cell>
          <cell r="I821">
            <v>7</v>
          </cell>
          <cell r="M821" t="str">
            <v>&gt;&gt;</v>
          </cell>
          <cell r="N821" t="str">
            <v>Md. Ruhin</v>
          </cell>
          <cell r="O821" t="str">
            <v>FIC-2</v>
          </cell>
          <cell r="P821" t="str">
            <v>Atom-Sixers</v>
          </cell>
          <cell r="Q821">
            <v>1</v>
          </cell>
          <cell r="R821">
            <v>133</v>
          </cell>
          <cell r="U821">
            <v>42125</v>
          </cell>
        </row>
        <row r="822">
          <cell r="B822" t="str">
            <v>Tarek</v>
          </cell>
          <cell r="C822">
            <v>6</v>
          </cell>
          <cell r="D822">
            <v>156</v>
          </cell>
          <cell r="E822">
            <v>2</v>
          </cell>
          <cell r="F822">
            <v>10</v>
          </cell>
          <cell r="G822">
            <v>1</v>
          </cell>
          <cell r="H822">
            <v>6</v>
          </cell>
          <cell r="I822">
            <v>12</v>
          </cell>
          <cell r="M822" t="str">
            <v>&gt;&gt;</v>
          </cell>
          <cell r="N822" t="str">
            <v>Prince Tarek</v>
          </cell>
          <cell r="O822" t="str">
            <v>FIC-2</v>
          </cell>
          <cell r="P822" t="str">
            <v>Atom-Sixers</v>
          </cell>
          <cell r="Q822">
            <v>1</v>
          </cell>
          <cell r="R822">
            <v>133</v>
          </cell>
          <cell r="U822">
            <v>42125</v>
          </cell>
        </row>
        <row r="823">
          <cell r="B823" t="str">
            <v>Sakif</v>
          </cell>
          <cell r="C823">
            <v>5</v>
          </cell>
          <cell r="D823">
            <v>35</v>
          </cell>
          <cell r="E823">
            <v>2</v>
          </cell>
          <cell r="F823">
            <v>5</v>
          </cell>
          <cell r="G823">
            <v>0</v>
          </cell>
          <cell r="H823">
            <v>2</v>
          </cell>
          <cell r="I823">
            <v>1</v>
          </cell>
          <cell r="M823" t="str">
            <v>&gt;&gt;</v>
          </cell>
          <cell r="N823" t="str">
            <v>Sakif Rahaman</v>
          </cell>
          <cell r="O823" t="str">
            <v>FIC-2</v>
          </cell>
          <cell r="P823" t="str">
            <v>Atom-Sixers</v>
          </cell>
          <cell r="Q823">
            <v>1</v>
          </cell>
          <cell r="R823">
            <v>133</v>
          </cell>
          <cell r="U823">
            <v>42125</v>
          </cell>
        </row>
        <row r="824">
          <cell r="B824" t="str">
            <v>Monsur</v>
          </cell>
          <cell r="C824">
            <v>5</v>
          </cell>
          <cell r="D824">
            <v>36</v>
          </cell>
          <cell r="E824">
            <v>1</v>
          </cell>
          <cell r="F824">
            <v>5</v>
          </cell>
          <cell r="G824">
            <v>0</v>
          </cell>
          <cell r="H824">
            <v>1</v>
          </cell>
          <cell r="I824">
            <v>4</v>
          </cell>
          <cell r="M824" t="str">
            <v>&gt;&gt;</v>
          </cell>
          <cell r="N824" t="str">
            <v>Monsur Rahman</v>
          </cell>
          <cell r="O824" t="str">
            <v>FIC-2</v>
          </cell>
          <cell r="P824" t="str">
            <v>Atom-Sixers</v>
          </cell>
          <cell r="Q824">
            <v>1</v>
          </cell>
          <cell r="R824">
            <v>133</v>
          </cell>
          <cell r="U824">
            <v>42125</v>
          </cell>
        </row>
        <row r="825">
          <cell r="B825" t="str">
            <v>Fantastic-Five</v>
          </cell>
          <cell r="M825" t="str">
            <v>&gt;&gt;</v>
          </cell>
          <cell r="N825" t="str">
            <v/>
          </cell>
          <cell r="O825" t="str">
            <v>FIC-2</v>
          </cell>
          <cell r="P825" t="str">
            <v>Fantastic-Five</v>
          </cell>
          <cell r="Q825">
            <v>1</v>
          </cell>
          <cell r="R825">
            <v>134</v>
          </cell>
          <cell r="U825">
            <v>42125</v>
          </cell>
        </row>
        <row r="826">
          <cell r="B826" t="str">
            <v>Sadrul</v>
          </cell>
          <cell r="C826">
            <v>6</v>
          </cell>
          <cell r="D826">
            <v>38</v>
          </cell>
          <cell r="E826">
            <v>7</v>
          </cell>
          <cell r="F826">
            <v>6</v>
          </cell>
          <cell r="G826">
            <v>0</v>
          </cell>
          <cell r="H826">
            <v>1</v>
          </cell>
          <cell r="I826">
            <v>3</v>
          </cell>
          <cell r="M826" t="str">
            <v>&gt;&gt;</v>
          </cell>
          <cell r="N826" t="str">
            <v>Sadrul Anam</v>
          </cell>
          <cell r="O826" t="str">
            <v>FIC-2</v>
          </cell>
          <cell r="P826" t="str">
            <v>Fantastic-Five</v>
          </cell>
          <cell r="Q826">
            <v>1</v>
          </cell>
          <cell r="R826">
            <v>134</v>
          </cell>
          <cell r="U826">
            <v>42125</v>
          </cell>
        </row>
        <row r="827">
          <cell r="B827" t="str">
            <v>Arif</v>
          </cell>
          <cell r="C827">
            <v>6</v>
          </cell>
          <cell r="D827">
            <v>154</v>
          </cell>
          <cell r="E827">
            <v>2</v>
          </cell>
          <cell r="F827">
            <v>7</v>
          </cell>
          <cell r="G827">
            <v>0</v>
          </cell>
          <cell r="H827">
            <v>15</v>
          </cell>
          <cell r="I827">
            <v>8</v>
          </cell>
          <cell r="M827" t="str">
            <v>&gt;&gt;</v>
          </cell>
          <cell r="N827" t="str">
            <v>Arif Ziad</v>
          </cell>
          <cell r="O827" t="str">
            <v>FIC-2</v>
          </cell>
          <cell r="P827" t="str">
            <v>Fantastic-Five</v>
          </cell>
          <cell r="Q827">
            <v>1</v>
          </cell>
          <cell r="R827">
            <v>134</v>
          </cell>
          <cell r="U827">
            <v>42125</v>
          </cell>
        </row>
        <row r="828">
          <cell r="B828" t="str">
            <v>Jumon</v>
          </cell>
          <cell r="C828">
            <v>6</v>
          </cell>
          <cell r="D828">
            <v>102</v>
          </cell>
          <cell r="E828">
            <v>3</v>
          </cell>
          <cell r="F828">
            <v>10</v>
          </cell>
          <cell r="G828">
            <v>0</v>
          </cell>
          <cell r="H828">
            <v>9</v>
          </cell>
          <cell r="I828">
            <v>4</v>
          </cell>
          <cell r="M828" t="str">
            <v>&gt;&gt;</v>
          </cell>
          <cell r="N828" t="str">
            <v>Foysal Ahmed Jumon</v>
          </cell>
          <cell r="O828" t="str">
            <v>FIC-2</v>
          </cell>
          <cell r="P828" t="str">
            <v>Fantastic-Five</v>
          </cell>
          <cell r="Q828">
            <v>1</v>
          </cell>
          <cell r="R828">
            <v>134</v>
          </cell>
          <cell r="U828">
            <v>42125</v>
          </cell>
        </row>
        <row r="829">
          <cell r="B829" t="str">
            <v>Asif</v>
          </cell>
          <cell r="C829">
            <v>6</v>
          </cell>
          <cell r="D829">
            <v>83</v>
          </cell>
          <cell r="E829">
            <v>8</v>
          </cell>
          <cell r="F829">
            <v>10</v>
          </cell>
          <cell r="G829">
            <v>0</v>
          </cell>
          <cell r="H829">
            <v>4</v>
          </cell>
          <cell r="I829">
            <v>7</v>
          </cell>
          <cell r="M829" t="str">
            <v>&gt;&gt;</v>
          </cell>
          <cell r="N829" t="str">
            <v>Asif Iqbal Khan</v>
          </cell>
          <cell r="O829" t="str">
            <v>FIC-2</v>
          </cell>
          <cell r="P829" t="str">
            <v>Fantastic-Five</v>
          </cell>
          <cell r="Q829">
            <v>1</v>
          </cell>
          <cell r="R829">
            <v>134</v>
          </cell>
          <cell r="U829">
            <v>42125</v>
          </cell>
        </row>
        <row r="830">
          <cell r="B830" t="str">
            <v>Shohag</v>
          </cell>
          <cell r="C830">
            <v>4</v>
          </cell>
          <cell r="D830">
            <v>53</v>
          </cell>
          <cell r="E830">
            <v>1</v>
          </cell>
          <cell r="F830">
            <v>6</v>
          </cell>
          <cell r="G830">
            <v>0</v>
          </cell>
          <cell r="H830">
            <v>4</v>
          </cell>
          <cell r="I830">
            <v>3</v>
          </cell>
          <cell r="M830" t="str">
            <v>&gt;&gt;</v>
          </cell>
          <cell r="N830" t="str">
            <v>Hetlar Shohag</v>
          </cell>
          <cell r="O830" t="str">
            <v>FIC-2</v>
          </cell>
          <cell r="P830" t="str">
            <v>Fantastic-Five</v>
          </cell>
          <cell r="Q830">
            <v>1</v>
          </cell>
          <cell r="R830">
            <v>134</v>
          </cell>
          <cell r="U830">
            <v>42125</v>
          </cell>
        </row>
        <row r="831">
          <cell r="B831" t="str">
            <v>Hidden-Dragons</v>
          </cell>
          <cell r="M831" t="str">
            <v>&gt;&gt;</v>
          </cell>
          <cell r="N831" t="str">
            <v/>
          </cell>
          <cell r="O831" t="str">
            <v>FIC-2</v>
          </cell>
          <cell r="P831" t="str">
            <v>Hidden-Dragons</v>
          </cell>
          <cell r="Q831">
            <v>1</v>
          </cell>
          <cell r="R831">
            <v>135</v>
          </cell>
          <cell r="U831">
            <v>42125</v>
          </cell>
        </row>
        <row r="832">
          <cell r="B832" t="str">
            <v>ShiShir</v>
          </cell>
          <cell r="C832">
            <v>7</v>
          </cell>
          <cell r="D832">
            <v>152</v>
          </cell>
          <cell r="E832">
            <v>23</v>
          </cell>
          <cell r="F832">
            <v>13</v>
          </cell>
          <cell r="G832">
            <v>1</v>
          </cell>
          <cell r="H832">
            <v>12</v>
          </cell>
          <cell r="I832">
            <v>9</v>
          </cell>
          <cell r="M832" t="str">
            <v>&gt;&gt;</v>
          </cell>
          <cell r="N832" t="str">
            <v>ShiShir Hossain</v>
          </cell>
          <cell r="O832" t="str">
            <v>FIC-2</v>
          </cell>
          <cell r="P832" t="str">
            <v>Hidden-Dragons</v>
          </cell>
          <cell r="Q832">
            <v>1</v>
          </cell>
          <cell r="R832">
            <v>135</v>
          </cell>
          <cell r="U832">
            <v>42125</v>
          </cell>
          <cell r="W832">
            <v>1</v>
          </cell>
        </row>
        <row r="833">
          <cell r="B833" t="str">
            <v>Shadhin</v>
          </cell>
          <cell r="C833">
            <v>6</v>
          </cell>
          <cell r="D833">
            <v>241</v>
          </cell>
          <cell r="E833">
            <v>12</v>
          </cell>
          <cell r="F833">
            <v>14</v>
          </cell>
          <cell r="G833">
            <v>1</v>
          </cell>
          <cell r="H833">
            <v>22</v>
          </cell>
          <cell r="I833">
            <v>15</v>
          </cell>
          <cell r="M833" t="str">
            <v>&gt;&gt;</v>
          </cell>
          <cell r="N833" t="str">
            <v>Abdullah Al Mamun Shadhin</v>
          </cell>
          <cell r="O833" t="str">
            <v>FIC-2</v>
          </cell>
          <cell r="P833" t="str">
            <v>Hidden-Dragons</v>
          </cell>
          <cell r="Q833">
            <v>1</v>
          </cell>
          <cell r="R833">
            <v>135</v>
          </cell>
          <cell r="S833" t="str">
            <v>CPOT</v>
          </cell>
          <cell r="U833">
            <v>42125</v>
          </cell>
        </row>
        <row r="834">
          <cell r="B834" t="str">
            <v>Himel</v>
          </cell>
          <cell r="C834">
            <v>5</v>
          </cell>
          <cell r="D834">
            <v>129</v>
          </cell>
          <cell r="E834">
            <v>4</v>
          </cell>
          <cell r="F834">
            <v>9</v>
          </cell>
          <cell r="G834">
            <v>1</v>
          </cell>
          <cell r="H834">
            <v>9</v>
          </cell>
          <cell r="I834">
            <v>6</v>
          </cell>
          <cell r="M834" t="str">
            <v>&gt;&gt;</v>
          </cell>
          <cell r="N834" t="str">
            <v>Hj Himel</v>
          </cell>
          <cell r="O834" t="str">
            <v>FIC-2</v>
          </cell>
          <cell r="P834" t="str">
            <v>Hidden-Dragons</v>
          </cell>
          <cell r="Q834">
            <v>1</v>
          </cell>
          <cell r="R834">
            <v>135</v>
          </cell>
          <cell r="U834">
            <v>42125</v>
          </cell>
        </row>
        <row r="835">
          <cell r="B835" t="str">
            <v>AR Shohag</v>
          </cell>
          <cell r="C835">
            <v>5</v>
          </cell>
          <cell r="D835">
            <v>48</v>
          </cell>
          <cell r="E835">
            <v>4</v>
          </cell>
          <cell r="F835">
            <v>7</v>
          </cell>
          <cell r="G835">
            <v>0</v>
          </cell>
          <cell r="H835">
            <v>6</v>
          </cell>
          <cell r="I835">
            <v>3</v>
          </cell>
          <cell r="M835" t="str">
            <v>&gt;&gt;</v>
          </cell>
          <cell r="N835" t="str">
            <v>A.R. Shohag</v>
          </cell>
          <cell r="O835" t="str">
            <v>FIC-2</v>
          </cell>
          <cell r="P835" t="str">
            <v>Hidden-Dragons</v>
          </cell>
          <cell r="Q835">
            <v>1</v>
          </cell>
          <cell r="R835">
            <v>135</v>
          </cell>
          <cell r="U835">
            <v>42125</v>
          </cell>
        </row>
        <row r="836">
          <cell r="B836" t="str">
            <v>Mashuk</v>
          </cell>
          <cell r="C836">
            <v>2</v>
          </cell>
          <cell r="D836">
            <v>8</v>
          </cell>
          <cell r="E836">
            <v>2</v>
          </cell>
          <cell r="F836">
            <v>1</v>
          </cell>
          <cell r="G836">
            <v>0</v>
          </cell>
          <cell r="H836">
            <v>0</v>
          </cell>
          <cell r="I836">
            <v>0</v>
          </cell>
          <cell r="M836" t="str">
            <v>&gt;&gt;</v>
          </cell>
          <cell r="N836" t="str">
            <v>Mustofa Muddassir Mahmud Mashuk</v>
          </cell>
          <cell r="O836" t="str">
            <v>FIC-2</v>
          </cell>
          <cell r="P836" t="str">
            <v>Hidden-Dragons</v>
          </cell>
          <cell r="Q836">
            <v>1</v>
          </cell>
          <cell r="R836">
            <v>135</v>
          </cell>
          <cell r="U836">
            <v>42125</v>
          </cell>
        </row>
        <row r="837">
          <cell r="B837" t="str">
            <v>Extreme-Boyz</v>
          </cell>
          <cell r="M837" t="str">
            <v>&gt;&gt;</v>
          </cell>
          <cell r="N837" t="str">
            <v/>
          </cell>
          <cell r="O837" t="str">
            <v>FIC-2</v>
          </cell>
          <cell r="P837" t="str">
            <v>Extreme-Boyz</v>
          </cell>
          <cell r="Q837">
            <v>1</v>
          </cell>
          <cell r="R837">
            <v>136</v>
          </cell>
          <cell r="U837">
            <v>42125</v>
          </cell>
        </row>
        <row r="838">
          <cell r="B838" t="str">
            <v>Towkir</v>
          </cell>
          <cell r="C838">
            <v>8</v>
          </cell>
          <cell r="D838">
            <v>143</v>
          </cell>
          <cell r="E838">
            <v>14</v>
          </cell>
          <cell r="F838">
            <v>10</v>
          </cell>
          <cell r="G838">
            <v>2</v>
          </cell>
          <cell r="H838">
            <v>10</v>
          </cell>
          <cell r="I838">
            <v>2</v>
          </cell>
          <cell r="M838" t="str">
            <v>&gt;&gt;</v>
          </cell>
          <cell r="N838" t="str">
            <v>Towkir Ahmed Siddique</v>
          </cell>
          <cell r="O838" t="str">
            <v>FIC-2</v>
          </cell>
          <cell r="P838" t="str">
            <v>Extreme-Boyz</v>
          </cell>
          <cell r="Q838">
            <v>1</v>
          </cell>
          <cell r="R838">
            <v>136</v>
          </cell>
          <cell r="U838">
            <v>42125</v>
          </cell>
        </row>
        <row r="839">
          <cell r="B839" t="str">
            <v>Brinto</v>
          </cell>
          <cell r="C839">
            <v>8</v>
          </cell>
          <cell r="D839">
            <v>117</v>
          </cell>
          <cell r="E839">
            <v>16</v>
          </cell>
          <cell r="F839">
            <v>9</v>
          </cell>
          <cell r="G839">
            <v>0</v>
          </cell>
          <cell r="H839">
            <v>11</v>
          </cell>
          <cell r="I839">
            <v>5</v>
          </cell>
          <cell r="M839" t="str">
            <v>&gt;&gt;</v>
          </cell>
          <cell r="N839" t="str">
            <v>Shuvayan Saha Brinto</v>
          </cell>
          <cell r="O839" t="str">
            <v>FIC-2</v>
          </cell>
          <cell r="P839" t="str">
            <v>Extreme-Boyz</v>
          </cell>
          <cell r="Q839">
            <v>1</v>
          </cell>
          <cell r="R839">
            <v>136</v>
          </cell>
          <cell r="U839">
            <v>42125</v>
          </cell>
        </row>
        <row r="840">
          <cell r="B840" t="str">
            <v>Sahed</v>
          </cell>
          <cell r="C840">
            <v>8</v>
          </cell>
          <cell r="D840">
            <v>271</v>
          </cell>
          <cell r="E840">
            <v>8</v>
          </cell>
          <cell r="F840">
            <v>14</v>
          </cell>
          <cell r="G840">
            <v>2</v>
          </cell>
          <cell r="H840">
            <v>12</v>
          </cell>
          <cell r="I840">
            <v>17</v>
          </cell>
          <cell r="M840" t="str">
            <v>&gt;&gt;</v>
          </cell>
          <cell r="N840" t="str">
            <v>Sahed Hossain Masum</v>
          </cell>
          <cell r="O840" t="str">
            <v>FIC-2</v>
          </cell>
          <cell r="P840" t="str">
            <v>Extreme-Boyz</v>
          </cell>
          <cell r="Q840">
            <v>1</v>
          </cell>
          <cell r="R840">
            <v>136</v>
          </cell>
          <cell r="U840">
            <v>42125</v>
          </cell>
          <cell r="V840">
            <v>1</v>
          </cell>
        </row>
        <row r="841">
          <cell r="B841" t="str">
            <v>Adnan</v>
          </cell>
          <cell r="C841">
            <v>8</v>
          </cell>
          <cell r="D841">
            <v>32</v>
          </cell>
          <cell r="E841">
            <v>10</v>
          </cell>
          <cell r="F841">
            <v>7</v>
          </cell>
          <cell r="G841">
            <v>0</v>
          </cell>
          <cell r="H841">
            <v>2</v>
          </cell>
          <cell r="I841">
            <v>3</v>
          </cell>
          <cell r="M841" t="str">
            <v>&gt;&gt;</v>
          </cell>
          <cell r="N841" t="str">
            <v>Shah Abi Talib Adnan</v>
          </cell>
          <cell r="O841" t="str">
            <v>FIC-2</v>
          </cell>
          <cell r="P841" t="str">
            <v>Extreme-Boyz</v>
          </cell>
          <cell r="Q841">
            <v>1</v>
          </cell>
          <cell r="R841">
            <v>136</v>
          </cell>
          <cell r="U841">
            <v>42125</v>
          </cell>
        </row>
        <row r="842">
          <cell r="B842" t="str">
            <v>Ab Mamun</v>
          </cell>
          <cell r="C842">
            <v>3</v>
          </cell>
          <cell r="D842">
            <v>58</v>
          </cell>
          <cell r="E842">
            <v>2</v>
          </cell>
          <cell r="F842">
            <v>3</v>
          </cell>
          <cell r="G842">
            <v>0</v>
          </cell>
          <cell r="H842">
            <v>4</v>
          </cell>
          <cell r="I842">
            <v>4</v>
          </cell>
          <cell r="M842" t="str">
            <v>&gt;&gt;</v>
          </cell>
          <cell r="N842" t="str">
            <v>Abdullah Al Mamun</v>
          </cell>
          <cell r="O842" t="str">
            <v>FIC-2</v>
          </cell>
          <cell r="P842" t="str">
            <v>Extreme-Boyz</v>
          </cell>
          <cell r="Q842">
            <v>1</v>
          </cell>
          <cell r="R842">
            <v>136</v>
          </cell>
          <cell r="U842">
            <v>42125</v>
          </cell>
        </row>
        <row r="843">
          <cell r="B843" t="str">
            <v>Sparkling-Fire</v>
          </cell>
          <cell r="M843" t="str">
            <v>&gt;&gt;</v>
          </cell>
          <cell r="N843" t="str">
            <v/>
          </cell>
          <cell r="O843" t="str">
            <v>FIC-2</v>
          </cell>
          <cell r="P843" t="str">
            <v>Sparkling-Fire</v>
          </cell>
          <cell r="Q843">
            <v>1</v>
          </cell>
          <cell r="R843">
            <v>137</v>
          </cell>
          <cell r="U843">
            <v>42125</v>
          </cell>
        </row>
        <row r="844">
          <cell r="B844" t="str">
            <v>Tanvir</v>
          </cell>
          <cell r="C844">
            <v>7</v>
          </cell>
          <cell r="D844">
            <v>148</v>
          </cell>
          <cell r="E844">
            <v>11</v>
          </cell>
          <cell r="F844">
            <v>12</v>
          </cell>
          <cell r="G844">
            <v>0</v>
          </cell>
          <cell r="H844">
            <v>12</v>
          </cell>
          <cell r="I844">
            <v>10</v>
          </cell>
          <cell r="M844" t="str">
            <v>&gt;&gt;</v>
          </cell>
          <cell r="N844" t="str">
            <v>Tanvir Shakib</v>
          </cell>
          <cell r="O844" t="str">
            <v>FIC-2</v>
          </cell>
          <cell r="P844" t="str">
            <v>Sparkling-Fire</v>
          </cell>
          <cell r="Q844">
            <v>1</v>
          </cell>
          <cell r="R844">
            <v>137</v>
          </cell>
          <cell r="U844">
            <v>42125</v>
          </cell>
        </row>
        <row r="845">
          <cell r="B845" t="str">
            <v>Saaj</v>
          </cell>
          <cell r="C845">
            <v>7</v>
          </cell>
          <cell r="D845">
            <v>141</v>
          </cell>
          <cell r="E845">
            <v>8</v>
          </cell>
          <cell r="F845">
            <v>9</v>
          </cell>
          <cell r="G845">
            <v>1</v>
          </cell>
          <cell r="H845">
            <v>12</v>
          </cell>
          <cell r="I845">
            <v>8</v>
          </cell>
          <cell r="M845" t="str">
            <v>&gt;&gt;</v>
          </cell>
          <cell r="N845" t="str">
            <v>AB Saaj</v>
          </cell>
          <cell r="O845" t="str">
            <v>FIC-2</v>
          </cell>
          <cell r="P845" t="str">
            <v>Sparkling-Fire</v>
          </cell>
          <cell r="Q845">
            <v>1</v>
          </cell>
          <cell r="R845">
            <v>137</v>
          </cell>
          <cell r="U845">
            <v>42125</v>
          </cell>
        </row>
        <row r="846">
          <cell r="B846" t="str">
            <v>Sagar</v>
          </cell>
          <cell r="C846">
            <v>7</v>
          </cell>
          <cell r="D846">
            <v>100</v>
          </cell>
          <cell r="E846">
            <v>16</v>
          </cell>
          <cell r="F846">
            <v>9</v>
          </cell>
          <cell r="G846">
            <v>1</v>
          </cell>
          <cell r="H846">
            <v>4</v>
          </cell>
          <cell r="I846">
            <v>7</v>
          </cell>
          <cell r="M846" t="str">
            <v>&gt;&gt;</v>
          </cell>
          <cell r="N846" t="str">
            <v>Sajjadul Haque Sagar</v>
          </cell>
          <cell r="O846" t="str">
            <v>FIC-2</v>
          </cell>
          <cell r="P846" t="str">
            <v>Sparkling-Fire</v>
          </cell>
          <cell r="Q846">
            <v>1</v>
          </cell>
          <cell r="R846">
            <v>137</v>
          </cell>
          <cell r="U846">
            <v>42125</v>
          </cell>
        </row>
        <row r="847">
          <cell r="B847" t="str">
            <v>Sabbir</v>
          </cell>
          <cell r="C847">
            <v>7</v>
          </cell>
          <cell r="D847">
            <v>58</v>
          </cell>
          <cell r="E847">
            <v>4</v>
          </cell>
          <cell r="F847">
            <v>8</v>
          </cell>
          <cell r="G847">
            <v>0</v>
          </cell>
          <cell r="H847">
            <v>6</v>
          </cell>
          <cell r="I847">
            <v>3</v>
          </cell>
          <cell r="M847" t="str">
            <v>&gt;&gt;</v>
          </cell>
          <cell r="N847" t="str">
            <v>Sabbir Ahmed</v>
          </cell>
          <cell r="O847" t="str">
            <v>FIC-2</v>
          </cell>
          <cell r="P847" t="str">
            <v>Sparkling-Fire</v>
          </cell>
          <cell r="Q847">
            <v>1</v>
          </cell>
          <cell r="R847">
            <v>137</v>
          </cell>
          <cell r="U847">
            <v>42125</v>
          </cell>
        </row>
        <row r="848">
          <cell r="B848" t="str">
            <v>Sohan</v>
          </cell>
          <cell r="C848">
            <v>7</v>
          </cell>
          <cell r="D848">
            <v>24</v>
          </cell>
          <cell r="E848">
            <v>4</v>
          </cell>
          <cell r="F848">
            <v>6</v>
          </cell>
          <cell r="G848">
            <v>0</v>
          </cell>
          <cell r="H848">
            <v>1</v>
          </cell>
          <cell r="I848">
            <v>2</v>
          </cell>
          <cell r="M848" t="str">
            <v>&gt;&gt;</v>
          </cell>
          <cell r="N848" t="str">
            <v>Moksedur RaHman SoHan (Duronto Sohan)</v>
          </cell>
          <cell r="O848" t="str">
            <v>FIC-2</v>
          </cell>
          <cell r="P848" t="str">
            <v>Sparkling-Fire</v>
          </cell>
          <cell r="Q848">
            <v>1</v>
          </cell>
          <cell r="R848">
            <v>137</v>
          </cell>
          <cell r="U848">
            <v>42125</v>
          </cell>
        </row>
        <row r="849">
          <cell r="B849" t="str">
            <v>Diamond-Minners</v>
          </cell>
          <cell r="M849" t="str">
            <v>&gt;&gt;</v>
          </cell>
          <cell r="N849" t="str">
            <v/>
          </cell>
          <cell r="O849" t="str">
            <v>FIC-2</v>
          </cell>
          <cell r="P849" t="str">
            <v>Diamond-Minners</v>
          </cell>
          <cell r="Q849">
            <v>1</v>
          </cell>
          <cell r="R849">
            <v>138</v>
          </cell>
          <cell r="U849">
            <v>42125</v>
          </cell>
        </row>
        <row r="850">
          <cell r="B850" t="str">
            <v>Sakib Sr.</v>
          </cell>
          <cell r="C850">
            <v>9</v>
          </cell>
          <cell r="D850">
            <v>127</v>
          </cell>
          <cell r="E850">
            <v>17</v>
          </cell>
          <cell r="F850">
            <v>11</v>
          </cell>
          <cell r="G850">
            <v>2</v>
          </cell>
          <cell r="H850">
            <v>8</v>
          </cell>
          <cell r="I850">
            <v>6</v>
          </cell>
          <cell r="M850" t="str">
            <v>&gt;&gt;</v>
          </cell>
          <cell r="N850" t="str">
            <v>Ahmad Sakib Abdullah</v>
          </cell>
          <cell r="O850" t="str">
            <v>FIC-2</v>
          </cell>
          <cell r="P850" t="str">
            <v>Diamond-Minners</v>
          </cell>
          <cell r="Q850">
            <v>1</v>
          </cell>
          <cell r="R850">
            <v>138</v>
          </cell>
          <cell r="U850">
            <v>42125</v>
          </cell>
        </row>
        <row r="851">
          <cell r="B851" t="str">
            <v>Ovi</v>
          </cell>
          <cell r="C851">
            <v>8</v>
          </cell>
          <cell r="D851">
            <v>128</v>
          </cell>
          <cell r="E851">
            <v>13</v>
          </cell>
          <cell r="F851">
            <v>11</v>
          </cell>
          <cell r="G851">
            <v>2</v>
          </cell>
          <cell r="H851">
            <v>16</v>
          </cell>
          <cell r="I851">
            <v>4</v>
          </cell>
          <cell r="M851" t="str">
            <v>&gt;&gt;</v>
          </cell>
          <cell r="N851" t="str">
            <v>Toufiq Ahmed Ovi</v>
          </cell>
          <cell r="O851" t="str">
            <v>FIC-2</v>
          </cell>
          <cell r="P851" t="str">
            <v>Diamond-Minners</v>
          </cell>
          <cell r="Q851">
            <v>1</v>
          </cell>
          <cell r="R851">
            <v>138</v>
          </cell>
          <cell r="U851">
            <v>42125</v>
          </cell>
        </row>
        <row r="852">
          <cell r="B852" t="str">
            <v>Kamal</v>
          </cell>
          <cell r="C852">
            <v>9</v>
          </cell>
          <cell r="D852">
            <v>129</v>
          </cell>
          <cell r="E852">
            <v>7</v>
          </cell>
          <cell r="F852">
            <v>15</v>
          </cell>
          <cell r="G852">
            <v>2</v>
          </cell>
          <cell r="H852">
            <v>7</v>
          </cell>
          <cell r="I852">
            <v>11</v>
          </cell>
          <cell r="M852" t="str">
            <v>&gt;&gt;</v>
          </cell>
          <cell r="N852" t="str">
            <v>MD Kamal Hossain Kamal</v>
          </cell>
          <cell r="O852" t="str">
            <v>FIC-2</v>
          </cell>
          <cell r="P852" t="str">
            <v>Diamond-Minners</v>
          </cell>
          <cell r="Q852">
            <v>1</v>
          </cell>
          <cell r="R852">
            <v>138</v>
          </cell>
          <cell r="U852">
            <v>42125</v>
          </cell>
        </row>
        <row r="853">
          <cell r="B853" t="str">
            <v>Apurba</v>
          </cell>
          <cell r="C853">
            <v>6</v>
          </cell>
          <cell r="D853">
            <v>116</v>
          </cell>
          <cell r="E853">
            <v>4</v>
          </cell>
          <cell r="F853">
            <v>8</v>
          </cell>
          <cell r="G853">
            <v>0</v>
          </cell>
          <cell r="H853">
            <v>8</v>
          </cell>
          <cell r="I853">
            <v>4</v>
          </cell>
          <cell r="M853" t="str">
            <v>&gt;&gt;</v>
          </cell>
          <cell r="N853" t="str">
            <v>Apurba Rockz</v>
          </cell>
          <cell r="O853" t="str">
            <v>FIC-2</v>
          </cell>
          <cell r="P853" t="str">
            <v>Diamond-Minners</v>
          </cell>
          <cell r="Q853">
            <v>1</v>
          </cell>
          <cell r="R853">
            <v>138</v>
          </cell>
          <cell r="U853">
            <v>42125</v>
          </cell>
        </row>
        <row r="854">
          <cell r="B854" t="str">
            <v>Tonmoy</v>
          </cell>
          <cell r="C854">
            <v>9</v>
          </cell>
          <cell r="D854">
            <v>55</v>
          </cell>
          <cell r="E854">
            <v>9</v>
          </cell>
          <cell r="F854">
            <v>8</v>
          </cell>
          <cell r="G854">
            <v>0</v>
          </cell>
          <cell r="H854">
            <v>5</v>
          </cell>
          <cell r="I854">
            <v>3</v>
          </cell>
          <cell r="M854" t="str">
            <v>&gt;&gt;</v>
          </cell>
          <cell r="N854" t="str">
            <v>Asik Hassan Tonmoy</v>
          </cell>
          <cell r="O854" t="str">
            <v>FIC-2</v>
          </cell>
          <cell r="P854" t="str">
            <v>Diamond-Minners</v>
          </cell>
          <cell r="Q854">
            <v>1</v>
          </cell>
          <cell r="R854">
            <v>138</v>
          </cell>
          <cell r="U854">
            <v>42125</v>
          </cell>
        </row>
        <row r="855">
          <cell r="B855" t="str">
            <v>Knight-Roar</v>
          </cell>
          <cell r="M855" t="str">
            <v>&gt;&gt;</v>
          </cell>
          <cell r="N855" t="str">
            <v/>
          </cell>
          <cell r="O855" t="str">
            <v>FIC-2</v>
          </cell>
          <cell r="P855" t="str">
            <v>Knight-Roar</v>
          </cell>
          <cell r="Q855">
            <v>1</v>
          </cell>
          <cell r="R855">
            <v>139</v>
          </cell>
          <cell r="U855">
            <v>42125</v>
          </cell>
        </row>
        <row r="856">
          <cell r="B856" t="str">
            <v>Sumon</v>
          </cell>
          <cell r="C856">
            <v>5</v>
          </cell>
          <cell r="D856">
            <v>77</v>
          </cell>
          <cell r="E856">
            <v>9</v>
          </cell>
          <cell r="F856">
            <v>8</v>
          </cell>
          <cell r="G856">
            <v>1</v>
          </cell>
          <cell r="H856">
            <v>4</v>
          </cell>
          <cell r="I856">
            <v>5</v>
          </cell>
          <cell r="M856" t="str">
            <v>&gt;&gt;</v>
          </cell>
          <cell r="N856" t="str">
            <v>Sumon Ab</v>
          </cell>
          <cell r="O856" t="str">
            <v>FIC-2</v>
          </cell>
          <cell r="P856" t="str">
            <v>Knight-Roar</v>
          </cell>
          <cell r="Q856">
            <v>1</v>
          </cell>
          <cell r="R856">
            <v>139</v>
          </cell>
          <cell r="U856">
            <v>42125</v>
          </cell>
        </row>
        <row r="857">
          <cell r="B857" t="str">
            <v>Sabbir</v>
          </cell>
          <cell r="C857">
            <v>6</v>
          </cell>
          <cell r="D857">
            <v>110</v>
          </cell>
          <cell r="E857">
            <v>13</v>
          </cell>
          <cell r="F857">
            <v>6</v>
          </cell>
          <cell r="G857">
            <v>0</v>
          </cell>
          <cell r="H857">
            <v>11</v>
          </cell>
          <cell r="I857">
            <v>6</v>
          </cell>
          <cell r="M857" t="str">
            <v>&gt;&gt;</v>
          </cell>
          <cell r="N857" t="str">
            <v>Sabbir Ahmed</v>
          </cell>
          <cell r="O857" t="str">
            <v>FIC-2</v>
          </cell>
          <cell r="P857" t="str">
            <v>Knight-Roar</v>
          </cell>
          <cell r="Q857">
            <v>1</v>
          </cell>
          <cell r="R857">
            <v>139</v>
          </cell>
          <cell r="U857">
            <v>42125</v>
          </cell>
        </row>
        <row r="858">
          <cell r="B858" t="str">
            <v>Shakil</v>
          </cell>
          <cell r="C858">
            <v>5</v>
          </cell>
          <cell r="D858">
            <v>123</v>
          </cell>
          <cell r="E858">
            <v>4</v>
          </cell>
          <cell r="F858">
            <v>9</v>
          </cell>
          <cell r="G858">
            <v>0</v>
          </cell>
          <cell r="H858">
            <v>11</v>
          </cell>
          <cell r="I858">
            <v>9</v>
          </cell>
          <cell r="M858" t="str">
            <v>&gt;&gt;</v>
          </cell>
          <cell r="N858" t="str">
            <v>M R Shakil</v>
          </cell>
          <cell r="O858" t="str">
            <v>FIC-2</v>
          </cell>
          <cell r="P858" t="str">
            <v>Knight-Roar</v>
          </cell>
          <cell r="Q858">
            <v>1</v>
          </cell>
          <cell r="R858">
            <v>139</v>
          </cell>
          <cell r="U858">
            <v>42125</v>
          </cell>
        </row>
        <row r="859">
          <cell r="B859" t="str">
            <v>Kamil</v>
          </cell>
          <cell r="C859">
            <v>4</v>
          </cell>
          <cell r="D859">
            <v>59</v>
          </cell>
          <cell r="E859">
            <v>2</v>
          </cell>
          <cell r="F859">
            <v>4</v>
          </cell>
          <cell r="G859">
            <v>0</v>
          </cell>
          <cell r="H859">
            <v>4</v>
          </cell>
          <cell r="I859">
            <v>2</v>
          </cell>
          <cell r="M859" t="str">
            <v>&gt;&gt;</v>
          </cell>
          <cell r="N859" t="str">
            <v>Kamil Ahmed</v>
          </cell>
          <cell r="O859" t="str">
            <v>FIC-2</v>
          </cell>
          <cell r="P859" t="str">
            <v>Knight-Roar</v>
          </cell>
          <cell r="Q859">
            <v>1</v>
          </cell>
          <cell r="R859">
            <v>139</v>
          </cell>
          <cell r="U859">
            <v>42125</v>
          </cell>
        </row>
        <row r="860">
          <cell r="B860" t="str">
            <v>Shuvro</v>
          </cell>
          <cell r="C860">
            <v>5</v>
          </cell>
          <cell r="D860">
            <v>76</v>
          </cell>
          <cell r="E860">
            <v>5</v>
          </cell>
          <cell r="F860">
            <v>8</v>
          </cell>
          <cell r="G860">
            <v>1</v>
          </cell>
          <cell r="H860">
            <v>6</v>
          </cell>
          <cell r="I860">
            <v>3</v>
          </cell>
          <cell r="M860" t="str">
            <v>&gt;&gt;</v>
          </cell>
          <cell r="N860" t="str">
            <v>Shahriar Shuvro</v>
          </cell>
          <cell r="O860" t="str">
            <v>FIC-2</v>
          </cell>
          <cell r="P860" t="str">
            <v>Knight-Roar</v>
          </cell>
          <cell r="Q860">
            <v>1</v>
          </cell>
          <cell r="R860">
            <v>139</v>
          </cell>
          <cell r="U860">
            <v>42125</v>
          </cell>
        </row>
        <row r="861">
          <cell r="B861" t="str">
            <v>Tamimiyans-Fighter</v>
          </cell>
          <cell r="M861" t="str">
            <v>&gt;&gt;</v>
          </cell>
          <cell r="N861" t="str">
            <v/>
          </cell>
          <cell r="O861" t="str">
            <v>FSC-1</v>
          </cell>
          <cell r="P861" t="str">
            <v>Tamimiyans-Fighter</v>
          </cell>
          <cell r="Q861">
            <v>1</v>
          </cell>
          <cell r="R861">
            <v>140</v>
          </cell>
          <cell r="U861">
            <v>42248</v>
          </cell>
        </row>
        <row r="862">
          <cell r="B862" t="str">
            <v>Sadrul</v>
          </cell>
          <cell r="C862">
            <v>3</v>
          </cell>
          <cell r="D862">
            <v>83</v>
          </cell>
          <cell r="E862">
            <v>7</v>
          </cell>
          <cell r="F862">
            <v>4</v>
          </cell>
          <cell r="G862">
            <v>0</v>
          </cell>
          <cell r="H862">
            <v>5</v>
          </cell>
          <cell r="I862">
            <v>6</v>
          </cell>
          <cell r="M862" t="str">
            <v>&gt;&gt;</v>
          </cell>
          <cell r="N862" t="str">
            <v>Sadrul Anam</v>
          </cell>
          <cell r="O862" t="str">
            <v>FSC-1</v>
          </cell>
          <cell r="P862" t="str">
            <v>Tamimiyans-Fighter</v>
          </cell>
          <cell r="Q862">
            <v>1</v>
          </cell>
          <cell r="R862">
            <v>140</v>
          </cell>
          <cell r="U862">
            <v>42248</v>
          </cell>
        </row>
        <row r="863">
          <cell r="B863" t="str">
            <v>Injamul</v>
          </cell>
          <cell r="C863">
            <v>3</v>
          </cell>
          <cell r="D863">
            <v>14</v>
          </cell>
          <cell r="E863">
            <v>2</v>
          </cell>
          <cell r="F863">
            <v>2</v>
          </cell>
          <cell r="G863">
            <v>0</v>
          </cell>
          <cell r="H863">
            <v>2</v>
          </cell>
          <cell r="I863">
            <v>1</v>
          </cell>
          <cell r="M863" t="str">
            <v>&gt;&gt;</v>
          </cell>
          <cell r="N863" t="str">
            <v>Injamul Haque (Syed Injamul Haque)</v>
          </cell>
          <cell r="O863" t="str">
            <v>FSC-1</v>
          </cell>
          <cell r="P863" t="str">
            <v>Tamimiyans-Fighter</v>
          </cell>
          <cell r="Q863">
            <v>1</v>
          </cell>
          <cell r="R863">
            <v>140</v>
          </cell>
          <cell r="U863">
            <v>42248</v>
          </cell>
        </row>
        <row r="864">
          <cell r="B864" t="str">
            <v>Asif</v>
          </cell>
          <cell r="C864">
            <v>3</v>
          </cell>
          <cell r="D864">
            <v>84</v>
          </cell>
          <cell r="E864">
            <v>2</v>
          </cell>
          <cell r="F864">
            <v>4</v>
          </cell>
          <cell r="G864">
            <v>0</v>
          </cell>
          <cell r="H864">
            <v>6</v>
          </cell>
          <cell r="I864">
            <v>6</v>
          </cell>
          <cell r="M864" t="str">
            <v>&gt;&gt;</v>
          </cell>
          <cell r="N864" t="str">
            <v>Asif Iqbal Khan</v>
          </cell>
          <cell r="O864" t="str">
            <v>FSC-1</v>
          </cell>
          <cell r="P864" t="str">
            <v>Tamimiyans-Fighter</v>
          </cell>
          <cell r="Q864">
            <v>1</v>
          </cell>
          <cell r="R864">
            <v>140</v>
          </cell>
          <cell r="U864">
            <v>42248</v>
          </cell>
        </row>
        <row r="865">
          <cell r="B865" t="str">
            <v>Md. Asif</v>
          </cell>
          <cell r="C865">
            <v>1</v>
          </cell>
          <cell r="D865">
            <v>4</v>
          </cell>
          <cell r="E865">
            <v>1</v>
          </cell>
          <cell r="F865">
            <v>3</v>
          </cell>
          <cell r="G865">
            <v>0</v>
          </cell>
          <cell r="H865">
            <v>0</v>
          </cell>
          <cell r="I865">
            <v>0</v>
          </cell>
          <cell r="M865" t="str">
            <v>&gt;&gt;</v>
          </cell>
          <cell r="N865" t="str">
            <v>Mohammad Asif</v>
          </cell>
          <cell r="O865" t="str">
            <v>FSC-1</v>
          </cell>
          <cell r="P865" t="str">
            <v>Tamimiyans-Fighter</v>
          </cell>
          <cell r="Q865">
            <v>1</v>
          </cell>
          <cell r="R865">
            <v>140</v>
          </cell>
          <cell r="U865">
            <v>42248</v>
          </cell>
        </row>
        <row r="866">
          <cell r="B866" t="str">
            <v>SA Shanto</v>
          </cell>
          <cell r="C866">
            <v>2</v>
          </cell>
          <cell r="D866">
            <v>0</v>
          </cell>
          <cell r="E866">
            <v>2</v>
          </cell>
          <cell r="F866">
            <v>1</v>
          </cell>
          <cell r="G866">
            <v>0</v>
          </cell>
          <cell r="H866">
            <v>0</v>
          </cell>
          <cell r="I866">
            <v>0</v>
          </cell>
          <cell r="M866" t="str">
            <v>&gt;&gt;</v>
          </cell>
          <cell r="N866" t="str">
            <v>Sayed Anowar Shanto</v>
          </cell>
          <cell r="O866" t="str">
            <v>FSC-1</v>
          </cell>
          <cell r="P866" t="str">
            <v>Tamimiyans-Fighter</v>
          </cell>
          <cell r="Q866">
            <v>1</v>
          </cell>
          <cell r="R866">
            <v>140</v>
          </cell>
          <cell r="U866">
            <v>42248</v>
          </cell>
        </row>
        <row r="867">
          <cell r="B867" t="str">
            <v>Sabbiriyans-Sixer</v>
          </cell>
          <cell r="M867" t="str">
            <v>&gt;&gt;</v>
          </cell>
          <cell r="N867" t="str">
            <v/>
          </cell>
          <cell r="O867" t="str">
            <v>FSC-1</v>
          </cell>
          <cell r="P867" t="str">
            <v>Sabbiriyans-Sixer</v>
          </cell>
          <cell r="Q867">
            <v>1</v>
          </cell>
          <cell r="R867">
            <v>141</v>
          </cell>
          <cell r="U867">
            <v>42248</v>
          </cell>
        </row>
        <row r="868">
          <cell r="B868" t="str">
            <v>Tanvir</v>
          </cell>
          <cell r="C868">
            <v>3</v>
          </cell>
          <cell r="D868">
            <v>39</v>
          </cell>
          <cell r="E868">
            <v>1</v>
          </cell>
          <cell r="F868">
            <v>5</v>
          </cell>
          <cell r="G868">
            <v>0</v>
          </cell>
          <cell r="H868">
            <v>3</v>
          </cell>
          <cell r="I868">
            <v>1</v>
          </cell>
          <cell r="M868" t="str">
            <v>&gt;&gt;</v>
          </cell>
          <cell r="N868" t="str">
            <v>Tanvir Shakib</v>
          </cell>
          <cell r="O868" t="str">
            <v>FSC-1</v>
          </cell>
          <cell r="P868" t="str">
            <v>Sabbiriyans-Sixer</v>
          </cell>
          <cell r="Q868">
            <v>1</v>
          </cell>
          <cell r="R868">
            <v>141</v>
          </cell>
          <cell r="U868">
            <v>42248</v>
          </cell>
        </row>
        <row r="869">
          <cell r="B869" t="str">
            <v>Jumon</v>
          </cell>
          <cell r="C869">
            <v>3</v>
          </cell>
          <cell r="D869">
            <v>84</v>
          </cell>
          <cell r="E869">
            <v>6</v>
          </cell>
          <cell r="F869">
            <v>5</v>
          </cell>
          <cell r="G869">
            <v>1</v>
          </cell>
          <cell r="H869">
            <v>7</v>
          </cell>
          <cell r="I869">
            <v>5</v>
          </cell>
          <cell r="M869" t="str">
            <v>&gt;&gt;</v>
          </cell>
          <cell r="N869" t="str">
            <v>Foysal Ahmed Jumon</v>
          </cell>
          <cell r="O869" t="str">
            <v>FSC-1</v>
          </cell>
          <cell r="P869" t="str">
            <v>Sabbiriyans-Sixer</v>
          </cell>
          <cell r="Q869">
            <v>1</v>
          </cell>
          <cell r="R869">
            <v>141</v>
          </cell>
          <cell r="U869">
            <v>42248</v>
          </cell>
        </row>
        <row r="870">
          <cell r="B870" t="str">
            <v>Meyaz</v>
          </cell>
          <cell r="C870">
            <v>3</v>
          </cell>
          <cell r="D870">
            <v>78</v>
          </cell>
          <cell r="E870">
            <v>3</v>
          </cell>
          <cell r="F870">
            <v>4</v>
          </cell>
          <cell r="G870">
            <v>1</v>
          </cell>
          <cell r="H870">
            <v>2</v>
          </cell>
          <cell r="I870">
            <v>9</v>
          </cell>
          <cell r="M870" t="str">
            <v>&gt;&gt;</v>
          </cell>
          <cell r="N870" t="str">
            <v>Meyaz Al Emon</v>
          </cell>
          <cell r="O870" t="str">
            <v>FSC-1</v>
          </cell>
          <cell r="P870" t="str">
            <v>Sabbiriyans-Sixer</v>
          </cell>
          <cell r="Q870">
            <v>1</v>
          </cell>
          <cell r="R870">
            <v>141</v>
          </cell>
          <cell r="U870">
            <v>42248</v>
          </cell>
        </row>
        <row r="871">
          <cell r="B871" t="str">
            <v>Kamal</v>
          </cell>
          <cell r="C871">
            <v>2</v>
          </cell>
          <cell r="D871">
            <v>3</v>
          </cell>
          <cell r="E871">
            <v>2</v>
          </cell>
          <cell r="F871">
            <v>3</v>
          </cell>
          <cell r="G871">
            <v>0</v>
          </cell>
          <cell r="H871">
            <v>0</v>
          </cell>
          <cell r="I871">
            <v>0</v>
          </cell>
          <cell r="M871" t="str">
            <v>&gt;&gt;</v>
          </cell>
          <cell r="N871" t="str">
            <v>MD Kamal Hossain Kamal</v>
          </cell>
          <cell r="O871" t="str">
            <v>FSC-1</v>
          </cell>
          <cell r="P871" t="str">
            <v>Sabbiriyans-Sixer</v>
          </cell>
          <cell r="Q871">
            <v>1</v>
          </cell>
          <cell r="R871">
            <v>141</v>
          </cell>
          <cell r="U871">
            <v>42248</v>
          </cell>
        </row>
        <row r="872">
          <cell r="B872" t="str">
            <v>Mustafiziyans-Masters</v>
          </cell>
          <cell r="M872" t="str">
            <v>&gt;&gt;</v>
          </cell>
          <cell r="N872" t="str">
            <v/>
          </cell>
          <cell r="O872" t="str">
            <v>FSC-1</v>
          </cell>
          <cell r="P872" t="str">
            <v>Mustafiziyans-Masters</v>
          </cell>
          <cell r="Q872">
            <v>1</v>
          </cell>
          <cell r="R872">
            <v>142</v>
          </cell>
          <cell r="U872">
            <v>42248</v>
          </cell>
        </row>
        <row r="873">
          <cell r="B873" t="str">
            <v>Helal</v>
          </cell>
          <cell r="C873">
            <v>2</v>
          </cell>
          <cell r="D873">
            <v>36</v>
          </cell>
          <cell r="E873">
            <v>2</v>
          </cell>
          <cell r="F873">
            <v>3</v>
          </cell>
          <cell r="G873">
            <v>0</v>
          </cell>
          <cell r="H873">
            <v>0</v>
          </cell>
          <cell r="I873">
            <v>4</v>
          </cell>
          <cell r="M873" t="str">
            <v>&gt;&gt;</v>
          </cell>
          <cell r="N873" t="str">
            <v>Sheik Helal Ahmed</v>
          </cell>
          <cell r="O873" t="str">
            <v>FSC-1</v>
          </cell>
          <cell r="P873" t="str">
            <v>Mustafiziyans-Masters</v>
          </cell>
          <cell r="Q873">
            <v>1</v>
          </cell>
          <cell r="R873">
            <v>142</v>
          </cell>
          <cell r="U873">
            <v>42248</v>
          </cell>
        </row>
        <row r="874">
          <cell r="B874" t="str">
            <v>Zaheed</v>
          </cell>
          <cell r="C874">
            <v>2</v>
          </cell>
          <cell r="D874">
            <v>41</v>
          </cell>
          <cell r="E874">
            <v>3</v>
          </cell>
          <cell r="F874">
            <v>3</v>
          </cell>
          <cell r="G874">
            <v>0</v>
          </cell>
          <cell r="H874">
            <v>3</v>
          </cell>
          <cell r="I874">
            <v>2</v>
          </cell>
          <cell r="M874" t="str">
            <v>&gt;&gt;</v>
          </cell>
          <cell r="N874" t="str">
            <v>Zaheed Hasan</v>
          </cell>
          <cell r="O874" t="str">
            <v>FSC-1</v>
          </cell>
          <cell r="P874" t="str">
            <v>Mustafiziyans-Masters</v>
          </cell>
          <cell r="Q874">
            <v>1</v>
          </cell>
          <cell r="R874">
            <v>142</v>
          </cell>
          <cell r="U874">
            <v>42248</v>
          </cell>
        </row>
        <row r="875">
          <cell r="B875" t="str">
            <v>Sakif</v>
          </cell>
          <cell r="C875">
            <v>2</v>
          </cell>
          <cell r="D875">
            <v>7</v>
          </cell>
          <cell r="E875">
            <v>1</v>
          </cell>
          <cell r="F875">
            <v>1</v>
          </cell>
          <cell r="G875">
            <v>0</v>
          </cell>
          <cell r="H875">
            <v>1</v>
          </cell>
          <cell r="I875">
            <v>0</v>
          </cell>
          <cell r="M875" t="str">
            <v>&gt;&gt;</v>
          </cell>
          <cell r="N875" t="str">
            <v>Sakif Rahaman</v>
          </cell>
          <cell r="O875" t="str">
            <v>FSC-1</v>
          </cell>
          <cell r="P875" t="str">
            <v>Mustafiziyans-Masters</v>
          </cell>
          <cell r="Q875">
            <v>1</v>
          </cell>
          <cell r="R875">
            <v>142</v>
          </cell>
          <cell r="U875">
            <v>42248</v>
          </cell>
        </row>
        <row r="876">
          <cell r="B876" t="str">
            <v>Tofu</v>
          </cell>
          <cell r="C876">
            <v>2</v>
          </cell>
          <cell r="D876">
            <v>35</v>
          </cell>
          <cell r="E876">
            <v>1</v>
          </cell>
          <cell r="F876">
            <v>2</v>
          </cell>
          <cell r="G876">
            <v>0</v>
          </cell>
          <cell r="H876">
            <v>1</v>
          </cell>
          <cell r="I876">
            <v>0</v>
          </cell>
          <cell r="M876" t="str">
            <v>&gt;&gt;</v>
          </cell>
          <cell r="N876" t="str">
            <v>Oji Vokto Tofu</v>
          </cell>
          <cell r="O876" t="str">
            <v>FSC-1</v>
          </cell>
          <cell r="P876" t="str">
            <v>Mustafiziyans-Masters</v>
          </cell>
          <cell r="Q876">
            <v>1</v>
          </cell>
          <cell r="R876">
            <v>142</v>
          </cell>
          <cell r="U876">
            <v>42248</v>
          </cell>
        </row>
        <row r="877">
          <cell r="B877" t="str">
            <v>Sarkariyans-Burners</v>
          </cell>
          <cell r="M877" t="str">
            <v>&gt;&gt;</v>
          </cell>
          <cell r="N877" t="str">
            <v/>
          </cell>
          <cell r="O877" t="str">
            <v>FSC-1</v>
          </cell>
          <cell r="P877" t="str">
            <v>Sarkariyans-Burners</v>
          </cell>
          <cell r="Q877">
            <v>1</v>
          </cell>
          <cell r="R877">
            <v>143</v>
          </cell>
          <cell r="U877">
            <v>42248</v>
          </cell>
        </row>
        <row r="878">
          <cell r="B878" t="str">
            <v>Sumon</v>
          </cell>
          <cell r="C878">
            <v>4</v>
          </cell>
          <cell r="D878">
            <v>29</v>
          </cell>
          <cell r="E878">
            <v>5</v>
          </cell>
          <cell r="F878">
            <v>6</v>
          </cell>
          <cell r="G878">
            <v>1</v>
          </cell>
          <cell r="H878">
            <v>3</v>
          </cell>
          <cell r="I878">
            <v>2</v>
          </cell>
          <cell r="M878" t="str">
            <v>&gt;&gt;</v>
          </cell>
          <cell r="N878" t="str">
            <v>Sumon Ab</v>
          </cell>
          <cell r="O878" t="str">
            <v>FSC-1</v>
          </cell>
          <cell r="P878" t="str">
            <v>Sarkariyans-Burners</v>
          </cell>
          <cell r="Q878">
            <v>1</v>
          </cell>
          <cell r="R878">
            <v>143</v>
          </cell>
          <cell r="U878">
            <v>42248</v>
          </cell>
        </row>
        <row r="879">
          <cell r="B879" t="str">
            <v>Hridoy</v>
          </cell>
          <cell r="C879">
            <v>4</v>
          </cell>
          <cell r="D879">
            <v>87</v>
          </cell>
          <cell r="E879">
            <v>2</v>
          </cell>
          <cell r="F879">
            <v>5</v>
          </cell>
          <cell r="G879">
            <v>1</v>
          </cell>
          <cell r="H879">
            <v>5</v>
          </cell>
          <cell r="I879">
            <v>7</v>
          </cell>
          <cell r="M879" t="str">
            <v>&gt;&gt;</v>
          </cell>
          <cell r="N879" t="str">
            <v>Kamrul Hasan Hridoy</v>
          </cell>
          <cell r="O879" t="str">
            <v>FSC-1</v>
          </cell>
          <cell r="P879" t="str">
            <v>Sarkariyans-Burners</v>
          </cell>
          <cell r="Q879">
            <v>1</v>
          </cell>
          <cell r="R879">
            <v>143</v>
          </cell>
          <cell r="U879">
            <v>42248</v>
          </cell>
        </row>
        <row r="880">
          <cell r="B880" t="str">
            <v>Pritom</v>
          </cell>
          <cell r="C880">
            <v>4</v>
          </cell>
          <cell r="D880">
            <v>86</v>
          </cell>
          <cell r="E880">
            <v>5</v>
          </cell>
          <cell r="F880">
            <v>6</v>
          </cell>
          <cell r="G880">
            <v>0</v>
          </cell>
          <cell r="H880">
            <v>4</v>
          </cell>
          <cell r="I880">
            <v>5</v>
          </cell>
          <cell r="M880" t="str">
            <v>&gt;&gt;</v>
          </cell>
          <cell r="N880" t="str">
            <v>Sanju Pritom</v>
          </cell>
          <cell r="O880" t="str">
            <v>FSC-1</v>
          </cell>
          <cell r="P880" t="str">
            <v>Sarkariyans-Burners</v>
          </cell>
          <cell r="Q880">
            <v>1</v>
          </cell>
          <cell r="R880">
            <v>143</v>
          </cell>
          <cell r="U880">
            <v>42248</v>
          </cell>
        </row>
        <row r="881">
          <cell r="B881" t="str">
            <v>Mridul</v>
          </cell>
          <cell r="C881">
            <v>4</v>
          </cell>
          <cell r="D881">
            <v>15</v>
          </cell>
          <cell r="E881">
            <v>1</v>
          </cell>
          <cell r="F881">
            <v>4</v>
          </cell>
          <cell r="G881">
            <v>0</v>
          </cell>
          <cell r="H881">
            <v>1</v>
          </cell>
          <cell r="I881">
            <v>1</v>
          </cell>
          <cell r="M881" t="str">
            <v>&gt;&gt;</v>
          </cell>
          <cell r="N881" t="str">
            <v>Mridul Haque</v>
          </cell>
          <cell r="O881" t="str">
            <v>FSC-1</v>
          </cell>
          <cell r="P881" t="str">
            <v>Sarkariyans-Burners</v>
          </cell>
          <cell r="Q881">
            <v>1</v>
          </cell>
          <cell r="R881">
            <v>143</v>
          </cell>
          <cell r="U881">
            <v>42248</v>
          </cell>
        </row>
        <row r="882">
          <cell r="B882" t="str">
            <v>Taskiniyans-Runners</v>
          </cell>
          <cell r="M882" t="str">
            <v>&gt;&gt;</v>
          </cell>
          <cell r="N882" t="str">
            <v/>
          </cell>
          <cell r="O882" t="str">
            <v>FSC-1</v>
          </cell>
          <cell r="P882" t="str">
            <v>Taskiniyans-Runners</v>
          </cell>
          <cell r="Q882">
            <v>1</v>
          </cell>
          <cell r="R882">
            <v>144</v>
          </cell>
          <cell r="T882" t="str">
            <v>CHAMP</v>
          </cell>
          <cell r="U882">
            <v>42248</v>
          </cell>
        </row>
        <row r="883">
          <cell r="B883" t="str">
            <v>Tutul</v>
          </cell>
          <cell r="C883">
            <v>4</v>
          </cell>
          <cell r="D883">
            <v>11</v>
          </cell>
          <cell r="E883">
            <v>12</v>
          </cell>
          <cell r="F883">
            <v>2</v>
          </cell>
          <cell r="G883">
            <v>1</v>
          </cell>
          <cell r="H883">
            <v>1</v>
          </cell>
          <cell r="I883">
            <v>1</v>
          </cell>
          <cell r="M883" t="str">
            <v>&gt;&gt;</v>
          </cell>
          <cell r="N883" t="str">
            <v>Kamrul Hasan Tutul</v>
          </cell>
          <cell r="O883" t="str">
            <v>FSC-1</v>
          </cell>
          <cell r="P883" t="str">
            <v>Taskiniyans-Runners</v>
          </cell>
          <cell r="Q883">
            <v>1</v>
          </cell>
          <cell r="R883">
            <v>144</v>
          </cell>
          <cell r="T883" t="str">
            <v>CHAMP</v>
          </cell>
          <cell r="U883">
            <v>42248</v>
          </cell>
          <cell r="W883">
            <v>1</v>
          </cell>
        </row>
        <row r="884">
          <cell r="B884" t="str">
            <v>Tonmoy</v>
          </cell>
          <cell r="C884">
            <v>5</v>
          </cell>
          <cell r="D884">
            <v>65</v>
          </cell>
          <cell r="E884">
            <v>8</v>
          </cell>
          <cell r="F884">
            <v>3</v>
          </cell>
          <cell r="G884">
            <v>0</v>
          </cell>
          <cell r="H884">
            <v>2</v>
          </cell>
          <cell r="I884">
            <v>5</v>
          </cell>
          <cell r="M884" t="str">
            <v>&gt;&gt;</v>
          </cell>
          <cell r="N884" t="str">
            <v>Asik Hassan Tonmoy</v>
          </cell>
          <cell r="O884" t="str">
            <v>FSC-1</v>
          </cell>
          <cell r="P884" t="str">
            <v>Taskiniyans-Runners</v>
          </cell>
          <cell r="Q884">
            <v>1</v>
          </cell>
          <cell r="R884">
            <v>144</v>
          </cell>
          <cell r="T884" t="str">
            <v>CHAMP</v>
          </cell>
          <cell r="U884">
            <v>42248</v>
          </cell>
        </row>
        <row r="885">
          <cell r="B885" t="str">
            <v>Mijan</v>
          </cell>
          <cell r="C885">
            <v>5</v>
          </cell>
          <cell r="D885">
            <v>60</v>
          </cell>
          <cell r="E885">
            <v>8</v>
          </cell>
          <cell r="F885">
            <v>3</v>
          </cell>
          <cell r="G885">
            <v>2</v>
          </cell>
          <cell r="H885">
            <v>5</v>
          </cell>
          <cell r="I885">
            <v>4</v>
          </cell>
          <cell r="M885" t="str">
            <v>&gt;&gt;</v>
          </cell>
          <cell r="N885" t="str">
            <v>Noushed Mijan</v>
          </cell>
          <cell r="O885" t="str">
            <v>FSC-1</v>
          </cell>
          <cell r="P885" t="str">
            <v>Taskiniyans-Runners</v>
          </cell>
          <cell r="Q885">
            <v>1</v>
          </cell>
          <cell r="R885">
            <v>144</v>
          </cell>
          <cell r="T885" t="str">
            <v>CHAMP</v>
          </cell>
          <cell r="U885">
            <v>42248</v>
          </cell>
        </row>
        <row r="886">
          <cell r="B886" t="str">
            <v>Faruque</v>
          </cell>
          <cell r="C886">
            <v>5</v>
          </cell>
          <cell r="D886">
            <v>126</v>
          </cell>
          <cell r="E886">
            <v>1</v>
          </cell>
          <cell r="F886">
            <v>6</v>
          </cell>
          <cell r="G886">
            <v>2</v>
          </cell>
          <cell r="H886">
            <v>9</v>
          </cell>
          <cell r="I886">
            <v>7</v>
          </cell>
          <cell r="M886" t="str">
            <v>&gt;&gt;</v>
          </cell>
          <cell r="N886" t="str">
            <v>Mohammad Faruque</v>
          </cell>
          <cell r="O886" t="str">
            <v>FSC-1</v>
          </cell>
          <cell r="P886" t="str">
            <v>Taskiniyans-Runners</v>
          </cell>
          <cell r="Q886">
            <v>1</v>
          </cell>
          <cell r="R886">
            <v>144</v>
          </cell>
          <cell r="S886" t="str">
            <v>CPOT</v>
          </cell>
          <cell r="T886" t="str">
            <v>CHAMP</v>
          </cell>
          <cell r="U886">
            <v>42248</v>
          </cell>
          <cell r="V886">
            <v>1</v>
          </cell>
        </row>
        <row r="887">
          <cell r="B887" t="str">
            <v>Mushfiqiyans-Gunners</v>
          </cell>
          <cell r="M887" t="str">
            <v>&gt;&gt;</v>
          </cell>
          <cell r="N887" t="str">
            <v/>
          </cell>
          <cell r="O887" t="str">
            <v>FSC-1</v>
          </cell>
          <cell r="P887" t="str">
            <v>Mushfiqiyans-Gunners</v>
          </cell>
          <cell r="Q887">
            <v>1</v>
          </cell>
          <cell r="R887">
            <v>145</v>
          </cell>
          <cell r="U887">
            <v>42248</v>
          </cell>
        </row>
        <row r="888">
          <cell r="B888" t="str">
            <v>Towkir</v>
          </cell>
          <cell r="C888">
            <v>2</v>
          </cell>
          <cell r="D888">
            <v>21</v>
          </cell>
          <cell r="E888">
            <v>1</v>
          </cell>
          <cell r="F888">
            <v>1</v>
          </cell>
          <cell r="G888">
            <v>0</v>
          </cell>
          <cell r="H888">
            <v>3</v>
          </cell>
          <cell r="I888">
            <v>1</v>
          </cell>
          <cell r="M888" t="str">
            <v>&gt;&gt;</v>
          </cell>
          <cell r="N888" t="str">
            <v>Towkir Ahmed Siddique</v>
          </cell>
          <cell r="O888" t="str">
            <v>FSC-1</v>
          </cell>
          <cell r="P888" t="str">
            <v>Mushfiqiyans-Gunners</v>
          </cell>
          <cell r="Q888">
            <v>1</v>
          </cell>
          <cell r="R888">
            <v>145</v>
          </cell>
          <cell r="U888">
            <v>42248</v>
          </cell>
        </row>
        <row r="889">
          <cell r="B889" t="str">
            <v>Shishir</v>
          </cell>
          <cell r="C889">
            <v>2</v>
          </cell>
          <cell r="D889">
            <v>47</v>
          </cell>
          <cell r="E889">
            <v>2</v>
          </cell>
          <cell r="F889">
            <v>4</v>
          </cell>
          <cell r="G889">
            <v>1</v>
          </cell>
          <cell r="H889">
            <v>5</v>
          </cell>
          <cell r="I889">
            <v>2</v>
          </cell>
          <cell r="M889" t="str">
            <v>&gt;&gt;</v>
          </cell>
          <cell r="N889" t="str">
            <v>ShiShir Hossain</v>
          </cell>
          <cell r="O889" t="str">
            <v>FSC-1</v>
          </cell>
          <cell r="P889" t="str">
            <v>Mushfiqiyans-Gunners</v>
          </cell>
          <cell r="Q889">
            <v>1</v>
          </cell>
          <cell r="R889">
            <v>145</v>
          </cell>
          <cell r="U889">
            <v>42248</v>
          </cell>
        </row>
        <row r="890">
          <cell r="B890" t="str">
            <v>Shamim</v>
          </cell>
          <cell r="C890">
            <v>2</v>
          </cell>
          <cell r="D890">
            <v>28</v>
          </cell>
          <cell r="E890">
            <v>1</v>
          </cell>
          <cell r="F890">
            <v>2</v>
          </cell>
          <cell r="G890">
            <v>0</v>
          </cell>
          <cell r="H890">
            <v>4</v>
          </cell>
          <cell r="I890">
            <v>2</v>
          </cell>
          <cell r="M890" t="str">
            <v>&gt;&gt;</v>
          </cell>
          <cell r="N890" t="str">
            <v>SH Shamim</v>
          </cell>
          <cell r="O890" t="str">
            <v>FSC-1</v>
          </cell>
          <cell r="P890" t="str">
            <v>Mushfiqiyans-Gunners</v>
          </cell>
          <cell r="Q890">
            <v>1</v>
          </cell>
          <cell r="R890">
            <v>145</v>
          </cell>
          <cell r="U890">
            <v>42248</v>
          </cell>
        </row>
        <row r="891">
          <cell r="B891" t="str">
            <v>Saaj</v>
          </cell>
          <cell r="C891">
            <v>2</v>
          </cell>
          <cell r="D891">
            <v>4</v>
          </cell>
          <cell r="E891">
            <v>1</v>
          </cell>
          <cell r="F891">
            <v>2</v>
          </cell>
          <cell r="G891">
            <v>0</v>
          </cell>
          <cell r="H891">
            <v>0</v>
          </cell>
          <cell r="I891">
            <v>0</v>
          </cell>
          <cell r="M891" t="str">
            <v>&gt;&gt;</v>
          </cell>
          <cell r="N891" t="str">
            <v>AB Saaj</v>
          </cell>
          <cell r="O891" t="str">
            <v>FSC-1</v>
          </cell>
          <cell r="P891" t="str">
            <v>Mushfiqiyans-Gunners</v>
          </cell>
          <cell r="Q891">
            <v>1</v>
          </cell>
          <cell r="R891">
            <v>145</v>
          </cell>
          <cell r="U891">
            <v>42248</v>
          </cell>
        </row>
        <row r="892">
          <cell r="B892" t="str">
            <v>Mashrafiyans-Riders</v>
          </cell>
          <cell r="M892" t="str">
            <v>&gt;&gt;</v>
          </cell>
          <cell r="N892" t="str">
            <v/>
          </cell>
          <cell r="O892" t="str">
            <v>FSC-1</v>
          </cell>
          <cell r="P892" t="str">
            <v>Mashrafiyans-Riders</v>
          </cell>
          <cell r="Q892">
            <v>1</v>
          </cell>
          <cell r="R892">
            <v>146</v>
          </cell>
          <cell r="U892">
            <v>42248</v>
          </cell>
        </row>
        <row r="893">
          <cell r="B893" t="str">
            <v>Pranto</v>
          </cell>
          <cell r="C893">
            <v>2</v>
          </cell>
          <cell r="D893">
            <v>27</v>
          </cell>
          <cell r="E893">
            <v>2</v>
          </cell>
          <cell r="F893">
            <v>1</v>
          </cell>
          <cell r="G893">
            <v>0</v>
          </cell>
          <cell r="H893">
            <v>3</v>
          </cell>
          <cell r="I893">
            <v>1</v>
          </cell>
          <cell r="M893" t="str">
            <v>&gt;&gt;</v>
          </cell>
          <cell r="N893" t="str">
            <v>Bandhon Podder Pranto</v>
          </cell>
          <cell r="O893" t="str">
            <v>FSC-1</v>
          </cell>
          <cell r="P893" t="str">
            <v>Mashrafiyans-Riders</v>
          </cell>
          <cell r="Q893">
            <v>1</v>
          </cell>
          <cell r="R893">
            <v>146</v>
          </cell>
          <cell r="U893">
            <v>42248</v>
          </cell>
        </row>
        <row r="894">
          <cell r="B894" t="str">
            <v>Sabbir</v>
          </cell>
          <cell r="C894">
            <v>2</v>
          </cell>
          <cell r="D894">
            <v>6</v>
          </cell>
          <cell r="E894">
            <v>2</v>
          </cell>
          <cell r="F894">
            <v>1</v>
          </cell>
          <cell r="G894">
            <v>0</v>
          </cell>
          <cell r="H894">
            <v>0</v>
          </cell>
          <cell r="I894">
            <v>1</v>
          </cell>
          <cell r="M894" t="str">
            <v>&gt;&gt;</v>
          </cell>
          <cell r="N894" t="str">
            <v>Sabbir Ahmed</v>
          </cell>
          <cell r="O894" t="str">
            <v>FSC-1</v>
          </cell>
          <cell r="P894" t="str">
            <v>Mashrafiyans-Riders</v>
          </cell>
          <cell r="Q894">
            <v>1</v>
          </cell>
          <cell r="R894">
            <v>146</v>
          </cell>
          <cell r="U894">
            <v>42248</v>
          </cell>
        </row>
        <row r="895">
          <cell r="B895" t="str">
            <v>Himel</v>
          </cell>
          <cell r="C895">
            <v>2</v>
          </cell>
          <cell r="D895">
            <v>96</v>
          </cell>
          <cell r="E895">
            <v>1</v>
          </cell>
          <cell r="F895">
            <v>2</v>
          </cell>
          <cell r="G895">
            <v>1</v>
          </cell>
          <cell r="H895">
            <v>8</v>
          </cell>
          <cell r="I895">
            <v>6</v>
          </cell>
          <cell r="M895" t="str">
            <v>&gt;&gt;</v>
          </cell>
          <cell r="N895" t="str">
            <v>Hj Himel</v>
          </cell>
          <cell r="O895" t="str">
            <v>FSC-1</v>
          </cell>
          <cell r="P895" t="str">
            <v>Mashrafiyans-Riders</v>
          </cell>
          <cell r="Q895">
            <v>1</v>
          </cell>
          <cell r="R895">
            <v>146</v>
          </cell>
          <cell r="U895">
            <v>42248</v>
          </cell>
        </row>
        <row r="896">
          <cell r="B896" t="str">
            <v>Mithu</v>
          </cell>
          <cell r="C896">
            <v>2</v>
          </cell>
          <cell r="D896">
            <v>16</v>
          </cell>
          <cell r="E896">
            <v>5</v>
          </cell>
          <cell r="F896">
            <v>1</v>
          </cell>
          <cell r="G896">
            <v>0</v>
          </cell>
          <cell r="H896">
            <v>2</v>
          </cell>
          <cell r="I896">
            <v>1</v>
          </cell>
          <cell r="M896" t="str">
            <v>&gt;&gt;</v>
          </cell>
          <cell r="N896" t="str">
            <v>Mostafizur Rahman Mithu</v>
          </cell>
          <cell r="O896" t="str">
            <v>FSC-1</v>
          </cell>
          <cell r="P896" t="str">
            <v>Mashrafiyans-Riders</v>
          </cell>
          <cell r="Q896">
            <v>1</v>
          </cell>
          <cell r="R896">
            <v>146</v>
          </cell>
          <cell r="U896">
            <v>42248</v>
          </cell>
        </row>
        <row r="897">
          <cell r="B897" t="str">
            <v>Rubeliyans-Gangs</v>
          </cell>
          <cell r="M897" t="str">
            <v>&gt;&gt;</v>
          </cell>
          <cell r="N897" t="str">
            <v/>
          </cell>
          <cell r="O897" t="str">
            <v>FSC-1</v>
          </cell>
          <cell r="P897" t="str">
            <v>Rubeliyans-Gangs</v>
          </cell>
          <cell r="Q897">
            <v>1</v>
          </cell>
          <cell r="R897">
            <v>147</v>
          </cell>
          <cell r="U897">
            <v>42248</v>
          </cell>
        </row>
        <row r="898">
          <cell r="B898" t="str">
            <v>Sahed</v>
          </cell>
          <cell r="C898">
            <v>3</v>
          </cell>
          <cell r="D898">
            <v>22</v>
          </cell>
          <cell r="E898">
            <v>1</v>
          </cell>
          <cell r="F898">
            <v>3</v>
          </cell>
          <cell r="G898">
            <v>0</v>
          </cell>
          <cell r="H898">
            <v>2</v>
          </cell>
          <cell r="I898">
            <v>2</v>
          </cell>
          <cell r="M898" t="str">
            <v>&gt;&gt;</v>
          </cell>
          <cell r="N898" t="str">
            <v>Sahed Hossain Masum</v>
          </cell>
          <cell r="O898" t="str">
            <v>FSC-1</v>
          </cell>
          <cell r="P898" t="str">
            <v>Rubeliyans-Gangs</v>
          </cell>
          <cell r="Q898">
            <v>1</v>
          </cell>
          <cell r="R898">
            <v>147</v>
          </cell>
          <cell r="U898">
            <v>42248</v>
          </cell>
        </row>
        <row r="899">
          <cell r="B899" t="str">
            <v>Kamil</v>
          </cell>
          <cell r="C899">
            <v>4</v>
          </cell>
          <cell r="D899">
            <v>99</v>
          </cell>
          <cell r="E899">
            <v>2</v>
          </cell>
          <cell r="F899">
            <v>7</v>
          </cell>
          <cell r="G899">
            <v>1</v>
          </cell>
          <cell r="H899">
            <v>6</v>
          </cell>
          <cell r="I899">
            <v>4</v>
          </cell>
          <cell r="M899" t="str">
            <v>&gt;&gt;</v>
          </cell>
          <cell r="N899" t="str">
            <v>Kamil Ahmed</v>
          </cell>
          <cell r="O899" t="str">
            <v>FSC-1</v>
          </cell>
          <cell r="P899" t="str">
            <v>Rubeliyans-Gangs</v>
          </cell>
          <cell r="Q899">
            <v>1</v>
          </cell>
          <cell r="R899">
            <v>147</v>
          </cell>
          <cell r="U899">
            <v>42248</v>
          </cell>
        </row>
        <row r="900">
          <cell r="B900" t="str">
            <v>Zohir</v>
          </cell>
          <cell r="C900">
            <v>4</v>
          </cell>
          <cell r="D900">
            <v>116</v>
          </cell>
          <cell r="E900">
            <v>2</v>
          </cell>
          <cell r="F900">
            <v>7</v>
          </cell>
          <cell r="G900">
            <v>1</v>
          </cell>
          <cell r="H900">
            <v>10</v>
          </cell>
          <cell r="I900">
            <v>11</v>
          </cell>
          <cell r="M900" t="str">
            <v>&gt;&gt;</v>
          </cell>
          <cell r="N900" t="str">
            <v>Zi Zohir</v>
          </cell>
          <cell r="O900" t="str">
            <v>FSC-1</v>
          </cell>
          <cell r="P900" t="str">
            <v>Rubeliyans-Gangs</v>
          </cell>
          <cell r="Q900">
            <v>1</v>
          </cell>
          <cell r="R900">
            <v>147</v>
          </cell>
          <cell r="U900">
            <v>42248</v>
          </cell>
        </row>
        <row r="901">
          <cell r="B901" t="str">
            <v>Ruhin</v>
          </cell>
          <cell r="C901">
            <v>4</v>
          </cell>
          <cell r="D901">
            <v>44</v>
          </cell>
          <cell r="E901">
            <v>7</v>
          </cell>
          <cell r="F901">
            <v>4</v>
          </cell>
          <cell r="G901">
            <v>1</v>
          </cell>
          <cell r="H901">
            <v>3</v>
          </cell>
          <cell r="I901">
            <v>2</v>
          </cell>
          <cell r="M901" t="str">
            <v>&gt;&gt;</v>
          </cell>
          <cell r="N901" t="str">
            <v>Md. Ruhin</v>
          </cell>
          <cell r="O901" t="str">
            <v>FSC-1</v>
          </cell>
          <cell r="P901" t="str">
            <v>Rubeliyans-Gangs</v>
          </cell>
          <cell r="Q901">
            <v>1</v>
          </cell>
          <cell r="R901">
            <v>147</v>
          </cell>
          <cell r="U901">
            <v>42248</v>
          </cell>
        </row>
        <row r="902">
          <cell r="B902" t="str">
            <v>Riyadiyans-Rollers</v>
          </cell>
          <cell r="M902" t="str">
            <v>&gt;&gt;</v>
          </cell>
          <cell r="N902" t="str">
            <v/>
          </cell>
          <cell r="O902" t="str">
            <v>FSC-1</v>
          </cell>
          <cell r="P902" t="str">
            <v>Riyadiyans-Rollers</v>
          </cell>
          <cell r="Q902">
            <v>1</v>
          </cell>
          <cell r="R902">
            <v>148</v>
          </cell>
          <cell r="U902">
            <v>42248</v>
          </cell>
        </row>
        <row r="903">
          <cell r="B903" t="str">
            <v>Tofayel</v>
          </cell>
          <cell r="C903">
            <v>1</v>
          </cell>
          <cell r="D903">
            <v>13</v>
          </cell>
          <cell r="E903">
            <v>1</v>
          </cell>
          <cell r="F903">
            <v>2</v>
          </cell>
          <cell r="G903">
            <v>0</v>
          </cell>
          <cell r="H903">
            <v>1</v>
          </cell>
          <cell r="I903">
            <v>1</v>
          </cell>
          <cell r="M903" t="str">
            <v>&gt;&gt;</v>
          </cell>
          <cell r="N903" t="str">
            <v>MD Tofayel Ahmed</v>
          </cell>
          <cell r="O903" t="str">
            <v>FSC-1</v>
          </cell>
          <cell r="P903" t="str">
            <v>Riyadiyans-Rollers</v>
          </cell>
          <cell r="Q903">
            <v>1</v>
          </cell>
          <cell r="R903">
            <v>148</v>
          </cell>
          <cell r="U903">
            <v>42248</v>
          </cell>
        </row>
        <row r="904">
          <cell r="B904" t="str">
            <v>Jhony</v>
          </cell>
          <cell r="C904">
            <v>1</v>
          </cell>
          <cell r="D904">
            <v>4</v>
          </cell>
          <cell r="E904">
            <v>0</v>
          </cell>
          <cell r="F904">
            <v>2</v>
          </cell>
          <cell r="G904">
            <v>0</v>
          </cell>
          <cell r="H904">
            <v>1</v>
          </cell>
          <cell r="I904">
            <v>0</v>
          </cell>
          <cell r="M904" t="str">
            <v>&gt;&gt;</v>
          </cell>
          <cell r="N904" t="str">
            <v>Faisal Ahmed Jhony</v>
          </cell>
          <cell r="O904" t="str">
            <v>FSC-1</v>
          </cell>
          <cell r="P904" t="str">
            <v>Riyadiyans-Rollers</v>
          </cell>
          <cell r="Q904">
            <v>1</v>
          </cell>
          <cell r="R904">
            <v>148</v>
          </cell>
          <cell r="U904">
            <v>42248</v>
          </cell>
        </row>
        <row r="905">
          <cell r="B905" t="str">
            <v>Faisal</v>
          </cell>
          <cell r="C905">
            <v>1</v>
          </cell>
          <cell r="D905">
            <v>37</v>
          </cell>
          <cell r="E905">
            <v>1</v>
          </cell>
          <cell r="F905">
            <v>2</v>
          </cell>
          <cell r="G905">
            <v>0</v>
          </cell>
          <cell r="H905">
            <v>2</v>
          </cell>
          <cell r="I905">
            <v>4</v>
          </cell>
          <cell r="M905" t="str">
            <v>&gt;&gt;</v>
          </cell>
          <cell r="N905" t="str">
            <v>Red Heart Faisal (Fayze Ahamed)</v>
          </cell>
          <cell r="O905" t="str">
            <v>FSC-1</v>
          </cell>
          <cell r="P905" t="str">
            <v>Riyadiyans-Rollers</v>
          </cell>
          <cell r="Q905">
            <v>1</v>
          </cell>
          <cell r="R905">
            <v>148</v>
          </cell>
          <cell r="U905">
            <v>42248</v>
          </cell>
        </row>
        <row r="906">
          <cell r="B906" t="str">
            <v>Rashed</v>
          </cell>
          <cell r="C906">
            <v>1</v>
          </cell>
          <cell r="D906">
            <v>0</v>
          </cell>
          <cell r="E906">
            <v>1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M906" t="str">
            <v>&gt;&gt;</v>
          </cell>
          <cell r="N906" t="str">
            <v>KM Rashedul Islam Rashed</v>
          </cell>
          <cell r="O906" t="str">
            <v>FSC-1</v>
          </cell>
          <cell r="P906" t="str">
            <v>Riyadiyans-Rollers</v>
          </cell>
          <cell r="Q906">
            <v>1</v>
          </cell>
          <cell r="R906">
            <v>148</v>
          </cell>
          <cell r="U906">
            <v>42248</v>
          </cell>
        </row>
        <row r="907">
          <cell r="B907" t="str">
            <v>Shakibiyans-Kings</v>
          </cell>
          <cell r="M907" t="str">
            <v>&gt;&gt;</v>
          </cell>
          <cell r="N907" t="str">
            <v/>
          </cell>
          <cell r="O907" t="str">
            <v>FSC-1</v>
          </cell>
          <cell r="P907" t="str">
            <v>Shakibiyans-Kings</v>
          </cell>
          <cell r="Q907">
            <v>1</v>
          </cell>
          <cell r="R907">
            <v>149</v>
          </cell>
          <cell r="T907" t="str">
            <v>RU</v>
          </cell>
          <cell r="U907">
            <v>42248</v>
          </cell>
        </row>
        <row r="908">
          <cell r="B908" t="str">
            <v>Roman</v>
          </cell>
          <cell r="C908">
            <v>4</v>
          </cell>
          <cell r="D908">
            <v>81</v>
          </cell>
          <cell r="E908">
            <v>5</v>
          </cell>
          <cell r="F908">
            <v>8</v>
          </cell>
          <cell r="G908">
            <v>1</v>
          </cell>
          <cell r="H908">
            <v>7</v>
          </cell>
          <cell r="I908">
            <v>3</v>
          </cell>
          <cell r="M908" t="str">
            <v>&gt;&gt;</v>
          </cell>
          <cell r="N908" t="str">
            <v>Roman mahamud Arko</v>
          </cell>
          <cell r="O908" t="str">
            <v>FSC-1</v>
          </cell>
          <cell r="P908" t="str">
            <v>Shakibiyans-Kings</v>
          </cell>
          <cell r="Q908">
            <v>1</v>
          </cell>
          <cell r="R908">
            <v>149</v>
          </cell>
          <cell r="T908" t="str">
            <v>RU</v>
          </cell>
          <cell r="U908">
            <v>42248</v>
          </cell>
        </row>
        <row r="909">
          <cell r="B909" t="str">
            <v>Ovi</v>
          </cell>
          <cell r="C909">
            <v>4</v>
          </cell>
          <cell r="D909">
            <v>116</v>
          </cell>
          <cell r="E909">
            <v>6</v>
          </cell>
          <cell r="F909">
            <v>8</v>
          </cell>
          <cell r="G909">
            <v>1</v>
          </cell>
          <cell r="H909">
            <v>17</v>
          </cell>
          <cell r="I909">
            <v>7</v>
          </cell>
          <cell r="M909" t="str">
            <v>&gt;&gt;</v>
          </cell>
          <cell r="N909" t="str">
            <v>Toufiq Ahmed Ovi</v>
          </cell>
          <cell r="O909" t="str">
            <v>FSC-1</v>
          </cell>
          <cell r="P909" t="str">
            <v>Shakibiyans-Kings</v>
          </cell>
          <cell r="Q909">
            <v>1</v>
          </cell>
          <cell r="R909">
            <v>149</v>
          </cell>
          <cell r="S909" t="str">
            <v>MOT</v>
          </cell>
          <cell r="T909" t="str">
            <v>RU</v>
          </cell>
          <cell r="U909">
            <v>42248</v>
          </cell>
        </row>
        <row r="910">
          <cell r="B910" t="str">
            <v>Mullah</v>
          </cell>
          <cell r="C910">
            <v>4</v>
          </cell>
          <cell r="D910">
            <v>40</v>
          </cell>
          <cell r="E910">
            <v>2</v>
          </cell>
          <cell r="F910">
            <v>4</v>
          </cell>
          <cell r="G910">
            <v>0</v>
          </cell>
          <cell r="H910">
            <v>5</v>
          </cell>
          <cell r="I910">
            <v>2</v>
          </cell>
          <cell r="M910" t="str">
            <v>&gt;&gt;</v>
          </cell>
          <cell r="N910" t="str">
            <v>Mohammad Haris Mullah</v>
          </cell>
          <cell r="O910" t="str">
            <v>FSC-1</v>
          </cell>
          <cell r="P910" t="str">
            <v>Shakibiyans-Kings</v>
          </cell>
          <cell r="Q910">
            <v>1</v>
          </cell>
          <cell r="R910">
            <v>149</v>
          </cell>
          <cell r="T910" t="str">
            <v>RU</v>
          </cell>
          <cell r="U910">
            <v>42248</v>
          </cell>
        </row>
        <row r="911">
          <cell r="B911" t="str">
            <v>Shohag</v>
          </cell>
          <cell r="C911">
            <v>1</v>
          </cell>
          <cell r="D911">
            <v>1</v>
          </cell>
          <cell r="E911">
            <v>3</v>
          </cell>
          <cell r="F911">
            <v>1</v>
          </cell>
          <cell r="G911">
            <v>0</v>
          </cell>
          <cell r="H911">
            <v>0</v>
          </cell>
          <cell r="I911">
            <v>0</v>
          </cell>
          <cell r="M911" t="str">
            <v>&gt;&gt;</v>
          </cell>
          <cell r="N911" t="str">
            <v>Hetlar Shohag</v>
          </cell>
          <cell r="O911" t="str">
            <v>FSC-1</v>
          </cell>
          <cell r="P911" t="str">
            <v>Shakibiyans-Kings</v>
          </cell>
          <cell r="Q911">
            <v>1</v>
          </cell>
          <cell r="R911">
            <v>149</v>
          </cell>
          <cell r="T911" t="str">
            <v>RU</v>
          </cell>
          <cell r="U911">
            <v>42248</v>
          </cell>
        </row>
        <row r="912">
          <cell r="B912" t="str">
            <v>Razzakiyans-Fasters</v>
          </cell>
          <cell r="M912" t="str">
            <v>&gt;&gt;</v>
          </cell>
          <cell r="N912" t="str">
            <v/>
          </cell>
          <cell r="O912" t="str">
            <v>FSC-1</v>
          </cell>
          <cell r="P912" t="str">
            <v>Razzakiyans-Fasters</v>
          </cell>
          <cell r="Q912">
            <v>1</v>
          </cell>
          <cell r="R912">
            <v>150</v>
          </cell>
          <cell r="U912">
            <v>42248</v>
          </cell>
        </row>
        <row r="913">
          <cell r="B913" t="str">
            <v>Khokon</v>
          </cell>
          <cell r="C913">
            <v>3</v>
          </cell>
          <cell r="D913">
            <v>73</v>
          </cell>
          <cell r="E913">
            <v>3</v>
          </cell>
          <cell r="F913">
            <v>6</v>
          </cell>
          <cell r="G913">
            <v>1</v>
          </cell>
          <cell r="H913">
            <v>6</v>
          </cell>
          <cell r="I913">
            <v>6</v>
          </cell>
          <cell r="M913" t="str">
            <v>&gt;&gt;</v>
          </cell>
          <cell r="N913" t="str">
            <v>Shahriar Khokon</v>
          </cell>
          <cell r="O913" t="str">
            <v>FSC-1</v>
          </cell>
          <cell r="P913" t="str">
            <v>Razzakiyans-Fasters</v>
          </cell>
          <cell r="Q913">
            <v>1</v>
          </cell>
          <cell r="R913">
            <v>150</v>
          </cell>
          <cell r="U913">
            <v>42248</v>
          </cell>
        </row>
        <row r="914">
          <cell r="B914" t="str">
            <v>Yahya</v>
          </cell>
          <cell r="C914">
            <v>3</v>
          </cell>
          <cell r="D914">
            <v>14</v>
          </cell>
          <cell r="E914">
            <v>1</v>
          </cell>
          <cell r="F914">
            <v>2</v>
          </cell>
          <cell r="G914">
            <v>0</v>
          </cell>
          <cell r="H914">
            <v>2</v>
          </cell>
          <cell r="I914">
            <v>1</v>
          </cell>
          <cell r="M914" t="str">
            <v>&gt;&gt;</v>
          </cell>
          <cell r="N914" t="str">
            <v>Yahya Riyad</v>
          </cell>
          <cell r="O914" t="str">
            <v>FSC-1</v>
          </cell>
          <cell r="P914" t="str">
            <v>Razzakiyans-Fasters</v>
          </cell>
          <cell r="Q914">
            <v>1</v>
          </cell>
          <cell r="R914">
            <v>150</v>
          </cell>
          <cell r="U914">
            <v>42248</v>
          </cell>
        </row>
        <row r="915">
          <cell r="B915" t="str">
            <v>Akash</v>
          </cell>
          <cell r="C915">
            <v>3</v>
          </cell>
          <cell r="D915">
            <v>40</v>
          </cell>
          <cell r="E915">
            <v>4</v>
          </cell>
          <cell r="F915">
            <v>5</v>
          </cell>
          <cell r="G915">
            <v>0</v>
          </cell>
          <cell r="H915">
            <v>3</v>
          </cell>
          <cell r="I915">
            <v>1</v>
          </cell>
          <cell r="M915" t="str">
            <v>&gt;&gt;</v>
          </cell>
          <cell r="N915" t="str">
            <v>Mahbubur Rahman Akash</v>
          </cell>
          <cell r="O915" t="str">
            <v>FSC-1</v>
          </cell>
          <cell r="P915" t="str">
            <v>Razzakiyans-Fasters</v>
          </cell>
          <cell r="Q915">
            <v>1</v>
          </cell>
          <cell r="R915">
            <v>150</v>
          </cell>
          <cell r="U915">
            <v>42248</v>
          </cell>
        </row>
        <row r="916">
          <cell r="B916" t="str">
            <v>Manik</v>
          </cell>
          <cell r="C916">
            <v>3</v>
          </cell>
          <cell r="D916">
            <v>60</v>
          </cell>
          <cell r="E916">
            <v>3</v>
          </cell>
          <cell r="F916">
            <v>5</v>
          </cell>
          <cell r="G916">
            <v>0</v>
          </cell>
          <cell r="H916">
            <v>3</v>
          </cell>
          <cell r="I916">
            <v>4</v>
          </cell>
          <cell r="M916" t="str">
            <v>&gt;&gt;</v>
          </cell>
          <cell r="N916" t="str">
            <v>GM Manik</v>
          </cell>
          <cell r="O916" t="str">
            <v>FSC-1</v>
          </cell>
          <cell r="P916" t="str">
            <v>Razzakiyans-Fasters</v>
          </cell>
          <cell r="Q916">
            <v>1</v>
          </cell>
          <cell r="R916">
            <v>150</v>
          </cell>
          <cell r="U916">
            <v>42248</v>
          </cell>
        </row>
        <row r="917">
          <cell r="B917" t="str">
            <v>Nasiriyans-Lovers</v>
          </cell>
          <cell r="M917" t="str">
            <v>&gt;&gt;</v>
          </cell>
          <cell r="N917" t="str">
            <v/>
          </cell>
          <cell r="O917" t="str">
            <v>FSC-1</v>
          </cell>
          <cell r="P917" t="str">
            <v>Nasiriyans-Lovers</v>
          </cell>
          <cell r="Q917">
            <v>1</v>
          </cell>
          <cell r="R917">
            <v>151</v>
          </cell>
          <cell r="U917">
            <v>42248</v>
          </cell>
        </row>
        <row r="918">
          <cell r="B918" t="str">
            <v>Nur</v>
          </cell>
          <cell r="C918">
            <v>1</v>
          </cell>
          <cell r="D918">
            <v>18</v>
          </cell>
          <cell r="E918">
            <v>2</v>
          </cell>
          <cell r="F918">
            <v>1</v>
          </cell>
          <cell r="G918">
            <v>0</v>
          </cell>
          <cell r="H918">
            <v>3</v>
          </cell>
          <cell r="I918">
            <v>1</v>
          </cell>
          <cell r="M918" t="str">
            <v>&gt;&gt;</v>
          </cell>
          <cell r="N918" t="str">
            <v>Nur Muhammad</v>
          </cell>
          <cell r="O918" t="str">
            <v>FSC-1</v>
          </cell>
          <cell r="P918" t="str">
            <v>Nasiriyans-Lovers</v>
          </cell>
          <cell r="Q918">
            <v>1</v>
          </cell>
          <cell r="R918">
            <v>151</v>
          </cell>
          <cell r="U918">
            <v>42248</v>
          </cell>
        </row>
        <row r="919">
          <cell r="B919" t="str">
            <v>Rexx</v>
          </cell>
          <cell r="C919">
            <v>1</v>
          </cell>
          <cell r="D919">
            <v>3</v>
          </cell>
          <cell r="E919">
            <v>1</v>
          </cell>
          <cell r="F919">
            <v>1</v>
          </cell>
          <cell r="G919">
            <v>0</v>
          </cell>
          <cell r="H919">
            <v>0</v>
          </cell>
          <cell r="I919">
            <v>0</v>
          </cell>
          <cell r="M919" t="str">
            <v>&gt;&gt;</v>
          </cell>
          <cell r="N919" t="str">
            <v>Bishwajit Sarkar</v>
          </cell>
          <cell r="O919" t="str">
            <v>FSC-1</v>
          </cell>
          <cell r="P919" t="str">
            <v>Nasiriyans-Lovers</v>
          </cell>
          <cell r="Q919">
            <v>1</v>
          </cell>
          <cell r="R919">
            <v>151</v>
          </cell>
          <cell r="U919">
            <v>42248</v>
          </cell>
        </row>
        <row r="920">
          <cell r="B920" t="str">
            <v>Ab Mamun</v>
          </cell>
          <cell r="C920">
            <v>1</v>
          </cell>
          <cell r="D920">
            <v>51</v>
          </cell>
          <cell r="E920">
            <v>1</v>
          </cell>
          <cell r="F920">
            <v>2</v>
          </cell>
          <cell r="G920">
            <v>1</v>
          </cell>
          <cell r="H920">
            <v>5</v>
          </cell>
          <cell r="I920">
            <v>2</v>
          </cell>
          <cell r="M920" t="str">
            <v>&gt;&gt;</v>
          </cell>
          <cell r="N920" t="str">
            <v>Abdullah Al Mamun</v>
          </cell>
          <cell r="O920" t="str">
            <v>FSC-1</v>
          </cell>
          <cell r="P920" t="str">
            <v>Nasiriyans-Lovers</v>
          </cell>
          <cell r="Q920">
            <v>1</v>
          </cell>
          <cell r="R920">
            <v>151</v>
          </cell>
          <cell r="U920">
            <v>42248</v>
          </cell>
        </row>
        <row r="921">
          <cell r="B921" t="str">
            <v>Tarek</v>
          </cell>
          <cell r="C921">
            <v>1</v>
          </cell>
          <cell r="D921">
            <v>0</v>
          </cell>
          <cell r="E921">
            <v>2</v>
          </cell>
          <cell r="F921">
            <v>1</v>
          </cell>
          <cell r="G921">
            <v>0</v>
          </cell>
          <cell r="H921">
            <v>0</v>
          </cell>
          <cell r="I921">
            <v>0</v>
          </cell>
          <cell r="M921" t="str">
            <v>&gt;&gt;</v>
          </cell>
          <cell r="N921" t="str">
            <v>Prince Tarek</v>
          </cell>
          <cell r="O921" t="str">
            <v>FSC-1</v>
          </cell>
          <cell r="P921" t="str">
            <v>Nasiriyans-Lovers</v>
          </cell>
          <cell r="Q921">
            <v>1</v>
          </cell>
          <cell r="R921">
            <v>151</v>
          </cell>
          <cell r="U921">
            <v>42248</v>
          </cell>
        </row>
        <row r="922">
          <cell r="B922" t="str">
            <v>→→ #ঢাকা নাইট রাইডার্স</v>
          </cell>
          <cell r="M922" t="str">
            <v>&gt;&gt;</v>
          </cell>
          <cell r="N922" t="str">
            <v/>
          </cell>
          <cell r="O922" t="str">
            <v>NFCL-3</v>
          </cell>
          <cell r="P922" t="str">
            <v xml:space="preserve"> ঢাকা নাইট রাইডার্স</v>
          </cell>
          <cell r="Q922">
            <v>1</v>
          </cell>
          <cell r="R922">
            <v>152</v>
          </cell>
          <cell r="U922">
            <v>42401</v>
          </cell>
        </row>
        <row r="923">
          <cell r="B923" t="str">
            <v>Mullah</v>
          </cell>
          <cell r="C923">
            <v>6</v>
          </cell>
          <cell r="D923">
            <v>42</v>
          </cell>
          <cell r="E923">
            <v>5</v>
          </cell>
          <cell r="F923">
            <v>7</v>
          </cell>
          <cell r="G923">
            <v>0</v>
          </cell>
          <cell r="H923">
            <v>5</v>
          </cell>
          <cell r="I923">
            <v>1</v>
          </cell>
          <cell r="M923" t="str">
            <v>&gt;&gt;</v>
          </cell>
          <cell r="N923" t="str">
            <v>Mohammad Haris Mullah</v>
          </cell>
          <cell r="O923" t="str">
            <v>NFCL-3</v>
          </cell>
          <cell r="P923" t="str">
            <v xml:space="preserve"> ঢাকা নাইট রাইডার্স</v>
          </cell>
          <cell r="Q923">
            <v>1</v>
          </cell>
          <cell r="R923">
            <v>152</v>
          </cell>
          <cell r="U923">
            <v>42401</v>
          </cell>
        </row>
        <row r="924">
          <cell r="B924" t="str">
            <v>Roxy</v>
          </cell>
          <cell r="C924">
            <v>5</v>
          </cell>
          <cell r="D924">
            <v>85</v>
          </cell>
          <cell r="E924">
            <v>9</v>
          </cell>
          <cell r="F924">
            <v>7</v>
          </cell>
          <cell r="G924">
            <v>0</v>
          </cell>
          <cell r="H924">
            <v>4</v>
          </cell>
          <cell r="I924">
            <v>2</v>
          </cell>
          <cell r="M924" t="str">
            <v>&gt;&gt;</v>
          </cell>
          <cell r="N924" t="str">
            <v>Obak Roxy</v>
          </cell>
          <cell r="O924" t="str">
            <v>NFCL-3</v>
          </cell>
          <cell r="P924" t="str">
            <v xml:space="preserve"> ঢাকা নাইট রাইডার্স</v>
          </cell>
          <cell r="Q924">
            <v>1</v>
          </cell>
          <cell r="R924">
            <v>152</v>
          </cell>
          <cell r="U924">
            <v>42401</v>
          </cell>
        </row>
        <row r="925">
          <cell r="B925" t="str">
            <v>Jumon</v>
          </cell>
          <cell r="C925">
            <v>5</v>
          </cell>
          <cell r="D925">
            <v>98</v>
          </cell>
          <cell r="E925">
            <v>0</v>
          </cell>
          <cell r="F925">
            <v>8</v>
          </cell>
          <cell r="G925">
            <v>1</v>
          </cell>
          <cell r="H925">
            <v>8</v>
          </cell>
          <cell r="I925">
            <v>4</v>
          </cell>
          <cell r="M925" t="str">
            <v>&gt;&gt;</v>
          </cell>
          <cell r="N925" t="str">
            <v>Foysal Ahmed Jumon</v>
          </cell>
          <cell r="O925" t="str">
            <v>NFCL-3</v>
          </cell>
          <cell r="P925" t="str">
            <v xml:space="preserve"> ঢাকা নাইট রাইডার্স</v>
          </cell>
          <cell r="Q925">
            <v>1</v>
          </cell>
          <cell r="R925">
            <v>152</v>
          </cell>
          <cell r="U925">
            <v>42401</v>
          </cell>
        </row>
        <row r="926">
          <cell r="B926" t="str">
            <v>Rayhan</v>
          </cell>
          <cell r="C926">
            <v>2</v>
          </cell>
          <cell r="D926">
            <v>14</v>
          </cell>
          <cell r="E926">
            <v>1</v>
          </cell>
          <cell r="F926">
            <v>2</v>
          </cell>
          <cell r="G926">
            <v>0</v>
          </cell>
          <cell r="H926">
            <v>1</v>
          </cell>
          <cell r="I926">
            <v>1</v>
          </cell>
          <cell r="M926" t="str">
            <v>&gt;&gt;</v>
          </cell>
          <cell r="N926" t="str">
            <v>Rayhan Rahman</v>
          </cell>
          <cell r="O926" t="str">
            <v>NFCL-3</v>
          </cell>
          <cell r="P926" t="str">
            <v xml:space="preserve"> ঢাকা নাইট রাইডার্স</v>
          </cell>
          <cell r="Q926">
            <v>1</v>
          </cell>
          <cell r="R926">
            <v>152</v>
          </cell>
          <cell r="U926">
            <v>42401</v>
          </cell>
        </row>
        <row r="927">
          <cell r="B927" t="str">
            <v>Sadrul</v>
          </cell>
          <cell r="C927">
            <v>5</v>
          </cell>
          <cell r="D927">
            <v>61</v>
          </cell>
          <cell r="E927">
            <v>4</v>
          </cell>
          <cell r="F927">
            <v>6</v>
          </cell>
          <cell r="G927">
            <v>1</v>
          </cell>
          <cell r="H927">
            <v>3</v>
          </cell>
          <cell r="I927">
            <v>5</v>
          </cell>
          <cell r="M927" t="str">
            <v>&gt;&gt;</v>
          </cell>
          <cell r="N927" t="str">
            <v>Sadrul Anam</v>
          </cell>
          <cell r="O927" t="str">
            <v>NFCL-3</v>
          </cell>
          <cell r="P927" t="str">
            <v xml:space="preserve"> ঢাকা নাইট রাইডার্স</v>
          </cell>
          <cell r="Q927">
            <v>1</v>
          </cell>
          <cell r="R927">
            <v>152</v>
          </cell>
          <cell r="U927">
            <v>42401</v>
          </cell>
        </row>
        <row r="928">
          <cell r="B928" t="str">
            <v>Nur</v>
          </cell>
          <cell r="C928">
            <v>5</v>
          </cell>
          <cell r="D928">
            <v>129</v>
          </cell>
          <cell r="E928">
            <v>7</v>
          </cell>
          <cell r="F928">
            <v>7</v>
          </cell>
          <cell r="G928">
            <v>1</v>
          </cell>
          <cell r="H928">
            <v>13</v>
          </cell>
          <cell r="I928">
            <v>10</v>
          </cell>
          <cell r="M928" t="str">
            <v>&gt;&gt;</v>
          </cell>
          <cell r="N928" t="str">
            <v>Nur Muhammad</v>
          </cell>
          <cell r="O928" t="str">
            <v>NFCL-3</v>
          </cell>
          <cell r="P928" t="str">
            <v xml:space="preserve"> ঢাকা নাইট রাইডার্স</v>
          </cell>
          <cell r="Q928">
            <v>1</v>
          </cell>
          <cell r="R928">
            <v>152</v>
          </cell>
          <cell r="U928">
            <v>42401</v>
          </cell>
        </row>
        <row r="929">
          <cell r="B929" t="str">
            <v>Sagar</v>
          </cell>
          <cell r="C929">
            <v>4</v>
          </cell>
          <cell r="D929">
            <v>56</v>
          </cell>
          <cell r="E929">
            <v>2</v>
          </cell>
          <cell r="F929">
            <v>5</v>
          </cell>
          <cell r="G929">
            <v>0</v>
          </cell>
          <cell r="H929">
            <v>4</v>
          </cell>
          <cell r="I929">
            <v>3</v>
          </cell>
          <cell r="M929" t="str">
            <v>&gt;&gt;</v>
          </cell>
          <cell r="N929" t="str">
            <v>Sajjadul Haque Sagar</v>
          </cell>
          <cell r="O929" t="str">
            <v>NFCL-3</v>
          </cell>
          <cell r="P929" t="str">
            <v xml:space="preserve"> ঢাকা নাইট রাইডার্স</v>
          </cell>
          <cell r="Q929">
            <v>1</v>
          </cell>
          <cell r="R929">
            <v>152</v>
          </cell>
          <cell r="U929">
            <v>42401</v>
          </cell>
        </row>
        <row r="930">
          <cell r="B930" t="str">
            <v>→→ #চিটাগং সানরাইজারর্স</v>
          </cell>
          <cell r="M930" t="str">
            <v>&gt;&gt;</v>
          </cell>
          <cell r="N930" t="str">
            <v/>
          </cell>
          <cell r="O930" t="str">
            <v>NFCL-3</v>
          </cell>
          <cell r="P930" t="str">
            <v xml:space="preserve"> চিটাগং সানরাইজারর্স</v>
          </cell>
          <cell r="Q930">
            <v>1</v>
          </cell>
          <cell r="R930">
            <v>153</v>
          </cell>
          <cell r="T930" t="str">
            <v>RU</v>
          </cell>
          <cell r="U930">
            <v>42401</v>
          </cell>
        </row>
        <row r="931">
          <cell r="B931" t="str">
            <v>Shakil</v>
          </cell>
          <cell r="C931">
            <v>8</v>
          </cell>
          <cell r="D931">
            <v>106</v>
          </cell>
          <cell r="E931">
            <v>11</v>
          </cell>
          <cell r="F931">
            <v>11</v>
          </cell>
          <cell r="G931">
            <v>1</v>
          </cell>
          <cell r="H931">
            <v>8</v>
          </cell>
          <cell r="I931">
            <v>9</v>
          </cell>
          <cell r="J931">
            <v>1</v>
          </cell>
          <cell r="M931" t="str">
            <v>&gt;&gt;</v>
          </cell>
          <cell r="N931" t="str">
            <v>M R Shakil</v>
          </cell>
          <cell r="O931" t="str">
            <v>NFCL-3</v>
          </cell>
          <cell r="P931" t="str">
            <v xml:space="preserve"> চিটাগং সানরাইজারর্স</v>
          </cell>
          <cell r="Q931">
            <v>1</v>
          </cell>
          <cell r="R931">
            <v>153</v>
          </cell>
          <cell r="T931" t="str">
            <v>RU</v>
          </cell>
          <cell r="U931">
            <v>42401</v>
          </cell>
        </row>
        <row r="932">
          <cell r="B932" t="str">
            <v>Akash</v>
          </cell>
          <cell r="C932">
            <v>4</v>
          </cell>
          <cell r="D932">
            <v>12</v>
          </cell>
          <cell r="E932">
            <v>2</v>
          </cell>
          <cell r="F932">
            <v>2</v>
          </cell>
          <cell r="G932">
            <v>0</v>
          </cell>
          <cell r="H932">
            <v>1</v>
          </cell>
          <cell r="I932">
            <v>1</v>
          </cell>
          <cell r="M932" t="str">
            <v>&gt;&gt;</v>
          </cell>
          <cell r="N932" t="str">
            <v>Mahbubur Rahman Akash</v>
          </cell>
          <cell r="O932" t="str">
            <v>NFCL-3</v>
          </cell>
          <cell r="P932" t="str">
            <v xml:space="preserve"> চিটাগং সানরাইজারর্স</v>
          </cell>
          <cell r="Q932">
            <v>1</v>
          </cell>
          <cell r="R932">
            <v>153</v>
          </cell>
          <cell r="T932" t="str">
            <v>RU</v>
          </cell>
          <cell r="U932">
            <v>42401</v>
          </cell>
        </row>
        <row r="933">
          <cell r="B933" t="str">
            <v>Tutul</v>
          </cell>
          <cell r="C933">
            <v>8</v>
          </cell>
          <cell r="D933">
            <v>242</v>
          </cell>
          <cell r="E933">
            <v>11</v>
          </cell>
          <cell r="F933">
            <v>12</v>
          </cell>
          <cell r="G933">
            <v>2</v>
          </cell>
          <cell r="H933">
            <v>23</v>
          </cell>
          <cell r="I933">
            <v>10</v>
          </cell>
          <cell r="M933" t="str">
            <v>&gt;&gt;</v>
          </cell>
          <cell r="N933" t="str">
            <v>Kamrul Hasan Tutul</v>
          </cell>
          <cell r="O933" t="str">
            <v>NFCL-3</v>
          </cell>
          <cell r="P933" t="str">
            <v xml:space="preserve"> চিটাগং সানরাইজারর্স</v>
          </cell>
          <cell r="Q933">
            <v>1</v>
          </cell>
          <cell r="R933">
            <v>153</v>
          </cell>
          <cell r="S933" t="str">
            <v>MOT</v>
          </cell>
          <cell r="T933" t="str">
            <v>RU</v>
          </cell>
          <cell r="U933">
            <v>42401</v>
          </cell>
          <cell r="V933">
            <v>1</v>
          </cell>
        </row>
        <row r="934">
          <cell r="B934" t="str">
            <v>Mijan</v>
          </cell>
          <cell r="C934">
            <v>5</v>
          </cell>
          <cell r="D934">
            <v>61</v>
          </cell>
          <cell r="E934">
            <v>8</v>
          </cell>
          <cell r="F934">
            <v>5</v>
          </cell>
          <cell r="G934">
            <v>0</v>
          </cell>
          <cell r="H934">
            <v>4</v>
          </cell>
          <cell r="I934">
            <v>3</v>
          </cell>
          <cell r="M934" t="str">
            <v>&gt;&gt;</v>
          </cell>
          <cell r="N934" t="str">
            <v>Noushed Mijan</v>
          </cell>
          <cell r="O934" t="str">
            <v>NFCL-3</v>
          </cell>
          <cell r="P934" t="str">
            <v xml:space="preserve"> চিটাগং সানরাইজারর্স</v>
          </cell>
          <cell r="Q934">
            <v>1</v>
          </cell>
          <cell r="R934">
            <v>153</v>
          </cell>
          <cell r="T934" t="str">
            <v>RU</v>
          </cell>
          <cell r="U934">
            <v>42401</v>
          </cell>
        </row>
        <row r="935">
          <cell r="B935" t="str">
            <v>Sumon</v>
          </cell>
          <cell r="C935">
            <v>8</v>
          </cell>
          <cell r="D935">
            <v>97</v>
          </cell>
          <cell r="E935">
            <v>10</v>
          </cell>
          <cell r="F935">
            <v>12</v>
          </cell>
          <cell r="G935">
            <v>1</v>
          </cell>
          <cell r="H935">
            <v>6</v>
          </cell>
          <cell r="I935">
            <v>7</v>
          </cell>
          <cell r="M935" t="str">
            <v>&gt;&gt;</v>
          </cell>
          <cell r="N935" t="str">
            <v>Sumon Ab</v>
          </cell>
          <cell r="O935" t="str">
            <v>NFCL-3</v>
          </cell>
          <cell r="P935" t="str">
            <v xml:space="preserve"> চিটাগং সানরাইজারর্স</v>
          </cell>
          <cell r="Q935">
            <v>1</v>
          </cell>
          <cell r="R935">
            <v>153</v>
          </cell>
          <cell r="T935" t="str">
            <v>RU</v>
          </cell>
          <cell r="U935">
            <v>42401</v>
          </cell>
        </row>
        <row r="936">
          <cell r="B936" t="str">
            <v>Helal</v>
          </cell>
          <cell r="C936">
            <v>7</v>
          </cell>
          <cell r="D936">
            <v>109</v>
          </cell>
          <cell r="E936">
            <v>3</v>
          </cell>
          <cell r="F936">
            <v>7</v>
          </cell>
          <cell r="G936">
            <v>0</v>
          </cell>
          <cell r="H936">
            <v>2</v>
          </cell>
          <cell r="I936">
            <v>7</v>
          </cell>
          <cell r="M936" t="str">
            <v>&gt;&gt;</v>
          </cell>
          <cell r="N936" t="str">
            <v>Sheik Helal Ahmed</v>
          </cell>
          <cell r="O936" t="str">
            <v>NFCL-3</v>
          </cell>
          <cell r="P936" t="str">
            <v xml:space="preserve"> চিটাগং সানরাইজারর্স</v>
          </cell>
          <cell r="Q936">
            <v>1</v>
          </cell>
          <cell r="R936">
            <v>153</v>
          </cell>
          <cell r="T936" t="str">
            <v>RU</v>
          </cell>
          <cell r="U936">
            <v>42401</v>
          </cell>
        </row>
        <row r="937">
          <cell r="B937" t="str">
            <v>→→ #সিলেট বুস্টারর্স</v>
          </cell>
          <cell r="M937" t="str">
            <v>&gt;&gt;</v>
          </cell>
          <cell r="N937" t="str">
            <v/>
          </cell>
          <cell r="O937" t="str">
            <v>NFCL-3</v>
          </cell>
          <cell r="P937" t="str">
            <v xml:space="preserve"> সিলেট বুস্টারর্স</v>
          </cell>
          <cell r="Q937">
            <v>1</v>
          </cell>
          <cell r="R937">
            <v>154</v>
          </cell>
          <cell r="U937">
            <v>42401</v>
          </cell>
        </row>
        <row r="938">
          <cell r="B938" t="str">
            <v>Ruhin</v>
          </cell>
          <cell r="C938">
            <v>5</v>
          </cell>
          <cell r="D938">
            <v>58</v>
          </cell>
          <cell r="E938">
            <v>4</v>
          </cell>
          <cell r="F938">
            <v>4</v>
          </cell>
          <cell r="G938">
            <v>0</v>
          </cell>
          <cell r="H938">
            <v>5</v>
          </cell>
          <cell r="I938">
            <v>2</v>
          </cell>
          <cell r="M938" t="str">
            <v>&gt;&gt;</v>
          </cell>
          <cell r="N938" t="str">
            <v>Md. Ruhin</v>
          </cell>
          <cell r="O938" t="str">
            <v>NFCL-3</v>
          </cell>
          <cell r="P938" t="str">
            <v xml:space="preserve"> সিলেট বুস্টারর্স</v>
          </cell>
          <cell r="Q938">
            <v>1</v>
          </cell>
          <cell r="R938">
            <v>154</v>
          </cell>
          <cell r="U938">
            <v>42401</v>
          </cell>
        </row>
        <row r="939">
          <cell r="B939" t="str">
            <v>R Munna</v>
          </cell>
          <cell r="C939">
            <v>1</v>
          </cell>
          <cell r="D939">
            <v>5</v>
          </cell>
          <cell r="E939">
            <v>0</v>
          </cell>
          <cell r="F939">
            <v>1</v>
          </cell>
          <cell r="G939">
            <v>0</v>
          </cell>
          <cell r="H939">
            <v>0</v>
          </cell>
          <cell r="I939">
            <v>0</v>
          </cell>
          <cell r="M939" t="str">
            <v>&gt;&gt;</v>
          </cell>
          <cell r="N939" t="str">
            <v>রুবেল মুন্না</v>
          </cell>
          <cell r="O939" t="str">
            <v>NFCL-3</v>
          </cell>
          <cell r="P939" t="str">
            <v xml:space="preserve"> সিলেট বুস্টারর্স</v>
          </cell>
          <cell r="Q939">
            <v>1</v>
          </cell>
          <cell r="R939">
            <v>154</v>
          </cell>
          <cell r="U939">
            <v>42401</v>
          </cell>
        </row>
        <row r="940">
          <cell r="B940" t="str">
            <v>Tofayel</v>
          </cell>
          <cell r="C940">
            <v>5</v>
          </cell>
          <cell r="D940">
            <v>61</v>
          </cell>
          <cell r="E940">
            <v>9</v>
          </cell>
          <cell r="F940">
            <v>10</v>
          </cell>
          <cell r="G940">
            <v>0</v>
          </cell>
          <cell r="H940">
            <v>4</v>
          </cell>
          <cell r="I940">
            <v>6</v>
          </cell>
          <cell r="M940" t="str">
            <v>&gt;&gt;</v>
          </cell>
          <cell r="N940" t="str">
            <v>MD Tofayel Ahmed</v>
          </cell>
          <cell r="O940" t="str">
            <v>NFCL-3</v>
          </cell>
          <cell r="P940" t="str">
            <v xml:space="preserve"> সিলেট বুস্টারর্স</v>
          </cell>
          <cell r="Q940">
            <v>1</v>
          </cell>
          <cell r="R940">
            <v>154</v>
          </cell>
          <cell r="U940">
            <v>42401</v>
          </cell>
        </row>
        <row r="941">
          <cell r="B941" t="str">
            <v>Mahi</v>
          </cell>
          <cell r="C941">
            <v>5</v>
          </cell>
          <cell r="D941">
            <v>66</v>
          </cell>
          <cell r="E941">
            <v>4</v>
          </cell>
          <cell r="F941">
            <v>6</v>
          </cell>
          <cell r="G941">
            <v>0</v>
          </cell>
          <cell r="H941">
            <v>7</v>
          </cell>
          <cell r="I941">
            <v>2</v>
          </cell>
          <cell r="M941" t="str">
            <v>&gt;&gt;</v>
          </cell>
          <cell r="N941" t="str">
            <v>মাহি উদ্দিন শুভ্র</v>
          </cell>
          <cell r="O941" t="str">
            <v>NFCL-3</v>
          </cell>
          <cell r="P941" t="str">
            <v xml:space="preserve"> সিলেট বুস্টারর্স</v>
          </cell>
          <cell r="Q941">
            <v>1</v>
          </cell>
          <cell r="R941">
            <v>154</v>
          </cell>
          <cell r="U941">
            <v>42401</v>
          </cell>
        </row>
        <row r="942">
          <cell r="B942" t="str">
            <v>Rexx</v>
          </cell>
          <cell r="C942">
            <v>4</v>
          </cell>
          <cell r="D942">
            <v>40</v>
          </cell>
          <cell r="E942">
            <v>3</v>
          </cell>
          <cell r="F942">
            <v>5</v>
          </cell>
          <cell r="G942">
            <v>0</v>
          </cell>
          <cell r="H942">
            <v>7</v>
          </cell>
          <cell r="I942">
            <v>1</v>
          </cell>
          <cell r="M942" t="str">
            <v>&gt;&gt;</v>
          </cell>
          <cell r="N942" t="str">
            <v>Bishwajit Sarkar</v>
          </cell>
          <cell r="O942" t="str">
            <v>NFCL-3</v>
          </cell>
          <cell r="P942" t="str">
            <v xml:space="preserve"> সিলেট বুস্টারর্স</v>
          </cell>
          <cell r="Q942">
            <v>1</v>
          </cell>
          <cell r="R942">
            <v>154</v>
          </cell>
          <cell r="U942">
            <v>42401</v>
          </cell>
        </row>
        <row r="943">
          <cell r="B943" t="str">
            <v>Faruque</v>
          </cell>
          <cell r="C943">
            <v>5</v>
          </cell>
          <cell r="D943">
            <v>135</v>
          </cell>
          <cell r="E943">
            <v>8</v>
          </cell>
          <cell r="F943">
            <v>10</v>
          </cell>
          <cell r="G943">
            <v>2</v>
          </cell>
          <cell r="H943">
            <v>6</v>
          </cell>
          <cell r="I943">
            <v>6</v>
          </cell>
          <cell r="M943" t="str">
            <v>&gt;&gt;</v>
          </cell>
          <cell r="N943" t="str">
            <v>Mohammad Faruque</v>
          </cell>
          <cell r="O943" t="str">
            <v>NFCL-3</v>
          </cell>
          <cell r="P943" t="str">
            <v xml:space="preserve"> সিলেট বুস্টারর্স</v>
          </cell>
          <cell r="Q943">
            <v>1</v>
          </cell>
          <cell r="R943">
            <v>154</v>
          </cell>
          <cell r="U943">
            <v>42401</v>
          </cell>
        </row>
        <row r="944">
          <cell r="B944" t="str">
            <v>Meyaz</v>
          </cell>
          <cell r="C944">
            <v>2</v>
          </cell>
          <cell r="D944">
            <v>12</v>
          </cell>
          <cell r="E944">
            <v>0</v>
          </cell>
          <cell r="F944">
            <v>2</v>
          </cell>
          <cell r="G944">
            <v>0</v>
          </cell>
          <cell r="H944">
            <v>1</v>
          </cell>
          <cell r="I944">
            <v>1</v>
          </cell>
          <cell r="M944" t="str">
            <v>&gt;&gt;</v>
          </cell>
          <cell r="N944" t="str">
            <v>Meyaz Al Emon</v>
          </cell>
          <cell r="O944" t="str">
            <v>NFCL-3</v>
          </cell>
          <cell r="P944" t="str">
            <v xml:space="preserve"> সিলেট বুস্টারর্স</v>
          </cell>
          <cell r="Q944">
            <v>1</v>
          </cell>
          <cell r="R944">
            <v>154</v>
          </cell>
          <cell r="U944">
            <v>42401</v>
          </cell>
        </row>
        <row r="945">
          <cell r="B945" t="str">
            <v>→→ #রংপুরস স্টপারর্স</v>
          </cell>
          <cell r="M945" t="str">
            <v>&gt;&gt;</v>
          </cell>
          <cell r="N945" t="str">
            <v/>
          </cell>
          <cell r="O945" t="str">
            <v>NFCL-3</v>
          </cell>
          <cell r="P945" t="str">
            <v xml:space="preserve"> রংপুরস স্টপারর্স</v>
          </cell>
          <cell r="Q945">
            <v>1</v>
          </cell>
          <cell r="R945">
            <v>155</v>
          </cell>
          <cell r="U945">
            <v>42401</v>
          </cell>
        </row>
        <row r="946">
          <cell r="B946" t="str">
            <v>Kamal</v>
          </cell>
          <cell r="C946">
            <v>6</v>
          </cell>
          <cell r="D946">
            <v>111</v>
          </cell>
          <cell r="E946">
            <v>6</v>
          </cell>
          <cell r="F946">
            <v>10</v>
          </cell>
          <cell r="G946">
            <v>1</v>
          </cell>
          <cell r="H946">
            <v>7</v>
          </cell>
          <cell r="I946">
            <v>5</v>
          </cell>
          <cell r="M946" t="str">
            <v>&gt;&gt;</v>
          </cell>
          <cell r="N946" t="str">
            <v>MD Kamal Hossain Kamal</v>
          </cell>
          <cell r="O946" t="str">
            <v>NFCL-3</v>
          </cell>
          <cell r="P946" t="str">
            <v xml:space="preserve"> রংপুরস স্টপারর্স</v>
          </cell>
          <cell r="Q946">
            <v>1</v>
          </cell>
          <cell r="R946">
            <v>155</v>
          </cell>
          <cell r="U946">
            <v>42401</v>
          </cell>
        </row>
        <row r="947">
          <cell r="B947" t="str">
            <v>Khokon</v>
          </cell>
          <cell r="C947">
            <v>5</v>
          </cell>
          <cell r="D947">
            <v>111</v>
          </cell>
          <cell r="E947">
            <v>9</v>
          </cell>
          <cell r="F947">
            <v>7</v>
          </cell>
          <cell r="G947">
            <v>0</v>
          </cell>
          <cell r="H947">
            <v>6</v>
          </cell>
          <cell r="I947">
            <v>5</v>
          </cell>
          <cell r="M947" t="str">
            <v>&gt;&gt;</v>
          </cell>
          <cell r="N947" t="str">
            <v>Shahriar Khokon</v>
          </cell>
          <cell r="O947" t="str">
            <v>NFCL-3</v>
          </cell>
          <cell r="P947" t="str">
            <v xml:space="preserve"> রংপুরস স্টপারর্স</v>
          </cell>
          <cell r="Q947">
            <v>1</v>
          </cell>
          <cell r="R947">
            <v>155</v>
          </cell>
          <cell r="U947">
            <v>42401</v>
          </cell>
        </row>
        <row r="948">
          <cell r="B948" t="str">
            <v>Adnan</v>
          </cell>
          <cell r="C948">
            <v>4</v>
          </cell>
          <cell r="D948">
            <v>78</v>
          </cell>
          <cell r="E948">
            <v>4</v>
          </cell>
          <cell r="F948">
            <v>5</v>
          </cell>
          <cell r="G948">
            <v>0</v>
          </cell>
          <cell r="H948">
            <v>6</v>
          </cell>
          <cell r="I948">
            <v>3</v>
          </cell>
          <cell r="M948" t="str">
            <v>&gt;&gt;</v>
          </cell>
          <cell r="N948" t="str">
            <v>Shah Abi Talib Adnan</v>
          </cell>
          <cell r="O948" t="str">
            <v>NFCL-3</v>
          </cell>
          <cell r="P948" t="str">
            <v xml:space="preserve"> রংপুরস স্টপারর্স</v>
          </cell>
          <cell r="Q948">
            <v>1</v>
          </cell>
          <cell r="R948">
            <v>155</v>
          </cell>
          <cell r="U948">
            <v>42401</v>
          </cell>
        </row>
        <row r="949">
          <cell r="B949" t="str">
            <v>Shishir</v>
          </cell>
          <cell r="C949">
            <v>3</v>
          </cell>
          <cell r="D949">
            <v>49</v>
          </cell>
          <cell r="E949">
            <v>1</v>
          </cell>
          <cell r="F949">
            <v>2</v>
          </cell>
          <cell r="G949">
            <v>1</v>
          </cell>
          <cell r="H949">
            <v>4</v>
          </cell>
          <cell r="I949">
            <v>3</v>
          </cell>
          <cell r="M949" t="str">
            <v>&gt;&gt;</v>
          </cell>
          <cell r="N949" t="str">
            <v>ShiShir Hossain</v>
          </cell>
          <cell r="O949" t="str">
            <v>NFCL-3</v>
          </cell>
          <cell r="P949" t="str">
            <v xml:space="preserve"> রংপুরস স্টপারর্স</v>
          </cell>
          <cell r="Q949">
            <v>1</v>
          </cell>
          <cell r="R949">
            <v>155</v>
          </cell>
          <cell r="U949">
            <v>42401</v>
          </cell>
        </row>
        <row r="950">
          <cell r="B950" t="str">
            <v>Zohir</v>
          </cell>
          <cell r="C950">
            <v>3</v>
          </cell>
          <cell r="D950">
            <v>33</v>
          </cell>
          <cell r="E950">
            <v>1</v>
          </cell>
          <cell r="F950">
            <v>2</v>
          </cell>
          <cell r="G950">
            <v>0</v>
          </cell>
          <cell r="H950">
            <v>2</v>
          </cell>
          <cell r="I950">
            <v>2</v>
          </cell>
          <cell r="M950" t="str">
            <v>&gt;&gt;</v>
          </cell>
          <cell r="N950" t="str">
            <v>Zi Zohir</v>
          </cell>
          <cell r="O950" t="str">
            <v>NFCL-3</v>
          </cell>
          <cell r="P950" t="str">
            <v xml:space="preserve"> রংপুরস স্টপারর্স</v>
          </cell>
          <cell r="Q950">
            <v>1</v>
          </cell>
          <cell r="R950">
            <v>155</v>
          </cell>
          <cell r="U950">
            <v>42401</v>
          </cell>
        </row>
        <row r="951">
          <cell r="B951" t="str">
            <v>Hridoy</v>
          </cell>
          <cell r="C951">
            <v>6</v>
          </cell>
          <cell r="D951">
            <v>43</v>
          </cell>
          <cell r="E951">
            <v>5</v>
          </cell>
          <cell r="F951">
            <v>8</v>
          </cell>
          <cell r="G951">
            <v>1</v>
          </cell>
          <cell r="H951">
            <v>3</v>
          </cell>
          <cell r="I951">
            <v>3</v>
          </cell>
          <cell r="M951" t="str">
            <v>&gt;&gt;</v>
          </cell>
          <cell r="N951" t="str">
            <v>Kamrul Hasan Hridoy</v>
          </cell>
          <cell r="O951" t="str">
            <v>NFCL-3</v>
          </cell>
          <cell r="P951" t="str">
            <v xml:space="preserve"> রংপুরস স্টপারর্স</v>
          </cell>
          <cell r="Q951">
            <v>1</v>
          </cell>
          <cell r="R951">
            <v>155</v>
          </cell>
          <cell r="U951">
            <v>42401</v>
          </cell>
        </row>
        <row r="952">
          <cell r="B952" t="str">
            <v>Ab Mamun</v>
          </cell>
          <cell r="C952">
            <v>6</v>
          </cell>
          <cell r="D952">
            <v>53</v>
          </cell>
          <cell r="E952">
            <v>8</v>
          </cell>
          <cell r="F952">
            <v>6</v>
          </cell>
          <cell r="G952">
            <v>0</v>
          </cell>
          <cell r="H952">
            <v>5</v>
          </cell>
          <cell r="I952">
            <v>2</v>
          </cell>
          <cell r="M952" t="str">
            <v>&gt;&gt;</v>
          </cell>
          <cell r="N952" t="str">
            <v>Abdullah Al Mamun</v>
          </cell>
          <cell r="O952" t="str">
            <v>NFCL-3</v>
          </cell>
          <cell r="P952" t="str">
            <v xml:space="preserve"> রংপুরস স্টপারর্স</v>
          </cell>
          <cell r="Q952">
            <v>1</v>
          </cell>
          <cell r="R952">
            <v>155</v>
          </cell>
          <cell r="U952">
            <v>42401</v>
          </cell>
        </row>
        <row r="953">
          <cell r="B953" t="str">
            <v>→→ #রাজশাহী গ্যাংগ্যেরর্স</v>
          </cell>
          <cell r="M953" t="str">
            <v>&gt;&gt;</v>
          </cell>
          <cell r="N953" t="str">
            <v/>
          </cell>
          <cell r="O953" t="str">
            <v>NFCL-3</v>
          </cell>
          <cell r="P953" t="str">
            <v xml:space="preserve"> রাজশাহী গ্যাংগ্যেরর্স</v>
          </cell>
          <cell r="Q953">
            <v>1</v>
          </cell>
          <cell r="R953">
            <v>156</v>
          </cell>
          <cell r="U953">
            <v>42401</v>
          </cell>
        </row>
        <row r="954">
          <cell r="B954" t="str">
            <v>Tonmoy</v>
          </cell>
          <cell r="C954">
            <v>6</v>
          </cell>
          <cell r="D954">
            <v>224</v>
          </cell>
          <cell r="E954">
            <v>7</v>
          </cell>
          <cell r="F954">
            <v>12</v>
          </cell>
          <cell r="G954">
            <v>2</v>
          </cell>
          <cell r="H954">
            <v>18</v>
          </cell>
          <cell r="I954">
            <v>10</v>
          </cell>
          <cell r="M954" t="str">
            <v>&gt;&gt;</v>
          </cell>
          <cell r="N954" t="str">
            <v>Asik Hassan Tonmoy</v>
          </cell>
          <cell r="O954" t="str">
            <v>NFCL-3</v>
          </cell>
          <cell r="P954" t="str">
            <v xml:space="preserve"> রাজশাহী গ্যাংগ্যেরর্স</v>
          </cell>
          <cell r="Q954">
            <v>1</v>
          </cell>
          <cell r="R954">
            <v>156</v>
          </cell>
          <cell r="U954">
            <v>42401</v>
          </cell>
        </row>
        <row r="955">
          <cell r="B955" t="str">
            <v>Ariful</v>
          </cell>
          <cell r="C955">
            <v>6</v>
          </cell>
          <cell r="D955">
            <v>88</v>
          </cell>
          <cell r="E955">
            <v>12</v>
          </cell>
          <cell r="F955">
            <v>9</v>
          </cell>
          <cell r="G955">
            <v>0</v>
          </cell>
          <cell r="H955">
            <v>6</v>
          </cell>
          <cell r="I955">
            <v>6</v>
          </cell>
          <cell r="M955" t="str">
            <v>&gt;&gt;</v>
          </cell>
          <cell r="N955" t="str">
            <v>Ahammed Ariful Haq</v>
          </cell>
          <cell r="O955" t="str">
            <v>NFCL-3</v>
          </cell>
          <cell r="P955" t="str">
            <v xml:space="preserve"> রাজশাহী গ্যাংগ্যেরর্স</v>
          </cell>
          <cell r="Q955">
            <v>1</v>
          </cell>
          <cell r="R955">
            <v>156</v>
          </cell>
          <cell r="U955">
            <v>42401</v>
          </cell>
        </row>
        <row r="956">
          <cell r="B956" t="str">
            <v>Tarek</v>
          </cell>
          <cell r="C956">
            <v>4</v>
          </cell>
          <cell r="D956">
            <v>30</v>
          </cell>
          <cell r="E956">
            <v>4</v>
          </cell>
          <cell r="F956">
            <v>3</v>
          </cell>
          <cell r="G956">
            <v>0</v>
          </cell>
          <cell r="H956">
            <v>2</v>
          </cell>
          <cell r="I956">
            <v>2</v>
          </cell>
          <cell r="M956" t="str">
            <v>&gt;&gt;</v>
          </cell>
          <cell r="N956" t="str">
            <v>Prince Tarek</v>
          </cell>
          <cell r="O956" t="str">
            <v>NFCL-3</v>
          </cell>
          <cell r="P956" t="str">
            <v xml:space="preserve"> রাজশাহী গ্যাংগ্যেরর্স</v>
          </cell>
          <cell r="Q956">
            <v>1</v>
          </cell>
          <cell r="R956">
            <v>156</v>
          </cell>
          <cell r="U956">
            <v>42401</v>
          </cell>
        </row>
        <row r="957">
          <cell r="B957" t="str">
            <v>SH Shanto</v>
          </cell>
          <cell r="C957">
            <v>6</v>
          </cell>
          <cell r="D957">
            <v>104</v>
          </cell>
          <cell r="E957">
            <v>7</v>
          </cell>
          <cell r="F957">
            <v>8</v>
          </cell>
          <cell r="G957">
            <v>1</v>
          </cell>
          <cell r="H957">
            <v>8</v>
          </cell>
          <cell r="I957">
            <v>8</v>
          </cell>
          <cell r="M957" t="str">
            <v>&gt;&gt;</v>
          </cell>
          <cell r="N957" t="str">
            <v>Sakhawat Hossain Shanto</v>
          </cell>
          <cell r="O957" t="str">
            <v>NFCL-3</v>
          </cell>
          <cell r="P957" t="str">
            <v xml:space="preserve"> রাজশাহী গ্যাংগ্যেরর্স</v>
          </cell>
          <cell r="Q957">
            <v>1</v>
          </cell>
          <cell r="R957">
            <v>156</v>
          </cell>
          <cell r="U957">
            <v>42401</v>
          </cell>
        </row>
        <row r="958">
          <cell r="B958" t="str">
            <v>Jahin</v>
          </cell>
          <cell r="C958">
            <v>2</v>
          </cell>
          <cell r="D958">
            <v>0</v>
          </cell>
          <cell r="E958">
            <v>1</v>
          </cell>
          <cell r="F958">
            <v>1</v>
          </cell>
          <cell r="G958">
            <v>0</v>
          </cell>
          <cell r="H958">
            <v>0</v>
          </cell>
          <cell r="I958">
            <v>0</v>
          </cell>
          <cell r="M958" t="str">
            <v>&gt;&gt;</v>
          </cell>
          <cell r="N958" t="str">
            <v>Jahin Shahriar Chowdhury</v>
          </cell>
          <cell r="O958" t="str">
            <v>NFCL-3</v>
          </cell>
          <cell r="P958" t="str">
            <v xml:space="preserve"> রাজশাহী গ্যাংগ্যেরর্স</v>
          </cell>
          <cell r="Q958">
            <v>1</v>
          </cell>
          <cell r="R958">
            <v>156</v>
          </cell>
          <cell r="U958">
            <v>42401</v>
          </cell>
        </row>
        <row r="959">
          <cell r="B959" t="str">
            <v>Shuvro</v>
          </cell>
          <cell r="C959">
            <v>4</v>
          </cell>
          <cell r="D959">
            <v>31</v>
          </cell>
          <cell r="E959">
            <v>2</v>
          </cell>
          <cell r="F959">
            <v>3</v>
          </cell>
          <cell r="G959">
            <v>0</v>
          </cell>
          <cell r="H959">
            <v>2</v>
          </cell>
          <cell r="I959">
            <v>1</v>
          </cell>
          <cell r="M959" t="str">
            <v>&gt;&gt;</v>
          </cell>
          <cell r="N959" t="str">
            <v>Shahriar Shuvro</v>
          </cell>
          <cell r="O959" t="str">
            <v>NFCL-3</v>
          </cell>
          <cell r="P959" t="str">
            <v xml:space="preserve"> রাজশাহী গ্যাংগ্যেরর্স</v>
          </cell>
          <cell r="Q959">
            <v>1</v>
          </cell>
          <cell r="R959">
            <v>156</v>
          </cell>
          <cell r="U959">
            <v>42401</v>
          </cell>
        </row>
        <row r="960">
          <cell r="B960" t="str">
            <v>Kamil</v>
          </cell>
          <cell r="C960">
            <v>3</v>
          </cell>
          <cell r="D960">
            <v>28</v>
          </cell>
          <cell r="E960">
            <v>5</v>
          </cell>
          <cell r="F960">
            <v>3</v>
          </cell>
          <cell r="G960">
            <v>0</v>
          </cell>
          <cell r="H960">
            <v>3</v>
          </cell>
          <cell r="I960">
            <v>0</v>
          </cell>
          <cell r="M960" t="str">
            <v>&gt;&gt;</v>
          </cell>
          <cell r="N960" t="str">
            <v>Kamil Ahmed</v>
          </cell>
          <cell r="O960" t="str">
            <v>NFCL-3</v>
          </cell>
          <cell r="P960" t="str">
            <v xml:space="preserve"> রাজশাহী গ্যাংগ্যেরর্স</v>
          </cell>
          <cell r="Q960">
            <v>1</v>
          </cell>
          <cell r="R960">
            <v>156</v>
          </cell>
          <cell r="U960">
            <v>42401</v>
          </cell>
        </row>
        <row r="961">
          <cell r="B961" t="str">
            <v>→→ # খুলনা টাইগারর্স ←←</v>
          </cell>
          <cell r="M961" t="str">
            <v>&gt;&gt;</v>
          </cell>
          <cell r="N961" t="str">
            <v/>
          </cell>
          <cell r="O961" t="str">
            <v>NFCL-3</v>
          </cell>
          <cell r="P961" t="str">
            <v xml:space="preserve">  খুলনা টাইগারর্স </v>
          </cell>
          <cell r="Q961">
            <v>1</v>
          </cell>
          <cell r="R961">
            <v>157</v>
          </cell>
          <cell r="U961">
            <v>42401</v>
          </cell>
        </row>
        <row r="962">
          <cell r="B962" t="str">
            <v>Saaj</v>
          </cell>
          <cell r="C962">
            <v>7</v>
          </cell>
          <cell r="D962">
            <v>196</v>
          </cell>
          <cell r="E962">
            <v>17</v>
          </cell>
          <cell r="F962">
            <v>13</v>
          </cell>
          <cell r="G962">
            <v>1</v>
          </cell>
          <cell r="H962">
            <v>10</v>
          </cell>
          <cell r="I962">
            <v>12</v>
          </cell>
          <cell r="M962" t="str">
            <v>&gt;&gt;</v>
          </cell>
          <cell r="N962" t="str">
            <v>AB Saaj</v>
          </cell>
          <cell r="O962" t="str">
            <v>NFCL-3</v>
          </cell>
          <cell r="P962" t="str">
            <v xml:space="preserve">  খুলনা টাইগারর্স </v>
          </cell>
          <cell r="Q962">
            <v>1</v>
          </cell>
          <cell r="R962">
            <v>157</v>
          </cell>
          <cell r="S962" t="str">
            <v>CPOT</v>
          </cell>
          <cell r="U962">
            <v>42401</v>
          </cell>
          <cell r="W962">
            <v>1</v>
          </cell>
        </row>
        <row r="963">
          <cell r="B963" t="str">
            <v>Ovi</v>
          </cell>
          <cell r="C963">
            <v>5</v>
          </cell>
          <cell r="D963">
            <v>63</v>
          </cell>
          <cell r="E963">
            <v>3</v>
          </cell>
          <cell r="F963">
            <v>7</v>
          </cell>
          <cell r="G963">
            <v>1</v>
          </cell>
          <cell r="H963">
            <v>5</v>
          </cell>
          <cell r="I963">
            <v>5</v>
          </cell>
          <cell r="M963" t="str">
            <v>&gt;&gt;</v>
          </cell>
          <cell r="N963" t="str">
            <v>Toufiq Ahmed Ovi</v>
          </cell>
          <cell r="O963" t="str">
            <v>NFCL-3</v>
          </cell>
          <cell r="P963" t="str">
            <v xml:space="preserve">  খুলনা টাইগারর্স </v>
          </cell>
          <cell r="Q963">
            <v>1</v>
          </cell>
          <cell r="R963">
            <v>157</v>
          </cell>
          <cell r="U963">
            <v>42401</v>
          </cell>
        </row>
        <row r="964">
          <cell r="B964" t="str">
            <v>Abidur</v>
          </cell>
          <cell r="C964">
            <v>6</v>
          </cell>
          <cell r="D964">
            <v>45</v>
          </cell>
          <cell r="E964">
            <v>9</v>
          </cell>
          <cell r="F964">
            <v>7</v>
          </cell>
          <cell r="G964">
            <v>0</v>
          </cell>
          <cell r="H964">
            <v>4</v>
          </cell>
          <cell r="I964">
            <v>2</v>
          </cell>
          <cell r="M964" t="str">
            <v>&gt;&gt;</v>
          </cell>
          <cell r="N964" t="str">
            <v>আবিদুর রহমান</v>
          </cell>
          <cell r="O964" t="str">
            <v>NFCL-3</v>
          </cell>
          <cell r="P964" t="str">
            <v xml:space="preserve">  খুলনা টাইগারর্স </v>
          </cell>
          <cell r="Q964">
            <v>1</v>
          </cell>
          <cell r="R964">
            <v>157</v>
          </cell>
          <cell r="U964">
            <v>42401</v>
          </cell>
        </row>
        <row r="965">
          <cell r="B965" t="str">
            <v>Tanjir</v>
          </cell>
          <cell r="C965">
            <v>6</v>
          </cell>
          <cell r="D965">
            <v>58</v>
          </cell>
          <cell r="E965">
            <v>11</v>
          </cell>
          <cell r="F965">
            <v>9</v>
          </cell>
          <cell r="G965">
            <v>0</v>
          </cell>
          <cell r="H965">
            <v>5</v>
          </cell>
          <cell r="I965">
            <v>0</v>
          </cell>
          <cell r="M965" t="str">
            <v>&gt;&gt;</v>
          </cell>
          <cell r="N965" t="str">
            <v>Tanjir Rahman</v>
          </cell>
          <cell r="O965" t="str">
            <v>NFCL-3</v>
          </cell>
          <cell r="P965" t="str">
            <v xml:space="preserve">  খুলনা টাইগারর্স </v>
          </cell>
          <cell r="Q965">
            <v>1</v>
          </cell>
          <cell r="R965">
            <v>157</v>
          </cell>
          <cell r="U965">
            <v>42401</v>
          </cell>
        </row>
        <row r="966">
          <cell r="B966" t="str">
            <v>Asif</v>
          </cell>
          <cell r="C966">
            <v>1</v>
          </cell>
          <cell r="D966">
            <v>14</v>
          </cell>
          <cell r="E966">
            <v>0</v>
          </cell>
          <cell r="F966">
            <v>1</v>
          </cell>
          <cell r="G966">
            <v>0</v>
          </cell>
          <cell r="H966">
            <v>1</v>
          </cell>
          <cell r="I966">
            <v>1</v>
          </cell>
          <cell r="M966" t="str">
            <v>&gt;&gt;</v>
          </cell>
          <cell r="N966" t="str">
            <v>Asif Iqbal Khan</v>
          </cell>
          <cell r="O966" t="str">
            <v>NFCL-3</v>
          </cell>
          <cell r="P966" t="str">
            <v xml:space="preserve">  খুলনা টাইগারর্স </v>
          </cell>
          <cell r="Q966">
            <v>1</v>
          </cell>
          <cell r="R966">
            <v>157</v>
          </cell>
          <cell r="U966">
            <v>42401</v>
          </cell>
        </row>
        <row r="967">
          <cell r="B967" t="str">
            <v>Tahmid</v>
          </cell>
          <cell r="C967">
            <v>5</v>
          </cell>
          <cell r="D967">
            <v>70</v>
          </cell>
          <cell r="E967">
            <v>3</v>
          </cell>
          <cell r="F967">
            <v>6</v>
          </cell>
          <cell r="G967">
            <v>0</v>
          </cell>
          <cell r="H967">
            <v>5</v>
          </cell>
          <cell r="I967">
            <v>2</v>
          </cell>
          <cell r="M967" t="str">
            <v>&gt;&gt;</v>
          </cell>
          <cell r="N967" t="str">
            <v>Galaxsy Prince Tahmid (Tahmid Rahman)</v>
          </cell>
          <cell r="O967" t="str">
            <v>NFCL-3</v>
          </cell>
          <cell r="P967" t="str">
            <v xml:space="preserve">  খুলনা টাইগারর্স </v>
          </cell>
          <cell r="Q967">
            <v>1</v>
          </cell>
          <cell r="R967">
            <v>157</v>
          </cell>
          <cell r="U967">
            <v>42401</v>
          </cell>
        </row>
        <row r="968">
          <cell r="B968" t="str">
            <v>Md. Asif</v>
          </cell>
          <cell r="C968">
            <v>3</v>
          </cell>
          <cell r="D968">
            <v>17</v>
          </cell>
          <cell r="E968">
            <v>3</v>
          </cell>
          <cell r="F968">
            <v>1</v>
          </cell>
          <cell r="G968">
            <v>0</v>
          </cell>
          <cell r="H968">
            <v>0</v>
          </cell>
          <cell r="I968">
            <v>2</v>
          </cell>
          <cell r="M968" t="str">
            <v>&gt;&gt;</v>
          </cell>
          <cell r="N968" t="str">
            <v>Mohammad Asif</v>
          </cell>
          <cell r="O968" t="str">
            <v>NFCL-3</v>
          </cell>
          <cell r="P968" t="str">
            <v xml:space="preserve">  খুলনা টাইগারর্স </v>
          </cell>
          <cell r="Q968">
            <v>1</v>
          </cell>
          <cell r="R968">
            <v>157</v>
          </cell>
          <cell r="U968">
            <v>42401</v>
          </cell>
        </row>
        <row r="969">
          <cell r="B969" t="str">
            <v>→→ #চিটাগং ভিক্টোরিয়ান্স ←←</v>
          </cell>
          <cell r="M969" t="str">
            <v>&gt;&gt;</v>
          </cell>
          <cell r="N969" t="str">
            <v/>
          </cell>
          <cell r="O969" t="str">
            <v>NFCL-3</v>
          </cell>
          <cell r="P969" t="str">
            <v xml:space="preserve"> চিটাগং ভিক্টোরিয়ান্স </v>
          </cell>
          <cell r="Q969">
            <v>1</v>
          </cell>
          <cell r="R969">
            <v>158</v>
          </cell>
          <cell r="T969" t="str">
            <v>CHAMP</v>
          </cell>
          <cell r="U969">
            <v>42401</v>
          </cell>
        </row>
        <row r="970">
          <cell r="B970" t="str">
            <v>Zaheed</v>
          </cell>
          <cell r="C970">
            <v>6</v>
          </cell>
          <cell r="D970">
            <v>101</v>
          </cell>
          <cell r="E970">
            <v>13</v>
          </cell>
          <cell r="F970">
            <v>7</v>
          </cell>
          <cell r="G970">
            <v>1</v>
          </cell>
          <cell r="H970">
            <v>8</v>
          </cell>
          <cell r="I970">
            <v>5</v>
          </cell>
          <cell r="J970">
            <v>2</v>
          </cell>
          <cell r="M970" t="str">
            <v>&gt;&gt;</v>
          </cell>
          <cell r="N970" t="str">
            <v>Zaheed Hasan</v>
          </cell>
          <cell r="O970" t="str">
            <v>NFCL-3</v>
          </cell>
          <cell r="P970" t="str">
            <v xml:space="preserve"> চিটাগং ভিক্টোরিয়ান্স </v>
          </cell>
          <cell r="Q970">
            <v>1</v>
          </cell>
          <cell r="R970">
            <v>158</v>
          </cell>
          <cell r="T970" t="str">
            <v>CHAMP</v>
          </cell>
          <cell r="U970">
            <v>42401</v>
          </cell>
        </row>
        <row r="971">
          <cell r="B971" t="str">
            <v>Manik</v>
          </cell>
          <cell r="C971">
            <v>6</v>
          </cell>
          <cell r="D971">
            <v>72</v>
          </cell>
          <cell r="E971">
            <v>7</v>
          </cell>
          <cell r="F971">
            <v>4</v>
          </cell>
          <cell r="G971">
            <v>1</v>
          </cell>
          <cell r="H971">
            <v>4</v>
          </cell>
          <cell r="I971">
            <v>3</v>
          </cell>
          <cell r="M971" t="str">
            <v>&gt;&gt;</v>
          </cell>
          <cell r="N971" t="str">
            <v>GM Manik</v>
          </cell>
          <cell r="O971" t="str">
            <v>NFCL-3</v>
          </cell>
          <cell r="P971" t="str">
            <v xml:space="preserve"> চিটাগং ভিক্টোরিয়ান্স </v>
          </cell>
          <cell r="Q971">
            <v>1</v>
          </cell>
          <cell r="R971">
            <v>158</v>
          </cell>
          <cell r="T971" t="str">
            <v>CHAMP</v>
          </cell>
          <cell r="U971">
            <v>42401</v>
          </cell>
        </row>
        <row r="972">
          <cell r="B972" t="str">
            <v>Arif</v>
          </cell>
          <cell r="C972">
            <v>6</v>
          </cell>
          <cell r="D972">
            <v>69</v>
          </cell>
          <cell r="E972">
            <v>9</v>
          </cell>
          <cell r="F972">
            <v>4</v>
          </cell>
          <cell r="G972">
            <v>0</v>
          </cell>
          <cell r="H972">
            <v>9</v>
          </cell>
          <cell r="I972">
            <v>3</v>
          </cell>
          <cell r="J972">
            <v>1</v>
          </cell>
          <cell r="M972" t="str">
            <v>&gt;&gt;</v>
          </cell>
          <cell r="N972" t="str">
            <v>Arif Ziad</v>
          </cell>
          <cell r="O972" t="str">
            <v>NFCL-3</v>
          </cell>
          <cell r="P972" t="str">
            <v xml:space="preserve"> চিটাগং ভিক্টোরিয়ান্স </v>
          </cell>
          <cell r="Q972">
            <v>1</v>
          </cell>
          <cell r="R972">
            <v>158</v>
          </cell>
          <cell r="T972" t="str">
            <v>CHAMP</v>
          </cell>
          <cell r="U972">
            <v>42401</v>
          </cell>
        </row>
        <row r="973">
          <cell r="B973" t="str">
            <v>Tanvir</v>
          </cell>
          <cell r="C973">
            <v>5</v>
          </cell>
          <cell r="D973">
            <v>40</v>
          </cell>
          <cell r="E973">
            <v>6</v>
          </cell>
          <cell r="F973">
            <v>4</v>
          </cell>
          <cell r="G973">
            <v>1</v>
          </cell>
          <cell r="H973">
            <v>3</v>
          </cell>
          <cell r="I973">
            <v>2</v>
          </cell>
          <cell r="M973" t="str">
            <v>&gt;&gt;</v>
          </cell>
          <cell r="N973" t="str">
            <v>Tanvir Shakib</v>
          </cell>
          <cell r="O973" t="str">
            <v>NFCL-3</v>
          </cell>
          <cell r="P973" t="str">
            <v xml:space="preserve"> চিটাগং ভিক্টোরিয়ান্স </v>
          </cell>
          <cell r="Q973">
            <v>1</v>
          </cell>
          <cell r="R973">
            <v>158</v>
          </cell>
          <cell r="T973" t="str">
            <v>CHAMP</v>
          </cell>
          <cell r="U973">
            <v>42401</v>
          </cell>
        </row>
        <row r="974">
          <cell r="B974" t="str">
            <v>Monsur</v>
          </cell>
          <cell r="C974">
            <v>4</v>
          </cell>
          <cell r="D974">
            <v>22</v>
          </cell>
          <cell r="E974">
            <v>4</v>
          </cell>
          <cell r="F974">
            <v>3</v>
          </cell>
          <cell r="G974">
            <v>0</v>
          </cell>
          <cell r="H974">
            <v>1</v>
          </cell>
          <cell r="I974">
            <v>3</v>
          </cell>
          <cell r="M974" t="str">
            <v>&gt;&gt;</v>
          </cell>
          <cell r="N974" t="str">
            <v>Monsur Rahman</v>
          </cell>
          <cell r="O974" t="str">
            <v>NFCL-3</v>
          </cell>
          <cell r="P974" t="str">
            <v xml:space="preserve"> চিটাগং ভিক্টোরিয়ান্স </v>
          </cell>
          <cell r="Q974">
            <v>1</v>
          </cell>
          <cell r="R974">
            <v>158</v>
          </cell>
          <cell r="T974" t="str">
            <v>CHAMP</v>
          </cell>
          <cell r="U974">
            <v>42401</v>
          </cell>
        </row>
        <row r="975">
          <cell r="B975" t="str">
            <v>Towkir</v>
          </cell>
          <cell r="C975">
            <v>6</v>
          </cell>
          <cell r="D975">
            <v>27</v>
          </cell>
          <cell r="E975">
            <v>2</v>
          </cell>
          <cell r="F975">
            <v>4</v>
          </cell>
          <cell r="G975">
            <v>0</v>
          </cell>
          <cell r="H975">
            <v>4</v>
          </cell>
          <cell r="I975">
            <v>0</v>
          </cell>
          <cell r="M975" t="str">
            <v>&gt;&gt;</v>
          </cell>
          <cell r="N975" t="str">
            <v>Towkir Ahmed Siddique</v>
          </cell>
          <cell r="O975" t="str">
            <v>NFCL-3</v>
          </cell>
          <cell r="P975" t="str">
            <v xml:space="preserve"> চিটাগং ভিক্টোরিয়ান্স </v>
          </cell>
          <cell r="Q975">
            <v>1</v>
          </cell>
          <cell r="R975">
            <v>158</v>
          </cell>
          <cell r="T975" t="str">
            <v>CHAMP</v>
          </cell>
          <cell r="U975">
            <v>42401</v>
          </cell>
        </row>
        <row r="976">
          <cell r="B976" t="str">
            <v>Al Mamun</v>
          </cell>
          <cell r="C976">
            <v>6</v>
          </cell>
          <cell r="D976">
            <v>132</v>
          </cell>
          <cell r="E976">
            <v>7</v>
          </cell>
          <cell r="F976">
            <v>6</v>
          </cell>
          <cell r="G976">
            <v>1</v>
          </cell>
          <cell r="H976">
            <v>10</v>
          </cell>
          <cell r="I976">
            <v>4</v>
          </cell>
          <cell r="M976" t="str">
            <v>&gt;&gt;</v>
          </cell>
          <cell r="N976" t="str">
            <v>Mohammed Al Mamun</v>
          </cell>
          <cell r="O976" t="str">
            <v>NFCL-3</v>
          </cell>
          <cell r="P976" t="str">
            <v xml:space="preserve"> চিটাগং ভিক্টোরিয়ান্স </v>
          </cell>
          <cell r="Q976">
            <v>1</v>
          </cell>
          <cell r="R976">
            <v>158</v>
          </cell>
          <cell r="T976" t="str">
            <v>CHAMP</v>
          </cell>
          <cell r="U976">
            <v>42401</v>
          </cell>
        </row>
        <row r="977">
          <cell r="B977" t="str">
            <v>→→ #ঢাকা লায়ন্স ←←</v>
          </cell>
          <cell r="M977" t="str">
            <v>&gt;&gt;</v>
          </cell>
          <cell r="N977" t="str">
            <v/>
          </cell>
          <cell r="O977" t="str">
            <v>NFCL-3</v>
          </cell>
          <cell r="P977" t="str">
            <v xml:space="preserve"> ঢাকা লায়ন্স </v>
          </cell>
          <cell r="Q977">
            <v>1</v>
          </cell>
          <cell r="R977">
            <v>159</v>
          </cell>
          <cell r="U977">
            <v>42401</v>
          </cell>
        </row>
        <row r="978">
          <cell r="B978" t="str">
            <v>SA Shanto</v>
          </cell>
          <cell r="C978">
            <v>6</v>
          </cell>
          <cell r="D978">
            <v>185</v>
          </cell>
          <cell r="E978">
            <v>6</v>
          </cell>
          <cell r="F978">
            <v>13</v>
          </cell>
          <cell r="G978">
            <v>0</v>
          </cell>
          <cell r="H978">
            <v>9</v>
          </cell>
          <cell r="I978">
            <v>12</v>
          </cell>
          <cell r="M978" t="str">
            <v>&gt;&gt;</v>
          </cell>
          <cell r="N978" t="str">
            <v>Sayed Anowar Shanto</v>
          </cell>
          <cell r="O978" t="str">
            <v>NFCL-3</v>
          </cell>
          <cell r="P978" t="str">
            <v xml:space="preserve"> ঢাকা লায়ন্স </v>
          </cell>
          <cell r="Q978">
            <v>1</v>
          </cell>
          <cell r="R978">
            <v>159</v>
          </cell>
          <cell r="U978">
            <v>42401</v>
          </cell>
        </row>
        <row r="979">
          <cell r="B979" t="str">
            <v>Riad</v>
          </cell>
          <cell r="C979">
            <v>2</v>
          </cell>
          <cell r="D979">
            <v>7</v>
          </cell>
          <cell r="E979">
            <v>2</v>
          </cell>
          <cell r="F979">
            <v>1</v>
          </cell>
          <cell r="G979">
            <v>0</v>
          </cell>
          <cell r="H979">
            <v>0</v>
          </cell>
          <cell r="I979">
            <v>0</v>
          </cell>
          <cell r="M979" t="str">
            <v>&gt;&gt;</v>
          </cell>
          <cell r="N979" t="str">
            <v>Wahidur Rahman Riad</v>
          </cell>
          <cell r="O979" t="str">
            <v>NFCL-3</v>
          </cell>
          <cell r="P979" t="str">
            <v xml:space="preserve"> ঢাকা লায়ন্স </v>
          </cell>
          <cell r="Q979">
            <v>1</v>
          </cell>
          <cell r="R979">
            <v>159</v>
          </cell>
          <cell r="U979">
            <v>42401</v>
          </cell>
        </row>
        <row r="980">
          <cell r="B980" t="str">
            <v>Shohag</v>
          </cell>
          <cell r="C980">
            <v>3</v>
          </cell>
          <cell r="D980">
            <v>33</v>
          </cell>
          <cell r="E980">
            <v>2</v>
          </cell>
          <cell r="F980">
            <v>5</v>
          </cell>
          <cell r="G980">
            <v>0</v>
          </cell>
          <cell r="H980">
            <v>2</v>
          </cell>
          <cell r="I980">
            <v>1</v>
          </cell>
          <cell r="M980" t="str">
            <v>&gt;&gt;</v>
          </cell>
          <cell r="N980" t="str">
            <v>Hetlar Shohag</v>
          </cell>
          <cell r="O980" t="str">
            <v>NFCL-3</v>
          </cell>
          <cell r="P980" t="str">
            <v xml:space="preserve"> ঢাকা লায়ন্স </v>
          </cell>
          <cell r="Q980">
            <v>1</v>
          </cell>
          <cell r="R980">
            <v>159</v>
          </cell>
          <cell r="U980">
            <v>42401</v>
          </cell>
        </row>
        <row r="981">
          <cell r="B981" t="str">
            <v>Arafat</v>
          </cell>
          <cell r="C981">
            <v>6</v>
          </cell>
          <cell r="D981">
            <v>66</v>
          </cell>
          <cell r="E981">
            <v>6</v>
          </cell>
          <cell r="F981">
            <v>9</v>
          </cell>
          <cell r="G981">
            <v>1</v>
          </cell>
          <cell r="H981">
            <v>2</v>
          </cell>
          <cell r="I981">
            <v>5</v>
          </cell>
          <cell r="M981" t="str">
            <v>&gt;&gt;</v>
          </cell>
          <cell r="N981" t="str">
            <v>Sakib Arafat</v>
          </cell>
          <cell r="O981" t="str">
            <v>NFCL-3</v>
          </cell>
          <cell r="P981" t="str">
            <v xml:space="preserve"> ঢাকা লায়ন্স </v>
          </cell>
          <cell r="Q981">
            <v>1</v>
          </cell>
          <cell r="R981">
            <v>159</v>
          </cell>
          <cell r="U981">
            <v>42401</v>
          </cell>
        </row>
        <row r="982">
          <cell r="B982" t="str">
            <v>Roman</v>
          </cell>
          <cell r="C982">
            <v>5</v>
          </cell>
          <cell r="D982">
            <v>67</v>
          </cell>
          <cell r="E982">
            <v>8</v>
          </cell>
          <cell r="F982">
            <v>7</v>
          </cell>
          <cell r="G982">
            <v>0</v>
          </cell>
          <cell r="H982">
            <v>3</v>
          </cell>
          <cell r="I982">
            <v>5</v>
          </cell>
          <cell r="M982" t="str">
            <v>&gt;&gt;</v>
          </cell>
          <cell r="N982" t="str">
            <v>Roman mahamud Arko</v>
          </cell>
          <cell r="O982" t="str">
            <v>NFCL-3</v>
          </cell>
          <cell r="P982" t="str">
            <v xml:space="preserve"> ঢাকা লায়ন্স </v>
          </cell>
          <cell r="Q982">
            <v>1</v>
          </cell>
          <cell r="R982">
            <v>159</v>
          </cell>
          <cell r="U982">
            <v>42401</v>
          </cell>
        </row>
        <row r="983">
          <cell r="B983" t="str">
            <v>Saykat</v>
          </cell>
          <cell r="C983">
            <v>5</v>
          </cell>
          <cell r="D983">
            <v>110</v>
          </cell>
          <cell r="E983">
            <v>12</v>
          </cell>
          <cell r="F983">
            <v>6</v>
          </cell>
          <cell r="G983">
            <v>0</v>
          </cell>
          <cell r="H983">
            <v>6</v>
          </cell>
          <cell r="I983">
            <v>4</v>
          </cell>
          <cell r="M983" t="str">
            <v>&gt;&gt;</v>
          </cell>
          <cell r="N983" t="str">
            <v>Ahmad Saykat (Mohammad Sheikh Farid Uddin)</v>
          </cell>
          <cell r="O983" t="str">
            <v>NFCL-3</v>
          </cell>
          <cell r="P983" t="str">
            <v xml:space="preserve"> ঢাকা লায়ন্স </v>
          </cell>
          <cell r="Q983">
            <v>1</v>
          </cell>
          <cell r="R983">
            <v>159</v>
          </cell>
          <cell r="U983">
            <v>42401</v>
          </cell>
        </row>
        <row r="984">
          <cell r="B984" t="str">
            <v>Ruffin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M984" t="str">
            <v>&gt;&gt;</v>
          </cell>
          <cell r="N984" t="str">
            <v>Ruffin Remad</v>
          </cell>
          <cell r="O984" t="str">
            <v>NFCL-3</v>
          </cell>
          <cell r="P984" t="str">
            <v xml:space="preserve"> ঢাকা লায়ন্স </v>
          </cell>
          <cell r="Q984">
            <v>1</v>
          </cell>
          <cell r="R984">
            <v>159</v>
          </cell>
          <cell r="U984">
            <v>42401</v>
          </cell>
        </row>
        <row r="985">
          <cell r="B985" t="str">
            <v>Googly-Gang-(GG)</v>
          </cell>
          <cell r="M985" t="str">
            <v>&gt;&gt;</v>
          </cell>
          <cell r="N985" t="str">
            <v/>
          </cell>
          <cell r="O985" t="str">
            <v>CNHM-3</v>
          </cell>
          <cell r="P985" t="str">
            <v>Googly-Gang-(GG)</v>
          </cell>
          <cell r="Q985">
            <v>1</v>
          </cell>
          <cell r="R985">
            <v>160</v>
          </cell>
          <cell r="U985">
            <v>42339</v>
          </cell>
        </row>
        <row r="986">
          <cell r="B986" t="str">
            <v>Helal</v>
          </cell>
          <cell r="C986">
            <v>8</v>
          </cell>
          <cell r="D986">
            <v>138</v>
          </cell>
          <cell r="E986">
            <v>4</v>
          </cell>
          <cell r="F986">
            <v>11</v>
          </cell>
          <cell r="G986">
            <v>0</v>
          </cell>
          <cell r="H986">
            <v>2</v>
          </cell>
          <cell r="I986">
            <v>8</v>
          </cell>
          <cell r="M986" t="str">
            <v>&gt;&gt;</v>
          </cell>
          <cell r="N986" t="str">
            <v>Sheik Helal Ahmed</v>
          </cell>
          <cell r="O986" t="str">
            <v>CNHM-3</v>
          </cell>
          <cell r="P986" t="str">
            <v>Googly-Gang-(GG)</v>
          </cell>
          <cell r="Q986">
            <v>1</v>
          </cell>
          <cell r="R986">
            <v>160</v>
          </cell>
          <cell r="U986">
            <v>42339</v>
          </cell>
        </row>
        <row r="987">
          <cell r="B987" t="str">
            <v>Saaj</v>
          </cell>
          <cell r="C987">
            <v>8</v>
          </cell>
          <cell r="D987">
            <v>73</v>
          </cell>
          <cell r="E987">
            <v>10</v>
          </cell>
          <cell r="F987">
            <v>10</v>
          </cell>
          <cell r="G987">
            <v>0</v>
          </cell>
          <cell r="H987">
            <v>5</v>
          </cell>
          <cell r="I987">
            <v>6</v>
          </cell>
          <cell r="M987" t="str">
            <v>&gt;&gt;</v>
          </cell>
          <cell r="N987" t="str">
            <v>AB Saaj</v>
          </cell>
          <cell r="O987" t="str">
            <v>CNHM-3</v>
          </cell>
          <cell r="P987" t="str">
            <v>Googly-Gang-(GG)</v>
          </cell>
          <cell r="Q987">
            <v>1</v>
          </cell>
          <cell r="R987">
            <v>160</v>
          </cell>
          <cell r="U987">
            <v>42339</v>
          </cell>
        </row>
        <row r="988">
          <cell r="B988" t="str">
            <v>Rashed</v>
          </cell>
          <cell r="C988">
            <v>4</v>
          </cell>
          <cell r="D988">
            <v>57</v>
          </cell>
          <cell r="E988">
            <v>5</v>
          </cell>
          <cell r="F988">
            <v>5</v>
          </cell>
          <cell r="G988">
            <v>0</v>
          </cell>
          <cell r="H988">
            <v>2</v>
          </cell>
          <cell r="I988">
            <v>4</v>
          </cell>
          <cell r="M988" t="str">
            <v>&gt;&gt;</v>
          </cell>
          <cell r="N988" t="str">
            <v>KM Rashedul Islam Rashed</v>
          </cell>
          <cell r="O988" t="str">
            <v>CNHM-3</v>
          </cell>
          <cell r="P988" t="str">
            <v>Googly-Gang-(GG)</v>
          </cell>
          <cell r="Q988">
            <v>1</v>
          </cell>
          <cell r="R988">
            <v>160</v>
          </cell>
          <cell r="U988">
            <v>42339</v>
          </cell>
        </row>
        <row r="989">
          <cell r="B989" t="str">
            <v>Shuvro</v>
          </cell>
          <cell r="C989">
            <v>8</v>
          </cell>
          <cell r="D989">
            <v>46</v>
          </cell>
          <cell r="E989">
            <v>12</v>
          </cell>
          <cell r="F989">
            <v>6</v>
          </cell>
          <cell r="G989">
            <v>2</v>
          </cell>
          <cell r="H989">
            <v>3</v>
          </cell>
          <cell r="I989">
            <v>2</v>
          </cell>
          <cell r="M989" t="str">
            <v>&gt;&gt;</v>
          </cell>
          <cell r="N989" t="str">
            <v>Shahriar Shuvro</v>
          </cell>
          <cell r="O989" t="str">
            <v>CNHM-3</v>
          </cell>
          <cell r="P989" t="str">
            <v>Googly-Gang-(GG)</v>
          </cell>
          <cell r="Q989">
            <v>1</v>
          </cell>
          <cell r="R989">
            <v>160</v>
          </cell>
          <cell r="U989">
            <v>42339</v>
          </cell>
        </row>
        <row r="990">
          <cell r="B990" t="str">
            <v>Sawon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M990" t="str">
            <v>&gt;&gt;</v>
          </cell>
          <cell r="N990" t="str">
            <v>Sawon Ahmed</v>
          </cell>
          <cell r="O990" t="str">
            <v>CNHM-3</v>
          </cell>
          <cell r="P990" t="str">
            <v>Googly-Gang-(GG)</v>
          </cell>
          <cell r="Q990">
            <v>1</v>
          </cell>
          <cell r="R990">
            <v>160</v>
          </cell>
          <cell r="U990">
            <v>42339</v>
          </cell>
        </row>
        <row r="991">
          <cell r="B991" t="str">
            <v>Sumon</v>
          </cell>
          <cell r="C991">
            <v>8</v>
          </cell>
          <cell r="D991">
            <v>301</v>
          </cell>
          <cell r="E991">
            <v>10</v>
          </cell>
          <cell r="F991">
            <v>15</v>
          </cell>
          <cell r="G991">
            <v>0</v>
          </cell>
          <cell r="H991">
            <v>27</v>
          </cell>
          <cell r="I991">
            <v>22</v>
          </cell>
          <cell r="M991" t="str">
            <v>&gt;&gt;</v>
          </cell>
          <cell r="N991" t="str">
            <v>Sumon Ab</v>
          </cell>
          <cell r="O991" t="str">
            <v>CNHM-3</v>
          </cell>
          <cell r="P991" t="str">
            <v>Googly-Gang-(GG)</v>
          </cell>
          <cell r="Q991">
            <v>1</v>
          </cell>
          <cell r="R991">
            <v>160</v>
          </cell>
          <cell r="S991" t="str">
            <v>MOT</v>
          </cell>
          <cell r="U991">
            <v>42339</v>
          </cell>
          <cell r="V991">
            <v>1</v>
          </cell>
        </row>
        <row r="992">
          <cell r="B992" t="str">
            <v>Mijan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M992" t="str">
            <v>&gt;&gt;</v>
          </cell>
          <cell r="N992" t="str">
            <v>Noushed Mijan</v>
          </cell>
          <cell r="O992" t="str">
            <v>CNHM-3</v>
          </cell>
          <cell r="P992" t="str">
            <v>Googly-Gang-(GG)</v>
          </cell>
          <cell r="Q992">
            <v>1</v>
          </cell>
          <cell r="R992">
            <v>160</v>
          </cell>
          <cell r="U992">
            <v>42339</v>
          </cell>
        </row>
        <row r="993">
          <cell r="B993" t="str">
            <v>Gaint-Killers-(GK)</v>
          </cell>
          <cell r="M993" t="str">
            <v>&gt;&gt;</v>
          </cell>
          <cell r="N993" t="str">
            <v/>
          </cell>
          <cell r="O993" t="str">
            <v>CNHM-3</v>
          </cell>
          <cell r="P993" t="str">
            <v>Gaint-Killers-(GK)</v>
          </cell>
          <cell r="Q993">
            <v>1</v>
          </cell>
          <cell r="R993">
            <v>161</v>
          </cell>
          <cell r="U993">
            <v>42339</v>
          </cell>
        </row>
        <row r="994">
          <cell r="B994" t="str">
            <v>Kamal</v>
          </cell>
          <cell r="C994">
            <v>6</v>
          </cell>
          <cell r="D994">
            <v>85</v>
          </cell>
          <cell r="E994">
            <v>9</v>
          </cell>
          <cell r="F994">
            <v>10</v>
          </cell>
          <cell r="G994">
            <v>1</v>
          </cell>
          <cell r="H994">
            <v>11</v>
          </cell>
          <cell r="I994">
            <v>3</v>
          </cell>
          <cell r="M994" t="str">
            <v>&gt;&gt;</v>
          </cell>
          <cell r="N994" t="str">
            <v>MD Kamal Hossain Kamal</v>
          </cell>
          <cell r="O994" t="str">
            <v>CNHM-3</v>
          </cell>
          <cell r="P994" t="str">
            <v>Gaint-Killers-(GK)</v>
          </cell>
          <cell r="Q994">
            <v>1</v>
          </cell>
          <cell r="R994">
            <v>161</v>
          </cell>
          <cell r="U994">
            <v>42339</v>
          </cell>
        </row>
        <row r="995">
          <cell r="B995" t="str">
            <v>Jahin</v>
          </cell>
          <cell r="C995">
            <v>6</v>
          </cell>
          <cell r="D995">
            <v>102</v>
          </cell>
          <cell r="E995">
            <v>11</v>
          </cell>
          <cell r="F995">
            <v>9</v>
          </cell>
          <cell r="G995">
            <v>0</v>
          </cell>
          <cell r="H995">
            <v>6</v>
          </cell>
          <cell r="I995">
            <v>7</v>
          </cell>
          <cell r="M995" t="str">
            <v>&gt;&gt;</v>
          </cell>
          <cell r="N995" t="str">
            <v>Jahin Shahriar Chowdhury</v>
          </cell>
          <cell r="O995" t="str">
            <v>CNHM-3</v>
          </cell>
          <cell r="P995" t="str">
            <v>Gaint-Killers-(GK)</v>
          </cell>
          <cell r="Q995">
            <v>1</v>
          </cell>
          <cell r="R995">
            <v>161</v>
          </cell>
          <cell r="U995">
            <v>42339</v>
          </cell>
        </row>
        <row r="996">
          <cell r="B996" t="str">
            <v>Meyaz</v>
          </cell>
          <cell r="C996">
            <v>1</v>
          </cell>
          <cell r="D996">
            <v>0</v>
          </cell>
          <cell r="E996">
            <v>0</v>
          </cell>
          <cell r="F996">
            <v>1</v>
          </cell>
          <cell r="G996">
            <v>0</v>
          </cell>
          <cell r="H996">
            <v>0</v>
          </cell>
          <cell r="I996">
            <v>0</v>
          </cell>
          <cell r="M996" t="str">
            <v>&gt;&gt;</v>
          </cell>
          <cell r="N996" t="str">
            <v>Meyaz Al Emon</v>
          </cell>
          <cell r="O996" t="str">
            <v>CNHM-3</v>
          </cell>
          <cell r="P996" t="str">
            <v>Gaint-Killers-(GK)</v>
          </cell>
          <cell r="Q996">
            <v>1</v>
          </cell>
          <cell r="R996">
            <v>161</v>
          </cell>
          <cell r="U996">
            <v>42339</v>
          </cell>
        </row>
        <row r="997">
          <cell r="B997" t="str">
            <v>Pritom</v>
          </cell>
          <cell r="C997">
            <v>5</v>
          </cell>
          <cell r="D997">
            <v>44</v>
          </cell>
          <cell r="E997">
            <v>6</v>
          </cell>
          <cell r="F997">
            <v>6</v>
          </cell>
          <cell r="G997">
            <v>0</v>
          </cell>
          <cell r="H997">
            <v>4</v>
          </cell>
          <cell r="I997">
            <v>2</v>
          </cell>
          <cell r="M997" t="str">
            <v>&gt;&gt;</v>
          </cell>
          <cell r="N997" t="str">
            <v>Sanju Pritom</v>
          </cell>
          <cell r="O997" t="str">
            <v>CNHM-3</v>
          </cell>
          <cell r="P997" t="str">
            <v>Gaint-Killers-(GK)</v>
          </cell>
          <cell r="Q997">
            <v>1</v>
          </cell>
          <cell r="R997">
            <v>161</v>
          </cell>
          <cell r="U997">
            <v>42339</v>
          </cell>
        </row>
        <row r="998">
          <cell r="B998" t="str">
            <v>Kamil</v>
          </cell>
          <cell r="C998">
            <v>3</v>
          </cell>
          <cell r="D998">
            <v>22</v>
          </cell>
          <cell r="E998">
            <v>1</v>
          </cell>
          <cell r="F998">
            <v>3</v>
          </cell>
          <cell r="G998">
            <v>0</v>
          </cell>
          <cell r="H998">
            <v>3</v>
          </cell>
          <cell r="I998">
            <v>1</v>
          </cell>
          <cell r="M998" t="str">
            <v>&gt;&gt;</v>
          </cell>
          <cell r="N998" t="str">
            <v>Kamil Ahmed</v>
          </cell>
          <cell r="O998" t="str">
            <v>CNHM-3</v>
          </cell>
          <cell r="P998" t="str">
            <v>Gaint-Killers-(GK)</v>
          </cell>
          <cell r="Q998">
            <v>1</v>
          </cell>
          <cell r="R998">
            <v>161</v>
          </cell>
          <cell r="U998">
            <v>42339</v>
          </cell>
        </row>
        <row r="999">
          <cell r="B999" t="str">
            <v>Abidur</v>
          </cell>
          <cell r="C999">
            <v>4</v>
          </cell>
          <cell r="D999">
            <v>85</v>
          </cell>
          <cell r="E999">
            <v>4</v>
          </cell>
          <cell r="F999">
            <v>5</v>
          </cell>
          <cell r="G999">
            <v>1</v>
          </cell>
          <cell r="H999">
            <v>3</v>
          </cell>
          <cell r="I999">
            <v>7</v>
          </cell>
          <cell r="M999" t="str">
            <v>&gt;&gt;</v>
          </cell>
          <cell r="N999" t="str">
            <v>আবিদুর রহমান</v>
          </cell>
          <cell r="O999" t="str">
            <v>CNHM-3</v>
          </cell>
          <cell r="P999" t="str">
            <v>Gaint-Killers-(GK)</v>
          </cell>
          <cell r="Q999">
            <v>1</v>
          </cell>
          <cell r="R999">
            <v>161</v>
          </cell>
          <cell r="U999">
            <v>42339</v>
          </cell>
        </row>
        <row r="1000">
          <cell r="B1000" t="str">
            <v>Mithu</v>
          </cell>
          <cell r="C1000">
            <v>1</v>
          </cell>
          <cell r="D1000">
            <v>0</v>
          </cell>
          <cell r="E1000">
            <v>2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M1000" t="str">
            <v>&gt;&gt;</v>
          </cell>
          <cell r="N1000" t="str">
            <v>Mostafizur Rahman Mithu</v>
          </cell>
          <cell r="O1000" t="str">
            <v>CNHM-3</v>
          </cell>
          <cell r="P1000" t="str">
            <v>Gaint-Killers-(GK)</v>
          </cell>
          <cell r="Q1000">
            <v>1</v>
          </cell>
          <cell r="R1000">
            <v>161</v>
          </cell>
          <cell r="U1000">
            <v>42339</v>
          </cell>
        </row>
        <row r="1001">
          <cell r="B1001" t="str">
            <v>Mountain-Builders-(MB)</v>
          </cell>
          <cell r="M1001" t="str">
            <v>&gt;&gt;</v>
          </cell>
          <cell r="N1001" t="str">
            <v/>
          </cell>
          <cell r="O1001" t="str">
            <v>CNHM-3</v>
          </cell>
          <cell r="P1001" t="str">
            <v>Mountain-Builders-(MB)</v>
          </cell>
          <cell r="Q1001">
            <v>1</v>
          </cell>
          <cell r="R1001">
            <v>162</v>
          </cell>
          <cell r="U1001">
            <v>42339</v>
          </cell>
        </row>
        <row r="1002">
          <cell r="B1002" t="str">
            <v>Jumon</v>
          </cell>
          <cell r="C1002">
            <v>6</v>
          </cell>
          <cell r="D1002">
            <v>86</v>
          </cell>
          <cell r="E1002">
            <v>4</v>
          </cell>
          <cell r="F1002">
            <v>7</v>
          </cell>
          <cell r="G1002">
            <v>0</v>
          </cell>
          <cell r="H1002">
            <v>11</v>
          </cell>
          <cell r="I1002">
            <v>0</v>
          </cell>
          <cell r="M1002" t="str">
            <v>&gt;&gt;</v>
          </cell>
          <cell r="N1002" t="str">
            <v>Foysal Ahmed Jumon</v>
          </cell>
          <cell r="O1002" t="str">
            <v>CNHM-3</v>
          </cell>
          <cell r="P1002" t="str">
            <v>Mountain-Builders-(MB)</v>
          </cell>
          <cell r="Q1002">
            <v>1</v>
          </cell>
          <cell r="R1002">
            <v>162</v>
          </cell>
          <cell r="U1002">
            <v>42339</v>
          </cell>
        </row>
        <row r="1003">
          <cell r="B1003" t="str">
            <v>Khokon</v>
          </cell>
          <cell r="C1003">
            <v>6</v>
          </cell>
          <cell r="D1003">
            <v>227</v>
          </cell>
          <cell r="E1003">
            <v>6</v>
          </cell>
          <cell r="F1003">
            <v>14</v>
          </cell>
          <cell r="G1003">
            <v>4</v>
          </cell>
          <cell r="H1003">
            <v>17</v>
          </cell>
          <cell r="I1003">
            <v>16</v>
          </cell>
          <cell r="M1003" t="str">
            <v>&gt;&gt;</v>
          </cell>
          <cell r="N1003" t="str">
            <v>Shahriar Khokon</v>
          </cell>
          <cell r="O1003" t="str">
            <v>CNHM-3</v>
          </cell>
          <cell r="P1003" t="str">
            <v>Mountain-Builders-(MB)</v>
          </cell>
          <cell r="Q1003">
            <v>1</v>
          </cell>
          <cell r="R1003">
            <v>162</v>
          </cell>
          <cell r="U1003">
            <v>42339</v>
          </cell>
        </row>
        <row r="1004">
          <cell r="B1004" t="str">
            <v>Al Mamun</v>
          </cell>
          <cell r="C1004">
            <v>5</v>
          </cell>
          <cell r="D1004">
            <v>6</v>
          </cell>
          <cell r="E1004">
            <v>1</v>
          </cell>
          <cell r="F1004">
            <v>4</v>
          </cell>
          <cell r="G1004">
            <v>0</v>
          </cell>
          <cell r="H1004">
            <v>0</v>
          </cell>
          <cell r="I1004">
            <v>0</v>
          </cell>
          <cell r="M1004" t="str">
            <v>&gt;&gt;</v>
          </cell>
          <cell r="N1004" t="str">
            <v>Mohammed Al Mamun</v>
          </cell>
          <cell r="O1004" t="str">
            <v>CNHM-3</v>
          </cell>
          <cell r="P1004" t="str">
            <v>Mountain-Builders-(MB)</v>
          </cell>
          <cell r="Q1004">
            <v>1</v>
          </cell>
          <cell r="R1004">
            <v>162</v>
          </cell>
          <cell r="U1004">
            <v>42339</v>
          </cell>
        </row>
        <row r="1005">
          <cell r="B1005" t="str">
            <v>Monsur</v>
          </cell>
          <cell r="C1005">
            <v>6</v>
          </cell>
          <cell r="D1005">
            <v>81</v>
          </cell>
          <cell r="E1005">
            <v>2</v>
          </cell>
          <cell r="F1005">
            <v>7</v>
          </cell>
          <cell r="G1005">
            <v>0</v>
          </cell>
          <cell r="H1005">
            <v>0</v>
          </cell>
          <cell r="I1005">
            <v>9</v>
          </cell>
          <cell r="M1005" t="str">
            <v>&gt;&gt;</v>
          </cell>
          <cell r="N1005" t="str">
            <v>Monsur Rahman</v>
          </cell>
          <cell r="O1005" t="str">
            <v>CNHM-3</v>
          </cell>
          <cell r="P1005" t="str">
            <v>Mountain-Builders-(MB)</v>
          </cell>
          <cell r="Q1005">
            <v>1</v>
          </cell>
          <cell r="R1005">
            <v>162</v>
          </cell>
          <cell r="U1005">
            <v>42339</v>
          </cell>
        </row>
        <row r="1006">
          <cell r="B1006" t="str">
            <v>Arif</v>
          </cell>
          <cell r="C1006">
            <v>5</v>
          </cell>
          <cell r="D1006">
            <v>24</v>
          </cell>
          <cell r="E1006">
            <v>10</v>
          </cell>
          <cell r="F1006">
            <v>6</v>
          </cell>
          <cell r="G1006">
            <v>0</v>
          </cell>
          <cell r="H1006">
            <v>3</v>
          </cell>
          <cell r="I1006">
            <v>1</v>
          </cell>
          <cell r="M1006" t="str">
            <v>&gt;&gt;</v>
          </cell>
          <cell r="N1006" t="str">
            <v>Arif Ziad</v>
          </cell>
          <cell r="O1006" t="str">
            <v>CNHM-3</v>
          </cell>
          <cell r="P1006" t="str">
            <v>Mountain-Builders-(MB)</v>
          </cell>
          <cell r="Q1006">
            <v>1</v>
          </cell>
          <cell r="R1006">
            <v>162</v>
          </cell>
          <cell r="U1006">
            <v>42339</v>
          </cell>
        </row>
        <row r="1007">
          <cell r="B1007" t="str">
            <v>Rayhan</v>
          </cell>
          <cell r="C1007">
            <v>1</v>
          </cell>
          <cell r="D1007">
            <v>0</v>
          </cell>
          <cell r="E1007">
            <v>1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M1007" t="str">
            <v>&gt;&gt;</v>
          </cell>
          <cell r="N1007" t="str">
            <v>Rayhan Rahman</v>
          </cell>
          <cell r="O1007" t="str">
            <v>CNHM-3</v>
          </cell>
          <cell r="P1007" t="str">
            <v>Mountain-Builders-(MB)</v>
          </cell>
          <cell r="Q1007">
            <v>1</v>
          </cell>
          <cell r="R1007">
            <v>162</v>
          </cell>
          <cell r="U1007">
            <v>42339</v>
          </cell>
        </row>
        <row r="1008">
          <cell r="B1008" t="str">
            <v>Solid-Sixers-(SS)</v>
          </cell>
          <cell r="M1008" t="str">
            <v>&gt;&gt;</v>
          </cell>
          <cell r="N1008" t="str">
            <v/>
          </cell>
          <cell r="O1008" t="str">
            <v>CNHM-3</v>
          </cell>
          <cell r="P1008" t="str">
            <v>Solid-Sixers-(SS)</v>
          </cell>
          <cell r="Q1008">
            <v>1</v>
          </cell>
          <cell r="R1008">
            <v>163</v>
          </cell>
          <cell r="T1008" t="str">
            <v>RU</v>
          </cell>
          <cell r="U1008">
            <v>42339</v>
          </cell>
        </row>
        <row r="1009">
          <cell r="B1009" t="str">
            <v>Tofayel</v>
          </cell>
          <cell r="C1009">
            <v>8</v>
          </cell>
          <cell r="D1009">
            <v>14</v>
          </cell>
          <cell r="E1009">
            <v>13</v>
          </cell>
          <cell r="F1009">
            <v>3</v>
          </cell>
          <cell r="G1009">
            <v>1</v>
          </cell>
          <cell r="H1009">
            <v>2</v>
          </cell>
          <cell r="I1009">
            <v>1</v>
          </cell>
          <cell r="M1009" t="str">
            <v>&gt;&gt;</v>
          </cell>
          <cell r="N1009" t="str">
            <v>MD Tofayel Ahmed</v>
          </cell>
          <cell r="O1009" t="str">
            <v>CNHM-3</v>
          </cell>
          <cell r="P1009" t="str">
            <v>Solid-Sixers-(SS)</v>
          </cell>
          <cell r="Q1009">
            <v>1</v>
          </cell>
          <cell r="R1009">
            <v>163</v>
          </cell>
          <cell r="T1009" t="str">
            <v>RU</v>
          </cell>
          <cell r="U1009">
            <v>42339</v>
          </cell>
        </row>
        <row r="1010">
          <cell r="B1010" t="str">
            <v>Ruhin</v>
          </cell>
          <cell r="C1010">
            <v>8</v>
          </cell>
          <cell r="D1010">
            <v>153</v>
          </cell>
          <cell r="E1010">
            <v>11</v>
          </cell>
          <cell r="F1010">
            <v>8</v>
          </cell>
          <cell r="G1010">
            <v>3</v>
          </cell>
          <cell r="H1010">
            <v>8</v>
          </cell>
          <cell r="I1010">
            <v>9</v>
          </cell>
          <cell r="M1010" t="str">
            <v>&gt;&gt;</v>
          </cell>
          <cell r="N1010" t="str">
            <v>Md. Ruhin</v>
          </cell>
          <cell r="O1010" t="str">
            <v>CNHM-3</v>
          </cell>
          <cell r="P1010" t="str">
            <v>Solid-Sixers-(SS)</v>
          </cell>
          <cell r="Q1010">
            <v>1</v>
          </cell>
          <cell r="R1010">
            <v>163</v>
          </cell>
          <cell r="T1010" t="str">
            <v>RU</v>
          </cell>
          <cell r="U1010">
            <v>42339</v>
          </cell>
        </row>
        <row r="1011">
          <cell r="B1011" t="str">
            <v>Mullah</v>
          </cell>
          <cell r="C1011">
            <v>8</v>
          </cell>
          <cell r="D1011">
            <v>166</v>
          </cell>
          <cell r="E1011">
            <v>1</v>
          </cell>
          <cell r="F1011">
            <v>9</v>
          </cell>
          <cell r="G1011">
            <v>1</v>
          </cell>
          <cell r="H1011">
            <v>14</v>
          </cell>
          <cell r="I1011">
            <v>9</v>
          </cell>
          <cell r="M1011" t="str">
            <v>&gt;&gt;</v>
          </cell>
          <cell r="N1011" t="str">
            <v>Mohammad Haris Mullah</v>
          </cell>
          <cell r="O1011" t="str">
            <v>CNHM-3</v>
          </cell>
          <cell r="P1011" t="str">
            <v>Solid-Sixers-(SS)</v>
          </cell>
          <cell r="Q1011">
            <v>1</v>
          </cell>
          <cell r="R1011">
            <v>163</v>
          </cell>
          <cell r="T1011" t="str">
            <v>RU</v>
          </cell>
          <cell r="U1011">
            <v>42339</v>
          </cell>
        </row>
        <row r="1012">
          <cell r="B1012" t="str">
            <v>Rafi</v>
          </cell>
          <cell r="C1012">
            <v>5</v>
          </cell>
          <cell r="D1012">
            <v>35</v>
          </cell>
          <cell r="E1012">
            <v>4</v>
          </cell>
          <cell r="F1012">
            <v>4</v>
          </cell>
          <cell r="G1012">
            <v>1</v>
          </cell>
          <cell r="H1012">
            <v>3</v>
          </cell>
          <cell r="I1012">
            <v>2</v>
          </cell>
          <cell r="M1012" t="str">
            <v>&gt;&gt;</v>
          </cell>
          <cell r="N1012" t="str">
            <v>Rafi Islam</v>
          </cell>
          <cell r="O1012" t="str">
            <v>CNHM-3</v>
          </cell>
          <cell r="P1012" t="str">
            <v>Solid-Sixers-(SS)</v>
          </cell>
          <cell r="Q1012">
            <v>1</v>
          </cell>
          <cell r="R1012">
            <v>163</v>
          </cell>
          <cell r="T1012" t="str">
            <v>RU</v>
          </cell>
          <cell r="U1012">
            <v>42339</v>
          </cell>
        </row>
        <row r="1013">
          <cell r="B1013" t="str">
            <v>AB Mamun</v>
          </cell>
          <cell r="C1013">
            <v>5</v>
          </cell>
          <cell r="D1013">
            <v>59</v>
          </cell>
          <cell r="E1013">
            <v>7</v>
          </cell>
          <cell r="F1013">
            <v>5</v>
          </cell>
          <cell r="G1013">
            <v>1</v>
          </cell>
          <cell r="H1013">
            <v>7</v>
          </cell>
          <cell r="I1013">
            <v>2</v>
          </cell>
          <cell r="M1013" t="str">
            <v>&gt;&gt;</v>
          </cell>
          <cell r="N1013" t="str">
            <v>Abdullah Al Mamun</v>
          </cell>
          <cell r="O1013" t="str">
            <v>CNHM-3</v>
          </cell>
          <cell r="P1013" t="str">
            <v>Solid-Sixers-(SS)</v>
          </cell>
          <cell r="Q1013">
            <v>1</v>
          </cell>
          <cell r="R1013">
            <v>163</v>
          </cell>
          <cell r="T1013" t="str">
            <v>RU</v>
          </cell>
          <cell r="U1013">
            <v>42339</v>
          </cell>
        </row>
        <row r="1014">
          <cell r="B1014" t="str">
            <v>Tutul</v>
          </cell>
          <cell r="C1014">
            <v>7</v>
          </cell>
          <cell r="D1014">
            <v>100</v>
          </cell>
          <cell r="E1014">
            <v>8</v>
          </cell>
          <cell r="F1014">
            <v>7</v>
          </cell>
          <cell r="G1014">
            <v>0</v>
          </cell>
          <cell r="H1014">
            <v>8</v>
          </cell>
          <cell r="I1014">
            <v>6</v>
          </cell>
          <cell r="M1014" t="str">
            <v>&gt;&gt;</v>
          </cell>
          <cell r="N1014" t="str">
            <v>Kamrul Hasan Tutul</v>
          </cell>
          <cell r="O1014" t="str">
            <v>CNHM-3</v>
          </cell>
          <cell r="P1014" t="str">
            <v>Solid-Sixers-(SS)</v>
          </cell>
          <cell r="Q1014">
            <v>1</v>
          </cell>
          <cell r="R1014">
            <v>163</v>
          </cell>
          <cell r="T1014" t="str">
            <v>RU</v>
          </cell>
          <cell r="U1014">
            <v>42339</v>
          </cell>
        </row>
        <row r="1015">
          <cell r="B1015" t="str">
            <v>Knockout-Punchers-(KP)</v>
          </cell>
          <cell r="M1015" t="str">
            <v>&gt;&gt;</v>
          </cell>
          <cell r="N1015" t="str">
            <v/>
          </cell>
          <cell r="O1015" t="str">
            <v>CNHM-3</v>
          </cell>
          <cell r="P1015" t="str">
            <v>Knockout-Punchers-(KP)</v>
          </cell>
          <cell r="Q1015">
            <v>1</v>
          </cell>
          <cell r="R1015">
            <v>164</v>
          </cell>
          <cell r="U1015">
            <v>42339</v>
          </cell>
        </row>
        <row r="1016">
          <cell r="B1016" t="str">
            <v>Tarek</v>
          </cell>
          <cell r="C1016">
            <v>6</v>
          </cell>
          <cell r="D1016">
            <v>112</v>
          </cell>
          <cell r="E1016">
            <v>7</v>
          </cell>
          <cell r="F1016">
            <v>9</v>
          </cell>
          <cell r="G1016">
            <v>1</v>
          </cell>
          <cell r="H1016">
            <v>9</v>
          </cell>
          <cell r="I1016">
            <v>7</v>
          </cell>
          <cell r="M1016" t="str">
            <v>&gt;&gt;</v>
          </cell>
          <cell r="N1016" t="str">
            <v>Prince Tarek</v>
          </cell>
          <cell r="O1016" t="str">
            <v>CNHM-3</v>
          </cell>
          <cell r="P1016" t="str">
            <v>Knockout-Punchers-(KP)</v>
          </cell>
          <cell r="Q1016">
            <v>1</v>
          </cell>
          <cell r="R1016">
            <v>164</v>
          </cell>
          <cell r="U1016">
            <v>42339</v>
          </cell>
        </row>
        <row r="1017">
          <cell r="B1017" t="str">
            <v>Zaheed</v>
          </cell>
          <cell r="C1017">
            <v>6</v>
          </cell>
          <cell r="D1017">
            <v>109</v>
          </cell>
          <cell r="E1017">
            <v>7</v>
          </cell>
          <cell r="F1017">
            <v>12</v>
          </cell>
          <cell r="G1017">
            <v>1</v>
          </cell>
          <cell r="H1017">
            <v>12</v>
          </cell>
          <cell r="I1017">
            <v>7</v>
          </cell>
          <cell r="M1017" t="str">
            <v>&gt;&gt;</v>
          </cell>
          <cell r="N1017" t="str">
            <v>Zaheed Hasan</v>
          </cell>
          <cell r="O1017" t="str">
            <v>CNHM-3</v>
          </cell>
          <cell r="P1017" t="str">
            <v>Knockout-Punchers-(KP)</v>
          </cell>
          <cell r="Q1017">
            <v>1</v>
          </cell>
          <cell r="R1017">
            <v>164</v>
          </cell>
          <cell r="U1017">
            <v>42339</v>
          </cell>
        </row>
        <row r="1018">
          <cell r="B1018" t="str">
            <v>Karim</v>
          </cell>
          <cell r="C1018">
            <v>1</v>
          </cell>
          <cell r="D1018">
            <v>2</v>
          </cell>
          <cell r="E1018">
            <v>0</v>
          </cell>
          <cell r="F1018">
            <v>1</v>
          </cell>
          <cell r="G1018">
            <v>0</v>
          </cell>
          <cell r="H1018">
            <v>0</v>
          </cell>
          <cell r="I1018">
            <v>0</v>
          </cell>
          <cell r="M1018" t="str">
            <v>&gt;&gt;</v>
          </cell>
          <cell r="N1018" t="str">
            <v>Karim Al Hasan</v>
          </cell>
          <cell r="O1018" t="str">
            <v>CNHM-3</v>
          </cell>
          <cell r="P1018" t="str">
            <v>Knockout-Punchers-(KP)</v>
          </cell>
          <cell r="Q1018">
            <v>1</v>
          </cell>
          <cell r="R1018">
            <v>164</v>
          </cell>
          <cell r="U1018">
            <v>42339</v>
          </cell>
        </row>
        <row r="1019">
          <cell r="B1019" t="str">
            <v>Roxy</v>
          </cell>
          <cell r="C1019">
            <v>6</v>
          </cell>
          <cell r="D1019">
            <v>19</v>
          </cell>
          <cell r="E1019">
            <v>4</v>
          </cell>
          <cell r="F1019">
            <v>4</v>
          </cell>
          <cell r="G1019">
            <v>0</v>
          </cell>
          <cell r="H1019">
            <v>0</v>
          </cell>
          <cell r="I1019">
            <v>1</v>
          </cell>
          <cell r="M1019" t="str">
            <v>&gt;&gt;</v>
          </cell>
          <cell r="N1019" t="str">
            <v>Obak Roxy</v>
          </cell>
          <cell r="O1019" t="str">
            <v>CNHM-3</v>
          </cell>
          <cell r="P1019" t="str">
            <v>Knockout-Punchers-(KP)</v>
          </cell>
          <cell r="Q1019">
            <v>1</v>
          </cell>
          <cell r="R1019">
            <v>164</v>
          </cell>
          <cell r="U1019">
            <v>42339</v>
          </cell>
        </row>
        <row r="1020">
          <cell r="B1020" t="str">
            <v>Tonmoy</v>
          </cell>
          <cell r="C1020">
            <v>6</v>
          </cell>
          <cell r="D1020">
            <v>103</v>
          </cell>
          <cell r="E1020">
            <v>6</v>
          </cell>
          <cell r="F1020">
            <v>8</v>
          </cell>
          <cell r="G1020">
            <v>0</v>
          </cell>
          <cell r="H1020">
            <v>6</v>
          </cell>
          <cell r="I1020">
            <v>7</v>
          </cell>
          <cell r="M1020" t="str">
            <v>&gt;&gt;</v>
          </cell>
          <cell r="N1020" t="str">
            <v>Asik Hassan Tonmoy</v>
          </cell>
          <cell r="O1020" t="str">
            <v>CNHM-3</v>
          </cell>
          <cell r="P1020" t="str">
            <v>Knockout-Punchers-(KP)</v>
          </cell>
          <cell r="Q1020">
            <v>1</v>
          </cell>
          <cell r="R1020">
            <v>164</v>
          </cell>
          <cell r="U1020">
            <v>42339</v>
          </cell>
        </row>
        <row r="1021">
          <cell r="B1021" t="str">
            <v>Akash</v>
          </cell>
          <cell r="C1021">
            <v>6</v>
          </cell>
          <cell r="D1021">
            <v>59</v>
          </cell>
          <cell r="E1021">
            <v>8</v>
          </cell>
          <cell r="F1021">
            <v>6</v>
          </cell>
          <cell r="G1021">
            <v>0</v>
          </cell>
          <cell r="H1021">
            <v>5</v>
          </cell>
          <cell r="I1021">
            <v>5</v>
          </cell>
          <cell r="M1021" t="str">
            <v>&gt;&gt;</v>
          </cell>
          <cell r="N1021" t="str">
            <v>Mahbubur Rahman Akash</v>
          </cell>
          <cell r="O1021" t="str">
            <v>CNHM-3</v>
          </cell>
          <cell r="P1021" t="str">
            <v>Knockout-Punchers-(KP)</v>
          </cell>
          <cell r="Q1021">
            <v>1</v>
          </cell>
          <cell r="R1021">
            <v>164</v>
          </cell>
          <cell r="U1021">
            <v>42339</v>
          </cell>
        </row>
        <row r="1022">
          <cell r="B1022" t="str">
            <v>Brave-Warriors-(BW)</v>
          </cell>
          <cell r="M1022" t="str">
            <v>&gt;&gt;</v>
          </cell>
          <cell r="N1022" t="str">
            <v/>
          </cell>
          <cell r="O1022" t="str">
            <v>CNHM-3</v>
          </cell>
          <cell r="P1022" t="str">
            <v>Brave-Warriors-(BW)</v>
          </cell>
          <cell r="Q1022">
            <v>1</v>
          </cell>
          <cell r="R1022">
            <v>165</v>
          </cell>
          <cell r="T1022" t="str">
            <v>CHAMP</v>
          </cell>
          <cell r="U1022">
            <v>42339</v>
          </cell>
        </row>
        <row r="1023">
          <cell r="B1023" t="str">
            <v>Roman</v>
          </cell>
          <cell r="C1023">
            <v>7</v>
          </cell>
          <cell r="D1023">
            <v>207</v>
          </cell>
          <cell r="E1023">
            <v>5</v>
          </cell>
          <cell r="F1023">
            <v>9</v>
          </cell>
          <cell r="G1023">
            <v>2</v>
          </cell>
          <cell r="H1023">
            <v>19</v>
          </cell>
          <cell r="I1023">
            <v>14</v>
          </cell>
          <cell r="M1023" t="str">
            <v>&gt;&gt;</v>
          </cell>
          <cell r="N1023" t="str">
            <v>Roman mahamud Arko</v>
          </cell>
          <cell r="O1023" t="str">
            <v>CNHM-3</v>
          </cell>
          <cell r="P1023" t="str">
            <v>Brave-Warriors-(BW)</v>
          </cell>
          <cell r="Q1023">
            <v>1</v>
          </cell>
          <cell r="R1023">
            <v>165</v>
          </cell>
          <cell r="T1023" t="str">
            <v>CHAMP</v>
          </cell>
          <cell r="U1023">
            <v>42339</v>
          </cell>
        </row>
        <row r="1024">
          <cell r="B1024" t="str">
            <v>Tanvir</v>
          </cell>
          <cell r="C1024">
            <v>8</v>
          </cell>
          <cell r="D1024">
            <v>139</v>
          </cell>
          <cell r="E1024">
            <v>13</v>
          </cell>
          <cell r="F1024">
            <v>11</v>
          </cell>
          <cell r="G1024">
            <v>1</v>
          </cell>
          <cell r="H1024">
            <v>9</v>
          </cell>
          <cell r="I1024">
            <v>10</v>
          </cell>
          <cell r="M1024" t="str">
            <v>&gt;&gt;</v>
          </cell>
          <cell r="N1024" t="str">
            <v>Tanvir Shakib</v>
          </cell>
          <cell r="O1024" t="str">
            <v>CNHM-3</v>
          </cell>
          <cell r="P1024" t="str">
            <v>Brave-Warriors-(BW)</v>
          </cell>
          <cell r="Q1024">
            <v>1</v>
          </cell>
          <cell r="R1024">
            <v>165</v>
          </cell>
          <cell r="T1024" t="str">
            <v>CHAMP</v>
          </cell>
          <cell r="U1024">
            <v>42339</v>
          </cell>
        </row>
        <row r="1025">
          <cell r="B1025" t="str">
            <v>Sakif</v>
          </cell>
          <cell r="C1025">
            <v>7</v>
          </cell>
          <cell r="D1025">
            <v>104</v>
          </cell>
          <cell r="E1025">
            <v>2</v>
          </cell>
          <cell r="F1025">
            <v>7</v>
          </cell>
          <cell r="G1025">
            <v>1</v>
          </cell>
          <cell r="H1025">
            <v>7</v>
          </cell>
          <cell r="I1025">
            <v>3</v>
          </cell>
          <cell r="M1025" t="str">
            <v>&gt;&gt;</v>
          </cell>
          <cell r="N1025" t="str">
            <v>Sakif Rahaman</v>
          </cell>
          <cell r="O1025" t="str">
            <v>CNHM-3</v>
          </cell>
          <cell r="P1025" t="str">
            <v>Brave-Warriors-(BW)</v>
          </cell>
          <cell r="Q1025">
            <v>1</v>
          </cell>
          <cell r="R1025">
            <v>165</v>
          </cell>
          <cell r="T1025" t="str">
            <v>CHAMP</v>
          </cell>
          <cell r="U1025">
            <v>42339</v>
          </cell>
        </row>
        <row r="1026">
          <cell r="B1026" t="str">
            <v>Munna</v>
          </cell>
          <cell r="C1026">
            <v>5</v>
          </cell>
          <cell r="D1026">
            <v>72</v>
          </cell>
          <cell r="E1026">
            <v>10</v>
          </cell>
          <cell r="F1026">
            <v>4</v>
          </cell>
          <cell r="G1026">
            <v>0</v>
          </cell>
          <cell r="H1026">
            <v>5</v>
          </cell>
          <cell r="I1026">
            <v>3</v>
          </cell>
          <cell r="M1026" t="str">
            <v>&gt;&gt;</v>
          </cell>
          <cell r="N1026" t="str">
            <v>Monowar Hossain Munna</v>
          </cell>
          <cell r="O1026" t="str">
            <v>CNHM-3</v>
          </cell>
          <cell r="P1026" t="str">
            <v>Brave-Warriors-(BW)</v>
          </cell>
          <cell r="Q1026">
            <v>1</v>
          </cell>
          <cell r="R1026">
            <v>165</v>
          </cell>
          <cell r="T1026" t="str">
            <v>CHAMP</v>
          </cell>
          <cell r="U1026">
            <v>42339</v>
          </cell>
        </row>
        <row r="1027">
          <cell r="B1027" t="str">
            <v>SA Shanto</v>
          </cell>
          <cell r="C1027">
            <v>8</v>
          </cell>
          <cell r="D1027">
            <v>69</v>
          </cell>
          <cell r="E1027">
            <v>9</v>
          </cell>
          <cell r="F1027">
            <v>8</v>
          </cell>
          <cell r="G1027">
            <v>1</v>
          </cell>
          <cell r="H1027">
            <v>2</v>
          </cell>
          <cell r="I1027">
            <v>5</v>
          </cell>
          <cell r="M1027" t="str">
            <v>&gt;&gt;</v>
          </cell>
          <cell r="N1027" t="str">
            <v>Sayed Anowar Shanto</v>
          </cell>
          <cell r="O1027" t="str">
            <v>CNHM-3</v>
          </cell>
          <cell r="P1027" t="str">
            <v>Brave-Warriors-(BW)</v>
          </cell>
          <cell r="Q1027">
            <v>1</v>
          </cell>
          <cell r="R1027">
            <v>165</v>
          </cell>
          <cell r="T1027" t="str">
            <v>CHAMP</v>
          </cell>
          <cell r="U1027">
            <v>42339</v>
          </cell>
        </row>
        <row r="1028">
          <cell r="B1028" t="str">
            <v>Niamul</v>
          </cell>
          <cell r="C1028">
            <v>7</v>
          </cell>
          <cell r="D1028">
            <v>56</v>
          </cell>
          <cell r="E1028">
            <v>6</v>
          </cell>
          <cell r="F1028">
            <v>7</v>
          </cell>
          <cell r="G1028">
            <v>1</v>
          </cell>
          <cell r="H1028">
            <v>4</v>
          </cell>
          <cell r="I1028">
            <v>3</v>
          </cell>
          <cell r="M1028" t="str">
            <v>&gt;&gt;</v>
          </cell>
          <cell r="N1028" t="str">
            <v>Niamul Habib Setu</v>
          </cell>
          <cell r="O1028" t="str">
            <v>CNHM-3</v>
          </cell>
          <cell r="P1028" t="str">
            <v>Brave-Warriors-(BW)</v>
          </cell>
          <cell r="Q1028">
            <v>1</v>
          </cell>
          <cell r="R1028">
            <v>165</v>
          </cell>
          <cell r="T1028" t="str">
            <v>CHAMP</v>
          </cell>
          <cell r="U1028">
            <v>42339</v>
          </cell>
        </row>
        <row r="1029">
          <cell r="B1029" t="str">
            <v>Handsome-Hitters-(HH)</v>
          </cell>
          <cell r="M1029" t="str">
            <v>&gt;&gt;</v>
          </cell>
          <cell r="N1029" t="str">
            <v/>
          </cell>
          <cell r="O1029" t="str">
            <v>CNHM-3</v>
          </cell>
          <cell r="P1029" t="str">
            <v>Handsome-Hitters-(HH)</v>
          </cell>
          <cell r="Q1029">
            <v>1</v>
          </cell>
          <cell r="R1029">
            <v>166</v>
          </cell>
          <cell r="U1029">
            <v>42339</v>
          </cell>
        </row>
        <row r="1030">
          <cell r="B1030" t="str">
            <v>Nur</v>
          </cell>
          <cell r="C1030">
            <v>8</v>
          </cell>
          <cell r="D1030">
            <v>61</v>
          </cell>
          <cell r="E1030">
            <v>4</v>
          </cell>
          <cell r="F1030">
            <v>10</v>
          </cell>
          <cell r="G1030">
            <v>1</v>
          </cell>
          <cell r="H1030">
            <v>4</v>
          </cell>
          <cell r="I1030">
            <v>3</v>
          </cell>
          <cell r="M1030" t="str">
            <v>&gt;&gt;</v>
          </cell>
          <cell r="N1030" t="str">
            <v>Nur Muhammad</v>
          </cell>
          <cell r="O1030" t="str">
            <v>CNHM-3</v>
          </cell>
          <cell r="P1030" t="str">
            <v>Handsome-Hitters-(HH)</v>
          </cell>
          <cell r="Q1030">
            <v>1</v>
          </cell>
          <cell r="R1030">
            <v>166</v>
          </cell>
          <cell r="U1030">
            <v>42339</v>
          </cell>
        </row>
        <row r="1031">
          <cell r="B1031" t="str">
            <v>Asif</v>
          </cell>
          <cell r="C1031">
            <v>8</v>
          </cell>
          <cell r="D1031">
            <v>174</v>
          </cell>
          <cell r="E1031">
            <v>1</v>
          </cell>
          <cell r="F1031">
            <v>10</v>
          </cell>
          <cell r="G1031">
            <v>0</v>
          </cell>
          <cell r="H1031">
            <v>10</v>
          </cell>
          <cell r="I1031">
            <v>14</v>
          </cell>
          <cell r="M1031" t="str">
            <v>&gt;&gt;</v>
          </cell>
          <cell r="N1031" t="str">
            <v>Asif Iqbal Khan</v>
          </cell>
          <cell r="O1031" t="str">
            <v>CNHM-3</v>
          </cell>
          <cell r="P1031" t="str">
            <v>Handsome-Hitters-(HH)</v>
          </cell>
          <cell r="Q1031">
            <v>1</v>
          </cell>
          <cell r="R1031">
            <v>166</v>
          </cell>
          <cell r="U1031">
            <v>42339</v>
          </cell>
        </row>
        <row r="1032">
          <cell r="B1032" t="str">
            <v>Towkir</v>
          </cell>
          <cell r="C1032">
            <v>6</v>
          </cell>
          <cell r="D1032">
            <v>90</v>
          </cell>
          <cell r="E1032">
            <v>5</v>
          </cell>
          <cell r="F1032">
            <v>6</v>
          </cell>
          <cell r="G1032">
            <v>2</v>
          </cell>
          <cell r="H1032">
            <v>10</v>
          </cell>
          <cell r="I1032">
            <v>3</v>
          </cell>
          <cell r="M1032" t="str">
            <v>&gt;&gt;</v>
          </cell>
          <cell r="N1032" t="str">
            <v>Towkir Ahmed Siddique</v>
          </cell>
          <cell r="O1032" t="str">
            <v>CNHM-3</v>
          </cell>
          <cell r="P1032" t="str">
            <v>Handsome-Hitters-(HH)</v>
          </cell>
          <cell r="Q1032">
            <v>1</v>
          </cell>
          <cell r="R1032">
            <v>166</v>
          </cell>
          <cell r="U1032">
            <v>42339</v>
          </cell>
        </row>
        <row r="1033">
          <cell r="B1033" t="str">
            <v>Ariful</v>
          </cell>
          <cell r="C1033">
            <v>8</v>
          </cell>
          <cell r="D1033">
            <v>66</v>
          </cell>
          <cell r="E1033">
            <v>14</v>
          </cell>
          <cell r="F1033">
            <v>7</v>
          </cell>
          <cell r="G1033">
            <v>0</v>
          </cell>
          <cell r="H1033">
            <v>3</v>
          </cell>
          <cell r="I1033">
            <v>5</v>
          </cell>
          <cell r="M1033" t="str">
            <v>&gt;&gt;</v>
          </cell>
          <cell r="N1033" t="str">
            <v>Ahammed Ariful Haq</v>
          </cell>
          <cell r="O1033" t="str">
            <v>CNHM-3</v>
          </cell>
          <cell r="P1033" t="str">
            <v>Handsome-Hitters-(HH)</v>
          </cell>
          <cell r="Q1033">
            <v>1</v>
          </cell>
          <cell r="R1033">
            <v>166</v>
          </cell>
          <cell r="U1033">
            <v>42339</v>
          </cell>
          <cell r="W1033">
            <v>1</v>
          </cell>
        </row>
        <row r="1034">
          <cell r="B1034" t="str">
            <v>Shishir</v>
          </cell>
          <cell r="C1034">
            <v>6</v>
          </cell>
          <cell r="D1034">
            <v>50</v>
          </cell>
          <cell r="E1034">
            <v>4</v>
          </cell>
          <cell r="F1034">
            <v>4</v>
          </cell>
          <cell r="G1034">
            <v>1</v>
          </cell>
          <cell r="H1034">
            <v>3</v>
          </cell>
          <cell r="I1034">
            <v>4</v>
          </cell>
          <cell r="M1034" t="str">
            <v>&gt;&gt;</v>
          </cell>
          <cell r="N1034" t="str">
            <v>ShiShir Hossain</v>
          </cell>
          <cell r="O1034" t="str">
            <v>CNHM-3</v>
          </cell>
          <cell r="P1034" t="str">
            <v>Handsome-Hitters-(HH)</v>
          </cell>
          <cell r="Q1034">
            <v>1</v>
          </cell>
          <cell r="R1034">
            <v>166</v>
          </cell>
          <cell r="U1034">
            <v>42339</v>
          </cell>
        </row>
        <row r="1035">
          <cell r="B1035" t="str">
            <v>Hridoy</v>
          </cell>
          <cell r="C1035">
            <v>8</v>
          </cell>
          <cell r="D1035">
            <v>142</v>
          </cell>
          <cell r="E1035">
            <v>13</v>
          </cell>
          <cell r="F1035">
            <v>10</v>
          </cell>
          <cell r="G1035">
            <v>0</v>
          </cell>
          <cell r="H1035">
            <v>12</v>
          </cell>
          <cell r="I1035">
            <v>12</v>
          </cell>
          <cell r="M1035" t="str">
            <v>&gt;&gt;</v>
          </cell>
          <cell r="N1035" t="str">
            <v>Kamrul Hasan Hridoy</v>
          </cell>
          <cell r="O1035" t="str">
            <v>CNHM-3</v>
          </cell>
          <cell r="P1035" t="str">
            <v>Handsome-Hitters-(HH)</v>
          </cell>
          <cell r="Q1035">
            <v>1</v>
          </cell>
          <cell r="R1035">
            <v>166</v>
          </cell>
          <cell r="S1035" t="str">
            <v>CPOT</v>
          </cell>
          <cell r="U1035">
            <v>42339</v>
          </cell>
        </row>
        <row r="1036">
          <cell r="B1036" t="str">
            <v>Real-Fighters-(RF)</v>
          </cell>
          <cell r="M1036" t="str">
            <v>&gt;&gt;</v>
          </cell>
          <cell r="N1036" t="str">
            <v/>
          </cell>
          <cell r="O1036" t="str">
            <v>CNHM-3</v>
          </cell>
          <cell r="P1036" t="str">
            <v>Real-Fighters-(RF)</v>
          </cell>
          <cell r="Q1036">
            <v>1</v>
          </cell>
          <cell r="R1036">
            <v>167</v>
          </cell>
          <cell r="U1036">
            <v>42339</v>
          </cell>
        </row>
        <row r="1037">
          <cell r="B1037" t="str">
            <v>Sadrul</v>
          </cell>
          <cell r="C1037">
            <v>6</v>
          </cell>
          <cell r="D1037">
            <v>70</v>
          </cell>
          <cell r="E1037">
            <v>11</v>
          </cell>
          <cell r="F1037">
            <v>9</v>
          </cell>
          <cell r="G1037">
            <v>1</v>
          </cell>
          <cell r="H1037">
            <v>4</v>
          </cell>
          <cell r="I1037">
            <v>6</v>
          </cell>
          <cell r="M1037" t="str">
            <v>&gt;&gt;</v>
          </cell>
          <cell r="N1037" t="str">
            <v>Sadrul Anam</v>
          </cell>
          <cell r="O1037" t="str">
            <v>CNHM-3</v>
          </cell>
          <cell r="P1037" t="str">
            <v>Real-Fighters-(RF)</v>
          </cell>
          <cell r="Q1037">
            <v>1</v>
          </cell>
          <cell r="R1037">
            <v>167</v>
          </cell>
          <cell r="U1037">
            <v>42339</v>
          </cell>
        </row>
        <row r="1038">
          <cell r="B1038" t="str">
            <v>Rexx</v>
          </cell>
          <cell r="C1038">
            <v>6</v>
          </cell>
          <cell r="D1038">
            <v>79</v>
          </cell>
          <cell r="E1038">
            <v>6</v>
          </cell>
          <cell r="F1038">
            <v>10</v>
          </cell>
          <cell r="G1038">
            <v>1</v>
          </cell>
          <cell r="H1038">
            <v>8</v>
          </cell>
          <cell r="I1038">
            <v>3</v>
          </cell>
          <cell r="M1038" t="str">
            <v>&gt;&gt;</v>
          </cell>
          <cell r="N1038" t="str">
            <v>Bishwajit Sarkar</v>
          </cell>
          <cell r="O1038" t="str">
            <v>CNHM-3</v>
          </cell>
          <cell r="P1038" t="str">
            <v>Real-Fighters-(RF)</v>
          </cell>
          <cell r="Q1038">
            <v>1</v>
          </cell>
          <cell r="R1038">
            <v>167</v>
          </cell>
          <cell r="U1038">
            <v>42339</v>
          </cell>
        </row>
        <row r="1039">
          <cell r="B1039" t="str">
            <v>Rahib</v>
          </cell>
          <cell r="C1039">
            <v>6</v>
          </cell>
          <cell r="D1039">
            <v>77</v>
          </cell>
          <cell r="E1039">
            <v>5</v>
          </cell>
          <cell r="F1039">
            <v>8</v>
          </cell>
          <cell r="G1039">
            <v>1</v>
          </cell>
          <cell r="H1039">
            <v>2</v>
          </cell>
          <cell r="I1039">
            <v>2</v>
          </cell>
          <cell r="M1039" t="str">
            <v>&gt;&gt;</v>
          </cell>
          <cell r="N1039" t="str">
            <v xml:space="preserve">RA H IB </v>
          </cell>
          <cell r="O1039" t="str">
            <v>CNHM-3</v>
          </cell>
          <cell r="P1039" t="str">
            <v>Real-Fighters-(RF)</v>
          </cell>
          <cell r="Q1039">
            <v>1</v>
          </cell>
          <cell r="R1039">
            <v>167</v>
          </cell>
          <cell r="U1039">
            <v>42339</v>
          </cell>
        </row>
        <row r="1040">
          <cell r="B1040" t="str">
            <v>Ruffin</v>
          </cell>
          <cell r="C1040">
            <v>6</v>
          </cell>
          <cell r="D1040">
            <v>77</v>
          </cell>
          <cell r="E1040">
            <v>7</v>
          </cell>
          <cell r="F1040">
            <v>8</v>
          </cell>
          <cell r="G1040">
            <v>0</v>
          </cell>
          <cell r="H1040">
            <v>5</v>
          </cell>
          <cell r="I1040">
            <v>6</v>
          </cell>
          <cell r="M1040" t="str">
            <v>&gt;&gt;</v>
          </cell>
          <cell r="N1040" t="str">
            <v>Ruffin Remad</v>
          </cell>
          <cell r="O1040" t="str">
            <v>CNHM-3</v>
          </cell>
          <cell r="P1040" t="str">
            <v>Real-Fighters-(RF)</v>
          </cell>
          <cell r="Q1040">
            <v>1</v>
          </cell>
          <cell r="R1040">
            <v>167</v>
          </cell>
          <cell r="U1040">
            <v>42339</v>
          </cell>
        </row>
        <row r="1041">
          <cell r="B1041" t="str">
            <v>Ash</v>
          </cell>
          <cell r="C1041">
            <v>1</v>
          </cell>
          <cell r="D1041">
            <v>3</v>
          </cell>
          <cell r="E1041">
            <v>2</v>
          </cell>
          <cell r="F1041">
            <v>1</v>
          </cell>
          <cell r="G1041">
            <v>0</v>
          </cell>
          <cell r="H1041">
            <v>0</v>
          </cell>
          <cell r="I1041">
            <v>0</v>
          </cell>
          <cell r="M1041" t="str">
            <v>&gt;&gt;</v>
          </cell>
          <cell r="N1041" t="str">
            <v>Ash Saroer</v>
          </cell>
          <cell r="O1041" t="str">
            <v>CNHM-3</v>
          </cell>
          <cell r="P1041" t="str">
            <v>Real-Fighters-(RF)</v>
          </cell>
          <cell r="Q1041">
            <v>1</v>
          </cell>
          <cell r="R1041">
            <v>167</v>
          </cell>
          <cell r="U1041">
            <v>42339</v>
          </cell>
        </row>
        <row r="1042">
          <cell r="B1042" t="str">
            <v>Tanbir</v>
          </cell>
          <cell r="C1042">
            <v>2</v>
          </cell>
          <cell r="D1042">
            <v>23</v>
          </cell>
          <cell r="E1042">
            <v>1</v>
          </cell>
          <cell r="F1042">
            <v>2</v>
          </cell>
          <cell r="G1042">
            <v>0</v>
          </cell>
          <cell r="H1042">
            <v>1</v>
          </cell>
          <cell r="I1042">
            <v>2</v>
          </cell>
          <cell r="M1042" t="str">
            <v>&gt;&gt;</v>
          </cell>
          <cell r="N1042" t="str">
            <v>Tanbir Hasan</v>
          </cell>
          <cell r="O1042" t="str">
            <v>CNHM-3</v>
          </cell>
          <cell r="P1042" t="str">
            <v>Real-Fighters-(RF)</v>
          </cell>
          <cell r="Q1042">
            <v>1</v>
          </cell>
          <cell r="R1042">
            <v>167</v>
          </cell>
          <cell r="U1042">
            <v>42339</v>
          </cell>
        </row>
        <row r="1043">
          <cell r="B1043" t="str">
            <v>#FCL LMP</v>
          </cell>
          <cell r="M1043" t="str">
            <v>&gt;&gt;</v>
          </cell>
          <cell r="N1043" t="str">
            <v/>
          </cell>
          <cell r="O1043" t="str">
            <v>FWIN-1</v>
          </cell>
          <cell r="P1043" t="str">
            <v>FCL LMP</v>
          </cell>
          <cell r="Q1043">
            <v>1</v>
          </cell>
          <cell r="R1043">
            <v>168</v>
          </cell>
          <cell r="T1043" t="str">
            <v>CHAMP</v>
          </cell>
          <cell r="U1043">
            <v>42675</v>
          </cell>
        </row>
        <row r="1044">
          <cell r="B1044" t="str">
            <v>SH Shanto</v>
          </cell>
          <cell r="C1044">
            <v>15</v>
          </cell>
          <cell r="D1044">
            <v>189</v>
          </cell>
          <cell r="E1044">
            <v>26</v>
          </cell>
          <cell r="F1044">
            <v>21</v>
          </cell>
          <cell r="G1044">
            <v>0</v>
          </cell>
          <cell r="H1044">
            <v>13</v>
          </cell>
          <cell r="I1044">
            <v>14</v>
          </cell>
          <cell r="J1044">
            <v>2</v>
          </cell>
          <cell r="M1044" t="str">
            <v>&gt;&gt;</v>
          </cell>
          <cell r="N1044" t="str">
            <v>Sakhawat Hossain Shanto</v>
          </cell>
          <cell r="O1044" t="str">
            <v>FWIN-1</v>
          </cell>
          <cell r="P1044" t="str">
            <v>FCL LMP</v>
          </cell>
          <cell r="Q1044">
            <v>1</v>
          </cell>
          <cell r="R1044">
            <v>168</v>
          </cell>
          <cell r="T1044" t="str">
            <v>CHAMP</v>
          </cell>
          <cell r="U1044">
            <v>42675</v>
          </cell>
        </row>
        <row r="1045">
          <cell r="B1045" t="str">
            <v>Kafi</v>
          </cell>
          <cell r="C1045">
            <v>5</v>
          </cell>
          <cell r="D1045">
            <v>50</v>
          </cell>
          <cell r="E1045">
            <v>5</v>
          </cell>
          <cell r="F1045">
            <v>7</v>
          </cell>
          <cell r="G1045">
            <v>0</v>
          </cell>
          <cell r="H1045">
            <v>5</v>
          </cell>
          <cell r="I1045">
            <v>3</v>
          </cell>
          <cell r="M1045" t="str">
            <v>&gt;&gt;</v>
          </cell>
          <cell r="N1045" t="str">
            <v>Kafi Mazharul Islam</v>
          </cell>
          <cell r="O1045" t="str">
            <v>FWIN-1</v>
          </cell>
          <cell r="P1045" t="str">
            <v>FCL LMP</v>
          </cell>
          <cell r="Q1045">
            <v>1</v>
          </cell>
          <cell r="R1045">
            <v>168</v>
          </cell>
          <cell r="T1045" t="str">
            <v>CHAMP</v>
          </cell>
          <cell r="U1045">
            <v>42675</v>
          </cell>
        </row>
        <row r="1046">
          <cell r="B1046" t="str">
            <v>Arafat</v>
          </cell>
          <cell r="C1046">
            <v>13</v>
          </cell>
          <cell r="D1046">
            <v>192</v>
          </cell>
          <cell r="E1046">
            <v>10</v>
          </cell>
          <cell r="F1046">
            <v>16</v>
          </cell>
          <cell r="G1046">
            <v>0</v>
          </cell>
          <cell r="H1046">
            <v>13</v>
          </cell>
          <cell r="I1046">
            <v>13</v>
          </cell>
          <cell r="M1046" t="str">
            <v>&gt;&gt;</v>
          </cell>
          <cell r="N1046" t="str">
            <v>Sakib Arafat</v>
          </cell>
          <cell r="O1046" t="str">
            <v>FWIN-1</v>
          </cell>
          <cell r="P1046" t="str">
            <v>FCL LMP</v>
          </cell>
          <cell r="Q1046">
            <v>1</v>
          </cell>
          <cell r="R1046">
            <v>168</v>
          </cell>
          <cell r="T1046" t="str">
            <v>CHAMP</v>
          </cell>
          <cell r="U1046">
            <v>42675</v>
          </cell>
        </row>
        <row r="1047">
          <cell r="B1047" t="str">
            <v>Faisal</v>
          </cell>
          <cell r="C1047">
            <v>1</v>
          </cell>
          <cell r="D1047">
            <v>3</v>
          </cell>
          <cell r="E1047">
            <v>0</v>
          </cell>
          <cell r="F1047">
            <v>1</v>
          </cell>
          <cell r="G1047">
            <v>0</v>
          </cell>
          <cell r="H1047">
            <v>0</v>
          </cell>
          <cell r="I1047">
            <v>0</v>
          </cell>
          <cell r="M1047" t="str">
            <v>&gt;&gt;</v>
          </cell>
          <cell r="N1047" t="str">
            <v>Red Heart Faisal (Fayze Ahamed)</v>
          </cell>
          <cell r="O1047" t="str">
            <v>FWIN-1</v>
          </cell>
          <cell r="P1047" t="str">
            <v>FCL LMP</v>
          </cell>
          <cell r="Q1047">
            <v>1</v>
          </cell>
          <cell r="R1047">
            <v>168</v>
          </cell>
          <cell r="T1047" t="str">
            <v>CHAMP</v>
          </cell>
          <cell r="U1047">
            <v>42675</v>
          </cell>
        </row>
        <row r="1048">
          <cell r="B1048" t="str">
            <v>Saiful</v>
          </cell>
          <cell r="C1048">
            <v>15</v>
          </cell>
          <cell r="D1048">
            <v>198</v>
          </cell>
          <cell r="E1048">
            <v>12</v>
          </cell>
          <cell r="F1048">
            <v>19</v>
          </cell>
          <cell r="G1048">
            <v>3</v>
          </cell>
          <cell r="H1048">
            <v>18</v>
          </cell>
          <cell r="I1048">
            <v>14</v>
          </cell>
          <cell r="M1048" t="str">
            <v>&gt;&gt;</v>
          </cell>
          <cell r="N1048" t="str">
            <v>Saiful Islam</v>
          </cell>
          <cell r="O1048" t="str">
            <v>FWIN-1</v>
          </cell>
          <cell r="P1048" t="str">
            <v>FCL LMP</v>
          </cell>
          <cell r="Q1048">
            <v>1</v>
          </cell>
          <cell r="R1048">
            <v>168</v>
          </cell>
          <cell r="T1048" t="str">
            <v>CHAMP</v>
          </cell>
          <cell r="U1048">
            <v>42675</v>
          </cell>
        </row>
        <row r="1049">
          <cell r="B1049" t="str">
            <v>Roman</v>
          </cell>
          <cell r="C1049">
            <v>9</v>
          </cell>
          <cell r="D1049">
            <v>215</v>
          </cell>
          <cell r="E1049">
            <v>13</v>
          </cell>
          <cell r="F1049">
            <v>16</v>
          </cell>
          <cell r="G1049">
            <v>3</v>
          </cell>
          <cell r="H1049">
            <v>16</v>
          </cell>
          <cell r="I1049">
            <v>8</v>
          </cell>
          <cell r="M1049" t="str">
            <v>&gt;&gt;</v>
          </cell>
          <cell r="N1049" t="str">
            <v>Roman mahamud Arko</v>
          </cell>
          <cell r="O1049" t="str">
            <v>FWIN-1</v>
          </cell>
          <cell r="P1049" t="str">
            <v>FCL LMP</v>
          </cell>
          <cell r="Q1049">
            <v>1</v>
          </cell>
          <cell r="R1049">
            <v>168</v>
          </cell>
          <cell r="T1049" t="str">
            <v>CHAMP</v>
          </cell>
          <cell r="U1049">
            <v>42675</v>
          </cell>
        </row>
        <row r="1050">
          <cell r="B1050" t="str">
            <v>#FCL KINGS</v>
          </cell>
          <cell r="M1050" t="str">
            <v>&gt;&gt;</v>
          </cell>
          <cell r="N1050" t="str">
            <v/>
          </cell>
          <cell r="O1050" t="str">
            <v>FWIN-1</v>
          </cell>
          <cell r="P1050" t="str">
            <v>FCL KINGS</v>
          </cell>
          <cell r="Q1050">
            <v>1</v>
          </cell>
          <cell r="R1050">
            <v>169</v>
          </cell>
          <cell r="T1050" t="str">
            <v>RU</v>
          </cell>
          <cell r="U1050">
            <v>42675</v>
          </cell>
        </row>
        <row r="1051">
          <cell r="B1051" t="str">
            <v>Tarek</v>
          </cell>
          <cell r="C1051">
            <v>15</v>
          </cell>
          <cell r="D1051">
            <v>237</v>
          </cell>
          <cell r="E1051">
            <v>29</v>
          </cell>
          <cell r="F1051">
            <v>19</v>
          </cell>
          <cell r="G1051">
            <v>4</v>
          </cell>
          <cell r="H1051">
            <v>12</v>
          </cell>
          <cell r="I1051">
            <v>14</v>
          </cell>
          <cell r="J1051">
            <v>2</v>
          </cell>
          <cell r="M1051" t="str">
            <v>&gt;&gt;</v>
          </cell>
          <cell r="N1051" t="str">
            <v>Prince Tarek</v>
          </cell>
          <cell r="O1051" t="str">
            <v>FWIN-1</v>
          </cell>
          <cell r="P1051" t="str">
            <v>FCL KINGS</v>
          </cell>
          <cell r="Q1051">
            <v>1</v>
          </cell>
          <cell r="R1051">
            <v>169</v>
          </cell>
          <cell r="S1051" t="str">
            <v>MOT</v>
          </cell>
          <cell r="T1051" t="str">
            <v>RU</v>
          </cell>
          <cell r="U1051">
            <v>42675</v>
          </cell>
          <cell r="W1051">
            <v>1</v>
          </cell>
        </row>
        <row r="1052">
          <cell r="B1052" t="str">
            <v>Ab Mamun</v>
          </cell>
          <cell r="C1052">
            <v>11</v>
          </cell>
          <cell r="D1052">
            <v>103</v>
          </cell>
          <cell r="E1052">
            <v>16</v>
          </cell>
          <cell r="F1052">
            <v>11</v>
          </cell>
          <cell r="G1052">
            <v>0</v>
          </cell>
          <cell r="H1052">
            <v>8</v>
          </cell>
          <cell r="I1052">
            <v>6</v>
          </cell>
          <cell r="J1052">
            <v>1</v>
          </cell>
          <cell r="M1052" t="str">
            <v>&gt;&gt;</v>
          </cell>
          <cell r="N1052" t="str">
            <v>Abdullah Al Mamun</v>
          </cell>
          <cell r="O1052" t="str">
            <v>FWIN-1</v>
          </cell>
          <cell r="P1052" t="str">
            <v>FCL KINGS</v>
          </cell>
          <cell r="Q1052">
            <v>1</v>
          </cell>
          <cell r="R1052">
            <v>169</v>
          </cell>
          <cell r="T1052" t="str">
            <v>RU</v>
          </cell>
          <cell r="U1052">
            <v>42675</v>
          </cell>
        </row>
        <row r="1053">
          <cell r="B1053" t="str">
            <v>SA Shanto</v>
          </cell>
          <cell r="C1053">
            <v>14</v>
          </cell>
          <cell r="D1053">
            <v>227</v>
          </cell>
          <cell r="E1053">
            <v>15</v>
          </cell>
          <cell r="F1053">
            <v>16</v>
          </cell>
          <cell r="G1053">
            <v>2</v>
          </cell>
          <cell r="H1053">
            <v>24</v>
          </cell>
          <cell r="I1053">
            <v>11</v>
          </cell>
          <cell r="M1053" t="str">
            <v>&gt;&gt;</v>
          </cell>
          <cell r="N1053" t="str">
            <v>Sayed Anowar Shanto</v>
          </cell>
          <cell r="O1053" t="str">
            <v>FWIN-1</v>
          </cell>
          <cell r="P1053" t="str">
            <v>FCL KINGS</v>
          </cell>
          <cell r="Q1053">
            <v>1</v>
          </cell>
          <cell r="R1053">
            <v>169</v>
          </cell>
          <cell r="T1053" t="str">
            <v>RU</v>
          </cell>
          <cell r="U1053">
            <v>42675</v>
          </cell>
        </row>
        <row r="1054">
          <cell r="B1054" t="str">
            <v>Washim</v>
          </cell>
          <cell r="C1054">
            <v>5</v>
          </cell>
          <cell r="D1054">
            <v>57</v>
          </cell>
          <cell r="E1054">
            <v>4</v>
          </cell>
          <cell r="F1054">
            <v>4</v>
          </cell>
          <cell r="G1054">
            <v>1</v>
          </cell>
          <cell r="H1054">
            <v>2</v>
          </cell>
          <cell r="I1054">
            <v>6</v>
          </cell>
          <cell r="M1054" t="str">
            <v>&gt;&gt;</v>
          </cell>
          <cell r="N1054" t="str">
            <v>Akram Husan (Washim)</v>
          </cell>
          <cell r="O1054" t="str">
            <v>FWIN-1</v>
          </cell>
          <cell r="P1054" t="str">
            <v>FCL KINGS</v>
          </cell>
          <cell r="Q1054">
            <v>1</v>
          </cell>
          <cell r="R1054">
            <v>169</v>
          </cell>
          <cell r="T1054" t="str">
            <v>RU</v>
          </cell>
          <cell r="U1054">
            <v>42675</v>
          </cell>
        </row>
        <row r="1055">
          <cell r="B1055" t="str">
            <v>Tanvir</v>
          </cell>
          <cell r="C1055">
            <v>15</v>
          </cell>
          <cell r="D1055">
            <v>233</v>
          </cell>
          <cell r="E1055">
            <v>14</v>
          </cell>
          <cell r="F1055">
            <v>20</v>
          </cell>
          <cell r="G1055">
            <v>4</v>
          </cell>
          <cell r="H1055">
            <v>25</v>
          </cell>
          <cell r="I1055">
            <v>16</v>
          </cell>
          <cell r="M1055" t="str">
            <v>&gt;&gt;</v>
          </cell>
          <cell r="N1055" t="str">
            <v>Tanvir Shakib</v>
          </cell>
          <cell r="O1055" t="str">
            <v>FWIN-1</v>
          </cell>
          <cell r="P1055" t="str">
            <v>FCL KINGS</v>
          </cell>
          <cell r="Q1055">
            <v>1</v>
          </cell>
          <cell r="R1055">
            <v>169</v>
          </cell>
          <cell r="T1055" t="str">
            <v>RU</v>
          </cell>
          <cell r="U1055">
            <v>42675</v>
          </cell>
        </row>
        <row r="1056">
          <cell r="B1056" t="str">
            <v>#FCL VIKINGS</v>
          </cell>
          <cell r="M1056" t="str">
            <v>&gt;&gt;</v>
          </cell>
          <cell r="N1056" t="str">
            <v/>
          </cell>
          <cell r="O1056" t="str">
            <v>FWIN-1</v>
          </cell>
          <cell r="P1056" t="str">
            <v>FCL VIKINGS</v>
          </cell>
          <cell r="Q1056">
            <v>1</v>
          </cell>
          <cell r="R1056">
            <v>170</v>
          </cell>
          <cell r="U1056">
            <v>42675</v>
          </cell>
        </row>
        <row r="1057">
          <cell r="B1057" t="str">
            <v>Al Mamun</v>
          </cell>
          <cell r="C1057">
            <v>15</v>
          </cell>
          <cell r="D1057">
            <v>248</v>
          </cell>
          <cell r="E1057">
            <v>21</v>
          </cell>
          <cell r="F1057">
            <v>21</v>
          </cell>
          <cell r="G1057">
            <v>1</v>
          </cell>
          <cell r="H1057">
            <v>17</v>
          </cell>
          <cell r="I1057">
            <v>15</v>
          </cell>
          <cell r="M1057" t="str">
            <v>&gt;&gt;</v>
          </cell>
          <cell r="N1057" t="str">
            <v>Mohammed Al Mamun</v>
          </cell>
          <cell r="O1057" t="str">
            <v>FWIN-1</v>
          </cell>
          <cell r="P1057" t="str">
            <v>FCL VIKINGS</v>
          </cell>
          <cell r="Q1057">
            <v>1</v>
          </cell>
          <cell r="R1057">
            <v>170</v>
          </cell>
          <cell r="U1057">
            <v>42675</v>
          </cell>
        </row>
        <row r="1058">
          <cell r="B1058" t="str">
            <v>Apon</v>
          </cell>
          <cell r="C1058">
            <v>9</v>
          </cell>
          <cell r="D1058">
            <v>163</v>
          </cell>
          <cell r="E1058">
            <v>8</v>
          </cell>
          <cell r="F1058">
            <v>10</v>
          </cell>
          <cell r="G1058">
            <v>2</v>
          </cell>
          <cell r="H1058">
            <v>5</v>
          </cell>
          <cell r="I1058">
            <v>13</v>
          </cell>
          <cell r="M1058" t="str">
            <v>&gt;&gt;</v>
          </cell>
          <cell r="N1058" t="str">
            <v>Al Amin Apon</v>
          </cell>
          <cell r="O1058" t="str">
            <v>FWIN-1</v>
          </cell>
          <cell r="P1058" t="str">
            <v>FCL VIKINGS</v>
          </cell>
          <cell r="Q1058">
            <v>1</v>
          </cell>
          <cell r="R1058">
            <v>170</v>
          </cell>
          <cell r="U1058">
            <v>42675</v>
          </cell>
        </row>
        <row r="1059">
          <cell r="B1059" t="str">
            <v>Tanjir</v>
          </cell>
          <cell r="C1059">
            <v>6</v>
          </cell>
          <cell r="D1059">
            <v>76</v>
          </cell>
          <cell r="E1059">
            <v>4</v>
          </cell>
          <cell r="F1059">
            <v>5</v>
          </cell>
          <cell r="G1059">
            <v>0</v>
          </cell>
          <cell r="H1059">
            <v>8</v>
          </cell>
          <cell r="I1059">
            <v>5</v>
          </cell>
          <cell r="M1059" t="str">
            <v>&gt;&gt;</v>
          </cell>
          <cell r="N1059" t="str">
            <v>Tanjir Rahman</v>
          </cell>
          <cell r="O1059" t="str">
            <v>FWIN-1</v>
          </cell>
          <cell r="P1059" t="str">
            <v>FCL VIKINGS</v>
          </cell>
          <cell r="Q1059">
            <v>1</v>
          </cell>
          <cell r="R1059">
            <v>170</v>
          </cell>
          <cell r="U1059">
            <v>42675</v>
          </cell>
        </row>
        <row r="1060">
          <cell r="B1060" t="str">
            <v>Sadrul</v>
          </cell>
          <cell r="C1060">
            <v>15</v>
          </cell>
          <cell r="D1060">
            <v>241</v>
          </cell>
          <cell r="E1060">
            <v>20</v>
          </cell>
          <cell r="F1060">
            <v>21</v>
          </cell>
          <cell r="G1060">
            <v>6</v>
          </cell>
          <cell r="H1060">
            <v>23</v>
          </cell>
          <cell r="I1060">
            <v>13</v>
          </cell>
          <cell r="M1060" t="str">
            <v>&gt;&gt;</v>
          </cell>
          <cell r="N1060" t="str">
            <v>Sadrul Anam</v>
          </cell>
          <cell r="O1060" t="str">
            <v>FWIN-1</v>
          </cell>
          <cell r="P1060" t="str">
            <v>FCL VIKINGS</v>
          </cell>
          <cell r="Q1060">
            <v>1</v>
          </cell>
          <cell r="R1060">
            <v>170</v>
          </cell>
          <cell r="U1060">
            <v>42675</v>
          </cell>
        </row>
        <row r="1061">
          <cell r="B1061" t="str">
            <v>Mullah</v>
          </cell>
          <cell r="C1061">
            <v>14</v>
          </cell>
          <cell r="D1061">
            <v>207</v>
          </cell>
          <cell r="E1061">
            <v>20</v>
          </cell>
          <cell r="F1061">
            <v>20</v>
          </cell>
          <cell r="G1061">
            <v>2</v>
          </cell>
          <cell r="H1061">
            <v>17</v>
          </cell>
          <cell r="I1061">
            <v>12</v>
          </cell>
          <cell r="M1061" t="str">
            <v>&gt;&gt;</v>
          </cell>
          <cell r="N1061" t="str">
            <v>Mohammad Haris Mullah</v>
          </cell>
          <cell r="O1061" t="str">
            <v>FWIN-1</v>
          </cell>
          <cell r="P1061" t="str">
            <v>FCL VIKINGS</v>
          </cell>
          <cell r="Q1061">
            <v>1</v>
          </cell>
          <cell r="R1061">
            <v>170</v>
          </cell>
          <cell r="U1061">
            <v>42675</v>
          </cell>
        </row>
        <row r="1062">
          <cell r="B1062" t="str">
            <v>#FCL CHELLENGERS</v>
          </cell>
          <cell r="M1062" t="str">
            <v>&gt;&gt;</v>
          </cell>
          <cell r="N1062" t="str">
            <v/>
          </cell>
          <cell r="O1062" t="str">
            <v>FWIN-1</v>
          </cell>
          <cell r="P1062" t="str">
            <v>FCL CHELLENGERS</v>
          </cell>
          <cell r="Q1062">
            <v>1</v>
          </cell>
          <cell r="R1062">
            <v>171</v>
          </cell>
          <cell r="U1062">
            <v>42675</v>
          </cell>
        </row>
        <row r="1063">
          <cell r="B1063" t="str">
            <v>Tonmoy</v>
          </cell>
          <cell r="C1063">
            <v>15</v>
          </cell>
          <cell r="D1063">
            <v>165</v>
          </cell>
          <cell r="E1063">
            <v>22</v>
          </cell>
          <cell r="F1063">
            <v>16</v>
          </cell>
          <cell r="G1063">
            <v>0</v>
          </cell>
          <cell r="H1063">
            <v>12</v>
          </cell>
          <cell r="I1063">
            <v>14</v>
          </cell>
          <cell r="M1063" t="str">
            <v>&gt;&gt;</v>
          </cell>
          <cell r="N1063" t="str">
            <v>Asik Hassan Tonmoy</v>
          </cell>
          <cell r="O1063" t="str">
            <v>FWIN-1</v>
          </cell>
          <cell r="P1063" t="str">
            <v>FCL CHELLENGERS</v>
          </cell>
          <cell r="Q1063">
            <v>1</v>
          </cell>
          <cell r="R1063">
            <v>171</v>
          </cell>
          <cell r="U1063">
            <v>42675</v>
          </cell>
        </row>
        <row r="1064">
          <cell r="B1064" t="str">
            <v>Azwad</v>
          </cell>
          <cell r="C1064">
            <v>15</v>
          </cell>
          <cell r="D1064">
            <v>186</v>
          </cell>
          <cell r="E1064">
            <v>18</v>
          </cell>
          <cell r="F1064">
            <v>16</v>
          </cell>
          <cell r="G1064">
            <v>3</v>
          </cell>
          <cell r="H1064">
            <v>18</v>
          </cell>
          <cell r="I1064">
            <v>13</v>
          </cell>
          <cell r="M1064" t="str">
            <v>&gt;&gt;</v>
          </cell>
          <cell r="N1064" t="str">
            <v>Azwad Awsaf</v>
          </cell>
          <cell r="O1064" t="str">
            <v>FWIN-1</v>
          </cell>
          <cell r="P1064" t="str">
            <v>FCL CHELLENGERS</v>
          </cell>
          <cell r="Q1064">
            <v>1</v>
          </cell>
          <cell r="R1064">
            <v>171</v>
          </cell>
          <cell r="U1064">
            <v>42675</v>
          </cell>
        </row>
        <row r="1065">
          <cell r="B1065" t="str">
            <v>Rexx</v>
          </cell>
          <cell r="C1065">
            <v>13</v>
          </cell>
          <cell r="D1065">
            <v>127</v>
          </cell>
          <cell r="E1065">
            <v>18</v>
          </cell>
          <cell r="F1065">
            <v>13</v>
          </cell>
          <cell r="G1065">
            <v>0</v>
          </cell>
          <cell r="H1065">
            <v>12</v>
          </cell>
          <cell r="I1065">
            <v>7</v>
          </cell>
          <cell r="J1065">
            <v>1</v>
          </cell>
          <cell r="M1065" t="str">
            <v>&gt;&gt;</v>
          </cell>
          <cell r="N1065" t="str">
            <v>Bishwajit Sarkar</v>
          </cell>
          <cell r="O1065" t="str">
            <v>FWIN-1</v>
          </cell>
          <cell r="P1065" t="str">
            <v>FCL CHELLENGERS</v>
          </cell>
          <cell r="Q1065">
            <v>1</v>
          </cell>
          <cell r="R1065">
            <v>171</v>
          </cell>
          <cell r="U1065">
            <v>42675</v>
          </cell>
        </row>
        <row r="1066">
          <cell r="B1066" t="str">
            <v>Kamal</v>
          </cell>
          <cell r="C1066">
            <v>15</v>
          </cell>
          <cell r="D1066">
            <v>314</v>
          </cell>
          <cell r="E1066">
            <v>21</v>
          </cell>
          <cell r="F1066">
            <v>20</v>
          </cell>
          <cell r="G1066">
            <v>6</v>
          </cell>
          <cell r="H1066">
            <v>18</v>
          </cell>
          <cell r="I1066">
            <v>19</v>
          </cell>
          <cell r="M1066" t="str">
            <v>&gt;&gt;</v>
          </cell>
          <cell r="N1066" t="str">
            <v>MD Kamal Hossain Kamal</v>
          </cell>
          <cell r="O1066" t="str">
            <v>FWIN-1</v>
          </cell>
          <cell r="P1066" t="str">
            <v>FCL CHELLENGERS</v>
          </cell>
          <cell r="Q1066">
            <v>1</v>
          </cell>
          <cell r="R1066">
            <v>171</v>
          </cell>
          <cell r="S1066" t="str">
            <v>CPOT</v>
          </cell>
          <cell r="U1066">
            <v>42675</v>
          </cell>
          <cell r="V1066">
            <v>1</v>
          </cell>
        </row>
        <row r="1067">
          <cell r="B1067" t="str">
            <v>Kamil</v>
          </cell>
          <cell r="C1067">
            <v>7</v>
          </cell>
          <cell r="D1067">
            <v>56</v>
          </cell>
          <cell r="E1067">
            <v>1</v>
          </cell>
          <cell r="F1067">
            <v>8</v>
          </cell>
          <cell r="G1067">
            <v>0</v>
          </cell>
          <cell r="H1067">
            <v>5</v>
          </cell>
          <cell r="I1067">
            <v>2</v>
          </cell>
          <cell r="M1067" t="str">
            <v>&gt;&gt;</v>
          </cell>
          <cell r="N1067" t="str">
            <v>Kamil Ahmed</v>
          </cell>
          <cell r="O1067" t="str">
            <v>FWIN-1</v>
          </cell>
          <cell r="P1067" t="str">
            <v>FCL CHELLENGERS</v>
          </cell>
          <cell r="Q1067">
            <v>1</v>
          </cell>
          <cell r="R1067">
            <v>171</v>
          </cell>
          <cell r="U1067">
            <v>42675</v>
          </cell>
        </row>
        <row r="1068">
          <cell r="B1068" t="str">
            <v>#FCL SUPERSTARS</v>
          </cell>
          <cell r="M1068" t="str">
            <v>&gt;&gt;</v>
          </cell>
          <cell r="N1068" t="str">
            <v/>
          </cell>
          <cell r="O1068" t="str">
            <v>FWIN-1</v>
          </cell>
          <cell r="P1068" t="str">
            <v>FCL SUPERSTARS</v>
          </cell>
          <cell r="Q1068">
            <v>1</v>
          </cell>
          <cell r="R1068">
            <v>172</v>
          </cell>
          <cell r="U1068">
            <v>42675</v>
          </cell>
        </row>
        <row r="1069">
          <cell r="B1069" t="str">
            <v>Nur</v>
          </cell>
          <cell r="C1069">
            <v>12</v>
          </cell>
          <cell r="D1069">
            <v>224</v>
          </cell>
          <cell r="E1069">
            <v>22</v>
          </cell>
          <cell r="F1069">
            <v>19</v>
          </cell>
          <cell r="G1069">
            <v>4</v>
          </cell>
          <cell r="H1069">
            <v>23</v>
          </cell>
          <cell r="I1069">
            <v>15</v>
          </cell>
          <cell r="M1069" t="str">
            <v>&gt;&gt;</v>
          </cell>
          <cell r="N1069" t="str">
            <v>Nur Muhammad</v>
          </cell>
          <cell r="O1069" t="str">
            <v>FWIN-1</v>
          </cell>
          <cell r="P1069" t="str">
            <v>FCL SUPERSTARS</v>
          </cell>
          <cell r="Q1069">
            <v>1</v>
          </cell>
          <cell r="R1069">
            <v>172</v>
          </cell>
          <cell r="U1069">
            <v>42675</v>
          </cell>
        </row>
        <row r="1070">
          <cell r="B1070" t="str">
            <v>Saykat</v>
          </cell>
          <cell r="C1070">
            <v>9</v>
          </cell>
          <cell r="D1070">
            <v>124</v>
          </cell>
          <cell r="E1070">
            <v>7</v>
          </cell>
          <cell r="F1070">
            <v>9</v>
          </cell>
          <cell r="G1070">
            <v>1</v>
          </cell>
          <cell r="H1070">
            <v>16</v>
          </cell>
          <cell r="I1070">
            <v>4</v>
          </cell>
          <cell r="M1070" t="str">
            <v>&gt;&gt;</v>
          </cell>
          <cell r="N1070" t="str">
            <v>Ahmad Saykat (Mohammad Sheikh Farid Uddin)</v>
          </cell>
          <cell r="O1070" t="str">
            <v>FWIN-1</v>
          </cell>
          <cell r="P1070" t="str">
            <v>FCL SUPERSTARS</v>
          </cell>
          <cell r="Q1070">
            <v>1</v>
          </cell>
          <cell r="R1070">
            <v>172</v>
          </cell>
          <cell r="U1070">
            <v>42675</v>
          </cell>
        </row>
        <row r="1071">
          <cell r="B1071" t="str">
            <v>Arif</v>
          </cell>
          <cell r="C1071">
            <v>13</v>
          </cell>
          <cell r="D1071">
            <v>231</v>
          </cell>
          <cell r="E1071">
            <v>20</v>
          </cell>
          <cell r="F1071">
            <v>22</v>
          </cell>
          <cell r="H1071">
            <v>18</v>
          </cell>
          <cell r="I1071">
            <v>15</v>
          </cell>
          <cell r="M1071" t="str">
            <v>&gt;&gt;</v>
          </cell>
          <cell r="N1071" t="str">
            <v>Arif Ziad</v>
          </cell>
          <cell r="O1071" t="str">
            <v>FWIN-1</v>
          </cell>
          <cell r="P1071" t="str">
            <v>FCL SUPERSTARS</v>
          </cell>
          <cell r="Q1071">
            <v>1</v>
          </cell>
          <cell r="R1071">
            <v>172</v>
          </cell>
          <cell r="U1071">
            <v>42675</v>
          </cell>
        </row>
        <row r="1072">
          <cell r="B1072" t="str">
            <v>Shohag</v>
          </cell>
          <cell r="C1072">
            <v>4</v>
          </cell>
          <cell r="D1072">
            <v>25</v>
          </cell>
          <cell r="E1072">
            <v>0</v>
          </cell>
          <cell r="F1072">
            <v>4</v>
          </cell>
          <cell r="G1072">
            <v>1</v>
          </cell>
          <cell r="H1072">
            <v>0</v>
          </cell>
          <cell r="I1072">
            <v>3</v>
          </cell>
          <cell r="M1072" t="str">
            <v>&gt;&gt;</v>
          </cell>
          <cell r="N1072" t="str">
            <v>Hetlar Shohag</v>
          </cell>
          <cell r="O1072" t="str">
            <v>FWIN-1</v>
          </cell>
          <cell r="P1072" t="str">
            <v>FCL SUPERSTARS</v>
          </cell>
          <cell r="Q1072">
            <v>1</v>
          </cell>
          <cell r="R1072">
            <v>172</v>
          </cell>
          <cell r="U1072">
            <v>42675</v>
          </cell>
        </row>
        <row r="1073">
          <cell r="B1073" t="str">
            <v>Ariful</v>
          </cell>
          <cell r="C1073">
            <v>13</v>
          </cell>
          <cell r="D1073">
            <v>161</v>
          </cell>
          <cell r="E1073">
            <v>17</v>
          </cell>
          <cell r="F1073">
            <v>18</v>
          </cell>
          <cell r="G1073">
            <v>0</v>
          </cell>
          <cell r="H1073">
            <v>17</v>
          </cell>
          <cell r="I1073">
            <v>10</v>
          </cell>
          <cell r="M1073" t="str">
            <v>&gt;&gt;</v>
          </cell>
          <cell r="N1073" t="str">
            <v>Ahammed Ariful Haq</v>
          </cell>
          <cell r="O1073" t="str">
            <v>FWIN-1</v>
          </cell>
          <cell r="P1073" t="str">
            <v>FCL SUPERSTARS</v>
          </cell>
          <cell r="Q1073">
            <v>1</v>
          </cell>
          <cell r="R1073">
            <v>172</v>
          </cell>
          <cell r="U1073">
            <v>42675</v>
          </cell>
        </row>
        <row r="1074">
          <cell r="B1074" t="str">
            <v>#CRICK FCL</v>
          </cell>
          <cell r="M1074" t="str">
            <v>&gt;&gt;</v>
          </cell>
          <cell r="N1074" t="str">
            <v/>
          </cell>
          <cell r="O1074" t="str">
            <v>FWIN-1</v>
          </cell>
          <cell r="P1074" t="str">
            <v>CRICK FCL</v>
          </cell>
          <cell r="Q1074">
            <v>1</v>
          </cell>
          <cell r="R1074">
            <v>173</v>
          </cell>
          <cell r="U1074">
            <v>42675</v>
          </cell>
        </row>
        <row r="1075">
          <cell r="B1075" t="str">
            <v>Tutul</v>
          </cell>
          <cell r="C1075">
            <v>13</v>
          </cell>
          <cell r="D1075">
            <v>200</v>
          </cell>
          <cell r="E1075">
            <v>13</v>
          </cell>
          <cell r="F1075">
            <v>17</v>
          </cell>
          <cell r="G1075">
            <v>1</v>
          </cell>
          <cell r="H1075">
            <v>11</v>
          </cell>
          <cell r="I1075">
            <v>16</v>
          </cell>
          <cell r="M1075" t="str">
            <v>&gt;&gt;</v>
          </cell>
          <cell r="N1075" t="str">
            <v>Kamrul Hasan Tutul</v>
          </cell>
          <cell r="O1075" t="str">
            <v>FWIN-1</v>
          </cell>
          <cell r="P1075" t="str">
            <v>CRICK FCL</v>
          </cell>
          <cell r="Q1075">
            <v>1</v>
          </cell>
          <cell r="R1075">
            <v>173</v>
          </cell>
          <cell r="U1075">
            <v>42675</v>
          </cell>
        </row>
        <row r="1076">
          <cell r="B1076" t="str">
            <v>Saniat</v>
          </cell>
          <cell r="C1076">
            <v>13</v>
          </cell>
          <cell r="D1076">
            <v>220</v>
          </cell>
          <cell r="E1076">
            <v>8</v>
          </cell>
          <cell r="F1076">
            <v>16</v>
          </cell>
          <cell r="G1076">
            <v>2</v>
          </cell>
          <cell r="H1076">
            <v>16</v>
          </cell>
          <cell r="I1076">
            <v>17</v>
          </cell>
          <cell r="M1076" t="str">
            <v>&gt;&gt;</v>
          </cell>
          <cell r="N1076" t="str">
            <v>Saniat Pranto</v>
          </cell>
          <cell r="O1076" t="str">
            <v>FWIN-1</v>
          </cell>
          <cell r="P1076" t="str">
            <v>CRICK FCL</v>
          </cell>
          <cell r="Q1076">
            <v>1</v>
          </cell>
          <cell r="R1076">
            <v>173</v>
          </cell>
          <cell r="U1076">
            <v>42675</v>
          </cell>
        </row>
        <row r="1077">
          <cell r="B1077" t="str">
            <v>Akash</v>
          </cell>
          <cell r="C1077">
            <v>12</v>
          </cell>
          <cell r="D1077">
            <v>119</v>
          </cell>
          <cell r="E1077">
            <v>9</v>
          </cell>
          <cell r="F1077">
            <v>10</v>
          </cell>
          <cell r="G1077">
            <v>0</v>
          </cell>
          <cell r="H1077">
            <v>17</v>
          </cell>
          <cell r="I1077">
            <v>3</v>
          </cell>
          <cell r="J1077">
            <v>1</v>
          </cell>
          <cell r="M1077" t="str">
            <v>&gt;&gt;</v>
          </cell>
          <cell r="N1077" t="str">
            <v>Mahbubur Rahman Akash</v>
          </cell>
          <cell r="O1077" t="str">
            <v>FWIN-1</v>
          </cell>
          <cell r="P1077" t="str">
            <v>CRICK FCL</v>
          </cell>
          <cell r="Q1077">
            <v>1</v>
          </cell>
          <cell r="R1077">
            <v>173</v>
          </cell>
          <cell r="U1077">
            <v>42675</v>
          </cell>
        </row>
        <row r="1078">
          <cell r="B1078" t="str">
            <v>Pranto</v>
          </cell>
          <cell r="C1078">
            <v>13</v>
          </cell>
          <cell r="D1078">
            <v>160</v>
          </cell>
          <cell r="E1078">
            <v>15</v>
          </cell>
          <cell r="F1078">
            <v>15</v>
          </cell>
          <cell r="G1078">
            <v>2</v>
          </cell>
          <cell r="H1078">
            <v>15</v>
          </cell>
          <cell r="I1078">
            <v>10</v>
          </cell>
          <cell r="M1078" t="str">
            <v>&gt;&gt;</v>
          </cell>
          <cell r="N1078" t="str">
            <v>Bandhon Podder Pranto</v>
          </cell>
          <cell r="O1078" t="str">
            <v>FWIN-1</v>
          </cell>
          <cell r="P1078" t="str">
            <v>CRICK FCL</v>
          </cell>
          <cell r="Q1078">
            <v>1</v>
          </cell>
          <cell r="R1078">
            <v>173</v>
          </cell>
          <cell r="U1078">
            <v>42675</v>
          </cell>
        </row>
        <row r="1079">
          <cell r="B1079" t="str">
            <v>Hridoy</v>
          </cell>
          <cell r="C1079">
            <v>10</v>
          </cell>
          <cell r="D1079">
            <v>117</v>
          </cell>
          <cell r="E1079">
            <v>7</v>
          </cell>
          <cell r="F1079">
            <v>11</v>
          </cell>
          <cell r="G1079">
            <v>1</v>
          </cell>
          <cell r="H1079">
            <v>8</v>
          </cell>
          <cell r="I1079">
            <v>7</v>
          </cell>
          <cell r="J1079">
            <v>1</v>
          </cell>
          <cell r="M1079" t="str">
            <v>&gt;&gt;</v>
          </cell>
          <cell r="N1079" t="str">
            <v>Kamrul Hasan Hridoy</v>
          </cell>
          <cell r="O1079" t="str">
            <v>FWIN-1</v>
          </cell>
          <cell r="P1079" t="str">
            <v>CRICK FCL</v>
          </cell>
          <cell r="Q1079">
            <v>1</v>
          </cell>
          <cell r="R1079">
            <v>173</v>
          </cell>
          <cell r="U1079">
            <v>42675</v>
          </cell>
        </row>
        <row r="1080">
          <cell r="B1080" t="str">
            <v>#FCL SUPER KINGS</v>
          </cell>
          <cell r="M1080" t="str">
            <v>&gt;&gt;</v>
          </cell>
          <cell r="N1080" t="str">
            <v/>
          </cell>
          <cell r="O1080" t="str">
            <v>FWIN-1</v>
          </cell>
          <cell r="P1080" t="str">
            <v>FCL SUPER KINGS</v>
          </cell>
          <cell r="Q1080">
            <v>1</v>
          </cell>
          <cell r="R1080">
            <v>174</v>
          </cell>
          <cell r="U1080">
            <v>42675</v>
          </cell>
        </row>
        <row r="1081">
          <cell r="B1081" t="str">
            <v>Tofayel</v>
          </cell>
          <cell r="C1081">
            <v>8</v>
          </cell>
          <cell r="D1081">
            <v>75</v>
          </cell>
          <cell r="E1081">
            <v>12</v>
          </cell>
          <cell r="F1081">
            <v>13</v>
          </cell>
          <cell r="G1081">
            <v>0</v>
          </cell>
          <cell r="H1081">
            <v>8</v>
          </cell>
          <cell r="I1081">
            <v>5</v>
          </cell>
          <cell r="M1081" t="str">
            <v>&gt;&gt;</v>
          </cell>
          <cell r="N1081" t="str">
            <v>MD Tofayel Ahmed</v>
          </cell>
          <cell r="O1081" t="str">
            <v>FWIN-1</v>
          </cell>
          <cell r="P1081" t="str">
            <v>FCL SUPER KINGS</v>
          </cell>
          <cell r="Q1081">
            <v>1</v>
          </cell>
          <cell r="R1081">
            <v>174</v>
          </cell>
          <cell r="U1081">
            <v>42675</v>
          </cell>
        </row>
        <row r="1082">
          <cell r="B1082" t="str">
            <v>Firoj</v>
          </cell>
          <cell r="C1082">
            <v>3</v>
          </cell>
          <cell r="D1082">
            <v>20</v>
          </cell>
          <cell r="E1082">
            <v>1</v>
          </cell>
          <cell r="F1082">
            <v>3</v>
          </cell>
          <cell r="G1082">
            <v>0</v>
          </cell>
          <cell r="H1082">
            <v>1</v>
          </cell>
          <cell r="I1082">
            <v>2</v>
          </cell>
          <cell r="M1082" t="str">
            <v>&gt;&gt;</v>
          </cell>
          <cell r="N1082" t="str">
            <v>Firoj alam</v>
          </cell>
          <cell r="O1082" t="str">
            <v>FWIN-1</v>
          </cell>
          <cell r="P1082" t="str">
            <v>FCL SUPER KINGS</v>
          </cell>
          <cell r="Q1082">
            <v>1</v>
          </cell>
          <cell r="R1082">
            <v>174</v>
          </cell>
          <cell r="U1082">
            <v>42675</v>
          </cell>
        </row>
        <row r="1083">
          <cell r="B1083" t="str">
            <v>Shadhin</v>
          </cell>
          <cell r="C1083">
            <v>5</v>
          </cell>
          <cell r="D1083">
            <v>120</v>
          </cell>
          <cell r="E1083">
            <v>1</v>
          </cell>
          <cell r="F1083">
            <v>6</v>
          </cell>
          <cell r="G1083">
            <v>0</v>
          </cell>
          <cell r="H1083">
            <v>11</v>
          </cell>
          <cell r="I1083">
            <v>8</v>
          </cell>
          <cell r="M1083" t="str">
            <v>&gt;&gt;</v>
          </cell>
          <cell r="N1083" t="str">
            <v>Abdullah Al Mamun Shadhin</v>
          </cell>
          <cell r="O1083" t="str">
            <v>FWIN-1</v>
          </cell>
          <cell r="P1083" t="str">
            <v>FCL SUPER KINGS</v>
          </cell>
          <cell r="Q1083">
            <v>1</v>
          </cell>
          <cell r="R1083">
            <v>174</v>
          </cell>
          <cell r="U1083">
            <v>42675</v>
          </cell>
        </row>
        <row r="1084">
          <cell r="B1084" t="str">
            <v>Sumon</v>
          </cell>
          <cell r="C1084">
            <v>8</v>
          </cell>
          <cell r="D1084">
            <v>156</v>
          </cell>
          <cell r="E1084">
            <v>7</v>
          </cell>
          <cell r="F1084">
            <v>13</v>
          </cell>
          <cell r="G1084">
            <v>1</v>
          </cell>
          <cell r="H1084">
            <v>12</v>
          </cell>
          <cell r="I1084">
            <v>14</v>
          </cell>
          <cell r="J1084">
            <v>1</v>
          </cell>
          <cell r="M1084" t="str">
            <v>&gt;&gt;</v>
          </cell>
          <cell r="N1084" t="str">
            <v>Sumon Ab</v>
          </cell>
          <cell r="O1084" t="str">
            <v>FWIN-1</v>
          </cell>
          <cell r="P1084" t="str">
            <v>FCL SUPER KINGS</v>
          </cell>
          <cell r="Q1084">
            <v>1</v>
          </cell>
          <cell r="R1084">
            <v>174</v>
          </cell>
          <cell r="U1084">
            <v>42675</v>
          </cell>
        </row>
        <row r="1085">
          <cell r="B1085" t="str">
            <v>Nahid</v>
          </cell>
          <cell r="C1085">
            <v>8</v>
          </cell>
          <cell r="D1085">
            <v>59</v>
          </cell>
          <cell r="E1085">
            <v>7</v>
          </cell>
          <cell r="F1085">
            <v>10</v>
          </cell>
          <cell r="G1085">
            <v>0</v>
          </cell>
          <cell r="H1085">
            <v>3</v>
          </cell>
          <cell r="I1085">
            <v>4</v>
          </cell>
          <cell r="M1085" t="str">
            <v>&gt;&gt;</v>
          </cell>
          <cell r="N1085" t="str">
            <v>Nahid Saifullah</v>
          </cell>
          <cell r="O1085" t="str">
            <v>FWIN-1</v>
          </cell>
          <cell r="P1085" t="str">
            <v>FCL SUPER KINGS</v>
          </cell>
          <cell r="Q1085">
            <v>1</v>
          </cell>
          <cell r="R1085">
            <v>174</v>
          </cell>
          <cell r="U1085">
            <v>42675</v>
          </cell>
        </row>
        <row r="1086">
          <cell r="B1086" t="str">
            <v>#DURONTO FCL</v>
          </cell>
          <cell r="M1086" t="str">
            <v>&gt;&gt;</v>
          </cell>
          <cell r="N1086" t="str">
            <v/>
          </cell>
          <cell r="O1086" t="str">
            <v>FWIN-1</v>
          </cell>
          <cell r="P1086" t="str">
            <v>DURONTO FCL</v>
          </cell>
          <cell r="Q1086">
            <v>1</v>
          </cell>
          <cell r="R1086">
            <v>175</v>
          </cell>
          <cell r="U1086">
            <v>42675</v>
          </cell>
        </row>
        <row r="1087">
          <cell r="B1087" t="str">
            <v>Asif</v>
          </cell>
          <cell r="C1087">
            <v>8</v>
          </cell>
          <cell r="D1087">
            <v>113</v>
          </cell>
          <cell r="E1087">
            <v>6</v>
          </cell>
          <cell r="F1087">
            <v>11</v>
          </cell>
          <cell r="G1087">
            <v>1</v>
          </cell>
          <cell r="H1087">
            <v>9</v>
          </cell>
          <cell r="I1087">
            <v>5</v>
          </cell>
          <cell r="M1087" t="str">
            <v>&gt;&gt;</v>
          </cell>
          <cell r="N1087" t="str">
            <v>Asif Iqbal Khan</v>
          </cell>
          <cell r="O1087" t="str">
            <v>FWIN-1</v>
          </cell>
          <cell r="P1087" t="str">
            <v>DURONTO FCL</v>
          </cell>
          <cell r="Q1087">
            <v>1</v>
          </cell>
          <cell r="R1087">
            <v>175</v>
          </cell>
          <cell r="U1087">
            <v>42675</v>
          </cell>
        </row>
        <row r="1088">
          <cell r="B1088" t="str">
            <v>Shamim</v>
          </cell>
          <cell r="C1088">
            <v>5</v>
          </cell>
          <cell r="D1088">
            <v>7</v>
          </cell>
          <cell r="E1088">
            <v>5</v>
          </cell>
          <cell r="F1088">
            <v>3</v>
          </cell>
          <cell r="G1088">
            <v>0</v>
          </cell>
          <cell r="H1088">
            <v>1</v>
          </cell>
          <cell r="I1088">
            <v>0</v>
          </cell>
          <cell r="M1088" t="str">
            <v>&gt;&gt;</v>
          </cell>
          <cell r="N1088" t="str">
            <v>SH Shamim</v>
          </cell>
          <cell r="O1088" t="str">
            <v>FWIN-1</v>
          </cell>
          <cell r="P1088" t="str">
            <v>DURONTO FCL</v>
          </cell>
          <cell r="Q1088">
            <v>1</v>
          </cell>
          <cell r="R1088">
            <v>175</v>
          </cell>
          <cell r="U1088">
            <v>42675</v>
          </cell>
        </row>
        <row r="1089">
          <cell r="B1089" t="str">
            <v>Ruhin</v>
          </cell>
          <cell r="C1089">
            <v>8</v>
          </cell>
          <cell r="D1089">
            <v>72</v>
          </cell>
          <cell r="E1089">
            <v>14</v>
          </cell>
          <cell r="F1089">
            <v>9</v>
          </cell>
          <cell r="G1089">
            <v>1</v>
          </cell>
          <cell r="H1089">
            <v>7</v>
          </cell>
          <cell r="I1089">
            <v>2</v>
          </cell>
          <cell r="J1089">
            <v>1</v>
          </cell>
          <cell r="M1089" t="str">
            <v>&gt;&gt;</v>
          </cell>
          <cell r="N1089" t="str">
            <v>Md. Ruhin</v>
          </cell>
          <cell r="O1089" t="str">
            <v>FWIN-1</v>
          </cell>
          <cell r="P1089" t="str">
            <v>DURONTO FCL</v>
          </cell>
          <cell r="Q1089">
            <v>1</v>
          </cell>
          <cell r="R1089">
            <v>175</v>
          </cell>
          <cell r="U1089">
            <v>42675</v>
          </cell>
        </row>
        <row r="1090">
          <cell r="B1090" t="str">
            <v>Khokon</v>
          </cell>
          <cell r="C1090">
            <v>8</v>
          </cell>
          <cell r="D1090">
            <v>190</v>
          </cell>
          <cell r="E1090">
            <v>13</v>
          </cell>
          <cell r="F1090">
            <v>14</v>
          </cell>
          <cell r="G1090">
            <v>0</v>
          </cell>
          <cell r="H1090">
            <v>15</v>
          </cell>
          <cell r="I1090">
            <v>14</v>
          </cell>
          <cell r="J1090">
            <v>1</v>
          </cell>
          <cell r="M1090" t="str">
            <v>&gt;&gt;</v>
          </cell>
          <cell r="N1090" t="str">
            <v>Shahriar Khokon</v>
          </cell>
          <cell r="O1090" t="str">
            <v>FWIN-1</v>
          </cell>
          <cell r="P1090" t="str">
            <v>DURONTO FCL</v>
          </cell>
          <cell r="Q1090">
            <v>1</v>
          </cell>
          <cell r="R1090">
            <v>175</v>
          </cell>
          <cell r="U1090">
            <v>42675</v>
          </cell>
        </row>
        <row r="1091">
          <cell r="B1091" t="str">
            <v>Sagar</v>
          </cell>
          <cell r="C1091">
            <v>4</v>
          </cell>
          <cell r="D1091">
            <v>78</v>
          </cell>
          <cell r="E1091">
            <v>1</v>
          </cell>
          <cell r="F1091">
            <v>5</v>
          </cell>
          <cell r="G1091">
            <v>0</v>
          </cell>
          <cell r="H1091">
            <v>7</v>
          </cell>
          <cell r="I1091">
            <v>4</v>
          </cell>
          <cell r="M1091" t="str">
            <v>&gt;&gt;</v>
          </cell>
          <cell r="N1091" t="str">
            <v>Sajjadul Haque Sagar</v>
          </cell>
          <cell r="O1091" t="str">
            <v>FWIN-1</v>
          </cell>
          <cell r="P1091" t="str">
            <v>DURONTO FCL</v>
          </cell>
          <cell r="Q1091">
            <v>1</v>
          </cell>
          <cell r="R1091">
            <v>175</v>
          </cell>
          <cell r="U1091">
            <v>42675</v>
          </cell>
        </row>
        <row r="1092">
          <cell r="B1092" t="str">
            <v>#FCL DYNAMITES</v>
          </cell>
          <cell r="M1092" t="str">
            <v>&gt;&gt;</v>
          </cell>
          <cell r="N1092" t="str">
            <v/>
          </cell>
          <cell r="O1092" t="str">
            <v>FWIN-1</v>
          </cell>
          <cell r="P1092" t="str">
            <v>FCL DYNAMITES</v>
          </cell>
          <cell r="Q1092">
            <v>1</v>
          </cell>
          <cell r="R1092">
            <v>176</v>
          </cell>
          <cell r="U1092">
            <v>42675</v>
          </cell>
        </row>
        <row r="1093">
          <cell r="B1093" t="str">
            <v>Jumon</v>
          </cell>
          <cell r="C1093">
            <v>8</v>
          </cell>
          <cell r="D1093">
            <v>91</v>
          </cell>
          <cell r="E1093">
            <v>1</v>
          </cell>
          <cell r="F1093">
            <v>7</v>
          </cell>
          <cell r="G1093">
            <v>0</v>
          </cell>
          <cell r="H1093">
            <v>9</v>
          </cell>
          <cell r="I1093">
            <v>5</v>
          </cell>
          <cell r="M1093" t="str">
            <v>&gt;&gt;</v>
          </cell>
          <cell r="N1093" t="str">
            <v>Foysal Ahmed Jumon</v>
          </cell>
          <cell r="O1093" t="str">
            <v>FWIN-1</v>
          </cell>
          <cell r="P1093" t="str">
            <v>FCL DYNAMITES</v>
          </cell>
          <cell r="Q1093">
            <v>1</v>
          </cell>
          <cell r="R1093">
            <v>176</v>
          </cell>
          <cell r="U1093">
            <v>42675</v>
          </cell>
        </row>
        <row r="1094">
          <cell r="B1094" t="str">
            <v>Saaj</v>
          </cell>
          <cell r="C1094">
            <v>8</v>
          </cell>
          <cell r="D1094">
            <v>159</v>
          </cell>
          <cell r="E1094">
            <v>8</v>
          </cell>
          <cell r="F1094">
            <v>12</v>
          </cell>
          <cell r="G1094">
            <v>1</v>
          </cell>
          <cell r="H1094">
            <v>11</v>
          </cell>
          <cell r="I1094">
            <v>12</v>
          </cell>
          <cell r="M1094" t="str">
            <v>&gt;&gt;</v>
          </cell>
          <cell r="N1094" t="str">
            <v>AB Saaj</v>
          </cell>
          <cell r="O1094" t="str">
            <v>FWIN-1</v>
          </cell>
          <cell r="P1094" t="str">
            <v>FCL DYNAMITES</v>
          </cell>
          <cell r="Q1094">
            <v>1</v>
          </cell>
          <cell r="R1094">
            <v>176</v>
          </cell>
          <cell r="U1094">
            <v>42675</v>
          </cell>
        </row>
        <row r="1095">
          <cell r="B1095" t="str">
            <v>Jhony</v>
          </cell>
          <cell r="C1095">
            <v>8</v>
          </cell>
          <cell r="D1095">
            <v>76</v>
          </cell>
          <cell r="E1095">
            <v>12</v>
          </cell>
          <cell r="F1095">
            <v>9</v>
          </cell>
          <cell r="G1095">
            <v>1</v>
          </cell>
          <cell r="H1095">
            <v>5</v>
          </cell>
          <cell r="I1095">
            <v>6</v>
          </cell>
          <cell r="J1095">
            <v>1</v>
          </cell>
          <cell r="M1095" t="str">
            <v>&gt;&gt;</v>
          </cell>
          <cell r="N1095" t="str">
            <v>Faisal Ahmed Jhony</v>
          </cell>
          <cell r="O1095" t="str">
            <v>FWIN-1</v>
          </cell>
          <cell r="P1095" t="str">
            <v>FCL DYNAMITES</v>
          </cell>
          <cell r="Q1095">
            <v>1</v>
          </cell>
          <cell r="R1095">
            <v>176</v>
          </cell>
          <cell r="U1095">
            <v>42675</v>
          </cell>
        </row>
        <row r="1096">
          <cell r="B1096" t="str">
            <v>Towkir</v>
          </cell>
          <cell r="C1096">
            <v>8</v>
          </cell>
          <cell r="D1096">
            <v>84</v>
          </cell>
          <cell r="E1096">
            <v>3</v>
          </cell>
          <cell r="F1096">
            <v>7</v>
          </cell>
          <cell r="G1096">
            <v>1</v>
          </cell>
          <cell r="H1096">
            <v>4</v>
          </cell>
          <cell r="I1096">
            <v>6</v>
          </cell>
          <cell r="M1096" t="str">
            <v>&gt;&gt;</v>
          </cell>
          <cell r="N1096" t="str">
            <v>Towkir Ahmed Siddique</v>
          </cell>
          <cell r="O1096" t="str">
            <v>FWIN-1</v>
          </cell>
          <cell r="P1096" t="str">
            <v>FCL DYNAMITES</v>
          </cell>
          <cell r="Q1096">
            <v>1</v>
          </cell>
          <cell r="R1096">
            <v>176</v>
          </cell>
          <cell r="U1096">
            <v>42675</v>
          </cell>
        </row>
        <row r="1097">
          <cell r="B1097" t="str">
            <v>Sahed</v>
          </cell>
          <cell r="C1097">
            <v>7</v>
          </cell>
          <cell r="D1097">
            <v>77</v>
          </cell>
          <cell r="E1097">
            <v>10</v>
          </cell>
          <cell r="F1097">
            <v>6</v>
          </cell>
          <cell r="G1097">
            <v>0</v>
          </cell>
          <cell r="H1097">
            <v>7</v>
          </cell>
          <cell r="I1097">
            <v>7</v>
          </cell>
          <cell r="J1097">
            <v>1</v>
          </cell>
          <cell r="M1097" t="str">
            <v>&gt;&gt;</v>
          </cell>
          <cell r="N1097" t="str">
            <v>Sahed Hossain Masum</v>
          </cell>
          <cell r="O1097" t="str">
            <v>FWIN-1</v>
          </cell>
          <cell r="P1097" t="str">
            <v>FCL DYNAMITES</v>
          </cell>
          <cell r="Q1097">
            <v>1</v>
          </cell>
          <cell r="R1097">
            <v>176</v>
          </cell>
          <cell r="U1097">
            <v>42675</v>
          </cell>
        </row>
        <row r="1098">
          <cell r="B1098" t="str">
            <v>#FCL PHENOMENAL</v>
          </cell>
          <cell r="M1098" t="str">
            <v>&gt;&gt;</v>
          </cell>
          <cell r="N1098" t="str">
            <v/>
          </cell>
          <cell r="O1098" t="str">
            <v>FWIN-1</v>
          </cell>
          <cell r="P1098" t="str">
            <v>FCL PHENOMENAL</v>
          </cell>
          <cell r="Q1098">
            <v>1</v>
          </cell>
          <cell r="R1098">
            <v>177</v>
          </cell>
          <cell r="U1098">
            <v>42675</v>
          </cell>
        </row>
        <row r="1099">
          <cell r="B1099" t="str">
            <v>Shishir</v>
          </cell>
          <cell r="C1099">
            <v>8</v>
          </cell>
          <cell r="D1099">
            <v>87</v>
          </cell>
          <cell r="E1099">
            <v>9</v>
          </cell>
          <cell r="F1099">
            <v>10</v>
          </cell>
          <cell r="G1099">
            <v>2</v>
          </cell>
          <cell r="H1099">
            <v>8</v>
          </cell>
          <cell r="I1099">
            <v>4</v>
          </cell>
          <cell r="J1099">
            <v>1</v>
          </cell>
          <cell r="M1099" t="str">
            <v>&gt;&gt;</v>
          </cell>
          <cell r="N1099" t="str">
            <v>ShiShir Hossain</v>
          </cell>
          <cell r="O1099" t="str">
            <v>FWIN-1</v>
          </cell>
          <cell r="P1099" t="str">
            <v>FCL PHENOMENAL</v>
          </cell>
          <cell r="Q1099">
            <v>1</v>
          </cell>
          <cell r="R1099">
            <v>177</v>
          </cell>
          <cell r="U1099">
            <v>42675</v>
          </cell>
        </row>
        <row r="1100">
          <cell r="B1100" t="str">
            <v>Rashed</v>
          </cell>
          <cell r="C1100">
            <v>8</v>
          </cell>
          <cell r="D1100">
            <v>103</v>
          </cell>
          <cell r="E1100">
            <v>9</v>
          </cell>
          <cell r="F1100">
            <v>8</v>
          </cell>
          <cell r="G1100">
            <v>0</v>
          </cell>
          <cell r="H1100">
            <v>3</v>
          </cell>
          <cell r="I1100">
            <v>9</v>
          </cell>
          <cell r="M1100" t="str">
            <v>&gt;&gt;</v>
          </cell>
          <cell r="N1100" t="str">
            <v>KM Rashedul Islam Rashed</v>
          </cell>
          <cell r="O1100" t="str">
            <v>FWIN-1</v>
          </cell>
          <cell r="P1100" t="str">
            <v>FCL PHENOMENAL</v>
          </cell>
          <cell r="Q1100">
            <v>1</v>
          </cell>
          <cell r="R1100">
            <v>177</v>
          </cell>
          <cell r="U1100">
            <v>42675</v>
          </cell>
        </row>
        <row r="1101">
          <cell r="B1101" t="str">
            <v>Mijan</v>
          </cell>
          <cell r="C1101">
            <v>8</v>
          </cell>
          <cell r="D1101">
            <v>37</v>
          </cell>
          <cell r="E1101">
            <v>3</v>
          </cell>
          <cell r="F1101">
            <v>7</v>
          </cell>
          <cell r="G1101">
            <v>1</v>
          </cell>
          <cell r="H1101">
            <v>4</v>
          </cell>
          <cell r="I1101">
            <v>1</v>
          </cell>
          <cell r="M1101" t="str">
            <v>&gt;&gt;</v>
          </cell>
          <cell r="N1101" t="str">
            <v>Noushed Mijan</v>
          </cell>
          <cell r="O1101" t="str">
            <v>FWIN-1</v>
          </cell>
          <cell r="P1101" t="str">
            <v>FCL PHENOMENAL</v>
          </cell>
          <cell r="Q1101">
            <v>1</v>
          </cell>
          <cell r="R1101">
            <v>177</v>
          </cell>
          <cell r="U1101">
            <v>42675</v>
          </cell>
        </row>
        <row r="1102">
          <cell r="B1102" t="str">
            <v>Jahin</v>
          </cell>
          <cell r="C1102">
            <v>8</v>
          </cell>
          <cell r="D1102">
            <v>106</v>
          </cell>
          <cell r="E1102">
            <v>1</v>
          </cell>
          <cell r="F1102">
            <v>12</v>
          </cell>
          <cell r="G1102">
            <v>6</v>
          </cell>
          <cell r="H1102">
            <v>12</v>
          </cell>
          <cell r="I1102">
            <v>6</v>
          </cell>
          <cell r="J1102">
            <v>1</v>
          </cell>
          <cell r="M1102" t="str">
            <v>&gt;&gt;</v>
          </cell>
          <cell r="N1102" t="str">
            <v>Jahin Shahriar Chowdhury</v>
          </cell>
          <cell r="O1102" t="str">
            <v>FWIN-1</v>
          </cell>
          <cell r="P1102" t="str">
            <v>FCL PHENOMENAL</v>
          </cell>
          <cell r="Q1102">
            <v>1</v>
          </cell>
          <cell r="R1102">
            <v>177</v>
          </cell>
          <cell r="U1102">
            <v>42675</v>
          </cell>
        </row>
        <row r="1103">
          <cell r="B1103" t="str">
            <v>Rakib</v>
          </cell>
          <cell r="C1103">
            <v>8</v>
          </cell>
          <cell r="D1103">
            <v>98</v>
          </cell>
          <cell r="E1103">
            <v>9</v>
          </cell>
          <cell r="F1103">
            <v>8</v>
          </cell>
          <cell r="G1103">
            <v>0</v>
          </cell>
          <cell r="H1103">
            <v>10</v>
          </cell>
          <cell r="I1103">
            <v>7</v>
          </cell>
          <cell r="M1103" t="str">
            <v>&gt;&gt;</v>
          </cell>
          <cell r="N1103" t="str">
            <v>Rakib Hasan</v>
          </cell>
          <cell r="O1103" t="str">
            <v>FWIN-1</v>
          </cell>
          <cell r="P1103" t="str">
            <v>FCL PHENOMENAL</v>
          </cell>
          <cell r="Q1103">
            <v>1</v>
          </cell>
          <cell r="R1103">
            <v>177</v>
          </cell>
          <cell r="U1103">
            <v>42675</v>
          </cell>
        </row>
        <row r="1104">
          <cell r="B1104" t="str">
            <v>SUPER RISING KING</v>
          </cell>
          <cell r="M1104" t="str">
            <v>&gt;&gt;</v>
          </cell>
          <cell r="N1104" t="str">
            <v/>
          </cell>
          <cell r="O1104" t="str">
            <v>FFC-1</v>
          </cell>
          <cell r="P1104" t="str">
            <v>SUPER RISING KING</v>
          </cell>
          <cell r="Q1104">
            <v>1</v>
          </cell>
          <cell r="R1104">
            <v>178</v>
          </cell>
          <cell r="U1104">
            <v>42795</v>
          </cell>
        </row>
        <row r="1105">
          <cell r="B1105" t="str">
            <v>Ruhin</v>
          </cell>
          <cell r="C1105">
            <v>8</v>
          </cell>
          <cell r="D1105">
            <v>61</v>
          </cell>
          <cell r="E1105">
            <v>2</v>
          </cell>
          <cell r="F1105">
            <v>7</v>
          </cell>
          <cell r="G1105">
            <v>1</v>
          </cell>
          <cell r="H1105">
            <v>7</v>
          </cell>
          <cell r="I1105">
            <v>1</v>
          </cell>
          <cell r="J1105">
            <v>0</v>
          </cell>
          <cell r="M1105" t="str">
            <v>&gt;&gt;</v>
          </cell>
          <cell r="N1105" t="str">
            <v>Md. Ruhin</v>
          </cell>
          <cell r="O1105" t="str">
            <v>FFC-1</v>
          </cell>
          <cell r="P1105" t="str">
            <v>SUPER RISING KING</v>
          </cell>
          <cell r="Q1105">
            <v>1</v>
          </cell>
          <cell r="R1105">
            <v>178</v>
          </cell>
          <cell r="U1105">
            <v>42795</v>
          </cell>
        </row>
        <row r="1106">
          <cell r="B1106" t="str">
            <v>Saaj</v>
          </cell>
          <cell r="C1106">
            <v>8</v>
          </cell>
          <cell r="D1106">
            <v>117</v>
          </cell>
          <cell r="E1106">
            <v>15</v>
          </cell>
          <cell r="F1106">
            <v>13</v>
          </cell>
          <cell r="G1106">
            <v>2</v>
          </cell>
          <cell r="H1106">
            <v>11</v>
          </cell>
          <cell r="I1106">
            <v>8</v>
          </cell>
          <cell r="J1106">
            <v>0</v>
          </cell>
          <cell r="M1106" t="str">
            <v>&gt;&gt;</v>
          </cell>
          <cell r="N1106" t="str">
            <v>AB Saaj</v>
          </cell>
          <cell r="O1106" t="str">
            <v>FFC-1</v>
          </cell>
          <cell r="P1106" t="str">
            <v>SUPER RISING KING</v>
          </cell>
          <cell r="Q1106">
            <v>1</v>
          </cell>
          <cell r="R1106">
            <v>178</v>
          </cell>
          <cell r="U1106">
            <v>42795</v>
          </cell>
        </row>
        <row r="1107">
          <cell r="B1107" t="str">
            <v>Khokon</v>
          </cell>
          <cell r="C1107">
            <v>8</v>
          </cell>
          <cell r="D1107">
            <v>196</v>
          </cell>
          <cell r="E1107">
            <v>9</v>
          </cell>
          <cell r="F1107">
            <v>14</v>
          </cell>
          <cell r="G1107">
            <v>2</v>
          </cell>
          <cell r="H1107">
            <v>21</v>
          </cell>
          <cell r="I1107">
            <v>12</v>
          </cell>
          <cell r="J1107">
            <v>0</v>
          </cell>
          <cell r="M1107" t="str">
            <v>&gt;&gt;</v>
          </cell>
          <cell r="N1107" t="str">
            <v>Shahriar Khokon</v>
          </cell>
          <cell r="O1107" t="str">
            <v>FFC-1</v>
          </cell>
          <cell r="P1107" t="str">
            <v>SUPER RISING KING</v>
          </cell>
          <cell r="Q1107">
            <v>1</v>
          </cell>
          <cell r="R1107">
            <v>178</v>
          </cell>
          <cell r="S1107" t="str">
            <v>MOT</v>
          </cell>
          <cell r="U1107">
            <v>42795</v>
          </cell>
          <cell r="V1107">
            <v>1</v>
          </cell>
        </row>
        <row r="1108">
          <cell r="B1108" t="str">
            <v>LEGEND STARS</v>
          </cell>
          <cell r="M1108" t="str">
            <v>&gt;&gt;</v>
          </cell>
          <cell r="N1108" t="str">
            <v/>
          </cell>
          <cell r="O1108" t="str">
            <v>FFC-1</v>
          </cell>
          <cell r="P1108" t="str">
            <v>LEGEND STARS</v>
          </cell>
          <cell r="Q1108">
            <v>1</v>
          </cell>
          <cell r="R1108">
            <v>179</v>
          </cell>
          <cell r="U1108">
            <v>42795</v>
          </cell>
        </row>
        <row r="1109">
          <cell r="B1109" t="str">
            <v>Niamul</v>
          </cell>
          <cell r="C1109">
            <v>5</v>
          </cell>
          <cell r="D1109">
            <v>63</v>
          </cell>
          <cell r="E1109">
            <v>9</v>
          </cell>
          <cell r="F1109">
            <v>8</v>
          </cell>
          <cell r="G1109">
            <v>1</v>
          </cell>
          <cell r="H1109">
            <v>5</v>
          </cell>
          <cell r="I1109">
            <v>6</v>
          </cell>
          <cell r="J1109">
            <v>0</v>
          </cell>
          <cell r="M1109" t="str">
            <v>&gt;&gt;</v>
          </cell>
          <cell r="N1109" t="str">
            <v>Niamul Habib Setu</v>
          </cell>
          <cell r="O1109" t="str">
            <v>FFC-1</v>
          </cell>
          <cell r="P1109" t="str">
            <v>LEGEND STARS</v>
          </cell>
          <cell r="Q1109">
            <v>1</v>
          </cell>
          <cell r="R1109">
            <v>179</v>
          </cell>
          <cell r="U1109">
            <v>42795</v>
          </cell>
        </row>
        <row r="1110">
          <cell r="B1110" t="str">
            <v>Washim</v>
          </cell>
          <cell r="C1110">
            <v>5</v>
          </cell>
          <cell r="D1110">
            <v>133</v>
          </cell>
          <cell r="E1110">
            <v>9</v>
          </cell>
          <cell r="F1110">
            <v>10</v>
          </cell>
          <cell r="G1110">
            <v>0</v>
          </cell>
          <cell r="H1110">
            <v>12</v>
          </cell>
          <cell r="I1110">
            <v>11</v>
          </cell>
          <cell r="J1110">
            <v>0</v>
          </cell>
          <cell r="M1110" t="str">
            <v>&gt;&gt;</v>
          </cell>
          <cell r="N1110" t="str">
            <v>Akram Husan (Washim)</v>
          </cell>
          <cell r="O1110" t="str">
            <v>FFC-1</v>
          </cell>
          <cell r="P1110" t="str">
            <v>LEGEND STARS</v>
          </cell>
          <cell r="Q1110">
            <v>1</v>
          </cell>
          <cell r="R1110">
            <v>179</v>
          </cell>
          <cell r="U1110">
            <v>42795</v>
          </cell>
        </row>
        <row r="1111">
          <cell r="B1111" t="str">
            <v>Sagar</v>
          </cell>
          <cell r="C1111">
            <v>3</v>
          </cell>
          <cell r="D1111">
            <v>28</v>
          </cell>
          <cell r="E1111">
            <v>3</v>
          </cell>
          <cell r="F1111">
            <v>3</v>
          </cell>
          <cell r="G1111">
            <v>1</v>
          </cell>
          <cell r="H1111">
            <v>2</v>
          </cell>
          <cell r="I1111">
            <v>1</v>
          </cell>
          <cell r="J1111">
            <v>0</v>
          </cell>
          <cell r="M1111" t="str">
            <v>&gt;&gt;</v>
          </cell>
          <cell r="N1111" t="str">
            <v>Sajjadul Haque Sagar</v>
          </cell>
          <cell r="O1111" t="str">
            <v>FFC-1</v>
          </cell>
          <cell r="P1111" t="str">
            <v>LEGEND STARS</v>
          </cell>
          <cell r="Q1111">
            <v>1</v>
          </cell>
          <cell r="R1111">
            <v>179</v>
          </cell>
          <cell r="U1111">
            <v>42795</v>
          </cell>
        </row>
        <row r="1112">
          <cell r="B1112" t="str">
            <v>FIGHTER BOYS</v>
          </cell>
          <cell r="M1112" t="str">
            <v>&gt;&gt;</v>
          </cell>
          <cell r="N1112" t="str">
            <v/>
          </cell>
          <cell r="O1112" t="str">
            <v>FFC-1</v>
          </cell>
          <cell r="P1112" t="str">
            <v>FIGHTER BOYS</v>
          </cell>
          <cell r="Q1112">
            <v>1</v>
          </cell>
          <cell r="R1112">
            <v>180</v>
          </cell>
          <cell r="U1112">
            <v>42795</v>
          </cell>
        </row>
        <row r="1113">
          <cell r="B1113" t="str">
            <v>Al Mamun</v>
          </cell>
          <cell r="C1113">
            <v>8</v>
          </cell>
          <cell r="D1113">
            <v>52</v>
          </cell>
          <cell r="E1113">
            <v>10</v>
          </cell>
          <cell r="F1113">
            <v>12</v>
          </cell>
          <cell r="G1113">
            <v>3</v>
          </cell>
          <cell r="H1113">
            <v>1</v>
          </cell>
          <cell r="I1113">
            <v>3</v>
          </cell>
          <cell r="J1113">
            <v>0</v>
          </cell>
          <cell r="M1113" t="str">
            <v>&gt;&gt;</v>
          </cell>
          <cell r="N1113" t="str">
            <v>Mohammed Al Mamun</v>
          </cell>
          <cell r="O1113" t="str">
            <v>FFC-1</v>
          </cell>
          <cell r="P1113" t="str">
            <v>FIGHTER BOYS</v>
          </cell>
          <cell r="Q1113">
            <v>1</v>
          </cell>
          <cell r="R1113">
            <v>180</v>
          </cell>
          <cell r="U1113">
            <v>42795</v>
          </cell>
        </row>
        <row r="1114">
          <cell r="B1114" t="str">
            <v>Asif</v>
          </cell>
          <cell r="C1114">
            <v>7</v>
          </cell>
          <cell r="D1114">
            <v>75</v>
          </cell>
          <cell r="E1114">
            <v>8</v>
          </cell>
          <cell r="F1114">
            <v>9</v>
          </cell>
          <cell r="G1114">
            <v>0</v>
          </cell>
          <cell r="H1114">
            <v>9</v>
          </cell>
          <cell r="I1114">
            <v>5</v>
          </cell>
          <cell r="J1114">
            <v>0</v>
          </cell>
          <cell r="M1114" t="str">
            <v>&gt;&gt;</v>
          </cell>
          <cell r="N1114" t="str">
            <v>Asif Iqbal Khan</v>
          </cell>
          <cell r="O1114" t="str">
            <v>FFC-1</v>
          </cell>
          <cell r="P1114" t="str">
            <v>FIGHTER BOYS</v>
          </cell>
          <cell r="Q1114">
            <v>1</v>
          </cell>
          <cell r="R1114">
            <v>180</v>
          </cell>
          <cell r="U1114">
            <v>42795</v>
          </cell>
        </row>
        <row r="1115">
          <cell r="B1115" t="str">
            <v>Jumon</v>
          </cell>
          <cell r="C1115">
            <v>8</v>
          </cell>
          <cell r="D1115">
            <v>128</v>
          </cell>
          <cell r="E1115">
            <v>11</v>
          </cell>
          <cell r="F1115">
            <v>8</v>
          </cell>
          <cell r="G1115">
            <v>2</v>
          </cell>
          <cell r="H1115">
            <v>14</v>
          </cell>
          <cell r="I1115">
            <v>6</v>
          </cell>
          <cell r="J1115">
            <v>0</v>
          </cell>
          <cell r="M1115" t="str">
            <v>&gt;&gt;</v>
          </cell>
          <cell r="N1115" t="str">
            <v>Foysal Ahmed Jumon</v>
          </cell>
          <cell r="O1115" t="str">
            <v>FFC-1</v>
          </cell>
          <cell r="P1115" t="str">
            <v>FIGHTER BOYS</v>
          </cell>
          <cell r="Q1115">
            <v>1</v>
          </cell>
          <cell r="R1115">
            <v>180</v>
          </cell>
          <cell r="U1115">
            <v>42795</v>
          </cell>
        </row>
        <row r="1116">
          <cell r="B1116" t="str">
            <v>FCL PTS</v>
          </cell>
          <cell r="M1116" t="str">
            <v>&gt;&gt;</v>
          </cell>
          <cell r="N1116" t="str">
            <v/>
          </cell>
          <cell r="O1116" t="str">
            <v>FFC-1</v>
          </cell>
          <cell r="P1116" t="str">
            <v>FCL PTS</v>
          </cell>
          <cell r="Q1116">
            <v>1</v>
          </cell>
          <cell r="R1116">
            <v>181</v>
          </cell>
          <cell r="U1116">
            <v>42795</v>
          </cell>
        </row>
        <row r="1117">
          <cell r="B1117" t="str">
            <v>SH Shanto</v>
          </cell>
          <cell r="C1117">
            <v>8</v>
          </cell>
          <cell r="D1117">
            <v>168</v>
          </cell>
          <cell r="E1117">
            <v>9</v>
          </cell>
          <cell r="F1117">
            <v>13</v>
          </cell>
          <cell r="G1117">
            <v>4</v>
          </cell>
          <cell r="H1117">
            <v>12</v>
          </cell>
          <cell r="I1117">
            <v>10</v>
          </cell>
          <cell r="J1117">
            <v>0</v>
          </cell>
          <cell r="M1117" t="str">
            <v>&gt;&gt;</v>
          </cell>
          <cell r="N1117" t="str">
            <v>Sakhawat Hossain Shanto</v>
          </cell>
          <cell r="O1117" t="str">
            <v>FFC-1</v>
          </cell>
          <cell r="P1117" t="str">
            <v>FCL PTS</v>
          </cell>
          <cell r="Q1117">
            <v>1</v>
          </cell>
          <cell r="R1117">
            <v>181</v>
          </cell>
          <cell r="U1117">
            <v>42795</v>
          </cell>
        </row>
        <row r="1118">
          <cell r="B1118" t="str">
            <v>Tutul</v>
          </cell>
          <cell r="C1118">
            <v>4</v>
          </cell>
          <cell r="D1118">
            <v>61</v>
          </cell>
          <cell r="E1118">
            <v>6</v>
          </cell>
          <cell r="F1118">
            <v>5</v>
          </cell>
          <cell r="G1118">
            <v>0</v>
          </cell>
          <cell r="H1118">
            <v>7</v>
          </cell>
          <cell r="I1118">
            <v>4</v>
          </cell>
          <cell r="J1118">
            <v>0</v>
          </cell>
          <cell r="M1118" t="str">
            <v>&gt;&gt;</v>
          </cell>
          <cell r="N1118" t="str">
            <v>Kamrul Hasan Tutul</v>
          </cell>
          <cell r="O1118" t="str">
            <v>FFC-1</v>
          </cell>
          <cell r="P1118" t="str">
            <v>FCL PTS</v>
          </cell>
          <cell r="Q1118">
            <v>1</v>
          </cell>
          <cell r="R1118">
            <v>181</v>
          </cell>
          <cell r="U1118">
            <v>42795</v>
          </cell>
        </row>
        <row r="1119">
          <cell r="B1119" t="str">
            <v>Arafat</v>
          </cell>
          <cell r="C1119">
            <v>7</v>
          </cell>
          <cell r="D1119">
            <v>82</v>
          </cell>
          <cell r="E1119">
            <v>8</v>
          </cell>
          <cell r="F1119">
            <v>11</v>
          </cell>
          <cell r="G1119">
            <v>0</v>
          </cell>
          <cell r="H1119">
            <v>11</v>
          </cell>
          <cell r="I1119">
            <v>2</v>
          </cell>
          <cell r="J1119">
            <v>0</v>
          </cell>
          <cell r="M1119" t="str">
            <v>&gt;&gt;</v>
          </cell>
          <cell r="N1119" t="str">
            <v>Sakib Arafat</v>
          </cell>
          <cell r="O1119" t="str">
            <v>FFC-1</v>
          </cell>
          <cell r="P1119" t="str">
            <v>FCL PTS</v>
          </cell>
          <cell r="Q1119">
            <v>1</v>
          </cell>
          <cell r="R1119">
            <v>181</v>
          </cell>
          <cell r="U1119">
            <v>42795</v>
          </cell>
        </row>
        <row r="1120">
          <cell r="B1120" t="str">
            <v>SWS WARRIORS</v>
          </cell>
          <cell r="M1120" t="str">
            <v>&gt;&gt;</v>
          </cell>
          <cell r="N1120" t="str">
            <v/>
          </cell>
          <cell r="O1120" t="str">
            <v>FFC-1</v>
          </cell>
          <cell r="P1120" t="str">
            <v>SWS WARRIORS</v>
          </cell>
          <cell r="Q1120">
            <v>1</v>
          </cell>
          <cell r="R1120">
            <v>182</v>
          </cell>
          <cell r="U1120">
            <v>42795</v>
          </cell>
        </row>
        <row r="1121">
          <cell r="B1121" t="str">
            <v>Sadrul</v>
          </cell>
          <cell r="C1121">
            <v>9</v>
          </cell>
          <cell r="D1121">
            <v>162</v>
          </cell>
          <cell r="E1121">
            <v>6</v>
          </cell>
          <cell r="F1121">
            <v>11</v>
          </cell>
          <cell r="G1121">
            <v>0</v>
          </cell>
          <cell r="H1121">
            <v>14</v>
          </cell>
          <cell r="I1121">
            <v>10</v>
          </cell>
          <cell r="J1121">
            <v>0</v>
          </cell>
          <cell r="M1121" t="str">
            <v>&gt;&gt;</v>
          </cell>
          <cell r="N1121" t="str">
            <v>Sadrul Anam</v>
          </cell>
          <cell r="O1121" t="str">
            <v>FFC-1</v>
          </cell>
          <cell r="P1121" t="str">
            <v>SWS WARRIORS</v>
          </cell>
          <cell r="Q1121">
            <v>1</v>
          </cell>
          <cell r="R1121">
            <v>182</v>
          </cell>
          <cell r="U1121">
            <v>42795</v>
          </cell>
        </row>
        <row r="1122">
          <cell r="B1122" t="str">
            <v>Wasiq</v>
          </cell>
          <cell r="C1122">
            <v>8</v>
          </cell>
          <cell r="D1122">
            <v>73</v>
          </cell>
          <cell r="E1122">
            <v>13</v>
          </cell>
          <cell r="F1122">
            <v>12</v>
          </cell>
          <cell r="G1122">
            <v>3</v>
          </cell>
          <cell r="H1122">
            <v>8</v>
          </cell>
          <cell r="I1122">
            <v>2</v>
          </cell>
          <cell r="J1122">
            <v>1</v>
          </cell>
          <cell r="M1122" t="str">
            <v>&gt;&gt;</v>
          </cell>
          <cell r="N1122" t="str">
            <v>Wasiq Rahman</v>
          </cell>
          <cell r="O1122" t="str">
            <v>FFC-1</v>
          </cell>
          <cell r="P1122" t="str">
            <v>SWS WARRIORS</v>
          </cell>
          <cell r="Q1122">
            <v>1</v>
          </cell>
          <cell r="R1122">
            <v>182</v>
          </cell>
          <cell r="U1122">
            <v>42795</v>
          </cell>
        </row>
        <row r="1123">
          <cell r="B1123" t="str">
            <v>SA Shanto</v>
          </cell>
          <cell r="C1123">
            <v>9</v>
          </cell>
          <cell r="D1123">
            <v>148</v>
          </cell>
          <cell r="E1123">
            <v>13</v>
          </cell>
          <cell r="F1123">
            <v>12</v>
          </cell>
          <cell r="G1123">
            <v>1</v>
          </cell>
          <cell r="H1123">
            <v>8</v>
          </cell>
          <cell r="I1123">
            <v>12</v>
          </cell>
          <cell r="J1123">
            <v>0</v>
          </cell>
          <cell r="M1123" t="str">
            <v>&gt;&gt;</v>
          </cell>
          <cell r="N1123" t="str">
            <v>Sayed Anowar Shanto</v>
          </cell>
          <cell r="O1123" t="str">
            <v>FFC-1</v>
          </cell>
          <cell r="P1123" t="str">
            <v>SWS WARRIORS</v>
          </cell>
          <cell r="Q1123">
            <v>1</v>
          </cell>
          <cell r="R1123">
            <v>182</v>
          </cell>
          <cell r="U1123">
            <v>42795</v>
          </cell>
        </row>
        <row r="1124">
          <cell r="B1124" t="str">
            <v>YOUNG STAR 3</v>
          </cell>
          <cell r="M1124" t="str">
            <v>&gt;&gt;</v>
          </cell>
          <cell r="N1124" t="str">
            <v/>
          </cell>
          <cell r="O1124" t="str">
            <v>FFC-1</v>
          </cell>
          <cell r="P1124" t="str">
            <v>YOUNG STAR 3</v>
          </cell>
          <cell r="Q1124">
            <v>1</v>
          </cell>
          <cell r="R1124">
            <v>183</v>
          </cell>
          <cell r="U1124">
            <v>42795</v>
          </cell>
        </row>
        <row r="1125">
          <cell r="B1125" t="str">
            <v>Helal</v>
          </cell>
          <cell r="C1125">
            <v>8</v>
          </cell>
          <cell r="D1125">
            <v>155</v>
          </cell>
          <cell r="E1125">
            <v>10</v>
          </cell>
          <cell r="F1125">
            <v>13</v>
          </cell>
          <cell r="G1125">
            <v>0</v>
          </cell>
          <cell r="H1125">
            <v>9</v>
          </cell>
          <cell r="I1125">
            <v>10</v>
          </cell>
          <cell r="J1125">
            <v>0</v>
          </cell>
          <cell r="M1125" t="str">
            <v>&gt;&gt;</v>
          </cell>
          <cell r="N1125" t="str">
            <v>Sheik Helal Ahmed</v>
          </cell>
          <cell r="O1125" t="str">
            <v>FFC-1</v>
          </cell>
          <cell r="P1125" t="str">
            <v>YOUNG STAR 3</v>
          </cell>
          <cell r="Q1125">
            <v>1</v>
          </cell>
          <cell r="R1125">
            <v>183</v>
          </cell>
          <cell r="U1125">
            <v>42795</v>
          </cell>
        </row>
        <row r="1126">
          <cell r="B1126" t="str">
            <v>Kamil</v>
          </cell>
          <cell r="C1126">
            <v>5</v>
          </cell>
          <cell r="D1126">
            <v>70</v>
          </cell>
          <cell r="E1126">
            <v>10</v>
          </cell>
          <cell r="F1126">
            <v>7</v>
          </cell>
          <cell r="G1126">
            <v>1</v>
          </cell>
          <cell r="H1126">
            <v>8</v>
          </cell>
          <cell r="I1126">
            <v>5</v>
          </cell>
          <cell r="J1126">
            <v>0</v>
          </cell>
          <cell r="M1126" t="str">
            <v>&gt;&gt;</v>
          </cell>
          <cell r="N1126" t="str">
            <v>Kamil Ahmed</v>
          </cell>
          <cell r="O1126" t="str">
            <v>FFC-1</v>
          </cell>
          <cell r="P1126" t="str">
            <v>YOUNG STAR 3</v>
          </cell>
          <cell r="Q1126">
            <v>1</v>
          </cell>
          <cell r="R1126">
            <v>183</v>
          </cell>
          <cell r="U1126">
            <v>42795</v>
          </cell>
        </row>
        <row r="1127">
          <cell r="B1127" t="str">
            <v>Ariful</v>
          </cell>
          <cell r="C1127">
            <v>8</v>
          </cell>
          <cell r="D1127">
            <v>107</v>
          </cell>
          <cell r="E1127">
            <v>9</v>
          </cell>
          <cell r="F1127">
            <v>11</v>
          </cell>
          <cell r="G1127">
            <v>2</v>
          </cell>
          <cell r="H1127">
            <v>9</v>
          </cell>
          <cell r="I1127">
            <v>7</v>
          </cell>
          <cell r="J1127">
            <v>0</v>
          </cell>
          <cell r="M1127" t="str">
            <v>&gt;&gt;</v>
          </cell>
          <cell r="N1127" t="str">
            <v>Ahammed Ariful Haq</v>
          </cell>
          <cell r="O1127" t="str">
            <v>FFC-1</v>
          </cell>
          <cell r="P1127" t="str">
            <v>YOUNG STAR 3</v>
          </cell>
          <cell r="Q1127">
            <v>1</v>
          </cell>
          <cell r="R1127">
            <v>183</v>
          </cell>
          <cell r="U1127">
            <v>42795</v>
          </cell>
        </row>
        <row r="1128">
          <cell r="B1128" t="str">
            <v>GiGANTiC UNICORNS</v>
          </cell>
          <cell r="M1128" t="str">
            <v>&gt;&gt;</v>
          </cell>
          <cell r="N1128" t="str">
            <v/>
          </cell>
          <cell r="O1128" t="str">
            <v>FFC-1</v>
          </cell>
          <cell r="P1128" t="str">
            <v>GiGANTiC UNICORNS</v>
          </cell>
          <cell r="Q1128">
            <v>1</v>
          </cell>
          <cell r="R1128">
            <v>184</v>
          </cell>
          <cell r="U1128">
            <v>42795</v>
          </cell>
        </row>
        <row r="1129">
          <cell r="B1129" t="str">
            <v>Tonmoy</v>
          </cell>
          <cell r="C1129">
            <v>8</v>
          </cell>
          <cell r="D1129">
            <v>146</v>
          </cell>
          <cell r="E1129">
            <v>19</v>
          </cell>
          <cell r="F1129">
            <v>11</v>
          </cell>
          <cell r="G1129">
            <v>2</v>
          </cell>
          <cell r="H1129">
            <v>14</v>
          </cell>
          <cell r="I1129">
            <v>9</v>
          </cell>
          <cell r="J1129">
            <v>0</v>
          </cell>
          <cell r="M1129" t="str">
            <v>&gt;&gt;</v>
          </cell>
          <cell r="N1129" t="str">
            <v>Asik Hassan Tonmoy</v>
          </cell>
          <cell r="O1129" t="str">
            <v>FFC-1</v>
          </cell>
          <cell r="P1129" t="str">
            <v>GiGANTiC UNICORNS</v>
          </cell>
          <cell r="Q1129">
            <v>1</v>
          </cell>
          <cell r="R1129">
            <v>184</v>
          </cell>
          <cell r="U1129">
            <v>42795</v>
          </cell>
          <cell r="W1129">
            <v>1</v>
          </cell>
        </row>
        <row r="1130">
          <cell r="B1130" t="str">
            <v>Tarek</v>
          </cell>
          <cell r="C1130">
            <v>7</v>
          </cell>
          <cell r="D1130">
            <v>61</v>
          </cell>
          <cell r="E1130">
            <v>8</v>
          </cell>
          <cell r="F1130">
            <v>9</v>
          </cell>
          <cell r="G1130">
            <v>0</v>
          </cell>
          <cell r="H1130">
            <v>3</v>
          </cell>
          <cell r="I1130">
            <v>3</v>
          </cell>
          <cell r="J1130">
            <v>0</v>
          </cell>
          <cell r="M1130" t="str">
            <v>&gt;&gt;</v>
          </cell>
          <cell r="N1130" t="str">
            <v>Prince Tarek</v>
          </cell>
          <cell r="O1130" t="str">
            <v>FFC-1</v>
          </cell>
          <cell r="P1130" t="str">
            <v>GiGANTiC UNICORNS</v>
          </cell>
          <cell r="Q1130">
            <v>1</v>
          </cell>
          <cell r="R1130">
            <v>184</v>
          </cell>
          <cell r="U1130">
            <v>42795</v>
          </cell>
        </row>
        <row r="1131">
          <cell r="B1131" t="str">
            <v>Akash</v>
          </cell>
          <cell r="C1131">
            <v>3</v>
          </cell>
          <cell r="D1131">
            <v>47</v>
          </cell>
          <cell r="E1131">
            <v>2</v>
          </cell>
          <cell r="F1131">
            <v>4</v>
          </cell>
          <cell r="G1131">
            <v>1</v>
          </cell>
          <cell r="H1131">
            <v>5</v>
          </cell>
          <cell r="I1131">
            <v>4</v>
          </cell>
          <cell r="J1131">
            <v>0</v>
          </cell>
          <cell r="M1131" t="str">
            <v>&gt;&gt;</v>
          </cell>
          <cell r="N1131" t="str">
            <v>Mahbubur Rahman Akash</v>
          </cell>
          <cell r="O1131" t="str">
            <v>FFC-1</v>
          </cell>
          <cell r="P1131" t="str">
            <v>GiGANTiC UNICORNS</v>
          </cell>
          <cell r="Q1131">
            <v>1</v>
          </cell>
          <cell r="R1131">
            <v>184</v>
          </cell>
          <cell r="U1131">
            <v>42795</v>
          </cell>
        </row>
        <row r="1132">
          <cell r="B1132" t="str">
            <v>Rifat</v>
          </cell>
          <cell r="C1132">
            <v>2</v>
          </cell>
          <cell r="D1132">
            <v>51</v>
          </cell>
          <cell r="E1132">
            <v>2</v>
          </cell>
          <cell r="F1132">
            <v>2</v>
          </cell>
          <cell r="G1132">
            <v>1</v>
          </cell>
          <cell r="H1132">
            <v>3</v>
          </cell>
          <cell r="I1132">
            <v>5</v>
          </cell>
          <cell r="J1132">
            <v>0</v>
          </cell>
          <cell r="M1132" t="str">
            <v>&gt;&gt;</v>
          </cell>
          <cell r="N1132" t="str">
            <v>Rifat Ullah</v>
          </cell>
          <cell r="O1132" t="str">
            <v>FFC-1</v>
          </cell>
          <cell r="P1132" t="str">
            <v>GiGANTiC UNICORNS</v>
          </cell>
          <cell r="Q1132">
            <v>1</v>
          </cell>
          <cell r="R1132">
            <v>184</v>
          </cell>
          <cell r="U1132">
            <v>42795</v>
          </cell>
        </row>
        <row r="1133">
          <cell r="B1133" t="str">
            <v xml:space="preserve">FCL SUPER KING </v>
          </cell>
          <cell r="M1133" t="str">
            <v>&gt;&gt;</v>
          </cell>
          <cell r="N1133" t="str">
            <v/>
          </cell>
          <cell r="O1133" t="str">
            <v>FFC-1</v>
          </cell>
          <cell r="P1133" t="str">
            <v xml:space="preserve">FCL SUPER KING </v>
          </cell>
          <cell r="Q1133">
            <v>1</v>
          </cell>
          <cell r="R1133">
            <v>185</v>
          </cell>
          <cell r="U1133">
            <v>42795</v>
          </cell>
        </row>
        <row r="1134">
          <cell r="B1134" t="str">
            <v>Tofayel</v>
          </cell>
          <cell r="C1134">
            <v>8</v>
          </cell>
          <cell r="D1134">
            <v>76</v>
          </cell>
          <cell r="E1134">
            <v>17</v>
          </cell>
          <cell r="F1134">
            <v>10</v>
          </cell>
          <cell r="G1134">
            <v>0</v>
          </cell>
          <cell r="H1134">
            <v>7</v>
          </cell>
          <cell r="I1134">
            <v>4</v>
          </cell>
          <cell r="J1134">
            <v>2</v>
          </cell>
          <cell r="M1134" t="str">
            <v>&gt;&gt;</v>
          </cell>
          <cell r="N1134" t="str">
            <v>MD Tofayel Ahmed</v>
          </cell>
          <cell r="O1134" t="str">
            <v>FFC-1</v>
          </cell>
          <cell r="P1134" t="str">
            <v xml:space="preserve">FCL SUPER KING </v>
          </cell>
          <cell r="Q1134">
            <v>1</v>
          </cell>
          <cell r="R1134">
            <v>185</v>
          </cell>
          <cell r="U1134">
            <v>42795</v>
          </cell>
        </row>
        <row r="1135">
          <cell r="B1135" t="str">
            <v>Sakib Sr.</v>
          </cell>
          <cell r="C1135">
            <v>7</v>
          </cell>
          <cell r="D1135">
            <v>134</v>
          </cell>
          <cell r="E1135">
            <v>6</v>
          </cell>
          <cell r="F1135">
            <v>14</v>
          </cell>
          <cell r="G1135">
            <v>2</v>
          </cell>
          <cell r="H1135">
            <v>10</v>
          </cell>
          <cell r="I1135">
            <v>10</v>
          </cell>
          <cell r="J1135">
            <v>0</v>
          </cell>
          <cell r="M1135" t="str">
            <v>&gt;&gt;</v>
          </cell>
          <cell r="N1135" t="str">
            <v>Ahmad Sakib Abdullah</v>
          </cell>
          <cell r="O1135" t="str">
            <v>FFC-1</v>
          </cell>
          <cell r="P1135" t="str">
            <v xml:space="preserve">FCL SUPER KING </v>
          </cell>
          <cell r="Q1135">
            <v>1</v>
          </cell>
          <cell r="R1135">
            <v>185</v>
          </cell>
          <cell r="U1135">
            <v>42795</v>
          </cell>
        </row>
        <row r="1136">
          <cell r="B1136" t="str">
            <v>Tanjir</v>
          </cell>
          <cell r="C1136">
            <v>8</v>
          </cell>
          <cell r="D1136">
            <v>129</v>
          </cell>
          <cell r="E1136">
            <v>4</v>
          </cell>
          <cell r="F1136">
            <v>13</v>
          </cell>
          <cell r="G1136">
            <v>2</v>
          </cell>
          <cell r="H1136">
            <v>11</v>
          </cell>
          <cell r="I1136">
            <v>8</v>
          </cell>
          <cell r="J1136">
            <v>0</v>
          </cell>
          <cell r="M1136" t="str">
            <v>&gt;&gt;</v>
          </cell>
          <cell r="N1136" t="str">
            <v>Tanjir Rahman</v>
          </cell>
          <cell r="O1136" t="str">
            <v>FFC-1</v>
          </cell>
          <cell r="P1136" t="str">
            <v xml:space="preserve">FCL SUPER KING </v>
          </cell>
          <cell r="Q1136">
            <v>1</v>
          </cell>
          <cell r="R1136">
            <v>185</v>
          </cell>
          <cell r="U1136">
            <v>42795</v>
          </cell>
        </row>
        <row r="1137">
          <cell r="B1137" t="str">
            <v>ROARING KINGS</v>
          </cell>
          <cell r="M1137" t="str">
            <v>&gt;&gt;</v>
          </cell>
          <cell r="N1137" t="str">
            <v/>
          </cell>
          <cell r="O1137" t="str">
            <v>FFC-1</v>
          </cell>
          <cell r="P1137" t="str">
            <v>ROARING KINGS</v>
          </cell>
          <cell r="Q1137">
            <v>1</v>
          </cell>
          <cell r="R1137">
            <v>186</v>
          </cell>
          <cell r="U1137">
            <v>42795</v>
          </cell>
        </row>
        <row r="1138">
          <cell r="B1138" t="str">
            <v>Roman</v>
          </cell>
          <cell r="C1138">
            <v>4</v>
          </cell>
          <cell r="D1138">
            <v>54</v>
          </cell>
          <cell r="E1138">
            <v>11</v>
          </cell>
          <cell r="F1138">
            <v>7</v>
          </cell>
          <cell r="G1138">
            <v>1</v>
          </cell>
          <cell r="H1138">
            <v>6</v>
          </cell>
          <cell r="I1138">
            <v>3</v>
          </cell>
          <cell r="J1138">
            <v>0</v>
          </cell>
          <cell r="M1138" t="str">
            <v>&gt;&gt;</v>
          </cell>
          <cell r="N1138" t="str">
            <v>Roman mahamud Arko</v>
          </cell>
          <cell r="O1138" t="str">
            <v>FFC-1</v>
          </cell>
          <cell r="P1138" t="str">
            <v>ROARING KINGS</v>
          </cell>
          <cell r="Q1138">
            <v>1</v>
          </cell>
          <cell r="R1138">
            <v>186</v>
          </cell>
          <cell r="U1138">
            <v>42795</v>
          </cell>
        </row>
        <row r="1139">
          <cell r="B1139" t="str">
            <v>Shamim</v>
          </cell>
          <cell r="C1139">
            <v>4</v>
          </cell>
          <cell r="D1139">
            <v>61</v>
          </cell>
          <cell r="E1139">
            <v>4</v>
          </cell>
          <cell r="F1139">
            <v>7</v>
          </cell>
          <cell r="G1139">
            <v>1</v>
          </cell>
          <cell r="H1139">
            <v>4</v>
          </cell>
          <cell r="I1139">
            <v>3</v>
          </cell>
          <cell r="J1139">
            <v>0</v>
          </cell>
          <cell r="M1139" t="str">
            <v>&gt;&gt;</v>
          </cell>
          <cell r="N1139" t="str">
            <v>SH Shamim</v>
          </cell>
          <cell r="O1139" t="str">
            <v>FFC-1</v>
          </cell>
          <cell r="P1139" t="str">
            <v>ROARING KINGS</v>
          </cell>
          <cell r="Q1139">
            <v>1</v>
          </cell>
          <cell r="R1139">
            <v>186</v>
          </cell>
          <cell r="U1139">
            <v>42795</v>
          </cell>
        </row>
        <row r="1140">
          <cell r="B1140" t="str">
            <v>Faisal</v>
          </cell>
          <cell r="C1140">
            <v>1</v>
          </cell>
          <cell r="D1140">
            <v>0</v>
          </cell>
          <cell r="E1140">
            <v>0</v>
          </cell>
          <cell r="F1140">
            <v>2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M1140" t="str">
            <v>&gt;&gt;</v>
          </cell>
          <cell r="N1140" t="str">
            <v>Red Heart Faisal (Fayze Ahamed)</v>
          </cell>
          <cell r="O1140" t="str">
            <v>FFC-1</v>
          </cell>
          <cell r="P1140" t="str">
            <v>ROARING KINGS</v>
          </cell>
          <cell r="Q1140">
            <v>1</v>
          </cell>
          <cell r="R1140">
            <v>186</v>
          </cell>
          <cell r="U1140">
            <v>42795</v>
          </cell>
        </row>
        <row r="1141">
          <cell r="B1141" t="str">
            <v>FCL DHAKA KINGS</v>
          </cell>
          <cell r="M1141" t="str">
            <v>&gt;&gt;</v>
          </cell>
          <cell r="N1141" t="str">
            <v/>
          </cell>
          <cell r="O1141" t="str">
            <v>FFC-1</v>
          </cell>
          <cell r="P1141" t="str">
            <v>FCL DHAKA KINGS</v>
          </cell>
          <cell r="Q1141">
            <v>1</v>
          </cell>
          <cell r="R1141">
            <v>187</v>
          </cell>
          <cell r="U1141">
            <v>42795</v>
          </cell>
        </row>
        <row r="1142">
          <cell r="B1142" t="str">
            <v>Jhony</v>
          </cell>
          <cell r="C1142">
            <v>6</v>
          </cell>
          <cell r="D1142">
            <v>80</v>
          </cell>
          <cell r="E1142">
            <v>8</v>
          </cell>
          <cell r="F1142">
            <v>11</v>
          </cell>
          <cell r="G1142">
            <v>2</v>
          </cell>
          <cell r="H1142">
            <v>8</v>
          </cell>
          <cell r="I1142">
            <v>6</v>
          </cell>
          <cell r="J1142">
            <v>0</v>
          </cell>
          <cell r="M1142" t="str">
            <v>&gt;&gt;</v>
          </cell>
          <cell r="N1142" t="str">
            <v>Faisal Ahmed Jhony</v>
          </cell>
          <cell r="O1142" t="str">
            <v>FFC-1</v>
          </cell>
          <cell r="P1142" t="str">
            <v>FCL DHAKA KINGS</v>
          </cell>
          <cell r="Q1142">
            <v>1</v>
          </cell>
          <cell r="R1142">
            <v>187</v>
          </cell>
          <cell r="U1142">
            <v>42795</v>
          </cell>
        </row>
        <row r="1143">
          <cell r="B1143" t="str">
            <v>Nur</v>
          </cell>
          <cell r="C1143">
            <v>5</v>
          </cell>
          <cell r="D1143">
            <v>167</v>
          </cell>
          <cell r="E1143">
            <v>9</v>
          </cell>
          <cell r="F1143">
            <v>10</v>
          </cell>
          <cell r="G1143">
            <v>1</v>
          </cell>
          <cell r="H1143">
            <v>14</v>
          </cell>
          <cell r="I1143">
            <v>13</v>
          </cell>
          <cell r="J1143">
            <v>0</v>
          </cell>
          <cell r="M1143" t="str">
            <v>&gt;&gt;</v>
          </cell>
          <cell r="N1143" t="str">
            <v>Nur Muhammad</v>
          </cell>
          <cell r="O1143" t="str">
            <v>FFC-1</v>
          </cell>
          <cell r="P1143" t="str">
            <v>FCL DHAKA KINGS</v>
          </cell>
          <cell r="Q1143">
            <v>1</v>
          </cell>
          <cell r="R1143">
            <v>187</v>
          </cell>
          <cell r="U1143">
            <v>42795</v>
          </cell>
        </row>
        <row r="1144">
          <cell r="B1144" t="str">
            <v>Tahmid</v>
          </cell>
          <cell r="C1144">
            <v>4</v>
          </cell>
          <cell r="D1144">
            <v>42</v>
          </cell>
          <cell r="E1144">
            <v>4</v>
          </cell>
          <cell r="F1144">
            <v>6</v>
          </cell>
          <cell r="G1144">
            <v>0</v>
          </cell>
          <cell r="H1144">
            <v>6</v>
          </cell>
          <cell r="I1144">
            <v>2</v>
          </cell>
          <cell r="J1144">
            <v>0</v>
          </cell>
          <cell r="M1144" t="str">
            <v>&gt;&gt;</v>
          </cell>
          <cell r="N1144" t="str">
            <v>Galaxsy Prince Tahmid (Tahmid Rahman)</v>
          </cell>
          <cell r="O1144" t="str">
            <v>FFC-1</v>
          </cell>
          <cell r="P1144" t="str">
            <v>FCL DHAKA KINGS</v>
          </cell>
          <cell r="Q1144">
            <v>1</v>
          </cell>
          <cell r="R1144">
            <v>187</v>
          </cell>
          <cell r="U1144">
            <v>42795</v>
          </cell>
        </row>
        <row r="1145">
          <cell r="B1145" t="str">
            <v>BULLY STRING</v>
          </cell>
          <cell r="M1145" t="str">
            <v>&gt;&gt;</v>
          </cell>
          <cell r="N1145" t="str">
            <v/>
          </cell>
          <cell r="O1145" t="str">
            <v>FFC-1</v>
          </cell>
          <cell r="P1145" t="str">
            <v>BULLY STRING</v>
          </cell>
          <cell r="Q1145">
            <v>1</v>
          </cell>
          <cell r="R1145">
            <v>188</v>
          </cell>
          <cell r="U1145">
            <v>42795</v>
          </cell>
        </row>
        <row r="1146">
          <cell r="B1146" t="str">
            <v>Shishir</v>
          </cell>
          <cell r="C1146">
            <v>7</v>
          </cell>
          <cell r="D1146">
            <v>125</v>
          </cell>
          <cell r="E1146">
            <v>5</v>
          </cell>
          <cell r="F1146">
            <v>12</v>
          </cell>
          <cell r="G1146">
            <v>0</v>
          </cell>
          <cell r="H1146">
            <v>12</v>
          </cell>
          <cell r="I1146">
            <v>7</v>
          </cell>
          <cell r="J1146">
            <v>0</v>
          </cell>
          <cell r="M1146" t="str">
            <v>&gt;&gt;</v>
          </cell>
          <cell r="N1146" t="str">
            <v>ShiShir Hossain</v>
          </cell>
          <cell r="O1146" t="str">
            <v>FFC-1</v>
          </cell>
          <cell r="P1146" t="str">
            <v>BULLY STRING</v>
          </cell>
          <cell r="Q1146">
            <v>1</v>
          </cell>
          <cell r="R1146">
            <v>188</v>
          </cell>
          <cell r="U1146">
            <v>42795</v>
          </cell>
        </row>
        <row r="1147">
          <cell r="B1147" t="str">
            <v>CR Siyam</v>
          </cell>
          <cell r="C1147">
            <v>7</v>
          </cell>
          <cell r="D1147">
            <v>80</v>
          </cell>
          <cell r="E1147">
            <v>7</v>
          </cell>
          <cell r="F1147">
            <v>9</v>
          </cell>
          <cell r="G1147">
            <v>2</v>
          </cell>
          <cell r="H1147">
            <v>7</v>
          </cell>
          <cell r="I1147">
            <v>7</v>
          </cell>
          <cell r="J1147">
            <v>0</v>
          </cell>
          <cell r="M1147" t="str">
            <v>&gt;&gt;</v>
          </cell>
          <cell r="N1147" t="str">
            <v>CR Siyam</v>
          </cell>
          <cell r="O1147" t="str">
            <v>FFC-1</v>
          </cell>
          <cell r="P1147" t="str">
            <v>BULLY STRING</v>
          </cell>
          <cell r="Q1147">
            <v>1</v>
          </cell>
          <cell r="R1147">
            <v>188</v>
          </cell>
          <cell r="U1147">
            <v>42795</v>
          </cell>
        </row>
        <row r="1148">
          <cell r="B1148" t="str">
            <v>Sumon</v>
          </cell>
          <cell r="C1148">
            <v>6</v>
          </cell>
          <cell r="D1148">
            <v>71</v>
          </cell>
          <cell r="E1148">
            <v>11</v>
          </cell>
          <cell r="F1148">
            <v>8</v>
          </cell>
          <cell r="G1148">
            <v>1</v>
          </cell>
          <cell r="H1148">
            <v>7</v>
          </cell>
          <cell r="I1148">
            <v>5</v>
          </cell>
          <cell r="J1148">
            <v>0</v>
          </cell>
          <cell r="M1148" t="str">
            <v>&gt;&gt;</v>
          </cell>
          <cell r="N1148" t="str">
            <v>Sumon Ab</v>
          </cell>
          <cell r="O1148" t="str">
            <v>FFC-1</v>
          </cell>
          <cell r="P1148" t="str">
            <v>BULLY STRING</v>
          </cell>
          <cell r="Q1148">
            <v>1</v>
          </cell>
          <cell r="R1148">
            <v>188</v>
          </cell>
          <cell r="U1148">
            <v>42795</v>
          </cell>
        </row>
        <row r="1149">
          <cell r="B1149" t="str">
            <v>KHM KILLER</v>
          </cell>
          <cell r="M1149" t="str">
            <v>&gt;&gt;</v>
          </cell>
          <cell r="N1149" t="str">
            <v/>
          </cell>
          <cell r="O1149" t="str">
            <v>FFC-1</v>
          </cell>
          <cell r="P1149" t="str">
            <v>KHM KILLER</v>
          </cell>
          <cell r="Q1149">
            <v>1</v>
          </cell>
          <cell r="R1149">
            <v>189</v>
          </cell>
          <cell r="U1149">
            <v>42795</v>
          </cell>
        </row>
        <row r="1150">
          <cell r="B1150" t="str">
            <v>Kamal</v>
          </cell>
          <cell r="C1150">
            <v>6</v>
          </cell>
          <cell r="D1150">
            <v>131</v>
          </cell>
          <cell r="E1150">
            <v>11</v>
          </cell>
          <cell r="F1150">
            <v>11</v>
          </cell>
          <cell r="G1150">
            <v>3</v>
          </cell>
          <cell r="H1150">
            <v>11</v>
          </cell>
          <cell r="I1150">
            <v>10</v>
          </cell>
          <cell r="J1150">
            <v>0</v>
          </cell>
          <cell r="M1150" t="str">
            <v>&gt;&gt;</v>
          </cell>
          <cell r="N1150" t="str">
            <v>MD Kamal Hossain Kamal</v>
          </cell>
          <cell r="O1150" t="str">
            <v>FFC-1</v>
          </cell>
          <cell r="P1150" t="str">
            <v>KHM KILLER</v>
          </cell>
          <cell r="Q1150">
            <v>1</v>
          </cell>
          <cell r="R1150">
            <v>189</v>
          </cell>
          <cell r="U1150">
            <v>42795</v>
          </cell>
        </row>
        <row r="1151">
          <cell r="B1151" t="str">
            <v>Mullah</v>
          </cell>
          <cell r="C1151">
            <v>6</v>
          </cell>
          <cell r="D1151">
            <v>88</v>
          </cell>
          <cell r="E1151">
            <v>8</v>
          </cell>
          <cell r="F1151">
            <v>10</v>
          </cell>
          <cell r="G1151">
            <v>0</v>
          </cell>
          <cell r="H1151">
            <v>14</v>
          </cell>
          <cell r="I1151">
            <v>3</v>
          </cell>
          <cell r="J1151">
            <v>0</v>
          </cell>
          <cell r="M1151" t="str">
            <v>&gt;&gt;</v>
          </cell>
          <cell r="N1151" t="str">
            <v>Mohammad Haris Mullah</v>
          </cell>
          <cell r="O1151" t="str">
            <v>FFC-1</v>
          </cell>
          <cell r="P1151" t="str">
            <v>KHM KILLER</v>
          </cell>
          <cell r="Q1151">
            <v>1</v>
          </cell>
          <cell r="R1151">
            <v>189</v>
          </cell>
          <cell r="U1151">
            <v>42795</v>
          </cell>
        </row>
        <row r="1152">
          <cell r="B1152" t="str">
            <v>Mithu</v>
          </cell>
          <cell r="C1152">
            <v>4</v>
          </cell>
          <cell r="D1152">
            <v>11</v>
          </cell>
          <cell r="E1152">
            <v>3</v>
          </cell>
          <cell r="F1152">
            <v>5</v>
          </cell>
          <cell r="G1152">
            <v>0</v>
          </cell>
          <cell r="H1152">
            <v>2</v>
          </cell>
          <cell r="I1152">
            <v>0</v>
          </cell>
          <cell r="J1152">
            <v>0</v>
          </cell>
          <cell r="M1152" t="str">
            <v>&gt;&gt;</v>
          </cell>
          <cell r="N1152" t="str">
            <v>Mostafizur Rahman Mithu</v>
          </cell>
          <cell r="O1152" t="str">
            <v>FFC-1</v>
          </cell>
          <cell r="P1152" t="str">
            <v>KHM KILLER</v>
          </cell>
          <cell r="Q1152">
            <v>1</v>
          </cell>
          <cell r="R1152">
            <v>189</v>
          </cell>
          <cell r="U1152">
            <v>42795</v>
          </cell>
        </row>
        <row r="1153">
          <cell r="B1153" t="str">
            <v>FCL KNIGHT</v>
          </cell>
          <cell r="M1153" t="str">
            <v>&gt;&gt;</v>
          </cell>
          <cell r="N1153" t="str">
            <v/>
          </cell>
          <cell r="O1153" t="str">
            <v>FFC-1</v>
          </cell>
          <cell r="P1153" t="str">
            <v>FCL KNIGHT</v>
          </cell>
          <cell r="Q1153">
            <v>1</v>
          </cell>
          <cell r="R1153">
            <v>190</v>
          </cell>
          <cell r="U1153">
            <v>42795</v>
          </cell>
        </row>
        <row r="1154">
          <cell r="B1154" t="str">
            <v>Rexx</v>
          </cell>
          <cell r="C1154">
            <v>3</v>
          </cell>
          <cell r="D1154">
            <v>13</v>
          </cell>
          <cell r="E1154">
            <v>2</v>
          </cell>
          <cell r="F1154">
            <v>3</v>
          </cell>
          <cell r="G1154">
            <v>0</v>
          </cell>
          <cell r="H1154">
            <v>1</v>
          </cell>
          <cell r="I1154">
            <v>1</v>
          </cell>
          <cell r="J1154">
            <v>0</v>
          </cell>
          <cell r="M1154" t="str">
            <v>&gt;&gt;</v>
          </cell>
          <cell r="N1154" t="str">
            <v>Bishwajit Sarkar</v>
          </cell>
          <cell r="O1154" t="str">
            <v>FFC-1</v>
          </cell>
          <cell r="P1154" t="str">
            <v>FCL KNIGHT</v>
          </cell>
          <cell r="Q1154">
            <v>1</v>
          </cell>
          <cell r="R1154">
            <v>190</v>
          </cell>
          <cell r="U1154">
            <v>42795</v>
          </cell>
        </row>
        <row r="1155">
          <cell r="B1155" t="str">
            <v>Kafi</v>
          </cell>
          <cell r="C1155">
            <v>2</v>
          </cell>
          <cell r="D1155">
            <v>30</v>
          </cell>
          <cell r="E1155">
            <v>2</v>
          </cell>
          <cell r="F1155">
            <v>4</v>
          </cell>
          <cell r="G1155">
            <v>1</v>
          </cell>
          <cell r="H1155">
            <v>6</v>
          </cell>
          <cell r="I1155">
            <v>0</v>
          </cell>
          <cell r="J1155">
            <v>0</v>
          </cell>
          <cell r="M1155" t="str">
            <v>&gt;&gt;</v>
          </cell>
          <cell r="N1155" t="str">
            <v>Kafi Mazharul Islam</v>
          </cell>
          <cell r="O1155" t="str">
            <v>FFC-1</v>
          </cell>
          <cell r="P1155" t="str">
            <v>FCL KNIGHT</v>
          </cell>
          <cell r="Q1155">
            <v>1</v>
          </cell>
          <cell r="R1155">
            <v>190</v>
          </cell>
          <cell r="U1155">
            <v>42795</v>
          </cell>
        </row>
        <row r="1156">
          <cell r="B1156" t="str">
            <v>Firoj</v>
          </cell>
          <cell r="C1156">
            <v>5</v>
          </cell>
          <cell r="D1156">
            <v>145</v>
          </cell>
          <cell r="E1156">
            <v>3</v>
          </cell>
          <cell r="F1156">
            <v>9</v>
          </cell>
          <cell r="G1156">
            <v>2</v>
          </cell>
          <cell r="H1156">
            <v>12</v>
          </cell>
          <cell r="I1156">
            <v>11</v>
          </cell>
          <cell r="J1156">
            <v>0</v>
          </cell>
          <cell r="M1156" t="str">
            <v>&gt;&gt;</v>
          </cell>
          <cell r="N1156" t="str">
            <v>Firoj alam</v>
          </cell>
          <cell r="O1156" t="str">
            <v>FFC-1</v>
          </cell>
          <cell r="P1156" t="str">
            <v>FCL KNIGHT</v>
          </cell>
          <cell r="Q1156">
            <v>1</v>
          </cell>
          <cell r="R1156">
            <v>190</v>
          </cell>
          <cell r="U1156">
            <v>42795</v>
          </cell>
        </row>
        <row r="1157">
          <cell r="B1157" t="str">
            <v>Munna</v>
          </cell>
          <cell r="C1157">
            <v>4</v>
          </cell>
          <cell r="D1157">
            <v>54</v>
          </cell>
          <cell r="E1157">
            <v>10</v>
          </cell>
          <cell r="F1157">
            <v>4</v>
          </cell>
          <cell r="G1157">
            <v>0</v>
          </cell>
          <cell r="H1157">
            <v>3</v>
          </cell>
          <cell r="I1157">
            <v>3</v>
          </cell>
          <cell r="J1157">
            <v>0</v>
          </cell>
          <cell r="M1157" t="str">
            <v>&gt;&gt;</v>
          </cell>
          <cell r="N1157" t="str">
            <v>Monowar Hossain Munna</v>
          </cell>
          <cell r="O1157" t="str">
            <v>FFC-1</v>
          </cell>
          <cell r="P1157" t="str">
            <v>FCL KNIGHT</v>
          </cell>
          <cell r="Q1157">
            <v>1</v>
          </cell>
          <cell r="R1157">
            <v>190</v>
          </cell>
          <cell r="U1157">
            <v>42795</v>
          </cell>
        </row>
        <row r="1158">
          <cell r="B1158" t="str">
            <v>Saiful</v>
          </cell>
          <cell r="C1158">
            <v>2</v>
          </cell>
          <cell r="D1158">
            <v>24</v>
          </cell>
          <cell r="E1158">
            <v>3</v>
          </cell>
          <cell r="F1158">
            <v>3</v>
          </cell>
          <cell r="G1158">
            <v>1</v>
          </cell>
          <cell r="H1158">
            <v>0</v>
          </cell>
          <cell r="I1158">
            <v>4</v>
          </cell>
          <cell r="J1158">
            <v>0</v>
          </cell>
          <cell r="M1158" t="str">
            <v>&gt;&gt;</v>
          </cell>
          <cell r="N1158" t="str">
            <v>Saiful Islam</v>
          </cell>
          <cell r="O1158" t="str">
            <v>FFC-1</v>
          </cell>
          <cell r="P1158" t="str">
            <v>FCL KNIGHT</v>
          </cell>
          <cell r="Q1158">
            <v>1</v>
          </cell>
          <cell r="R1158">
            <v>190</v>
          </cell>
          <cell r="U1158">
            <v>42795</v>
          </cell>
        </row>
        <row r="1159">
          <cell r="B1159" t="str">
            <v>SILENT KILLER</v>
          </cell>
          <cell r="M1159" t="str">
            <v>&gt;&gt;</v>
          </cell>
          <cell r="N1159" t="str">
            <v/>
          </cell>
          <cell r="O1159" t="str">
            <v>FFC-1</v>
          </cell>
          <cell r="P1159" t="str">
            <v>SILENT KILLER</v>
          </cell>
          <cell r="Q1159">
            <v>1</v>
          </cell>
          <cell r="R1159">
            <v>191</v>
          </cell>
          <cell r="U1159">
            <v>42795</v>
          </cell>
        </row>
        <row r="1160">
          <cell r="B1160" t="str">
            <v>Arif</v>
          </cell>
          <cell r="C1160">
            <v>8</v>
          </cell>
          <cell r="D1160">
            <v>141</v>
          </cell>
          <cell r="E1160">
            <v>16</v>
          </cell>
          <cell r="F1160">
            <v>14</v>
          </cell>
          <cell r="G1160">
            <v>2</v>
          </cell>
          <cell r="H1160">
            <v>12</v>
          </cell>
          <cell r="I1160">
            <v>11</v>
          </cell>
          <cell r="J1160">
            <v>0</v>
          </cell>
          <cell r="M1160" t="str">
            <v>&gt;&gt;</v>
          </cell>
          <cell r="N1160" t="str">
            <v>Arif Ziad</v>
          </cell>
          <cell r="O1160" t="str">
            <v>FFC-1</v>
          </cell>
          <cell r="P1160" t="str">
            <v>SILENT KILLER</v>
          </cell>
          <cell r="Q1160">
            <v>1</v>
          </cell>
          <cell r="R1160">
            <v>191</v>
          </cell>
          <cell r="U1160">
            <v>42795</v>
          </cell>
        </row>
        <row r="1161">
          <cell r="B1161" t="str">
            <v>Towkir</v>
          </cell>
          <cell r="C1161">
            <v>8</v>
          </cell>
          <cell r="D1161">
            <v>127</v>
          </cell>
          <cell r="E1161">
            <v>6</v>
          </cell>
          <cell r="F1161">
            <v>13</v>
          </cell>
          <cell r="G1161">
            <v>1</v>
          </cell>
          <cell r="H1161">
            <v>10</v>
          </cell>
          <cell r="I1161">
            <v>11</v>
          </cell>
          <cell r="J1161">
            <v>0</v>
          </cell>
          <cell r="M1161" t="str">
            <v>&gt;&gt;</v>
          </cell>
          <cell r="N1161" t="str">
            <v>Towkir Ahmed Siddique</v>
          </cell>
          <cell r="O1161" t="str">
            <v>FFC-1</v>
          </cell>
          <cell r="P1161" t="str">
            <v>SILENT KILLER</v>
          </cell>
          <cell r="Q1161">
            <v>1</v>
          </cell>
          <cell r="R1161">
            <v>191</v>
          </cell>
          <cell r="U1161">
            <v>42795</v>
          </cell>
        </row>
        <row r="1162">
          <cell r="B1162" t="str">
            <v>Himel</v>
          </cell>
          <cell r="C1162">
            <v>8</v>
          </cell>
          <cell r="D1162">
            <v>100</v>
          </cell>
          <cell r="E1162">
            <v>7</v>
          </cell>
          <cell r="F1162">
            <v>11</v>
          </cell>
          <cell r="G1162">
            <v>1</v>
          </cell>
          <cell r="H1162">
            <v>10</v>
          </cell>
          <cell r="I1162">
            <v>5</v>
          </cell>
          <cell r="J1162">
            <v>0</v>
          </cell>
          <cell r="M1162" t="str">
            <v>&gt;&gt;</v>
          </cell>
          <cell r="N1162" t="str">
            <v>Hj Himel</v>
          </cell>
          <cell r="O1162" t="str">
            <v>FFC-1</v>
          </cell>
          <cell r="P1162" t="str">
            <v>SILENT KILLER</v>
          </cell>
          <cell r="Q1162">
            <v>1</v>
          </cell>
          <cell r="R1162">
            <v>191</v>
          </cell>
          <cell r="U1162">
            <v>42795</v>
          </cell>
        </row>
        <row r="1163">
          <cell r="B1163" t="str">
            <v>THE FEARLESS KNIGHTS</v>
          </cell>
          <cell r="M1163" t="str">
            <v>&gt;&gt;</v>
          </cell>
          <cell r="N1163" t="str">
            <v/>
          </cell>
          <cell r="O1163" t="str">
            <v>FFC-1</v>
          </cell>
          <cell r="P1163" t="str">
            <v>THE FEARLESS KNIGHTS</v>
          </cell>
          <cell r="Q1163">
            <v>1</v>
          </cell>
          <cell r="R1163">
            <v>192</v>
          </cell>
          <cell r="U1163">
            <v>42795</v>
          </cell>
        </row>
        <row r="1164">
          <cell r="B1164" t="str">
            <v>AR Shohag</v>
          </cell>
          <cell r="C1164">
            <v>4</v>
          </cell>
          <cell r="D1164">
            <v>79</v>
          </cell>
          <cell r="E1164">
            <v>5</v>
          </cell>
          <cell r="F1164">
            <v>7</v>
          </cell>
          <cell r="G1164">
            <v>1</v>
          </cell>
          <cell r="H1164">
            <v>10</v>
          </cell>
          <cell r="I1164">
            <v>4</v>
          </cell>
          <cell r="J1164">
            <v>0</v>
          </cell>
          <cell r="M1164" t="str">
            <v>&gt;&gt;</v>
          </cell>
          <cell r="N1164" t="str">
            <v>A.R. Shohag</v>
          </cell>
          <cell r="O1164" t="str">
            <v>FFC-1</v>
          </cell>
          <cell r="P1164" t="str">
            <v>THE FEARLESS KNIGHTS</v>
          </cell>
          <cell r="Q1164">
            <v>1</v>
          </cell>
          <cell r="R1164">
            <v>192</v>
          </cell>
          <cell r="U1164">
            <v>42795</v>
          </cell>
        </row>
        <row r="1165">
          <cell r="B1165" t="str">
            <v>Shakil</v>
          </cell>
          <cell r="C1165">
            <v>6</v>
          </cell>
          <cell r="D1165">
            <v>81</v>
          </cell>
          <cell r="E1165">
            <v>5</v>
          </cell>
          <cell r="F1165">
            <v>11</v>
          </cell>
          <cell r="G1165">
            <v>0</v>
          </cell>
          <cell r="H1165">
            <v>9</v>
          </cell>
          <cell r="I1165">
            <v>7</v>
          </cell>
          <cell r="J1165">
            <v>0</v>
          </cell>
          <cell r="M1165" t="str">
            <v>&gt;&gt;</v>
          </cell>
          <cell r="N1165" t="str">
            <v>M R Shakil</v>
          </cell>
          <cell r="O1165" t="str">
            <v>FFC-1</v>
          </cell>
          <cell r="P1165" t="str">
            <v>THE FEARLESS KNIGHTS</v>
          </cell>
          <cell r="Q1165">
            <v>1</v>
          </cell>
          <cell r="R1165">
            <v>192</v>
          </cell>
          <cell r="U1165">
            <v>42795</v>
          </cell>
        </row>
        <row r="1166">
          <cell r="B1166" t="str">
            <v>Rakib</v>
          </cell>
          <cell r="C1166">
            <v>5</v>
          </cell>
          <cell r="D1166">
            <v>60</v>
          </cell>
          <cell r="E1166">
            <v>3</v>
          </cell>
          <cell r="F1166">
            <v>7</v>
          </cell>
          <cell r="G1166">
            <v>1</v>
          </cell>
          <cell r="H1166">
            <v>7</v>
          </cell>
          <cell r="I1166">
            <v>3</v>
          </cell>
          <cell r="J1166">
            <v>0</v>
          </cell>
          <cell r="M1166" t="str">
            <v>&gt;&gt;</v>
          </cell>
          <cell r="N1166" t="str">
            <v>Rakib Hasan</v>
          </cell>
          <cell r="O1166" t="str">
            <v>FFC-1</v>
          </cell>
          <cell r="P1166" t="str">
            <v>THE FEARLESS KNIGHTS</v>
          </cell>
          <cell r="Q1166">
            <v>1</v>
          </cell>
          <cell r="R1166">
            <v>192</v>
          </cell>
          <cell r="U1166">
            <v>42795</v>
          </cell>
        </row>
        <row r="1167">
          <cell r="B1167" t="str">
            <v>ViGOROUS KNIGHTS (RUNNERS-UP)</v>
          </cell>
          <cell r="M1167" t="str">
            <v>&gt;&gt;</v>
          </cell>
          <cell r="N1167" t="str">
            <v/>
          </cell>
          <cell r="O1167" t="str">
            <v>FFC-1</v>
          </cell>
          <cell r="P1167" t="str">
            <v>ViGOROUS KNIGHTS (RUNNERS-UP)</v>
          </cell>
          <cell r="Q1167">
            <v>1</v>
          </cell>
          <cell r="R1167">
            <v>193</v>
          </cell>
          <cell r="T1167" t="str">
            <v>RU</v>
          </cell>
          <cell r="U1167">
            <v>42795</v>
          </cell>
        </row>
        <row r="1168">
          <cell r="B1168" t="str">
            <v>Jahin</v>
          </cell>
          <cell r="C1168">
            <v>8</v>
          </cell>
          <cell r="D1168">
            <v>93</v>
          </cell>
          <cell r="E1168">
            <v>8</v>
          </cell>
          <cell r="F1168">
            <v>10</v>
          </cell>
          <cell r="G1168">
            <v>1</v>
          </cell>
          <cell r="H1168">
            <v>10</v>
          </cell>
          <cell r="I1168">
            <v>7</v>
          </cell>
          <cell r="J1168">
            <v>1</v>
          </cell>
          <cell r="M1168" t="str">
            <v>&gt;&gt;</v>
          </cell>
          <cell r="N1168" t="str">
            <v>Jahin Shahriar Chowdhury</v>
          </cell>
          <cell r="O1168" t="str">
            <v>FFC-1</v>
          </cell>
          <cell r="P1168" t="str">
            <v>ViGOROUS KNIGHTS (RUNNERS-UP)</v>
          </cell>
          <cell r="Q1168">
            <v>1</v>
          </cell>
          <cell r="R1168">
            <v>193</v>
          </cell>
          <cell r="T1168" t="str">
            <v>RU</v>
          </cell>
          <cell r="U1168">
            <v>42795</v>
          </cell>
        </row>
        <row r="1169">
          <cell r="B1169" t="str">
            <v>Brinto</v>
          </cell>
          <cell r="C1169">
            <v>8</v>
          </cell>
          <cell r="D1169">
            <v>82</v>
          </cell>
          <cell r="E1169">
            <v>12</v>
          </cell>
          <cell r="F1169">
            <v>11</v>
          </cell>
          <cell r="G1169">
            <v>2</v>
          </cell>
          <cell r="H1169">
            <v>8</v>
          </cell>
          <cell r="I1169">
            <v>7</v>
          </cell>
          <cell r="J1169">
            <v>1</v>
          </cell>
          <cell r="M1169" t="str">
            <v>&gt;&gt;</v>
          </cell>
          <cell r="N1169" t="str">
            <v>Shuvayan Saha Brinto</v>
          </cell>
          <cell r="O1169" t="str">
            <v>FFC-1</v>
          </cell>
          <cell r="P1169" t="str">
            <v>ViGOROUS KNIGHTS (RUNNERS-UP)</v>
          </cell>
          <cell r="Q1169">
            <v>1</v>
          </cell>
          <cell r="R1169">
            <v>193</v>
          </cell>
          <cell r="T1169" t="str">
            <v>RU</v>
          </cell>
          <cell r="U1169">
            <v>42795</v>
          </cell>
        </row>
        <row r="1170">
          <cell r="B1170" t="str">
            <v>Mijan</v>
          </cell>
          <cell r="C1170">
            <v>6</v>
          </cell>
          <cell r="D1170">
            <v>158</v>
          </cell>
          <cell r="E1170">
            <v>5</v>
          </cell>
          <cell r="F1170">
            <v>8</v>
          </cell>
          <cell r="G1170">
            <v>1</v>
          </cell>
          <cell r="H1170">
            <v>18</v>
          </cell>
          <cell r="I1170">
            <v>8</v>
          </cell>
          <cell r="J1170">
            <v>0</v>
          </cell>
          <cell r="M1170" t="str">
            <v>&gt;&gt;</v>
          </cell>
          <cell r="N1170" t="str">
            <v>Noushed Mijan</v>
          </cell>
          <cell r="O1170" t="str">
            <v>FFC-1</v>
          </cell>
          <cell r="P1170" t="str">
            <v>ViGOROUS KNIGHTS (RUNNERS-UP)</v>
          </cell>
          <cell r="Q1170">
            <v>1</v>
          </cell>
          <cell r="R1170">
            <v>193</v>
          </cell>
          <cell r="T1170" t="str">
            <v>RU</v>
          </cell>
          <cell r="U1170">
            <v>42795</v>
          </cell>
        </row>
        <row r="1171">
          <cell r="B1171" t="str">
            <v>CONFIDENCE SPLASH (CHAMPION)</v>
          </cell>
          <cell r="M1171" t="str">
            <v>&gt;&gt;</v>
          </cell>
          <cell r="N1171" t="str">
            <v/>
          </cell>
          <cell r="O1171" t="str">
            <v>FFC-1</v>
          </cell>
          <cell r="P1171" t="str">
            <v>CONFIDENCE SPLASH (CHAMPION)</v>
          </cell>
          <cell r="Q1171">
            <v>1</v>
          </cell>
          <cell r="R1171">
            <v>194</v>
          </cell>
          <cell r="T1171" t="str">
            <v>CHAMP</v>
          </cell>
          <cell r="U1171">
            <v>42795</v>
          </cell>
        </row>
        <row r="1172">
          <cell r="B1172" t="str">
            <v>Tanvir</v>
          </cell>
          <cell r="C1172">
            <v>9</v>
          </cell>
          <cell r="D1172">
            <v>160</v>
          </cell>
          <cell r="E1172">
            <v>8</v>
          </cell>
          <cell r="F1172">
            <v>14</v>
          </cell>
          <cell r="G1172">
            <v>1</v>
          </cell>
          <cell r="H1172">
            <v>14</v>
          </cell>
          <cell r="I1172">
            <v>11</v>
          </cell>
          <cell r="J1172">
            <v>0</v>
          </cell>
          <cell r="M1172" t="str">
            <v>&gt;&gt;</v>
          </cell>
          <cell r="N1172" t="str">
            <v>Tanvir Shakib</v>
          </cell>
          <cell r="O1172" t="str">
            <v>FFC-1</v>
          </cell>
          <cell r="P1172" t="str">
            <v>CONFIDENCE SPLASH (CHAMPION)</v>
          </cell>
          <cell r="Q1172">
            <v>1</v>
          </cell>
          <cell r="R1172">
            <v>194</v>
          </cell>
          <cell r="S1172" t="str">
            <v>CPOT</v>
          </cell>
          <cell r="T1172" t="str">
            <v>CHAMP</v>
          </cell>
          <cell r="U1172">
            <v>42795</v>
          </cell>
        </row>
        <row r="1173">
          <cell r="B1173" t="str">
            <v>Rashed</v>
          </cell>
          <cell r="C1173">
            <v>7</v>
          </cell>
          <cell r="D1173">
            <v>145</v>
          </cell>
          <cell r="E1173">
            <v>9</v>
          </cell>
          <cell r="F1173">
            <v>10</v>
          </cell>
          <cell r="G1173">
            <v>3</v>
          </cell>
          <cell r="H1173">
            <v>16</v>
          </cell>
          <cell r="I1173">
            <v>10</v>
          </cell>
          <cell r="J1173">
            <v>1</v>
          </cell>
          <cell r="M1173" t="str">
            <v>&gt;&gt;</v>
          </cell>
          <cell r="N1173" t="str">
            <v>KM Rashedul Islam Rashed</v>
          </cell>
          <cell r="O1173" t="str">
            <v>FFC-1</v>
          </cell>
          <cell r="P1173" t="str">
            <v>CONFIDENCE SPLASH (CHAMPION)</v>
          </cell>
          <cell r="Q1173">
            <v>1</v>
          </cell>
          <cell r="R1173">
            <v>194</v>
          </cell>
          <cell r="T1173" t="str">
            <v>CHAMP</v>
          </cell>
          <cell r="U1173">
            <v>42795</v>
          </cell>
        </row>
        <row r="1174">
          <cell r="B1174" t="str">
            <v>Rayhan</v>
          </cell>
          <cell r="C1174">
            <v>8</v>
          </cell>
          <cell r="D1174">
            <v>66</v>
          </cell>
          <cell r="E1174">
            <v>18</v>
          </cell>
          <cell r="F1174">
            <v>11</v>
          </cell>
          <cell r="G1174">
            <v>1</v>
          </cell>
          <cell r="H1174">
            <v>8</v>
          </cell>
          <cell r="I1174">
            <v>3</v>
          </cell>
          <cell r="J1174">
            <v>1</v>
          </cell>
          <cell r="M1174" t="str">
            <v>&gt;&gt;</v>
          </cell>
          <cell r="N1174" t="str">
            <v>Rayhan Rahman</v>
          </cell>
          <cell r="O1174" t="str">
            <v>FFC-1</v>
          </cell>
          <cell r="P1174" t="str">
            <v>CONFIDENCE SPLASH (CHAMPION)</v>
          </cell>
          <cell r="Q1174">
            <v>1</v>
          </cell>
          <cell r="R1174">
            <v>194</v>
          </cell>
          <cell r="T1174" t="str">
            <v>CHAMP</v>
          </cell>
          <cell r="U1174">
            <v>42795</v>
          </cell>
        </row>
        <row r="1175">
          <cell r="B1175" t="str">
            <v>THE FIERCE GREENHORNS</v>
          </cell>
          <cell r="M1175" t="str">
            <v>&gt;&gt;</v>
          </cell>
          <cell r="N1175" t="str">
            <v/>
          </cell>
          <cell r="O1175" t="str">
            <v>FFC-1</v>
          </cell>
          <cell r="P1175" t="str">
            <v>THE FIERCE GREENHORNS</v>
          </cell>
          <cell r="Q1175">
            <v>1</v>
          </cell>
          <cell r="R1175">
            <v>195</v>
          </cell>
          <cell r="U1175">
            <v>42795</v>
          </cell>
        </row>
        <row r="1176">
          <cell r="B1176" t="str">
            <v>Zaheed</v>
          </cell>
          <cell r="C1176">
            <v>7</v>
          </cell>
          <cell r="D1176">
            <v>73</v>
          </cell>
          <cell r="E1176">
            <v>7</v>
          </cell>
          <cell r="F1176">
            <v>8</v>
          </cell>
          <cell r="G1176">
            <v>1</v>
          </cell>
          <cell r="H1176">
            <v>5</v>
          </cell>
          <cell r="I1176">
            <v>4</v>
          </cell>
          <cell r="J1176">
            <v>0</v>
          </cell>
          <cell r="M1176" t="str">
            <v>&gt;&gt;</v>
          </cell>
          <cell r="N1176" t="str">
            <v>Zaheed Hasan</v>
          </cell>
          <cell r="O1176" t="str">
            <v>FFC-1</v>
          </cell>
          <cell r="P1176" t="str">
            <v>THE FIERCE GREENHORNS</v>
          </cell>
          <cell r="Q1176">
            <v>1</v>
          </cell>
          <cell r="R1176">
            <v>195</v>
          </cell>
          <cell r="U1176">
            <v>42795</v>
          </cell>
        </row>
        <row r="1177">
          <cell r="B1177" t="str">
            <v>Faruque</v>
          </cell>
          <cell r="C1177">
            <v>7</v>
          </cell>
          <cell r="D1177">
            <v>121</v>
          </cell>
          <cell r="E1177">
            <v>4</v>
          </cell>
          <cell r="F1177">
            <v>10</v>
          </cell>
          <cell r="G1177">
            <v>2</v>
          </cell>
          <cell r="H1177">
            <v>11</v>
          </cell>
          <cell r="I1177">
            <v>9</v>
          </cell>
          <cell r="J1177">
            <v>0</v>
          </cell>
          <cell r="M1177" t="str">
            <v>&gt;&gt;</v>
          </cell>
          <cell r="N1177" t="str">
            <v>Mohammad Faruque</v>
          </cell>
          <cell r="O1177" t="str">
            <v>FFC-1</v>
          </cell>
          <cell r="P1177" t="str">
            <v>THE FIERCE GREENHORNS</v>
          </cell>
          <cell r="Q1177">
            <v>1</v>
          </cell>
          <cell r="R1177">
            <v>195</v>
          </cell>
          <cell r="U1177">
            <v>42795</v>
          </cell>
        </row>
        <row r="1178">
          <cell r="B1178" t="str">
            <v>Mashuk</v>
          </cell>
          <cell r="C1178">
            <v>6</v>
          </cell>
          <cell r="D1178">
            <v>17</v>
          </cell>
          <cell r="E1178">
            <v>10</v>
          </cell>
          <cell r="F1178">
            <v>4</v>
          </cell>
          <cell r="G1178">
            <v>0</v>
          </cell>
          <cell r="H1178">
            <v>1</v>
          </cell>
          <cell r="I1178">
            <v>1</v>
          </cell>
          <cell r="J1178">
            <v>0</v>
          </cell>
          <cell r="M1178" t="str">
            <v>&gt;&gt;</v>
          </cell>
          <cell r="N1178" t="str">
            <v>Mustofa Muddassir Mahmud Mashuk</v>
          </cell>
          <cell r="O1178" t="str">
            <v>FFC-1</v>
          </cell>
          <cell r="P1178" t="str">
            <v>THE FIERCE GREENHORNS</v>
          </cell>
          <cell r="Q1178">
            <v>1</v>
          </cell>
          <cell r="R1178">
            <v>195</v>
          </cell>
          <cell r="U1178">
            <v>42795</v>
          </cell>
        </row>
        <row r="1179">
          <cell r="B1179" t="str">
            <v>Gaint-Assasins</v>
          </cell>
          <cell r="M1179" t="str">
            <v>&gt;&gt;</v>
          </cell>
          <cell r="N1179" t="str">
            <v/>
          </cell>
          <cell r="O1179" t="str">
            <v>FRS-1</v>
          </cell>
          <cell r="P1179" t="str">
            <v>Gaint-Assasins</v>
          </cell>
          <cell r="Q1179">
            <v>1</v>
          </cell>
          <cell r="R1179">
            <v>196</v>
          </cell>
          <cell r="U1179">
            <v>43040</v>
          </cell>
        </row>
        <row r="1180">
          <cell r="B1180" t="str">
            <v>Sh Shanto</v>
          </cell>
          <cell r="C1180">
            <v>11</v>
          </cell>
          <cell r="D1180">
            <v>195</v>
          </cell>
          <cell r="E1180">
            <v>14</v>
          </cell>
          <cell r="F1180">
            <v>12</v>
          </cell>
          <cell r="G1180">
            <v>1</v>
          </cell>
          <cell r="H1180">
            <v>16</v>
          </cell>
          <cell r="I1180">
            <v>13</v>
          </cell>
          <cell r="M1180" t="str">
            <v>&gt;&gt;</v>
          </cell>
          <cell r="N1180" t="str">
            <v>Sakhawat Hossain Shanto</v>
          </cell>
          <cell r="O1180" t="str">
            <v>FRS-1</v>
          </cell>
          <cell r="P1180" t="str">
            <v>Gaint-Assasins</v>
          </cell>
          <cell r="Q1180">
            <v>1</v>
          </cell>
          <cell r="R1180">
            <v>196</v>
          </cell>
          <cell r="U1180">
            <v>43040</v>
          </cell>
        </row>
        <row r="1181">
          <cell r="B1181" t="str">
            <v>Nahid</v>
          </cell>
          <cell r="C1181">
            <v>11</v>
          </cell>
          <cell r="D1181">
            <v>134</v>
          </cell>
          <cell r="E1181">
            <v>8</v>
          </cell>
          <cell r="F1181">
            <v>10</v>
          </cell>
          <cell r="G1181">
            <v>1</v>
          </cell>
          <cell r="H1181">
            <v>13</v>
          </cell>
          <cell r="I1181">
            <v>9</v>
          </cell>
          <cell r="M1181" t="str">
            <v>&gt;&gt;</v>
          </cell>
          <cell r="N1181" t="str">
            <v>Nahid Saifullah</v>
          </cell>
          <cell r="O1181" t="str">
            <v>FRS-1</v>
          </cell>
          <cell r="P1181" t="str">
            <v>Gaint-Assasins</v>
          </cell>
          <cell r="Q1181">
            <v>1</v>
          </cell>
          <cell r="R1181">
            <v>196</v>
          </cell>
          <cell r="U1181">
            <v>43040</v>
          </cell>
        </row>
        <row r="1182">
          <cell r="B1182" t="str">
            <v>Shadhin</v>
          </cell>
          <cell r="C1182">
            <v>6</v>
          </cell>
          <cell r="D1182">
            <v>67</v>
          </cell>
          <cell r="E1182">
            <v>4</v>
          </cell>
          <cell r="F1182">
            <v>5</v>
          </cell>
          <cell r="G1182">
            <v>1</v>
          </cell>
          <cell r="H1182">
            <v>4</v>
          </cell>
          <cell r="I1182">
            <v>7</v>
          </cell>
          <cell r="M1182" t="str">
            <v>&gt;&gt;</v>
          </cell>
          <cell r="N1182" t="str">
            <v>Abdullah Al Mamun Shadhin</v>
          </cell>
          <cell r="O1182" t="str">
            <v>FRS-1</v>
          </cell>
          <cell r="P1182" t="str">
            <v>Gaint-Assasins</v>
          </cell>
          <cell r="Q1182">
            <v>1</v>
          </cell>
          <cell r="R1182">
            <v>196</v>
          </cell>
          <cell r="U1182">
            <v>43040</v>
          </cell>
        </row>
        <row r="1183">
          <cell r="B1183" t="str">
            <v>Rexx</v>
          </cell>
          <cell r="C1183">
            <v>10</v>
          </cell>
          <cell r="D1183">
            <v>131</v>
          </cell>
          <cell r="E1183">
            <v>10</v>
          </cell>
          <cell r="F1183">
            <v>9</v>
          </cell>
          <cell r="G1183">
            <v>2</v>
          </cell>
          <cell r="H1183">
            <v>10</v>
          </cell>
          <cell r="I1183">
            <v>7</v>
          </cell>
          <cell r="M1183" t="str">
            <v>&gt;&gt;</v>
          </cell>
          <cell r="N1183" t="str">
            <v>Bishwajit Sarkar</v>
          </cell>
          <cell r="O1183" t="str">
            <v>FRS-1</v>
          </cell>
          <cell r="P1183" t="str">
            <v>Gaint-Assasins</v>
          </cell>
          <cell r="Q1183">
            <v>1</v>
          </cell>
          <cell r="R1183">
            <v>196</v>
          </cell>
          <cell r="U1183">
            <v>43040</v>
          </cell>
        </row>
        <row r="1184">
          <cell r="B1184" t="str">
            <v>Monotonic-Hitters</v>
          </cell>
          <cell r="M1184" t="str">
            <v>&gt;&gt;</v>
          </cell>
          <cell r="N1184" t="str">
            <v/>
          </cell>
          <cell r="O1184" t="str">
            <v>FRS-1</v>
          </cell>
          <cell r="P1184" t="str">
            <v>Monotonic-Hitters</v>
          </cell>
          <cell r="Q1184">
            <v>1</v>
          </cell>
          <cell r="R1184">
            <v>197</v>
          </cell>
          <cell r="T1184" t="str">
            <v>CHAMP</v>
          </cell>
          <cell r="U1184">
            <v>43040</v>
          </cell>
        </row>
        <row r="1185">
          <cell r="B1185" t="str">
            <v>Mashuk</v>
          </cell>
          <cell r="C1185">
            <v>9</v>
          </cell>
          <cell r="D1185">
            <v>203</v>
          </cell>
          <cell r="E1185">
            <v>12</v>
          </cell>
          <cell r="F1185">
            <v>13</v>
          </cell>
          <cell r="G1185">
            <v>1</v>
          </cell>
          <cell r="H1185">
            <v>17</v>
          </cell>
          <cell r="I1185">
            <v>19</v>
          </cell>
          <cell r="M1185" t="str">
            <v>&gt;&gt;</v>
          </cell>
          <cell r="N1185" t="str">
            <v>Mustofa Muddassir Mahmud Mashuk</v>
          </cell>
          <cell r="O1185" t="str">
            <v>FRS-1</v>
          </cell>
          <cell r="P1185" t="str">
            <v>Monotonic-Hitters</v>
          </cell>
          <cell r="Q1185">
            <v>1</v>
          </cell>
          <cell r="R1185">
            <v>197</v>
          </cell>
          <cell r="T1185" t="str">
            <v>CHAMP</v>
          </cell>
          <cell r="U1185">
            <v>43040</v>
          </cell>
        </row>
        <row r="1186">
          <cell r="B1186" t="str">
            <v>Tutul</v>
          </cell>
          <cell r="C1186">
            <v>11</v>
          </cell>
          <cell r="D1186">
            <v>161</v>
          </cell>
          <cell r="E1186">
            <v>23</v>
          </cell>
          <cell r="F1186">
            <v>15</v>
          </cell>
          <cell r="G1186">
            <v>5</v>
          </cell>
          <cell r="H1186">
            <v>20</v>
          </cell>
          <cell r="I1186">
            <v>9</v>
          </cell>
          <cell r="M1186" t="str">
            <v>&gt;&gt;</v>
          </cell>
          <cell r="N1186" t="str">
            <v>Kamrul Hasan Tutul</v>
          </cell>
          <cell r="O1186" t="str">
            <v>FRS-1</v>
          </cell>
          <cell r="P1186" t="str">
            <v>Monotonic-Hitters</v>
          </cell>
          <cell r="Q1186">
            <v>1</v>
          </cell>
          <cell r="R1186">
            <v>197</v>
          </cell>
          <cell r="T1186" t="str">
            <v>CHAMP</v>
          </cell>
          <cell r="U1186">
            <v>43040</v>
          </cell>
          <cell r="W1186">
            <v>1</v>
          </cell>
        </row>
        <row r="1187">
          <cell r="B1187" t="str">
            <v>Raju</v>
          </cell>
          <cell r="C1187">
            <v>11</v>
          </cell>
          <cell r="D1187">
            <v>47</v>
          </cell>
          <cell r="E1187">
            <v>12</v>
          </cell>
          <cell r="F1187">
            <v>11</v>
          </cell>
          <cell r="G1187">
            <v>0</v>
          </cell>
          <cell r="H1187">
            <v>4</v>
          </cell>
          <cell r="I1187">
            <v>1</v>
          </cell>
          <cell r="M1187" t="str">
            <v>&gt;&gt;</v>
          </cell>
          <cell r="N1187" t="str">
            <v>Radoyan Raju</v>
          </cell>
          <cell r="O1187" t="str">
            <v>FRS-1</v>
          </cell>
          <cell r="P1187" t="str">
            <v>Monotonic-Hitters</v>
          </cell>
          <cell r="Q1187">
            <v>1</v>
          </cell>
          <cell r="R1187">
            <v>197</v>
          </cell>
          <cell r="T1187" t="str">
            <v>CHAMP</v>
          </cell>
          <cell r="U1187">
            <v>43040</v>
          </cell>
        </row>
        <row r="1188">
          <cell r="B1188" t="str">
            <v>Al Mamun</v>
          </cell>
          <cell r="C1188">
            <v>10</v>
          </cell>
          <cell r="D1188">
            <v>187</v>
          </cell>
          <cell r="E1188">
            <v>7</v>
          </cell>
          <cell r="F1188">
            <v>15</v>
          </cell>
          <cell r="G1188">
            <v>0</v>
          </cell>
          <cell r="H1188">
            <v>12</v>
          </cell>
          <cell r="I1188">
            <v>14</v>
          </cell>
          <cell r="M1188" t="str">
            <v>&gt;&gt;</v>
          </cell>
          <cell r="N1188" t="str">
            <v>Mohammed Al Mamun</v>
          </cell>
          <cell r="O1188" t="str">
            <v>FRS-1</v>
          </cell>
          <cell r="P1188" t="str">
            <v>Monotonic-Hitters</v>
          </cell>
          <cell r="Q1188">
            <v>1</v>
          </cell>
          <cell r="R1188">
            <v>197</v>
          </cell>
          <cell r="T1188" t="str">
            <v>CHAMP</v>
          </cell>
          <cell r="U1188">
            <v>43040</v>
          </cell>
        </row>
        <row r="1189">
          <cell r="B1189" t="str">
            <v>Encounter-Hitters</v>
          </cell>
          <cell r="M1189" t="str">
            <v>&gt;&gt;</v>
          </cell>
          <cell r="N1189" t="str">
            <v/>
          </cell>
          <cell r="O1189" t="str">
            <v>FRS-1</v>
          </cell>
          <cell r="P1189" t="str">
            <v>Encounter-Hitters</v>
          </cell>
          <cell r="Q1189">
            <v>1</v>
          </cell>
          <cell r="R1189">
            <v>198</v>
          </cell>
          <cell r="T1189" t="str">
            <v>RU</v>
          </cell>
          <cell r="U1189">
            <v>43040</v>
          </cell>
        </row>
        <row r="1190">
          <cell r="B1190" t="str">
            <v>Jahin</v>
          </cell>
          <cell r="C1190">
            <v>13</v>
          </cell>
          <cell r="D1190">
            <v>96</v>
          </cell>
          <cell r="E1190">
            <v>22</v>
          </cell>
          <cell r="F1190">
            <v>12</v>
          </cell>
          <cell r="G1190">
            <v>0</v>
          </cell>
          <cell r="H1190">
            <v>9</v>
          </cell>
          <cell r="I1190">
            <v>5</v>
          </cell>
          <cell r="M1190" t="str">
            <v>&gt;&gt;</v>
          </cell>
          <cell r="N1190" t="str">
            <v>Jahin Shahriar Chowdhury</v>
          </cell>
          <cell r="O1190" t="str">
            <v>FRS-1</v>
          </cell>
          <cell r="P1190" t="str">
            <v>Encounter-Hitters</v>
          </cell>
          <cell r="Q1190">
            <v>1</v>
          </cell>
          <cell r="R1190">
            <v>198</v>
          </cell>
          <cell r="T1190" t="str">
            <v>RU</v>
          </cell>
          <cell r="U1190">
            <v>43040</v>
          </cell>
        </row>
        <row r="1191">
          <cell r="B1191" t="str">
            <v>SA Shanto</v>
          </cell>
          <cell r="C1191">
            <v>14</v>
          </cell>
          <cell r="D1191">
            <v>267</v>
          </cell>
          <cell r="E1191">
            <v>13</v>
          </cell>
          <cell r="F1191">
            <v>24</v>
          </cell>
          <cell r="G1191">
            <v>4</v>
          </cell>
          <cell r="H1191">
            <v>20</v>
          </cell>
          <cell r="I1191">
            <v>15</v>
          </cell>
          <cell r="M1191" t="str">
            <v>&gt;&gt;</v>
          </cell>
          <cell r="N1191" t="str">
            <v>Sayed Anowar Shanto</v>
          </cell>
          <cell r="O1191" t="str">
            <v>FRS-1</v>
          </cell>
          <cell r="P1191" t="str">
            <v>Encounter-Hitters</v>
          </cell>
          <cell r="Q1191">
            <v>1</v>
          </cell>
          <cell r="R1191">
            <v>198</v>
          </cell>
          <cell r="S1191" t="str">
            <v>CPOT</v>
          </cell>
          <cell r="T1191" t="str">
            <v>RU</v>
          </cell>
          <cell r="U1191">
            <v>43040</v>
          </cell>
        </row>
        <row r="1192">
          <cell r="B1192" t="str">
            <v>Saaj</v>
          </cell>
          <cell r="C1192">
            <v>14</v>
          </cell>
          <cell r="D1192">
            <v>321</v>
          </cell>
          <cell r="E1192">
            <v>17</v>
          </cell>
          <cell r="F1192">
            <v>23</v>
          </cell>
          <cell r="G1192">
            <v>5</v>
          </cell>
          <cell r="H1192">
            <v>32</v>
          </cell>
          <cell r="I1192">
            <v>22</v>
          </cell>
          <cell r="M1192" t="str">
            <v>&gt;&gt;</v>
          </cell>
          <cell r="N1192" t="str">
            <v>AB Saaj</v>
          </cell>
          <cell r="O1192" t="str">
            <v>FRS-1</v>
          </cell>
          <cell r="P1192" t="str">
            <v>Encounter-Hitters</v>
          </cell>
          <cell r="Q1192">
            <v>1</v>
          </cell>
          <cell r="R1192">
            <v>198</v>
          </cell>
          <cell r="S1192" t="str">
            <v>MOT</v>
          </cell>
          <cell r="T1192" t="str">
            <v>RU</v>
          </cell>
          <cell r="U1192">
            <v>43040</v>
          </cell>
          <cell r="V1192">
            <v>1</v>
          </cell>
        </row>
        <row r="1193">
          <cell r="B1193" t="str">
            <v>Afzal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H1193">
            <v>0</v>
          </cell>
          <cell r="I1193">
            <v>0</v>
          </cell>
          <cell r="M1193" t="str">
            <v>&gt;&gt;</v>
          </cell>
          <cell r="N1193" t="str">
            <v>Afzal Hussain Shuhag</v>
          </cell>
          <cell r="O1193" t="str">
            <v>FRS-1</v>
          </cell>
          <cell r="P1193" t="str">
            <v>Encounter-Hitters</v>
          </cell>
          <cell r="Q1193">
            <v>1</v>
          </cell>
          <cell r="R1193">
            <v>198</v>
          </cell>
          <cell r="T1193" t="str">
            <v>RU</v>
          </cell>
          <cell r="U1193">
            <v>43040</v>
          </cell>
        </row>
        <row r="1194">
          <cell r="B1194" t="str">
            <v>Final-Fury-V</v>
          </cell>
          <cell r="M1194" t="str">
            <v>&gt;&gt;</v>
          </cell>
          <cell r="N1194" t="str">
            <v/>
          </cell>
          <cell r="O1194" t="str">
            <v>FRS-1</v>
          </cell>
          <cell r="P1194" t="str">
            <v>Final-Fury-V</v>
          </cell>
          <cell r="Q1194">
            <v>1</v>
          </cell>
          <cell r="R1194">
            <v>199</v>
          </cell>
          <cell r="U1194">
            <v>43040</v>
          </cell>
        </row>
        <row r="1195">
          <cell r="B1195" t="str">
            <v>Asif</v>
          </cell>
          <cell r="C1195">
            <v>10</v>
          </cell>
          <cell r="D1195">
            <v>109</v>
          </cell>
          <cell r="E1195">
            <v>13</v>
          </cell>
          <cell r="F1195">
            <v>13</v>
          </cell>
          <cell r="G1195">
            <v>0</v>
          </cell>
          <cell r="H1195">
            <v>11</v>
          </cell>
          <cell r="I1195">
            <v>7</v>
          </cell>
          <cell r="M1195" t="str">
            <v>&gt;&gt;</v>
          </cell>
          <cell r="N1195" t="str">
            <v>Asif Iqbal Khan</v>
          </cell>
          <cell r="O1195" t="str">
            <v>FRS-1</v>
          </cell>
          <cell r="P1195" t="str">
            <v>Final-Fury-V</v>
          </cell>
          <cell r="Q1195">
            <v>1</v>
          </cell>
          <cell r="R1195">
            <v>199</v>
          </cell>
          <cell r="U1195">
            <v>43040</v>
          </cell>
        </row>
        <row r="1196">
          <cell r="B1196" t="str">
            <v>Jhony</v>
          </cell>
          <cell r="C1196">
            <v>10</v>
          </cell>
          <cell r="D1196">
            <v>92</v>
          </cell>
          <cell r="E1196">
            <v>13</v>
          </cell>
          <cell r="F1196">
            <v>12</v>
          </cell>
          <cell r="G1196">
            <v>1</v>
          </cell>
          <cell r="H1196">
            <v>11</v>
          </cell>
          <cell r="I1196">
            <v>4</v>
          </cell>
          <cell r="M1196" t="str">
            <v>&gt;&gt;</v>
          </cell>
          <cell r="N1196" t="str">
            <v>Faisal Ahmed Jhony</v>
          </cell>
          <cell r="O1196" t="str">
            <v>FRS-1</v>
          </cell>
          <cell r="P1196" t="str">
            <v>Final-Fury-V</v>
          </cell>
          <cell r="Q1196">
            <v>1</v>
          </cell>
          <cell r="R1196">
            <v>199</v>
          </cell>
          <cell r="U1196">
            <v>43040</v>
          </cell>
        </row>
        <row r="1197">
          <cell r="B1197" t="str">
            <v>Arafat</v>
          </cell>
          <cell r="C1197">
            <v>5</v>
          </cell>
          <cell r="D1197">
            <v>38</v>
          </cell>
          <cell r="E1197">
            <v>2</v>
          </cell>
          <cell r="F1197">
            <v>5</v>
          </cell>
          <cell r="G1197">
            <v>0</v>
          </cell>
          <cell r="H1197">
            <v>2</v>
          </cell>
          <cell r="I1197">
            <v>4</v>
          </cell>
          <cell r="M1197" t="str">
            <v>&gt;&gt;</v>
          </cell>
          <cell r="N1197" t="str">
            <v>Sakib Arafat</v>
          </cell>
          <cell r="O1197" t="str">
            <v>FRS-1</v>
          </cell>
          <cell r="P1197" t="str">
            <v>Final-Fury-V</v>
          </cell>
          <cell r="Q1197">
            <v>1</v>
          </cell>
          <cell r="R1197">
            <v>199</v>
          </cell>
          <cell r="U1197">
            <v>43040</v>
          </cell>
        </row>
        <row r="1198">
          <cell r="B1198" t="str">
            <v>Nur</v>
          </cell>
          <cell r="C1198">
            <v>10</v>
          </cell>
          <cell r="D1198">
            <v>197</v>
          </cell>
          <cell r="E1198">
            <v>8</v>
          </cell>
          <cell r="F1198">
            <v>15</v>
          </cell>
          <cell r="G1198">
            <v>0</v>
          </cell>
          <cell r="H1198">
            <v>14</v>
          </cell>
          <cell r="I1198">
            <v>13</v>
          </cell>
          <cell r="M1198" t="str">
            <v>&gt;&gt;</v>
          </cell>
          <cell r="N1198" t="str">
            <v>Nur Muhammad</v>
          </cell>
          <cell r="O1198" t="str">
            <v>FRS-1</v>
          </cell>
          <cell r="P1198" t="str">
            <v>Final-Fury-V</v>
          </cell>
          <cell r="Q1198">
            <v>1</v>
          </cell>
          <cell r="R1198">
            <v>199</v>
          </cell>
          <cell r="U1198">
            <v>43040</v>
          </cell>
        </row>
        <row r="1199">
          <cell r="B1199" t="str">
            <v>Dare-Devil</v>
          </cell>
          <cell r="M1199" t="str">
            <v>&gt;&gt;</v>
          </cell>
          <cell r="N1199" t="str">
            <v/>
          </cell>
          <cell r="O1199" t="str">
            <v>FRS-1</v>
          </cell>
          <cell r="P1199" t="str">
            <v>Dare-Devil</v>
          </cell>
          <cell r="Q1199">
            <v>1</v>
          </cell>
          <cell r="R1199">
            <v>200</v>
          </cell>
          <cell r="U1199">
            <v>43040</v>
          </cell>
        </row>
        <row r="1200">
          <cell r="B1200" t="str">
            <v>Kamil</v>
          </cell>
          <cell r="C1200">
            <v>3</v>
          </cell>
          <cell r="D1200">
            <v>51</v>
          </cell>
          <cell r="E1200">
            <v>4</v>
          </cell>
          <cell r="F1200">
            <v>5</v>
          </cell>
          <cell r="G1200">
            <v>1</v>
          </cell>
          <cell r="H1200">
            <v>4</v>
          </cell>
          <cell r="I1200">
            <v>5</v>
          </cell>
          <cell r="M1200" t="str">
            <v>&gt;&gt;</v>
          </cell>
          <cell r="N1200" t="str">
            <v>Kamil Ahmed</v>
          </cell>
          <cell r="O1200" t="str">
            <v>FRS-1</v>
          </cell>
          <cell r="P1200" t="str">
            <v>Dare-Devil</v>
          </cell>
          <cell r="Q1200">
            <v>1</v>
          </cell>
          <cell r="R1200">
            <v>200</v>
          </cell>
          <cell r="U1200">
            <v>43040</v>
          </cell>
        </row>
        <row r="1201">
          <cell r="B1201" t="str">
            <v>Tarek</v>
          </cell>
          <cell r="C1201">
            <v>5</v>
          </cell>
          <cell r="D1201">
            <v>102</v>
          </cell>
          <cell r="E1201">
            <v>7</v>
          </cell>
          <cell r="F1201">
            <v>7</v>
          </cell>
          <cell r="G1201">
            <v>4</v>
          </cell>
          <cell r="H1201">
            <v>6</v>
          </cell>
          <cell r="I1201">
            <v>6</v>
          </cell>
          <cell r="M1201" t="str">
            <v>&gt;&gt;</v>
          </cell>
          <cell r="N1201" t="str">
            <v>Prince Tarek</v>
          </cell>
          <cell r="O1201" t="str">
            <v>FRS-1</v>
          </cell>
          <cell r="P1201" t="str">
            <v>Dare-Devil</v>
          </cell>
          <cell r="Q1201">
            <v>1</v>
          </cell>
          <cell r="R1201">
            <v>200</v>
          </cell>
          <cell r="U1201">
            <v>43040</v>
          </cell>
        </row>
        <row r="1202">
          <cell r="B1202" t="str">
            <v>Ashraful</v>
          </cell>
          <cell r="C1202">
            <v>6</v>
          </cell>
          <cell r="D1202">
            <v>48</v>
          </cell>
          <cell r="E1202">
            <v>9</v>
          </cell>
          <cell r="F1202">
            <v>6</v>
          </cell>
          <cell r="G1202">
            <v>0</v>
          </cell>
          <cell r="H1202">
            <v>3</v>
          </cell>
          <cell r="I1202">
            <v>4</v>
          </cell>
          <cell r="M1202" t="str">
            <v>&gt;&gt;</v>
          </cell>
          <cell r="N1202" t="str">
            <v>Ashraful Islam</v>
          </cell>
          <cell r="O1202" t="str">
            <v>FRS-1</v>
          </cell>
          <cell r="P1202" t="str">
            <v>Dare-Devil</v>
          </cell>
          <cell r="Q1202">
            <v>1</v>
          </cell>
          <cell r="R1202">
            <v>200</v>
          </cell>
          <cell r="U1202">
            <v>43040</v>
          </cell>
        </row>
        <row r="1203">
          <cell r="B1203" t="str">
            <v>Saiful</v>
          </cell>
          <cell r="C1203">
            <v>5</v>
          </cell>
          <cell r="D1203">
            <v>18</v>
          </cell>
          <cell r="E1203">
            <v>8</v>
          </cell>
          <cell r="F1203">
            <v>2</v>
          </cell>
          <cell r="G1203">
            <v>0</v>
          </cell>
          <cell r="H1203">
            <v>0</v>
          </cell>
          <cell r="I1203">
            <v>1</v>
          </cell>
          <cell r="M1203" t="str">
            <v>&gt;&gt;</v>
          </cell>
          <cell r="N1203" t="str">
            <v>Saiful Islam</v>
          </cell>
          <cell r="O1203" t="str">
            <v>FRS-1</v>
          </cell>
          <cell r="P1203" t="str">
            <v>Dare-Devil</v>
          </cell>
          <cell r="Q1203">
            <v>1</v>
          </cell>
          <cell r="R1203">
            <v>200</v>
          </cell>
          <cell r="U1203">
            <v>43040</v>
          </cell>
        </row>
        <row r="1204">
          <cell r="B1204" t="str">
            <v>Gourgious-Gangs</v>
          </cell>
          <cell r="M1204" t="str">
            <v>&gt;&gt;</v>
          </cell>
          <cell r="N1204" t="str">
            <v/>
          </cell>
          <cell r="O1204" t="str">
            <v>FRS-1</v>
          </cell>
          <cell r="P1204" t="str">
            <v>Gourgious-Gangs</v>
          </cell>
          <cell r="Q1204">
            <v>1</v>
          </cell>
          <cell r="R1204">
            <v>201</v>
          </cell>
          <cell r="U1204">
            <v>43040</v>
          </cell>
        </row>
        <row r="1205">
          <cell r="B1205" t="str">
            <v>Tofayel</v>
          </cell>
          <cell r="C1205">
            <v>10</v>
          </cell>
          <cell r="D1205">
            <v>81</v>
          </cell>
          <cell r="E1205">
            <v>10</v>
          </cell>
          <cell r="F1205">
            <v>12</v>
          </cell>
          <cell r="G1205">
            <v>3</v>
          </cell>
          <cell r="H1205">
            <v>7</v>
          </cell>
          <cell r="I1205">
            <v>6</v>
          </cell>
          <cell r="M1205" t="str">
            <v>&gt;&gt;</v>
          </cell>
          <cell r="N1205" t="str">
            <v>MD Tofayel Ahmed</v>
          </cell>
          <cell r="O1205" t="str">
            <v>FRS-1</v>
          </cell>
          <cell r="P1205" t="str">
            <v>Gourgious-Gangs</v>
          </cell>
          <cell r="Q1205">
            <v>1</v>
          </cell>
          <cell r="R1205">
            <v>201</v>
          </cell>
          <cell r="U1205">
            <v>43040</v>
          </cell>
        </row>
        <row r="1206">
          <cell r="B1206" t="str">
            <v>Faruque</v>
          </cell>
          <cell r="C1206">
            <v>5</v>
          </cell>
          <cell r="D1206">
            <v>110</v>
          </cell>
          <cell r="E1206">
            <v>9</v>
          </cell>
          <cell r="F1206">
            <v>7</v>
          </cell>
          <cell r="G1206">
            <v>0</v>
          </cell>
          <cell r="H1206">
            <v>9</v>
          </cell>
          <cell r="I1206">
            <v>8</v>
          </cell>
          <cell r="M1206" t="str">
            <v>&gt;&gt;</v>
          </cell>
          <cell r="N1206" t="str">
            <v>Mohammad Faruque</v>
          </cell>
          <cell r="O1206" t="str">
            <v>FRS-1</v>
          </cell>
          <cell r="P1206" t="str">
            <v>Gourgious-Gangs</v>
          </cell>
          <cell r="Q1206">
            <v>1</v>
          </cell>
          <cell r="R1206">
            <v>201</v>
          </cell>
          <cell r="U1206">
            <v>43040</v>
          </cell>
        </row>
        <row r="1207">
          <cell r="B1207" t="str">
            <v>Wasiq</v>
          </cell>
          <cell r="C1207">
            <v>9</v>
          </cell>
          <cell r="D1207">
            <v>79</v>
          </cell>
          <cell r="E1207">
            <v>6</v>
          </cell>
          <cell r="F1207">
            <v>12</v>
          </cell>
          <cell r="G1207">
            <v>0</v>
          </cell>
          <cell r="H1207">
            <v>5</v>
          </cell>
          <cell r="I1207">
            <v>5</v>
          </cell>
          <cell r="M1207" t="str">
            <v>&gt;&gt;</v>
          </cell>
          <cell r="N1207" t="str">
            <v>Wasiq Rahman</v>
          </cell>
          <cell r="O1207" t="str">
            <v>FRS-1</v>
          </cell>
          <cell r="P1207" t="str">
            <v>Gourgious-Gangs</v>
          </cell>
          <cell r="Q1207">
            <v>1</v>
          </cell>
          <cell r="R1207">
            <v>201</v>
          </cell>
          <cell r="U1207">
            <v>43040</v>
          </cell>
        </row>
        <row r="1208">
          <cell r="B1208" t="str">
            <v>Tahmid</v>
          </cell>
          <cell r="C1208">
            <v>10</v>
          </cell>
          <cell r="D1208">
            <v>150</v>
          </cell>
          <cell r="E1208">
            <v>12</v>
          </cell>
          <cell r="F1208">
            <v>12</v>
          </cell>
          <cell r="G1208">
            <v>1</v>
          </cell>
          <cell r="H1208">
            <v>11</v>
          </cell>
          <cell r="I1208">
            <v>12</v>
          </cell>
          <cell r="M1208" t="str">
            <v>&gt;&gt;</v>
          </cell>
          <cell r="N1208" t="str">
            <v>Galaxsy Prince Tahmid (Tahmid Rahman)</v>
          </cell>
          <cell r="O1208" t="str">
            <v>FRS-1</v>
          </cell>
          <cell r="P1208" t="str">
            <v>Gourgious-Gangs</v>
          </cell>
          <cell r="Q1208">
            <v>1</v>
          </cell>
          <cell r="R1208">
            <v>201</v>
          </cell>
          <cell r="U1208">
            <v>43040</v>
          </cell>
        </row>
        <row r="1209">
          <cell r="B1209" t="str">
            <v>Fire-Crackers</v>
          </cell>
          <cell r="M1209" t="str">
            <v>&gt;&gt;</v>
          </cell>
          <cell r="N1209" t="str">
            <v/>
          </cell>
          <cell r="O1209" t="str">
            <v>FRS-1</v>
          </cell>
          <cell r="P1209" t="str">
            <v>Fire-Crackers</v>
          </cell>
          <cell r="Q1209">
            <v>1</v>
          </cell>
          <cell r="R1209">
            <v>202</v>
          </cell>
          <cell r="U1209">
            <v>43040</v>
          </cell>
        </row>
        <row r="1210">
          <cell r="B1210" t="str">
            <v>Munna</v>
          </cell>
          <cell r="C1210">
            <v>12</v>
          </cell>
          <cell r="D1210">
            <v>188</v>
          </cell>
          <cell r="E1210">
            <v>8</v>
          </cell>
          <cell r="F1210">
            <v>16</v>
          </cell>
          <cell r="G1210">
            <v>4</v>
          </cell>
          <cell r="H1210">
            <v>17</v>
          </cell>
          <cell r="I1210">
            <v>13</v>
          </cell>
          <cell r="M1210" t="str">
            <v>&gt;&gt;</v>
          </cell>
          <cell r="N1210" t="str">
            <v>Monowar Hossain Munna</v>
          </cell>
          <cell r="O1210" t="str">
            <v>FRS-1</v>
          </cell>
          <cell r="P1210" t="str">
            <v>Fire-Crackers</v>
          </cell>
          <cell r="Q1210">
            <v>1</v>
          </cell>
          <cell r="R1210">
            <v>202</v>
          </cell>
          <cell r="U1210">
            <v>43040</v>
          </cell>
        </row>
        <row r="1211">
          <cell r="B1211" t="str">
            <v>Apon</v>
          </cell>
          <cell r="C1211">
            <v>9</v>
          </cell>
          <cell r="D1211">
            <v>93</v>
          </cell>
          <cell r="E1211">
            <v>8</v>
          </cell>
          <cell r="F1211">
            <v>8</v>
          </cell>
          <cell r="G1211">
            <v>1</v>
          </cell>
          <cell r="H1211">
            <v>8</v>
          </cell>
          <cell r="I1211">
            <v>7</v>
          </cell>
          <cell r="M1211" t="str">
            <v>&gt;&gt;</v>
          </cell>
          <cell r="N1211" t="str">
            <v>Al Amin Apon</v>
          </cell>
          <cell r="O1211" t="str">
            <v>FRS-1</v>
          </cell>
          <cell r="P1211" t="str">
            <v>Fire-Crackers</v>
          </cell>
          <cell r="Q1211">
            <v>1</v>
          </cell>
          <cell r="R1211">
            <v>202</v>
          </cell>
          <cell r="U1211">
            <v>43040</v>
          </cell>
        </row>
        <row r="1212">
          <cell r="B1212" t="str">
            <v>Akash</v>
          </cell>
          <cell r="C1212">
            <v>9</v>
          </cell>
          <cell r="D1212">
            <v>88</v>
          </cell>
          <cell r="E1212">
            <v>7</v>
          </cell>
          <cell r="F1212">
            <v>10</v>
          </cell>
          <cell r="G1212">
            <v>1</v>
          </cell>
          <cell r="H1212">
            <v>10</v>
          </cell>
          <cell r="I1212">
            <v>7</v>
          </cell>
          <cell r="M1212" t="str">
            <v>&gt;&gt;</v>
          </cell>
          <cell r="N1212" t="str">
            <v>Mahbubur Rahman Akash</v>
          </cell>
          <cell r="O1212" t="str">
            <v>FRS-1</v>
          </cell>
          <cell r="P1212" t="str">
            <v>Fire-Crackers</v>
          </cell>
          <cell r="Q1212">
            <v>1</v>
          </cell>
          <cell r="R1212">
            <v>202</v>
          </cell>
          <cell r="U1212">
            <v>43040</v>
          </cell>
        </row>
        <row r="1213">
          <cell r="B1213" t="str">
            <v>Tonmoy</v>
          </cell>
          <cell r="C1213">
            <v>12</v>
          </cell>
          <cell r="D1213">
            <v>149</v>
          </cell>
          <cell r="E1213">
            <v>12</v>
          </cell>
          <cell r="F1213">
            <v>17</v>
          </cell>
          <cell r="G1213">
            <v>1</v>
          </cell>
          <cell r="H1213">
            <v>10</v>
          </cell>
          <cell r="I1213">
            <v>7</v>
          </cell>
          <cell r="M1213" t="str">
            <v>&gt;&gt;</v>
          </cell>
          <cell r="N1213" t="str">
            <v>Asik Hassan Tonmoy</v>
          </cell>
          <cell r="O1213" t="str">
            <v>FRS-1</v>
          </cell>
          <cell r="P1213" t="str">
            <v>Fire-Crackers</v>
          </cell>
          <cell r="Q1213">
            <v>1</v>
          </cell>
          <cell r="R1213">
            <v>202</v>
          </cell>
          <cell r="U1213">
            <v>43040</v>
          </cell>
        </row>
        <row r="1214">
          <cell r="B1214" t="str">
            <v>GangStar-Wizerd</v>
          </cell>
          <cell r="M1214" t="str">
            <v>&gt;&gt;</v>
          </cell>
          <cell r="N1214" t="str">
            <v/>
          </cell>
          <cell r="O1214" t="str">
            <v>FRS-1</v>
          </cell>
          <cell r="P1214" t="str">
            <v>GangStar-Wizerd</v>
          </cell>
          <cell r="Q1214">
            <v>1</v>
          </cell>
          <cell r="R1214">
            <v>203</v>
          </cell>
          <cell r="U1214">
            <v>43040</v>
          </cell>
        </row>
        <row r="1215">
          <cell r="B1215" t="str">
            <v>Shishir</v>
          </cell>
          <cell r="C1215">
            <v>9</v>
          </cell>
          <cell r="D1215">
            <v>85</v>
          </cell>
          <cell r="E1215">
            <v>8</v>
          </cell>
          <cell r="F1215">
            <v>10</v>
          </cell>
          <cell r="G1215">
            <v>2</v>
          </cell>
          <cell r="H1215">
            <v>10</v>
          </cell>
          <cell r="I1215">
            <v>4</v>
          </cell>
          <cell r="M1215" t="str">
            <v>&gt;&gt;</v>
          </cell>
          <cell r="N1215" t="str">
            <v>ShiShir Hossain</v>
          </cell>
          <cell r="O1215" t="str">
            <v>FRS-1</v>
          </cell>
          <cell r="P1215" t="str">
            <v>GangStar-Wizerd</v>
          </cell>
          <cell r="Q1215">
            <v>1</v>
          </cell>
          <cell r="R1215">
            <v>203</v>
          </cell>
          <cell r="U1215">
            <v>43040</v>
          </cell>
        </row>
        <row r="1216">
          <cell r="B1216" t="str">
            <v>Zaheed</v>
          </cell>
          <cell r="C1216">
            <v>10</v>
          </cell>
          <cell r="D1216">
            <v>113</v>
          </cell>
          <cell r="E1216">
            <v>16</v>
          </cell>
          <cell r="F1216">
            <v>10</v>
          </cell>
          <cell r="G1216">
            <v>2</v>
          </cell>
          <cell r="H1216">
            <v>14</v>
          </cell>
          <cell r="I1216">
            <v>6</v>
          </cell>
          <cell r="J1216">
            <v>1</v>
          </cell>
          <cell r="M1216" t="str">
            <v>&gt;&gt;</v>
          </cell>
          <cell r="N1216" t="str">
            <v>Zaheed Hasan</v>
          </cell>
          <cell r="O1216" t="str">
            <v>FRS-1</v>
          </cell>
          <cell r="P1216" t="str">
            <v>GangStar-Wizerd</v>
          </cell>
          <cell r="Q1216">
            <v>1</v>
          </cell>
          <cell r="R1216">
            <v>203</v>
          </cell>
          <cell r="U1216">
            <v>43040</v>
          </cell>
        </row>
        <row r="1217">
          <cell r="B1217" t="str">
            <v>Mijan</v>
          </cell>
          <cell r="C1217">
            <v>6</v>
          </cell>
          <cell r="D1217">
            <v>181</v>
          </cell>
          <cell r="E1217">
            <v>7</v>
          </cell>
          <cell r="F1217">
            <v>12</v>
          </cell>
          <cell r="G1217">
            <v>5</v>
          </cell>
          <cell r="H1217">
            <v>17</v>
          </cell>
          <cell r="I1217">
            <v>11</v>
          </cell>
          <cell r="M1217" t="str">
            <v>&gt;&gt;</v>
          </cell>
          <cell r="N1217" t="str">
            <v>Noushed Mijan</v>
          </cell>
          <cell r="O1217" t="str">
            <v>FRS-1</v>
          </cell>
          <cell r="P1217" t="str">
            <v>GangStar-Wizerd</v>
          </cell>
          <cell r="Q1217">
            <v>1</v>
          </cell>
          <cell r="R1217">
            <v>203</v>
          </cell>
          <cell r="U1217">
            <v>43040</v>
          </cell>
        </row>
        <row r="1218">
          <cell r="B1218" t="str">
            <v>Khokon</v>
          </cell>
          <cell r="C1218">
            <v>6</v>
          </cell>
          <cell r="D1218">
            <v>81</v>
          </cell>
          <cell r="E1218">
            <v>7</v>
          </cell>
          <cell r="F1218">
            <v>7</v>
          </cell>
          <cell r="G1218">
            <v>0</v>
          </cell>
          <cell r="H1218">
            <v>7</v>
          </cell>
          <cell r="I1218">
            <v>5</v>
          </cell>
          <cell r="M1218" t="str">
            <v>&gt;&gt;</v>
          </cell>
          <cell r="N1218" t="str">
            <v>Shahriar Khokon</v>
          </cell>
          <cell r="O1218" t="str">
            <v>FRS-1</v>
          </cell>
          <cell r="P1218" t="str">
            <v>GangStar-Wizerd</v>
          </cell>
          <cell r="Q1218">
            <v>1</v>
          </cell>
          <cell r="R1218">
            <v>203</v>
          </cell>
          <cell r="U1218">
            <v>43040</v>
          </cell>
        </row>
        <row r="1219">
          <cell r="B1219" t="str">
            <v>Faisal</v>
          </cell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M1219" t="str">
            <v>&gt;&gt;</v>
          </cell>
          <cell r="N1219" t="str">
            <v>Red Heart Faisal (Fayze Ahamed)</v>
          </cell>
          <cell r="O1219" t="str">
            <v>FRS-1</v>
          </cell>
          <cell r="P1219" t="str">
            <v>GangStar-Wizerd</v>
          </cell>
          <cell r="Q1219">
            <v>1</v>
          </cell>
          <cell r="R1219">
            <v>203</v>
          </cell>
          <cell r="U1219">
            <v>43040</v>
          </cell>
        </row>
        <row r="1220">
          <cell r="B1220" t="str">
            <v xml:space="preserve">FCL STARS </v>
          </cell>
          <cell r="M1220" t="str">
            <v>&gt;&gt;</v>
          </cell>
          <cell r="N1220" t="str">
            <v/>
          </cell>
          <cell r="O1220" t="str">
            <v>FWIN-2</v>
          </cell>
          <cell r="P1220" t="str">
            <v xml:space="preserve">FCL STARS </v>
          </cell>
          <cell r="Q1220">
            <v>1</v>
          </cell>
          <cell r="R1220">
            <v>204</v>
          </cell>
          <cell r="U1220">
            <v>43435</v>
          </cell>
        </row>
        <row r="1221">
          <cell r="B1221" t="str">
            <v>Tofayel</v>
          </cell>
          <cell r="C1221">
            <v>5</v>
          </cell>
          <cell r="D1221">
            <v>30</v>
          </cell>
          <cell r="E1221">
            <v>9</v>
          </cell>
          <cell r="F1221">
            <v>7</v>
          </cell>
          <cell r="G1221">
            <v>14</v>
          </cell>
          <cell r="H1221">
            <v>1</v>
          </cell>
          <cell r="I1221">
            <v>1</v>
          </cell>
          <cell r="J1221">
            <v>1</v>
          </cell>
          <cell r="M1221" t="str">
            <v>&gt;&gt;</v>
          </cell>
          <cell r="N1221" t="str">
            <v>MD Tofayel Ahmed</v>
          </cell>
          <cell r="O1221" t="str">
            <v>FWIN-2</v>
          </cell>
          <cell r="P1221" t="str">
            <v xml:space="preserve">FCL STARS </v>
          </cell>
          <cell r="Q1221">
            <v>1</v>
          </cell>
          <cell r="R1221">
            <v>204</v>
          </cell>
          <cell r="U1221">
            <v>43435</v>
          </cell>
        </row>
        <row r="1222">
          <cell r="B1222" t="str">
            <v>Jumon</v>
          </cell>
          <cell r="C1222">
            <v>5</v>
          </cell>
          <cell r="D1222">
            <v>48</v>
          </cell>
          <cell r="E1222">
            <v>7</v>
          </cell>
          <cell r="F1222">
            <v>8</v>
          </cell>
          <cell r="G1222">
            <v>0</v>
          </cell>
          <cell r="H1222">
            <v>4</v>
          </cell>
          <cell r="I1222">
            <v>1</v>
          </cell>
          <cell r="J1222" t="str">
            <v>0</v>
          </cell>
          <cell r="M1222" t="str">
            <v>&gt;&gt;</v>
          </cell>
          <cell r="N1222" t="str">
            <v>Foysal Ahmed Jumon</v>
          </cell>
          <cell r="O1222" t="str">
            <v>FWIN-2</v>
          </cell>
          <cell r="P1222" t="str">
            <v xml:space="preserve">FCL STARS </v>
          </cell>
          <cell r="Q1222">
            <v>1</v>
          </cell>
          <cell r="R1222">
            <v>204</v>
          </cell>
          <cell r="U1222">
            <v>43435</v>
          </cell>
        </row>
        <row r="1223">
          <cell r="B1223" t="str">
            <v>Ariful</v>
          </cell>
          <cell r="C1223">
            <v>4</v>
          </cell>
          <cell r="D1223">
            <v>57</v>
          </cell>
          <cell r="E1223">
            <v>3</v>
          </cell>
          <cell r="F1223">
            <v>8</v>
          </cell>
          <cell r="G1223">
            <v>0</v>
          </cell>
          <cell r="H1223">
            <v>7</v>
          </cell>
          <cell r="I1223">
            <v>3</v>
          </cell>
          <cell r="J1223" t="str">
            <v>0</v>
          </cell>
          <cell r="M1223" t="str">
            <v>&gt;&gt;</v>
          </cell>
          <cell r="N1223" t="str">
            <v>Ahammed Ariful Haq</v>
          </cell>
          <cell r="O1223" t="str">
            <v>FWIN-2</v>
          </cell>
          <cell r="P1223" t="str">
            <v xml:space="preserve">FCL STARS </v>
          </cell>
          <cell r="Q1223">
            <v>1</v>
          </cell>
          <cell r="R1223">
            <v>204</v>
          </cell>
          <cell r="U1223">
            <v>43435</v>
          </cell>
        </row>
        <row r="1224">
          <cell r="B1224" t="str">
            <v>Wasiq</v>
          </cell>
          <cell r="C1224">
            <v>3</v>
          </cell>
          <cell r="D1224">
            <v>83</v>
          </cell>
          <cell r="E1224">
            <v>2</v>
          </cell>
          <cell r="F1224">
            <v>6</v>
          </cell>
          <cell r="G1224">
            <v>1</v>
          </cell>
          <cell r="H1224">
            <v>11</v>
          </cell>
          <cell r="I1224">
            <v>3</v>
          </cell>
          <cell r="J1224" t="str">
            <v>0</v>
          </cell>
          <cell r="M1224" t="str">
            <v>&gt;&gt;</v>
          </cell>
          <cell r="N1224" t="str">
            <v>Wasiq Rahman</v>
          </cell>
          <cell r="O1224" t="str">
            <v>FWIN-2</v>
          </cell>
          <cell r="P1224" t="str">
            <v xml:space="preserve">FCL STARS </v>
          </cell>
          <cell r="Q1224">
            <v>1</v>
          </cell>
          <cell r="R1224">
            <v>204</v>
          </cell>
          <cell r="U1224">
            <v>43435</v>
          </cell>
        </row>
        <row r="1225">
          <cell r="B1225" t="str">
            <v xml:space="preserve">PARLE THEKAO </v>
          </cell>
          <cell r="M1225" t="str">
            <v>&gt;&gt;</v>
          </cell>
          <cell r="N1225" t="str">
            <v/>
          </cell>
          <cell r="O1225" t="str">
            <v>FWIN-2</v>
          </cell>
          <cell r="P1225" t="str">
            <v xml:space="preserve">PARLE THEKAO </v>
          </cell>
          <cell r="Q1225">
            <v>1</v>
          </cell>
          <cell r="R1225">
            <v>205</v>
          </cell>
          <cell r="U1225">
            <v>43435</v>
          </cell>
        </row>
        <row r="1226">
          <cell r="B1226" t="str">
            <v>SA Shanto</v>
          </cell>
          <cell r="C1226">
            <v>2</v>
          </cell>
          <cell r="D1226">
            <v>22</v>
          </cell>
          <cell r="E1226">
            <v>4</v>
          </cell>
          <cell r="F1226">
            <v>4</v>
          </cell>
          <cell r="G1226">
            <v>0</v>
          </cell>
          <cell r="H1226">
            <v>2</v>
          </cell>
          <cell r="I1226">
            <v>1</v>
          </cell>
          <cell r="J1226" t="str">
            <v>0</v>
          </cell>
          <cell r="M1226" t="str">
            <v>&gt;&gt;</v>
          </cell>
          <cell r="N1226" t="str">
            <v>Sayed Anowar Shanto</v>
          </cell>
          <cell r="O1226" t="str">
            <v>FWIN-2</v>
          </cell>
          <cell r="P1226" t="str">
            <v xml:space="preserve">PARLE THEKAO </v>
          </cell>
          <cell r="Q1226">
            <v>1</v>
          </cell>
          <cell r="R1226">
            <v>205</v>
          </cell>
          <cell r="U1226">
            <v>43435</v>
          </cell>
        </row>
        <row r="1227">
          <cell r="B1227" t="str">
            <v>Rashed</v>
          </cell>
          <cell r="C1227">
            <v>1</v>
          </cell>
          <cell r="D1227">
            <v>0</v>
          </cell>
          <cell r="E1227">
            <v>1</v>
          </cell>
          <cell r="F1227">
            <v>2</v>
          </cell>
          <cell r="G1227">
            <v>0</v>
          </cell>
          <cell r="H1227">
            <v>0</v>
          </cell>
          <cell r="I1227">
            <v>0</v>
          </cell>
          <cell r="J1227" t="str">
            <v>0</v>
          </cell>
          <cell r="M1227" t="str">
            <v>&gt;&gt;</v>
          </cell>
          <cell r="N1227" t="str">
            <v>KM Rashedul Islam Rashed</v>
          </cell>
          <cell r="O1227" t="str">
            <v>FWIN-2</v>
          </cell>
          <cell r="P1227" t="str">
            <v xml:space="preserve">PARLE THEKAO </v>
          </cell>
          <cell r="Q1227">
            <v>1</v>
          </cell>
          <cell r="R1227">
            <v>205</v>
          </cell>
          <cell r="U1227">
            <v>43435</v>
          </cell>
        </row>
        <row r="1228">
          <cell r="B1228" t="str">
            <v>Yahya</v>
          </cell>
          <cell r="C1228">
            <v>3</v>
          </cell>
          <cell r="D1228">
            <v>55</v>
          </cell>
          <cell r="E1228">
            <v>2</v>
          </cell>
          <cell r="F1228">
            <v>5</v>
          </cell>
          <cell r="G1228" t="str">
            <v>O</v>
          </cell>
          <cell r="H1228">
            <v>4</v>
          </cell>
          <cell r="I1228">
            <v>5</v>
          </cell>
          <cell r="J1228" t="str">
            <v>0</v>
          </cell>
          <cell r="M1228" t="str">
            <v>&gt;&gt;</v>
          </cell>
          <cell r="N1228" t="str">
            <v>Yahya Riyad</v>
          </cell>
          <cell r="O1228" t="str">
            <v>FWIN-2</v>
          </cell>
          <cell r="P1228" t="str">
            <v xml:space="preserve">PARLE THEKAO </v>
          </cell>
          <cell r="Q1228">
            <v>1</v>
          </cell>
          <cell r="R1228">
            <v>205</v>
          </cell>
          <cell r="U1228">
            <v>43435</v>
          </cell>
        </row>
        <row r="1229">
          <cell r="B1229" t="str">
            <v>Al Mamun</v>
          </cell>
          <cell r="C1229">
            <v>1</v>
          </cell>
          <cell r="D1229">
            <v>0</v>
          </cell>
          <cell r="E1229">
            <v>2</v>
          </cell>
          <cell r="F1229">
            <v>2</v>
          </cell>
          <cell r="G1229">
            <v>0</v>
          </cell>
          <cell r="H1229">
            <v>0</v>
          </cell>
          <cell r="I1229">
            <v>0</v>
          </cell>
          <cell r="J1229" t="str">
            <v>0</v>
          </cell>
          <cell r="M1229" t="str">
            <v>&gt;&gt;</v>
          </cell>
          <cell r="N1229" t="str">
            <v>Mohammed Al Mamun</v>
          </cell>
          <cell r="O1229" t="str">
            <v>FWIN-2</v>
          </cell>
          <cell r="P1229" t="str">
            <v xml:space="preserve">PARLE THEKAO </v>
          </cell>
          <cell r="Q1229">
            <v>1</v>
          </cell>
          <cell r="R1229">
            <v>205</v>
          </cell>
          <cell r="U1229">
            <v>43435</v>
          </cell>
        </row>
        <row r="1230">
          <cell r="B1230" t="str">
            <v xml:space="preserve">THE UNPREDICTABLES </v>
          </cell>
          <cell r="M1230" t="str">
            <v>&gt;&gt;</v>
          </cell>
          <cell r="N1230" t="str">
            <v/>
          </cell>
          <cell r="O1230" t="str">
            <v>FWIN-2</v>
          </cell>
          <cell r="P1230" t="str">
            <v xml:space="preserve">THE UNPREDICTABLES </v>
          </cell>
          <cell r="Q1230">
            <v>1</v>
          </cell>
          <cell r="R1230">
            <v>206</v>
          </cell>
          <cell r="T1230" t="str">
            <v>RU</v>
          </cell>
          <cell r="U1230">
            <v>43435</v>
          </cell>
        </row>
        <row r="1231">
          <cell r="B1231" t="str">
            <v>Saaj</v>
          </cell>
          <cell r="C1231">
            <v>7</v>
          </cell>
          <cell r="D1231">
            <v>93</v>
          </cell>
          <cell r="E1231">
            <v>13</v>
          </cell>
          <cell r="F1231">
            <v>9</v>
          </cell>
          <cell r="G1231">
            <v>0</v>
          </cell>
          <cell r="H1231">
            <v>9</v>
          </cell>
          <cell r="I1231">
            <v>7</v>
          </cell>
          <cell r="J1231">
            <v>1</v>
          </cell>
          <cell r="M1231" t="str">
            <v>&gt;&gt;</v>
          </cell>
          <cell r="N1231" t="str">
            <v>AB Saaj</v>
          </cell>
          <cell r="O1231" t="str">
            <v>FWIN-2</v>
          </cell>
          <cell r="P1231" t="str">
            <v xml:space="preserve">THE UNPREDICTABLES </v>
          </cell>
          <cell r="Q1231">
            <v>1</v>
          </cell>
          <cell r="R1231">
            <v>206</v>
          </cell>
          <cell r="T1231" t="str">
            <v>RU</v>
          </cell>
          <cell r="U1231">
            <v>43435</v>
          </cell>
        </row>
        <row r="1232">
          <cell r="B1232" t="str">
            <v>Nahid</v>
          </cell>
          <cell r="C1232">
            <v>5</v>
          </cell>
          <cell r="D1232">
            <v>70</v>
          </cell>
          <cell r="E1232">
            <v>2</v>
          </cell>
          <cell r="F1232">
            <v>6</v>
          </cell>
          <cell r="G1232">
            <v>0</v>
          </cell>
          <cell r="H1232">
            <v>8</v>
          </cell>
          <cell r="I1232">
            <v>3</v>
          </cell>
          <cell r="J1232" t="str">
            <v>0</v>
          </cell>
          <cell r="M1232" t="str">
            <v>&gt;&gt;</v>
          </cell>
          <cell r="N1232" t="str">
            <v>Nahid Saifullah</v>
          </cell>
          <cell r="O1232" t="str">
            <v>FWIN-2</v>
          </cell>
          <cell r="P1232" t="str">
            <v xml:space="preserve">THE UNPREDICTABLES </v>
          </cell>
          <cell r="Q1232">
            <v>1</v>
          </cell>
          <cell r="R1232">
            <v>206</v>
          </cell>
          <cell r="T1232" t="str">
            <v>RU</v>
          </cell>
          <cell r="U1232">
            <v>43435</v>
          </cell>
        </row>
        <row r="1233">
          <cell r="B1233" t="str">
            <v>SH Shanto</v>
          </cell>
          <cell r="C1233">
            <v>8</v>
          </cell>
          <cell r="D1233">
            <v>126</v>
          </cell>
          <cell r="E1233">
            <v>15</v>
          </cell>
          <cell r="F1233">
            <v>10</v>
          </cell>
          <cell r="G1233">
            <v>2</v>
          </cell>
          <cell r="H1233">
            <v>6</v>
          </cell>
          <cell r="I1233">
            <v>8</v>
          </cell>
          <cell r="J1233">
            <v>1</v>
          </cell>
          <cell r="M1233" t="str">
            <v>&gt;&gt;</v>
          </cell>
          <cell r="N1233" t="str">
            <v>Sakhawat Hossain Shanto</v>
          </cell>
          <cell r="O1233" t="str">
            <v>FWIN-2</v>
          </cell>
          <cell r="P1233" t="str">
            <v xml:space="preserve">THE UNPREDICTABLES </v>
          </cell>
          <cell r="Q1233">
            <v>1</v>
          </cell>
          <cell r="R1233">
            <v>206</v>
          </cell>
          <cell r="T1233" t="str">
            <v>RU</v>
          </cell>
          <cell r="U1233">
            <v>43435</v>
          </cell>
          <cell r="W1233">
            <v>1</v>
          </cell>
        </row>
        <row r="1234">
          <cell r="B1234" t="str">
            <v>Siyam Islam</v>
          </cell>
          <cell r="C1234">
            <v>8</v>
          </cell>
          <cell r="D1234">
            <v>214</v>
          </cell>
          <cell r="E1234">
            <v>9</v>
          </cell>
          <cell r="F1234">
            <v>14</v>
          </cell>
          <cell r="G1234">
            <v>4</v>
          </cell>
          <cell r="H1234">
            <v>12</v>
          </cell>
          <cell r="I1234">
            <v>14</v>
          </cell>
          <cell r="J1234" t="str">
            <v>0</v>
          </cell>
          <cell r="M1234" t="str">
            <v>&gt;&gt;</v>
          </cell>
          <cell r="N1234" t="str">
            <v>Md Siyam Islam</v>
          </cell>
          <cell r="O1234" t="str">
            <v>FWIN-2</v>
          </cell>
          <cell r="P1234" t="str">
            <v xml:space="preserve">THE UNPREDICTABLES </v>
          </cell>
          <cell r="Q1234">
            <v>1</v>
          </cell>
          <cell r="R1234">
            <v>206</v>
          </cell>
          <cell r="S1234" t="str">
            <v>CPOT</v>
          </cell>
          <cell r="T1234" t="str">
            <v>RU</v>
          </cell>
          <cell r="U1234">
            <v>43435</v>
          </cell>
        </row>
        <row r="1235">
          <cell r="B1235" t="str">
            <v>BENGAL TIGERS</v>
          </cell>
          <cell r="M1235" t="str">
            <v>&gt;&gt;</v>
          </cell>
          <cell r="N1235" t="str">
            <v/>
          </cell>
          <cell r="O1235" t="str">
            <v>FWIN-2</v>
          </cell>
          <cell r="P1235" t="str">
            <v>BENGAL TIGERS</v>
          </cell>
          <cell r="Q1235">
            <v>1</v>
          </cell>
          <cell r="R1235">
            <v>207</v>
          </cell>
          <cell r="U1235">
            <v>43435</v>
          </cell>
        </row>
        <row r="1236">
          <cell r="B1236" t="str">
            <v>Ovi</v>
          </cell>
          <cell r="C1236">
            <v>7</v>
          </cell>
          <cell r="D1236">
            <v>148</v>
          </cell>
          <cell r="E1236">
            <v>10</v>
          </cell>
          <cell r="F1236">
            <v>10</v>
          </cell>
          <cell r="G1236">
            <v>4</v>
          </cell>
          <cell r="H1236">
            <v>10</v>
          </cell>
          <cell r="I1236">
            <v>10</v>
          </cell>
          <cell r="J1236" t="str">
            <v>0</v>
          </cell>
          <cell r="M1236" t="str">
            <v>&gt;&gt;</v>
          </cell>
          <cell r="N1236" t="str">
            <v>Toufiq Ahmed Ovi</v>
          </cell>
          <cell r="O1236" t="str">
            <v>FWIN-2</v>
          </cell>
          <cell r="P1236" t="str">
            <v>BENGAL TIGERS</v>
          </cell>
          <cell r="Q1236">
            <v>1</v>
          </cell>
          <cell r="R1236">
            <v>207</v>
          </cell>
          <cell r="U1236">
            <v>43435</v>
          </cell>
        </row>
        <row r="1237">
          <cell r="B1237" t="str">
            <v>Sumon</v>
          </cell>
          <cell r="C1237">
            <v>6</v>
          </cell>
          <cell r="D1237">
            <v>74</v>
          </cell>
          <cell r="E1237">
            <v>12</v>
          </cell>
          <cell r="F1237">
            <v>10</v>
          </cell>
          <cell r="G1237">
            <v>1</v>
          </cell>
          <cell r="H1237">
            <v>4</v>
          </cell>
          <cell r="I1237">
            <v>6</v>
          </cell>
          <cell r="J1237" t="str">
            <v>0</v>
          </cell>
          <cell r="M1237" t="str">
            <v>&gt;&gt;</v>
          </cell>
          <cell r="N1237" t="str">
            <v>Sumon Ab</v>
          </cell>
          <cell r="O1237" t="str">
            <v>FWIN-2</v>
          </cell>
          <cell r="P1237" t="str">
            <v>BENGAL TIGERS</v>
          </cell>
          <cell r="Q1237">
            <v>1</v>
          </cell>
          <cell r="R1237">
            <v>207</v>
          </cell>
          <cell r="U1237">
            <v>43435</v>
          </cell>
        </row>
        <row r="1238">
          <cell r="B1238" t="str">
            <v>Kamil</v>
          </cell>
          <cell r="C1238">
            <v>3</v>
          </cell>
          <cell r="D1238">
            <v>33</v>
          </cell>
          <cell r="E1238">
            <v>2</v>
          </cell>
          <cell r="F1238">
            <v>3</v>
          </cell>
          <cell r="G1238">
            <v>1</v>
          </cell>
          <cell r="H1238">
            <v>3</v>
          </cell>
          <cell r="I1238">
            <v>2</v>
          </cell>
          <cell r="J1238" t="str">
            <v>0</v>
          </cell>
          <cell r="M1238" t="str">
            <v>&gt;&gt;</v>
          </cell>
          <cell r="N1238" t="str">
            <v>Kamil Ahmed</v>
          </cell>
          <cell r="O1238" t="str">
            <v>FWIN-2</v>
          </cell>
          <cell r="P1238" t="str">
            <v>BENGAL TIGERS</v>
          </cell>
          <cell r="Q1238">
            <v>1</v>
          </cell>
          <cell r="R1238">
            <v>207</v>
          </cell>
          <cell r="U1238">
            <v>43435</v>
          </cell>
        </row>
        <row r="1239">
          <cell r="B1239" t="str">
            <v>Shakil</v>
          </cell>
          <cell r="C1239">
            <v>6</v>
          </cell>
          <cell r="D1239">
            <v>104</v>
          </cell>
          <cell r="E1239">
            <v>9</v>
          </cell>
          <cell r="F1239">
            <v>8</v>
          </cell>
          <cell r="G1239">
            <v>0</v>
          </cell>
          <cell r="H1239">
            <v>14</v>
          </cell>
          <cell r="I1239">
            <v>6</v>
          </cell>
          <cell r="J1239" t="str">
            <v>0</v>
          </cell>
          <cell r="M1239" t="str">
            <v>&gt;&gt;</v>
          </cell>
          <cell r="N1239" t="str">
            <v>M R Shakil</v>
          </cell>
          <cell r="O1239" t="str">
            <v>FWIN-2</v>
          </cell>
          <cell r="P1239" t="str">
            <v>BENGAL TIGERS</v>
          </cell>
          <cell r="Q1239">
            <v>1</v>
          </cell>
          <cell r="R1239">
            <v>207</v>
          </cell>
          <cell r="U1239">
            <v>43435</v>
          </cell>
        </row>
        <row r="1240">
          <cell r="B1240" t="str">
            <v>FCL BLUSTERS</v>
          </cell>
          <cell r="M1240" t="str">
            <v>&gt;&gt;</v>
          </cell>
          <cell r="N1240" t="str">
            <v/>
          </cell>
          <cell r="O1240" t="str">
            <v>FWIN-2</v>
          </cell>
          <cell r="P1240" t="str">
            <v>FCL BLUSTERS</v>
          </cell>
          <cell r="Q1240">
            <v>1</v>
          </cell>
          <cell r="R1240">
            <v>208</v>
          </cell>
          <cell r="U1240">
            <v>43435</v>
          </cell>
        </row>
        <row r="1241">
          <cell r="B1241" t="str">
            <v>Tonmoy</v>
          </cell>
          <cell r="C1241">
            <v>5</v>
          </cell>
          <cell r="D1241">
            <v>132</v>
          </cell>
          <cell r="E1241">
            <v>12</v>
          </cell>
          <cell r="F1241">
            <v>11</v>
          </cell>
          <cell r="G1241">
            <v>0</v>
          </cell>
          <cell r="H1241">
            <v>8</v>
          </cell>
          <cell r="I1241">
            <v>7</v>
          </cell>
          <cell r="J1241">
            <v>1</v>
          </cell>
          <cell r="M1241" t="str">
            <v>&gt;&gt;</v>
          </cell>
          <cell r="N1241" t="str">
            <v>Asik Hassan Tonmoy</v>
          </cell>
          <cell r="O1241" t="str">
            <v>FWIN-2</v>
          </cell>
          <cell r="P1241" t="str">
            <v>FCL BLUSTERS</v>
          </cell>
          <cell r="Q1241">
            <v>1</v>
          </cell>
          <cell r="R1241">
            <v>208</v>
          </cell>
          <cell r="U1241">
            <v>43435</v>
          </cell>
        </row>
        <row r="1242">
          <cell r="B1242" t="str">
            <v>Shishir</v>
          </cell>
          <cell r="C1242">
            <v>4</v>
          </cell>
          <cell r="D1242">
            <v>17</v>
          </cell>
          <cell r="E1242">
            <v>5</v>
          </cell>
          <cell r="F1242">
            <v>7</v>
          </cell>
          <cell r="G1242">
            <v>1</v>
          </cell>
          <cell r="H1242">
            <v>1</v>
          </cell>
          <cell r="I1242">
            <v>1</v>
          </cell>
          <cell r="J1242" t="str">
            <v>0</v>
          </cell>
          <cell r="M1242" t="str">
            <v>&gt;&gt;</v>
          </cell>
          <cell r="N1242" t="str">
            <v>ShiShir Hossain</v>
          </cell>
          <cell r="O1242" t="str">
            <v>FWIN-2</v>
          </cell>
          <cell r="P1242" t="str">
            <v>FCL BLUSTERS</v>
          </cell>
          <cell r="Q1242">
            <v>1</v>
          </cell>
          <cell r="R1242">
            <v>208</v>
          </cell>
          <cell r="U1242">
            <v>43435</v>
          </cell>
        </row>
        <row r="1243">
          <cell r="B1243" t="str">
            <v>Akash</v>
          </cell>
          <cell r="C1243">
            <v>4</v>
          </cell>
          <cell r="D1243">
            <v>30</v>
          </cell>
          <cell r="E1243">
            <v>2</v>
          </cell>
          <cell r="F1243">
            <v>5</v>
          </cell>
          <cell r="G1243">
            <v>1</v>
          </cell>
          <cell r="H1243">
            <v>0</v>
          </cell>
          <cell r="I1243">
            <v>4</v>
          </cell>
          <cell r="J1243" t="str">
            <v>0</v>
          </cell>
          <cell r="M1243" t="str">
            <v>&gt;&gt;</v>
          </cell>
          <cell r="N1243" t="str">
            <v>Mahbubur Rahman Akash</v>
          </cell>
          <cell r="O1243" t="str">
            <v>FWIN-2</v>
          </cell>
          <cell r="P1243" t="str">
            <v>FCL BLUSTERS</v>
          </cell>
          <cell r="Q1243">
            <v>1</v>
          </cell>
          <cell r="R1243">
            <v>208</v>
          </cell>
          <cell r="U1243">
            <v>43435</v>
          </cell>
        </row>
        <row r="1244">
          <cell r="B1244" t="str">
            <v>Munna</v>
          </cell>
          <cell r="C1244">
            <v>5</v>
          </cell>
          <cell r="D1244">
            <v>61</v>
          </cell>
          <cell r="E1244">
            <v>4</v>
          </cell>
          <cell r="F1244">
            <v>7</v>
          </cell>
          <cell r="G1244">
            <v>0</v>
          </cell>
          <cell r="H1244">
            <v>2</v>
          </cell>
          <cell r="I1244">
            <v>5</v>
          </cell>
          <cell r="J1244" t="str">
            <v>0</v>
          </cell>
          <cell r="M1244" t="str">
            <v>&gt;&gt;</v>
          </cell>
          <cell r="N1244" t="str">
            <v>Monowar Hossain Munna</v>
          </cell>
          <cell r="O1244" t="str">
            <v>FWIN-2</v>
          </cell>
          <cell r="P1244" t="str">
            <v>FCL BLUSTERS</v>
          </cell>
          <cell r="Q1244">
            <v>1</v>
          </cell>
          <cell r="R1244">
            <v>208</v>
          </cell>
          <cell r="U1244">
            <v>43435</v>
          </cell>
        </row>
        <row r="1245">
          <cell r="B1245" t="str">
            <v>BLEED BLUE</v>
          </cell>
          <cell r="M1245" t="str">
            <v>&gt;&gt;</v>
          </cell>
          <cell r="N1245" t="str">
            <v/>
          </cell>
          <cell r="O1245" t="str">
            <v>FWIN-2</v>
          </cell>
          <cell r="P1245" t="str">
            <v>BLEED BLUE</v>
          </cell>
          <cell r="Q1245">
            <v>1</v>
          </cell>
          <cell r="R1245">
            <v>209</v>
          </cell>
          <cell r="T1245" t="str">
            <v>CHAMP</v>
          </cell>
          <cell r="U1245">
            <v>43435</v>
          </cell>
        </row>
        <row r="1246">
          <cell r="B1246" t="str">
            <v>Tanvir</v>
          </cell>
          <cell r="C1246">
            <v>7</v>
          </cell>
          <cell r="D1246">
            <v>112</v>
          </cell>
          <cell r="E1246">
            <v>8</v>
          </cell>
          <cell r="F1246">
            <v>12</v>
          </cell>
          <cell r="G1246">
            <v>2</v>
          </cell>
          <cell r="H1246">
            <v>7</v>
          </cell>
          <cell r="I1246">
            <v>7</v>
          </cell>
          <cell r="J1246" t="str">
            <v>0</v>
          </cell>
          <cell r="M1246" t="str">
            <v>&gt;&gt;</v>
          </cell>
          <cell r="N1246" t="str">
            <v>Tanvir Shakib</v>
          </cell>
          <cell r="O1246" t="str">
            <v>FWIN-2</v>
          </cell>
          <cell r="P1246" t="str">
            <v>BLEED BLUE</v>
          </cell>
          <cell r="Q1246">
            <v>1</v>
          </cell>
          <cell r="R1246">
            <v>209</v>
          </cell>
          <cell r="T1246" t="str">
            <v>CHAMP</v>
          </cell>
          <cell r="U1246">
            <v>43435</v>
          </cell>
        </row>
        <row r="1247">
          <cell r="B1247" t="str">
            <v>Asif</v>
          </cell>
          <cell r="C1247">
            <v>8</v>
          </cell>
          <cell r="D1247">
            <v>51</v>
          </cell>
          <cell r="E1247">
            <v>7</v>
          </cell>
          <cell r="F1247">
            <v>9</v>
          </cell>
          <cell r="G1247">
            <v>2</v>
          </cell>
          <cell r="H1247">
            <v>6</v>
          </cell>
          <cell r="I1247">
            <v>2</v>
          </cell>
          <cell r="J1247" t="str">
            <v>0</v>
          </cell>
          <cell r="M1247" t="str">
            <v>&gt;&gt;</v>
          </cell>
          <cell r="N1247" t="str">
            <v>Asif Iqbal Khan</v>
          </cell>
          <cell r="O1247" t="str">
            <v>FWIN-2</v>
          </cell>
          <cell r="P1247" t="str">
            <v>BLEED BLUE</v>
          </cell>
          <cell r="Q1247">
            <v>1</v>
          </cell>
          <cell r="R1247">
            <v>209</v>
          </cell>
          <cell r="T1247" t="str">
            <v>CHAMP</v>
          </cell>
          <cell r="U1247">
            <v>43435</v>
          </cell>
        </row>
        <row r="1248">
          <cell r="B1248" t="str">
            <v>Kamal</v>
          </cell>
          <cell r="C1248">
            <v>8</v>
          </cell>
          <cell r="D1248">
            <v>111</v>
          </cell>
          <cell r="E1248">
            <v>15</v>
          </cell>
          <cell r="F1248">
            <v>11</v>
          </cell>
          <cell r="G1248">
            <v>1</v>
          </cell>
          <cell r="H1248">
            <v>10</v>
          </cell>
          <cell r="I1248">
            <v>7</v>
          </cell>
          <cell r="J1248" t="str">
            <v>0</v>
          </cell>
          <cell r="M1248" t="str">
            <v>&gt;&gt;</v>
          </cell>
          <cell r="N1248" t="str">
            <v>MD Kamal Hossain Kamal</v>
          </cell>
          <cell r="O1248" t="str">
            <v>FWIN-2</v>
          </cell>
          <cell r="P1248" t="str">
            <v>BLEED BLUE</v>
          </cell>
          <cell r="Q1248">
            <v>1</v>
          </cell>
          <cell r="R1248">
            <v>209</v>
          </cell>
          <cell r="T1248" t="str">
            <v>CHAMP</v>
          </cell>
          <cell r="U1248">
            <v>43435</v>
          </cell>
          <cell r="W1248">
            <v>1</v>
          </cell>
        </row>
        <row r="1249">
          <cell r="B1249" t="str">
            <v>Himel</v>
          </cell>
          <cell r="C1249">
            <v>8</v>
          </cell>
          <cell r="D1249">
            <v>217</v>
          </cell>
          <cell r="E1249">
            <v>12</v>
          </cell>
          <cell r="F1249">
            <v>11</v>
          </cell>
          <cell r="G1249">
            <v>1</v>
          </cell>
          <cell r="H1249">
            <v>22</v>
          </cell>
          <cell r="I1249">
            <v>12</v>
          </cell>
          <cell r="J1249" t="str">
            <v>0</v>
          </cell>
          <cell r="M1249" t="str">
            <v>&gt;&gt;</v>
          </cell>
          <cell r="N1249" t="str">
            <v>Hj Himel</v>
          </cell>
          <cell r="O1249" t="str">
            <v>FWIN-2</v>
          </cell>
          <cell r="P1249" t="str">
            <v>BLEED BLUE</v>
          </cell>
          <cell r="Q1249">
            <v>1</v>
          </cell>
          <cell r="R1249">
            <v>209</v>
          </cell>
          <cell r="S1249" t="str">
            <v>MOT</v>
          </cell>
          <cell r="T1249" t="str">
            <v>CHAMP</v>
          </cell>
          <cell r="U1249">
            <v>43435</v>
          </cell>
          <cell r="V1249">
            <v>1</v>
          </cell>
        </row>
        <row r="1250">
          <cell r="B1250" t="str">
            <v xml:space="preserve">THE FOUR MASKETEERS </v>
          </cell>
          <cell r="M1250" t="str">
            <v>&gt;&gt;</v>
          </cell>
          <cell r="N1250" t="str">
            <v/>
          </cell>
          <cell r="O1250" t="str">
            <v>FWIN-2</v>
          </cell>
          <cell r="P1250" t="str">
            <v xml:space="preserve">THE FOUR MASKETEERS </v>
          </cell>
          <cell r="Q1250">
            <v>1</v>
          </cell>
          <cell r="R1250">
            <v>210</v>
          </cell>
          <cell r="U1250">
            <v>43435</v>
          </cell>
        </row>
        <row r="1251">
          <cell r="B1251" t="str">
            <v>Sadrul</v>
          </cell>
          <cell r="C1251">
            <v>6</v>
          </cell>
          <cell r="D1251">
            <v>86</v>
          </cell>
          <cell r="E1251">
            <v>11</v>
          </cell>
          <cell r="F1251">
            <v>11</v>
          </cell>
          <cell r="G1251">
            <v>0</v>
          </cell>
          <cell r="H1251">
            <v>9</v>
          </cell>
          <cell r="I1251">
            <v>5</v>
          </cell>
          <cell r="J1251" t="str">
            <v>0</v>
          </cell>
          <cell r="M1251" t="str">
            <v>&gt;&gt;</v>
          </cell>
          <cell r="N1251" t="str">
            <v>Sadrul Anam</v>
          </cell>
          <cell r="O1251" t="str">
            <v>FWIN-2</v>
          </cell>
          <cell r="P1251" t="str">
            <v xml:space="preserve">THE FOUR MASKETEERS </v>
          </cell>
          <cell r="Q1251">
            <v>1</v>
          </cell>
          <cell r="R1251">
            <v>210</v>
          </cell>
          <cell r="U1251">
            <v>43435</v>
          </cell>
        </row>
        <row r="1252">
          <cell r="B1252" t="str">
            <v>Ruhin</v>
          </cell>
          <cell r="C1252">
            <v>6</v>
          </cell>
          <cell r="D1252">
            <v>54</v>
          </cell>
          <cell r="E1252">
            <v>5</v>
          </cell>
          <cell r="F1252">
            <v>6</v>
          </cell>
          <cell r="G1252">
            <v>21</v>
          </cell>
          <cell r="H1252">
            <v>4</v>
          </cell>
          <cell r="I1252">
            <v>4</v>
          </cell>
          <cell r="J1252" t="str">
            <v>0</v>
          </cell>
          <cell r="M1252" t="str">
            <v>&gt;&gt;</v>
          </cell>
          <cell r="N1252" t="str">
            <v>Md. Ruhin</v>
          </cell>
          <cell r="O1252" t="str">
            <v>FWIN-2</v>
          </cell>
          <cell r="P1252" t="str">
            <v xml:space="preserve">THE FOUR MASKETEERS </v>
          </cell>
          <cell r="Q1252">
            <v>1</v>
          </cell>
          <cell r="R1252">
            <v>210</v>
          </cell>
          <cell r="U1252">
            <v>43435</v>
          </cell>
        </row>
        <row r="1253">
          <cell r="B1253" t="str">
            <v>Roxy</v>
          </cell>
          <cell r="C1253">
            <v>7</v>
          </cell>
          <cell r="D1253">
            <v>101</v>
          </cell>
          <cell r="E1253">
            <v>9</v>
          </cell>
          <cell r="F1253">
            <v>12</v>
          </cell>
          <cell r="G1253">
            <v>0</v>
          </cell>
          <cell r="H1253">
            <v>4</v>
          </cell>
          <cell r="I1253">
            <v>5</v>
          </cell>
          <cell r="J1253" t="str">
            <v>0</v>
          </cell>
          <cell r="M1253" t="str">
            <v>&gt;&gt;</v>
          </cell>
          <cell r="N1253" t="str">
            <v>Obak Roxy</v>
          </cell>
          <cell r="O1253" t="str">
            <v>FWIN-2</v>
          </cell>
          <cell r="P1253" t="str">
            <v xml:space="preserve">THE FOUR MASKETEERS </v>
          </cell>
          <cell r="Q1253">
            <v>1</v>
          </cell>
          <cell r="R1253">
            <v>210</v>
          </cell>
          <cell r="U1253">
            <v>43435</v>
          </cell>
        </row>
        <row r="1254">
          <cell r="B1254" t="str">
            <v>Saykat</v>
          </cell>
          <cell r="C1254">
            <v>7</v>
          </cell>
          <cell r="D1254">
            <v>111</v>
          </cell>
          <cell r="E1254">
            <v>9</v>
          </cell>
          <cell r="F1254">
            <v>9</v>
          </cell>
          <cell r="G1254">
            <v>1</v>
          </cell>
          <cell r="H1254">
            <v>8</v>
          </cell>
          <cell r="I1254">
            <v>9</v>
          </cell>
          <cell r="J1254" t="str">
            <v>0</v>
          </cell>
          <cell r="M1254" t="str">
            <v>&gt;&gt;</v>
          </cell>
          <cell r="N1254" t="str">
            <v>Ahmad Saykat (Mohammad Sheikh Farid Uddin)</v>
          </cell>
          <cell r="O1254" t="str">
            <v>FWIN-2</v>
          </cell>
          <cell r="P1254" t="str">
            <v xml:space="preserve">THE FOUR MASKETEERS </v>
          </cell>
          <cell r="Q1254">
            <v>1</v>
          </cell>
          <cell r="R1254">
            <v>210</v>
          </cell>
          <cell r="U1254">
            <v>43435</v>
          </cell>
        </row>
        <row r="1255">
          <cell r="B1255" t="str">
            <v>Atomic-Squad</v>
          </cell>
          <cell r="M1255" t="str">
            <v>&gt;&gt;</v>
          </cell>
          <cell r="N1255" t="str">
            <v/>
          </cell>
          <cell r="O1255" t="str">
            <v>FRS-1</v>
          </cell>
          <cell r="P1255" t="str">
            <v>Atomic-Squad</v>
          </cell>
          <cell r="Q1255">
            <v>1</v>
          </cell>
          <cell r="R1255">
            <v>211</v>
          </cell>
          <cell r="U1255">
            <v>43435</v>
          </cell>
        </row>
        <row r="1256">
          <cell r="B1256" t="str">
            <v>Kamal</v>
          </cell>
          <cell r="C1256">
            <v>3</v>
          </cell>
          <cell r="D1256">
            <v>49</v>
          </cell>
          <cell r="E1256">
            <v>4</v>
          </cell>
          <cell r="F1256">
            <v>6</v>
          </cell>
          <cell r="G1256">
            <v>0</v>
          </cell>
          <cell r="H1256">
            <v>2</v>
          </cell>
          <cell r="I1256">
            <v>4</v>
          </cell>
          <cell r="M1256" t="str">
            <v>&gt;&gt;</v>
          </cell>
          <cell r="N1256" t="str">
            <v>MD Kamal Hossain Kamal</v>
          </cell>
          <cell r="O1256" t="str">
            <v>FRS-1</v>
          </cell>
          <cell r="P1256" t="str">
            <v>Atomic-Squad</v>
          </cell>
          <cell r="Q1256">
            <v>1</v>
          </cell>
          <cell r="R1256">
            <v>211</v>
          </cell>
          <cell r="U1256">
            <v>43435</v>
          </cell>
        </row>
        <row r="1257">
          <cell r="B1257" t="str">
            <v>Towkir</v>
          </cell>
          <cell r="C1257">
            <v>2</v>
          </cell>
          <cell r="D1257">
            <v>41</v>
          </cell>
          <cell r="E1257">
            <v>2</v>
          </cell>
          <cell r="F1257">
            <v>3</v>
          </cell>
          <cell r="G1257">
            <v>0</v>
          </cell>
          <cell r="H1257">
            <v>4</v>
          </cell>
          <cell r="I1257">
            <v>2</v>
          </cell>
          <cell r="M1257" t="str">
            <v>&gt;&gt;</v>
          </cell>
          <cell r="N1257" t="str">
            <v>Towkir Ahmed Siddique</v>
          </cell>
          <cell r="O1257" t="str">
            <v>FRS-1</v>
          </cell>
          <cell r="P1257" t="str">
            <v>Atomic-Squad</v>
          </cell>
          <cell r="Q1257">
            <v>1</v>
          </cell>
          <cell r="R1257">
            <v>211</v>
          </cell>
          <cell r="U1257">
            <v>43435</v>
          </cell>
        </row>
        <row r="1258">
          <cell r="B1258" t="str">
            <v>Sakib Sr.</v>
          </cell>
          <cell r="C1258">
            <v>3</v>
          </cell>
          <cell r="D1258">
            <v>5</v>
          </cell>
          <cell r="E1258">
            <v>2</v>
          </cell>
          <cell r="F1258">
            <v>6</v>
          </cell>
          <cell r="G1258">
            <v>0</v>
          </cell>
          <cell r="H1258">
            <v>1</v>
          </cell>
          <cell r="I1258">
            <v>0</v>
          </cell>
          <cell r="M1258" t="str">
            <v>&gt;&gt;</v>
          </cell>
          <cell r="N1258" t="str">
            <v>Ahmad Sakib Abdullah</v>
          </cell>
          <cell r="O1258" t="str">
            <v>FRS-1</v>
          </cell>
          <cell r="P1258" t="str">
            <v>Atomic-Squad</v>
          </cell>
          <cell r="Q1258">
            <v>1</v>
          </cell>
          <cell r="R1258">
            <v>211</v>
          </cell>
          <cell r="U1258">
            <v>43435</v>
          </cell>
        </row>
        <row r="1259">
          <cell r="B1259" t="str">
            <v>Rifat Hasan</v>
          </cell>
          <cell r="C1259">
            <v>3</v>
          </cell>
          <cell r="D1259">
            <v>13</v>
          </cell>
          <cell r="E1259">
            <v>1</v>
          </cell>
          <cell r="F1259">
            <v>4</v>
          </cell>
          <cell r="G1259">
            <v>0</v>
          </cell>
          <cell r="H1259">
            <v>1</v>
          </cell>
          <cell r="I1259">
            <v>0</v>
          </cell>
          <cell r="M1259" t="str">
            <v>&gt;&gt;</v>
          </cell>
          <cell r="N1259" t="str">
            <v>Rifat Al Hasan</v>
          </cell>
          <cell r="O1259" t="str">
            <v>FRS-1</v>
          </cell>
          <cell r="P1259" t="str">
            <v>Atomic-Squad</v>
          </cell>
          <cell r="Q1259">
            <v>1</v>
          </cell>
          <cell r="R1259">
            <v>211</v>
          </cell>
          <cell r="U1259">
            <v>43435</v>
          </cell>
        </row>
        <row r="1260">
          <cell r="B1260" t="str">
            <v>Galaxy-V</v>
          </cell>
          <cell r="M1260" t="str">
            <v>&gt;&gt;</v>
          </cell>
          <cell r="N1260" t="str">
            <v/>
          </cell>
          <cell r="O1260" t="str">
            <v>FRS-1</v>
          </cell>
          <cell r="P1260" t="str">
            <v>Galaxy-V</v>
          </cell>
          <cell r="Q1260">
            <v>1</v>
          </cell>
          <cell r="R1260">
            <v>212</v>
          </cell>
          <cell r="U1260">
            <v>43435</v>
          </cell>
        </row>
        <row r="1261">
          <cell r="B1261" t="str">
            <v>Sagar</v>
          </cell>
          <cell r="C1261">
            <v>4</v>
          </cell>
          <cell r="D1261">
            <v>44</v>
          </cell>
          <cell r="E1261">
            <v>7</v>
          </cell>
          <cell r="F1261">
            <v>6</v>
          </cell>
          <cell r="G1261">
            <v>0</v>
          </cell>
          <cell r="H1261">
            <v>2</v>
          </cell>
          <cell r="I1261">
            <v>2</v>
          </cell>
          <cell r="M1261" t="str">
            <v>&gt;&gt;</v>
          </cell>
          <cell r="N1261" t="str">
            <v>Sajjadul Haque Sagar</v>
          </cell>
          <cell r="O1261" t="str">
            <v>FRS-1</v>
          </cell>
          <cell r="P1261" t="str">
            <v>Galaxy-V</v>
          </cell>
          <cell r="Q1261">
            <v>1</v>
          </cell>
          <cell r="R1261">
            <v>212</v>
          </cell>
          <cell r="U1261">
            <v>43435</v>
          </cell>
        </row>
        <row r="1262">
          <cell r="B1262" t="str">
            <v>Rayhan</v>
          </cell>
          <cell r="C1262">
            <v>1</v>
          </cell>
          <cell r="D1262">
            <v>6</v>
          </cell>
          <cell r="E1262">
            <v>0</v>
          </cell>
          <cell r="F1262">
            <v>1</v>
          </cell>
          <cell r="G1262">
            <v>0</v>
          </cell>
          <cell r="H1262">
            <v>0</v>
          </cell>
          <cell r="I1262">
            <v>1</v>
          </cell>
          <cell r="M1262" t="str">
            <v>&gt;&gt;</v>
          </cell>
          <cell r="N1262" t="str">
            <v>Rayhan Rahman</v>
          </cell>
          <cell r="O1262" t="str">
            <v>FRS-1</v>
          </cell>
          <cell r="P1262" t="str">
            <v>Galaxy-V</v>
          </cell>
          <cell r="Q1262">
            <v>1</v>
          </cell>
          <cell r="R1262">
            <v>212</v>
          </cell>
          <cell r="U1262">
            <v>43435</v>
          </cell>
        </row>
        <row r="1263">
          <cell r="B1263" t="str">
            <v>Rakib</v>
          </cell>
          <cell r="C1263">
            <v>4</v>
          </cell>
          <cell r="D1263">
            <v>49</v>
          </cell>
          <cell r="E1263">
            <v>7</v>
          </cell>
          <cell r="F1263">
            <v>5</v>
          </cell>
          <cell r="G1263">
            <v>0</v>
          </cell>
          <cell r="H1263">
            <v>4</v>
          </cell>
          <cell r="I1263">
            <v>2</v>
          </cell>
          <cell r="M1263" t="str">
            <v>&gt;&gt;</v>
          </cell>
          <cell r="N1263" t="str">
            <v>Rakib Hasan</v>
          </cell>
          <cell r="O1263" t="str">
            <v>FRS-1</v>
          </cell>
          <cell r="P1263" t="str">
            <v>Galaxy-V</v>
          </cell>
          <cell r="Q1263">
            <v>1</v>
          </cell>
          <cell r="R1263">
            <v>212</v>
          </cell>
          <cell r="U1263">
            <v>43435</v>
          </cell>
        </row>
        <row r="1264">
          <cell r="B1264" t="str">
            <v>Sabab</v>
          </cell>
          <cell r="C1264">
            <v>3</v>
          </cell>
          <cell r="D1264">
            <v>12</v>
          </cell>
          <cell r="E1264">
            <v>2</v>
          </cell>
          <cell r="F1264">
            <v>5</v>
          </cell>
          <cell r="G1264">
            <v>0</v>
          </cell>
          <cell r="H1264">
            <v>0</v>
          </cell>
          <cell r="I1264">
            <v>1</v>
          </cell>
          <cell r="M1264" t="str">
            <v>&gt;&gt;</v>
          </cell>
          <cell r="N1264" t="str">
            <v>Sz Sabab</v>
          </cell>
          <cell r="O1264" t="str">
            <v>FRS-1</v>
          </cell>
          <cell r="P1264" t="str">
            <v>Galaxy-V</v>
          </cell>
          <cell r="Q1264">
            <v>1</v>
          </cell>
          <cell r="R1264">
            <v>212</v>
          </cell>
          <cell r="U1264">
            <v>43435</v>
          </cell>
        </row>
        <row r="1265">
          <cell r="B1265" t="str">
            <v>Longlasting-Finishers</v>
          </cell>
          <cell r="M1265" t="str">
            <v>&gt;&gt;</v>
          </cell>
          <cell r="N1265" t="str">
            <v/>
          </cell>
          <cell r="O1265" t="str">
            <v>FRS-1</v>
          </cell>
          <cell r="P1265" t="str">
            <v>Longlasting-Finishers</v>
          </cell>
          <cell r="Q1265">
            <v>1</v>
          </cell>
          <cell r="R1265">
            <v>213</v>
          </cell>
          <cell r="U1265">
            <v>43435</v>
          </cell>
        </row>
        <row r="1266">
          <cell r="B1266" t="str">
            <v>Shakil</v>
          </cell>
          <cell r="C1266">
            <v>3</v>
          </cell>
          <cell r="D1266">
            <v>39</v>
          </cell>
          <cell r="E1266">
            <v>1</v>
          </cell>
          <cell r="F1266">
            <v>4</v>
          </cell>
          <cell r="G1266">
            <v>0</v>
          </cell>
          <cell r="H1266">
            <v>3</v>
          </cell>
          <cell r="I1266">
            <v>4</v>
          </cell>
          <cell r="M1266" t="str">
            <v>&gt;&gt;</v>
          </cell>
          <cell r="N1266" t="str">
            <v>M R Shakil</v>
          </cell>
          <cell r="O1266" t="str">
            <v>FRS-1</v>
          </cell>
          <cell r="P1266" t="str">
            <v>Longlasting-Finishers</v>
          </cell>
          <cell r="Q1266">
            <v>1</v>
          </cell>
          <cell r="R1266">
            <v>213</v>
          </cell>
          <cell r="U1266">
            <v>43435</v>
          </cell>
        </row>
        <row r="1267">
          <cell r="B1267" t="str">
            <v>Helal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H1267">
            <v>0</v>
          </cell>
          <cell r="M1267" t="str">
            <v>&gt;&gt;</v>
          </cell>
          <cell r="N1267" t="str">
            <v>Sheik Helal Ahmed</v>
          </cell>
          <cell r="O1267" t="str">
            <v>FRS-1</v>
          </cell>
          <cell r="P1267" t="str">
            <v>Longlasting-Finishers</v>
          </cell>
          <cell r="Q1267">
            <v>1</v>
          </cell>
          <cell r="R1267">
            <v>213</v>
          </cell>
          <cell r="U1267">
            <v>43435</v>
          </cell>
        </row>
        <row r="1268">
          <cell r="B1268" t="str">
            <v>Saykat</v>
          </cell>
          <cell r="C1268">
            <v>4</v>
          </cell>
          <cell r="D1268">
            <v>75</v>
          </cell>
          <cell r="E1268">
            <v>6</v>
          </cell>
          <cell r="F1268">
            <v>6</v>
          </cell>
          <cell r="G1268">
            <v>1</v>
          </cell>
          <cell r="H1268">
            <v>4</v>
          </cell>
          <cell r="I1268">
            <v>7</v>
          </cell>
          <cell r="M1268" t="str">
            <v>&gt;&gt;</v>
          </cell>
          <cell r="N1268" t="str">
            <v>Ahmad Saykat (Mohammad Sheikh Farid Uddin)</v>
          </cell>
          <cell r="O1268" t="str">
            <v>FRS-1</v>
          </cell>
          <cell r="P1268" t="str">
            <v>Longlasting-Finishers</v>
          </cell>
          <cell r="Q1268">
            <v>1</v>
          </cell>
          <cell r="R1268">
            <v>213</v>
          </cell>
          <cell r="U1268">
            <v>43435</v>
          </cell>
        </row>
        <row r="1269">
          <cell r="B1269" t="str">
            <v>Washim</v>
          </cell>
          <cell r="C1269">
            <v>4</v>
          </cell>
          <cell r="D1269">
            <v>55</v>
          </cell>
          <cell r="E1269">
            <v>2</v>
          </cell>
          <cell r="F1269">
            <v>8</v>
          </cell>
          <cell r="G1269">
            <v>0</v>
          </cell>
          <cell r="H1269">
            <v>1</v>
          </cell>
          <cell r="I1269">
            <v>3</v>
          </cell>
          <cell r="M1269" t="str">
            <v>&gt;&gt;</v>
          </cell>
          <cell r="N1269" t="str">
            <v>Akram Husan (Washim)</v>
          </cell>
          <cell r="O1269" t="str">
            <v>FRS-1</v>
          </cell>
          <cell r="P1269" t="str">
            <v>Longlasting-Finishers</v>
          </cell>
          <cell r="Q1269">
            <v>1</v>
          </cell>
          <cell r="R1269">
            <v>213</v>
          </cell>
          <cell r="U1269">
            <v>43435</v>
          </cell>
        </row>
        <row r="1270">
          <cell r="B1270" t="str">
            <v>Dangerous-Unicorns</v>
          </cell>
          <cell r="M1270" t="str">
            <v>&gt;&gt;</v>
          </cell>
          <cell r="N1270" t="str">
            <v/>
          </cell>
          <cell r="O1270" t="str">
            <v>FRS-1</v>
          </cell>
          <cell r="P1270" t="str">
            <v>Dangerous-Unicorns</v>
          </cell>
          <cell r="Q1270">
            <v>1</v>
          </cell>
          <cell r="R1270">
            <v>214</v>
          </cell>
          <cell r="U1270">
            <v>43435</v>
          </cell>
        </row>
        <row r="1271">
          <cell r="B1271" t="str">
            <v>Arif</v>
          </cell>
          <cell r="C1271">
            <v>2</v>
          </cell>
          <cell r="D1271">
            <v>65</v>
          </cell>
          <cell r="E1271">
            <v>3</v>
          </cell>
          <cell r="F1271">
            <v>3</v>
          </cell>
          <cell r="G1271">
            <v>1</v>
          </cell>
          <cell r="H1271">
            <v>3</v>
          </cell>
          <cell r="I1271">
            <v>5</v>
          </cell>
          <cell r="M1271" t="str">
            <v>&gt;&gt;</v>
          </cell>
          <cell r="N1271" t="str">
            <v>Arif Ziad</v>
          </cell>
          <cell r="O1271" t="str">
            <v>FRS-1</v>
          </cell>
          <cell r="P1271" t="str">
            <v>Dangerous-Unicorns</v>
          </cell>
          <cell r="Q1271">
            <v>1</v>
          </cell>
          <cell r="R1271">
            <v>214</v>
          </cell>
          <cell r="U1271">
            <v>43435</v>
          </cell>
        </row>
        <row r="1272">
          <cell r="B1272" t="str">
            <v>Sadrul</v>
          </cell>
          <cell r="C1272">
            <v>4</v>
          </cell>
          <cell r="D1272">
            <v>82</v>
          </cell>
          <cell r="E1272">
            <v>8</v>
          </cell>
          <cell r="F1272">
            <v>6</v>
          </cell>
          <cell r="G1272">
            <v>0</v>
          </cell>
          <cell r="H1272">
            <v>9</v>
          </cell>
          <cell r="I1272">
            <v>5</v>
          </cell>
          <cell r="M1272" t="str">
            <v>&gt;&gt;</v>
          </cell>
          <cell r="N1272" t="str">
            <v>Sadrul Anam</v>
          </cell>
          <cell r="O1272" t="str">
            <v>FRS-1</v>
          </cell>
          <cell r="P1272" t="str">
            <v>Dangerous-Unicorns</v>
          </cell>
          <cell r="Q1272">
            <v>1</v>
          </cell>
          <cell r="R1272">
            <v>214</v>
          </cell>
          <cell r="U1272">
            <v>43435</v>
          </cell>
        </row>
        <row r="1273">
          <cell r="B1273" t="str">
            <v>Rashed</v>
          </cell>
          <cell r="C1273">
            <v>4</v>
          </cell>
          <cell r="D1273">
            <v>15</v>
          </cell>
          <cell r="E1273">
            <v>3</v>
          </cell>
          <cell r="F1273">
            <v>3</v>
          </cell>
          <cell r="G1273">
            <v>0</v>
          </cell>
          <cell r="H1273">
            <v>2</v>
          </cell>
          <cell r="I1273">
            <v>0</v>
          </cell>
          <cell r="M1273" t="str">
            <v>&gt;&gt;</v>
          </cell>
          <cell r="N1273" t="str">
            <v>KM Rashedul Islam Rashed</v>
          </cell>
          <cell r="O1273" t="str">
            <v>FRS-1</v>
          </cell>
          <cell r="P1273" t="str">
            <v>Dangerous-Unicorns</v>
          </cell>
          <cell r="Q1273">
            <v>1</v>
          </cell>
          <cell r="R1273">
            <v>214</v>
          </cell>
          <cell r="U1273">
            <v>43435</v>
          </cell>
        </row>
        <row r="1274">
          <cell r="B1274" t="str">
            <v>Saeed</v>
          </cell>
          <cell r="C1274">
            <v>3</v>
          </cell>
          <cell r="D1274">
            <v>54</v>
          </cell>
          <cell r="E1274">
            <v>3</v>
          </cell>
          <cell r="F1274">
            <v>4</v>
          </cell>
          <cell r="G1274">
            <v>0</v>
          </cell>
          <cell r="H1274">
            <v>6</v>
          </cell>
          <cell r="I1274">
            <v>4</v>
          </cell>
          <cell r="M1274" t="str">
            <v>&gt;&gt;</v>
          </cell>
          <cell r="N1274" t="str">
            <v>Saeed Ahmed</v>
          </cell>
          <cell r="O1274" t="str">
            <v>FRS-1</v>
          </cell>
          <cell r="P1274" t="str">
            <v>Dangerous-Unicorns</v>
          </cell>
          <cell r="Q1274">
            <v>1</v>
          </cell>
          <cell r="R1274">
            <v>214</v>
          </cell>
          <cell r="U1274">
            <v>43435</v>
          </cell>
        </row>
        <row r="1275">
          <cell r="B1275" t="str">
            <v>COVID19-VICTORIOUS</v>
          </cell>
          <cell r="M1275" t="str">
            <v>&gt;&gt;</v>
          </cell>
          <cell r="N1275" t="str">
            <v/>
          </cell>
          <cell r="O1275" t="str">
            <v>FQ-20</v>
          </cell>
          <cell r="P1275" t="str">
            <v>COVID19-VICTORIOUS</v>
          </cell>
          <cell r="Q1275">
            <v>1</v>
          </cell>
          <cell r="R1275">
            <v>215</v>
          </cell>
          <cell r="U1275">
            <v>43891</v>
          </cell>
        </row>
        <row r="1276">
          <cell r="B1276" t="str">
            <v>Dulal</v>
          </cell>
          <cell r="C1276">
            <v>3</v>
          </cell>
          <cell r="D1276">
            <v>60</v>
          </cell>
          <cell r="E1276">
            <v>3</v>
          </cell>
          <cell r="F1276">
            <v>3</v>
          </cell>
          <cell r="G1276">
            <v>0</v>
          </cell>
          <cell r="H1276">
            <v>5</v>
          </cell>
          <cell r="I1276">
            <v>5</v>
          </cell>
          <cell r="M1276" t="str">
            <v>&gt;&gt;</v>
          </cell>
          <cell r="N1276" t="str">
            <v>Md Dulal Miah</v>
          </cell>
          <cell r="O1276" t="str">
            <v>FQ-20</v>
          </cell>
          <cell r="P1276" t="str">
            <v>COVID19-VICTORIOUS</v>
          </cell>
          <cell r="Q1276">
            <v>1</v>
          </cell>
          <cell r="R1276">
            <v>215</v>
          </cell>
          <cell r="U1276">
            <v>43891</v>
          </cell>
        </row>
        <row r="1277">
          <cell r="B1277" t="str">
            <v>Mashuk</v>
          </cell>
          <cell r="C1277">
            <v>3</v>
          </cell>
          <cell r="D1277">
            <v>0</v>
          </cell>
          <cell r="E1277">
            <v>2</v>
          </cell>
          <cell r="F1277">
            <v>2</v>
          </cell>
          <cell r="G1277">
            <v>0</v>
          </cell>
          <cell r="H1277">
            <v>0</v>
          </cell>
          <cell r="I1277">
            <v>0</v>
          </cell>
          <cell r="M1277" t="str">
            <v>&gt;&gt;</v>
          </cell>
          <cell r="N1277" t="str">
            <v>Mustofa Muddassir Mahmud Mashuk</v>
          </cell>
          <cell r="O1277" t="str">
            <v>FQ-20</v>
          </cell>
          <cell r="P1277" t="str">
            <v>COVID19-VICTORIOUS</v>
          </cell>
          <cell r="Q1277">
            <v>1</v>
          </cell>
          <cell r="R1277">
            <v>215</v>
          </cell>
          <cell r="U1277">
            <v>43891</v>
          </cell>
        </row>
        <row r="1278">
          <cell r="B1278" t="str">
            <v>Tanvir</v>
          </cell>
          <cell r="C1278">
            <v>3</v>
          </cell>
          <cell r="D1278">
            <v>49</v>
          </cell>
          <cell r="E1278">
            <v>3</v>
          </cell>
          <cell r="F1278">
            <v>3</v>
          </cell>
          <cell r="G1278">
            <v>1</v>
          </cell>
          <cell r="H1278">
            <v>4</v>
          </cell>
          <cell r="I1278">
            <v>4</v>
          </cell>
          <cell r="M1278" t="str">
            <v>&gt;&gt;</v>
          </cell>
          <cell r="N1278" t="str">
            <v>Tanvir Shakib</v>
          </cell>
          <cell r="O1278" t="str">
            <v>FQ-20</v>
          </cell>
          <cell r="P1278" t="str">
            <v>COVID19-VICTORIOUS</v>
          </cell>
          <cell r="Q1278">
            <v>1</v>
          </cell>
          <cell r="R1278">
            <v>215</v>
          </cell>
          <cell r="U1278">
            <v>43891</v>
          </cell>
        </row>
        <row r="1279">
          <cell r="B1279" t="str">
            <v>Niamul</v>
          </cell>
          <cell r="C1279">
            <v>3</v>
          </cell>
          <cell r="D1279">
            <v>18</v>
          </cell>
          <cell r="E1279">
            <v>0</v>
          </cell>
          <cell r="F1279">
            <v>3</v>
          </cell>
          <cell r="G1279">
            <v>0</v>
          </cell>
          <cell r="H1279">
            <v>2</v>
          </cell>
          <cell r="I1279">
            <v>0</v>
          </cell>
          <cell r="M1279" t="str">
            <v>&gt;&gt;</v>
          </cell>
          <cell r="N1279" t="str">
            <v>Niamul Habib Setu</v>
          </cell>
          <cell r="O1279" t="str">
            <v>FQ-20</v>
          </cell>
          <cell r="P1279" t="str">
            <v>COVID19-VICTORIOUS</v>
          </cell>
          <cell r="Q1279">
            <v>1</v>
          </cell>
          <cell r="R1279">
            <v>215</v>
          </cell>
          <cell r="U1279">
            <v>43891</v>
          </cell>
        </row>
        <row r="1280">
          <cell r="B1280" t="str">
            <v>Ariful</v>
          </cell>
          <cell r="C1280">
            <v>3</v>
          </cell>
          <cell r="D1280">
            <v>46</v>
          </cell>
          <cell r="E1280">
            <v>1</v>
          </cell>
          <cell r="F1280">
            <v>3</v>
          </cell>
          <cell r="G1280">
            <v>1</v>
          </cell>
          <cell r="H1280">
            <v>4</v>
          </cell>
          <cell r="I1280">
            <v>3</v>
          </cell>
          <cell r="M1280" t="str">
            <v>&gt;&gt;</v>
          </cell>
          <cell r="N1280" t="str">
            <v>Ahammed Ariful Haq</v>
          </cell>
          <cell r="O1280" t="str">
            <v>FQ-20</v>
          </cell>
          <cell r="P1280" t="str">
            <v>COVID19-VICTORIOUS</v>
          </cell>
          <cell r="Q1280">
            <v>1</v>
          </cell>
          <cell r="R1280">
            <v>215</v>
          </cell>
          <cell r="U1280">
            <v>43891</v>
          </cell>
        </row>
        <row r="1281">
          <cell r="B1281" t="str">
            <v>Khokon</v>
          </cell>
          <cell r="C1281">
            <v>3</v>
          </cell>
          <cell r="D1281">
            <v>28</v>
          </cell>
          <cell r="E1281">
            <v>3</v>
          </cell>
          <cell r="F1281">
            <v>3</v>
          </cell>
          <cell r="G1281">
            <v>0</v>
          </cell>
          <cell r="H1281">
            <v>3</v>
          </cell>
          <cell r="I1281">
            <v>2</v>
          </cell>
          <cell r="M1281" t="str">
            <v>&gt;&gt;</v>
          </cell>
          <cell r="N1281" t="str">
            <v>Shahriar Khokon</v>
          </cell>
          <cell r="O1281" t="str">
            <v>FQ-20</v>
          </cell>
          <cell r="P1281" t="str">
            <v>COVID19-VICTORIOUS</v>
          </cell>
          <cell r="Q1281">
            <v>1</v>
          </cell>
          <cell r="R1281">
            <v>215</v>
          </cell>
          <cell r="U1281">
            <v>43891</v>
          </cell>
        </row>
        <row r="1282">
          <cell r="B1282" t="str">
            <v>CORONA-SAFETY-UNIT</v>
          </cell>
          <cell r="M1282" t="str">
            <v>&gt;&gt;</v>
          </cell>
          <cell r="N1282" t="str">
            <v/>
          </cell>
          <cell r="O1282" t="str">
            <v>FQ-20</v>
          </cell>
          <cell r="P1282" t="str">
            <v>CORONA-SAFETY-UNIT</v>
          </cell>
          <cell r="Q1282">
            <v>1</v>
          </cell>
          <cell r="R1282">
            <v>216</v>
          </cell>
          <cell r="U1282">
            <v>43891</v>
          </cell>
        </row>
        <row r="1283">
          <cell r="B1283" t="str">
            <v>Sadrul</v>
          </cell>
          <cell r="C1283">
            <v>3</v>
          </cell>
          <cell r="D1283">
            <v>16</v>
          </cell>
          <cell r="E1283">
            <v>7</v>
          </cell>
          <cell r="F1283">
            <v>2</v>
          </cell>
          <cell r="G1283">
            <v>0</v>
          </cell>
          <cell r="H1283">
            <v>1</v>
          </cell>
          <cell r="I1283">
            <v>1</v>
          </cell>
          <cell r="M1283" t="str">
            <v>&gt;&gt;</v>
          </cell>
          <cell r="N1283" t="str">
            <v>Sadrul Anam</v>
          </cell>
          <cell r="O1283" t="str">
            <v>FQ-20</v>
          </cell>
          <cell r="P1283" t="str">
            <v>CORONA-SAFETY-UNIT</v>
          </cell>
          <cell r="Q1283">
            <v>1</v>
          </cell>
          <cell r="R1283">
            <v>216</v>
          </cell>
          <cell r="U1283">
            <v>43891</v>
          </cell>
          <cell r="W1283">
            <v>1</v>
          </cell>
        </row>
        <row r="1284">
          <cell r="B1284" t="str">
            <v>Sumon</v>
          </cell>
          <cell r="C1284">
            <v>2</v>
          </cell>
          <cell r="D1284">
            <v>42</v>
          </cell>
          <cell r="E1284">
            <v>2</v>
          </cell>
          <cell r="F1284">
            <v>3</v>
          </cell>
          <cell r="G1284">
            <v>1</v>
          </cell>
          <cell r="H1284">
            <v>4</v>
          </cell>
          <cell r="I1284">
            <v>2</v>
          </cell>
          <cell r="M1284" t="str">
            <v>&gt;&gt;</v>
          </cell>
          <cell r="N1284" t="str">
            <v>Sumon Ab</v>
          </cell>
          <cell r="O1284" t="str">
            <v>FQ-20</v>
          </cell>
          <cell r="P1284" t="str">
            <v>CORONA-SAFETY-UNIT</v>
          </cell>
          <cell r="Q1284">
            <v>1</v>
          </cell>
          <cell r="R1284">
            <v>216</v>
          </cell>
          <cell r="U1284">
            <v>43891</v>
          </cell>
        </row>
        <row r="1285">
          <cell r="B1285" t="str">
            <v>Al Mamun</v>
          </cell>
          <cell r="C1285">
            <v>3</v>
          </cell>
          <cell r="D1285">
            <v>26</v>
          </cell>
          <cell r="E1285">
            <v>2</v>
          </cell>
          <cell r="F1285">
            <v>3</v>
          </cell>
          <cell r="G1285">
            <v>0</v>
          </cell>
          <cell r="H1285">
            <v>2</v>
          </cell>
          <cell r="I1285">
            <v>2</v>
          </cell>
          <cell r="M1285" t="str">
            <v>&gt;&gt;</v>
          </cell>
          <cell r="N1285" t="str">
            <v>Mohammed Al Mamun</v>
          </cell>
          <cell r="O1285" t="str">
            <v>FQ-20</v>
          </cell>
          <cell r="P1285" t="str">
            <v>CORONA-SAFETY-UNIT</v>
          </cell>
          <cell r="Q1285">
            <v>1</v>
          </cell>
          <cell r="R1285">
            <v>216</v>
          </cell>
          <cell r="U1285">
            <v>43891</v>
          </cell>
        </row>
        <row r="1286">
          <cell r="B1286" t="str">
            <v>Tarek</v>
          </cell>
          <cell r="C1286">
            <v>1</v>
          </cell>
          <cell r="D1286">
            <v>3</v>
          </cell>
          <cell r="E1286">
            <v>0</v>
          </cell>
          <cell r="F1286">
            <v>1</v>
          </cell>
          <cell r="G1286">
            <v>0</v>
          </cell>
          <cell r="H1286">
            <v>0</v>
          </cell>
          <cell r="I1286">
            <v>0</v>
          </cell>
          <cell r="M1286" t="str">
            <v>&gt;&gt;</v>
          </cell>
          <cell r="N1286" t="str">
            <v>Prince Tarek</v>
          </cell>
          <cell r="O1286" t="str">
            <v>FQ-20</v>
          </cell>
          <cell r="P1286" t="str">
            <v>CORONA-SAFETY-UNIT</v>
          </cell>
          <cell r="Q1286">
            <v>1</v>
          </cell>
          <cell r="R1286">
            <v>216</v>
          </cell>
          <cell r="U1286">
            <v>43891</v>
          </cell>
        </row>
        <row r="1287">
          <cell r="B1287" t="str">
            <v>Pranto</v>
          </cell>
          <cell r="C1287">
            <v>3</v>
          </cell>
          <cell r="D1287">
            <v>45</v>
          </cell>
          <cell r="E1287">
            <v>1</v>
          </cell>
          <cell r="F1287">
            <v>5</v>
          </cell>
          <cell r="G1287">
            <v>0</v>
          </cell>
          <cell r="H1287">
            <v>2</v>
          </cell>
          <cell r="I1287">
            <v>3</v>
          </cell>
          <cell r="M1287" t="str">
            <v>&gt;&gt;</v>
          </cell>
          <cell r="N1287" t="str">
            <v>Bandhon Podder Pranto</v>
          </cell>
          <cell r="O1287" t="str">
            <v>FQ-20</v>
          </cell>
          <cell r="P1287" t="str">
            <v>CORONA-SAFETY-UNIT</v>
          </cell>
          <cell r="Q1287">
            <v>1</v>
          </cell>
          <cell r="R1287">
            <v>216</v>
          </cell>
          <cell r="U1287">
            <v>43891</v>
          </cell>
        </row>
        <row r="1288">
          <cell r="B1288" t="str">
            <v>Tutul</v>
          </cell>
          <cell r="C1288">
            <v>3</v>
          </cell>
          <cell r="D1288">
            <v>44</v>
          </cell>
          <cell r="E1288">
            <v>1</v>
          </cell>
          <cell r="F1288">
            <v>3</v>
          </cell>
          <cell r="G1288">
            <v>0</v>
          </cell>
          <cell r="H1288">
            <v>5</v>
          </cell>
          <cell r="I1288">
            <v>3</v>
          </cell>
          <cell r="M1288" t="str">
            <v>&gt;&gt;</v>
          </cell>
          <cell r="N1288" t="str">
            <v>Kamrul Hasan Tutul</v>
          </cell>
          <cell r="O1288" t="str">
            <v>FQ-20</v>
          </cell>
          <cell r="P1288" t="str">
            <v>CORONA-SAFETY-UNIT</v>
          </cell>
          <cell r="Q1288">
            <v>1</v>
          </cell>
          <cell r="R1288">
            <v>216</v>
          </cell>
          <cell r="U1288">
            <v>43891</v>
          </cell>
        </row>
        <row r="1289">
          <cell r="B1289" t="str">
            <v>ANTI-CORONA-FIGHTERS</v>
          </cell>
          <cell r="M1289" t="str">
            <v>&gt;&gt;</v>
          </cell>
          <cell r="N1289" t="str">
            <v/>
          </cell>
          <cell r="O1289" t="str">
            <v>FQ-20</v>
          </cell>
          <cell r="P1289" t="str">
            <v>ANTI-CORONA-FIGHTERS</v>
          </cell>
          <cell r="Q1289">
            <v>1</v>
          </cell>
          <cell r="R1289">
            <v>217</v>
          </cell>
          <cell r="T1289" t="str">
            <v>CHAMP</v>
          </cell>
          <cell r="U1289">
            <v>43891</v>
          </cell>
        </row>
        <row r="1290">
          <cell r="B1290" t="str">
            <v>Tofayel</v>
          </cell>
          <cell r="C1290">
            <v>4</v>
          </cell>
          <cell r="D1290">
            <v>66</v>
          </cell>
          <cell r="E1290">
            <v>4</v>
          </cell>
          <cell r="F1290">
            <v>2</v>
          </cell>
          <cell r="G1290">
            <v>0</v>
          </cell>
          <cell r="H1290">
            <v>7</v>
          </cell>
          <cell r="I1290">
            <v>4</v>
          </cell>
          <cell r="M1290" t="str">
            <v>&gt;&gt;</v>
          </cell>
          <cell r="N1290" t="str">
            <v>MD Tofayel Ahmed</v>
          </cell>
          <cell r="O1290" t="str">
            <v>FQ-20</v>
          </cell>
          <cell r="P1290" t="str">
            <v>ANTI-CORONA-FIGHTERS</v>
          </cell>
          <cell r="Q1290">
            <v>1</v>
          </cell>
          <cell r="R1290">
            <v>217</v>
          </cell>
          <cell r="T1290" t="str">
            <v>CHAMP</v>
          </cell>
          <cell r="U1290">
            <v>43891</v>
          </cell>
        </row>
        <row r="1291">
          <cell r="B1291" t="str">
            <v>Rashed</v>
          </cell>
          <cell r="C1291">
            <v>4</v>
          </cell>
          <cell r="D1291">
            <v>49</v>
          </cell>
          <cell r="E1291">
            <v>5</v>
          </cell>
          <cell r="F1291">
            <v>3</v>
          </cell>
          <cell r="G1291">
            <v>0</v>
          </cell>
          <cell r="H1291">
            <v>1</v>
          </cell>
          <cell r="I1291">
            <v>5</v>
          </cell>
          <cell r="M1291" t="str">
            <v>&gt;&gt;</v>
          </cell>
          <cell r="N1291" t="str">
            <v>KM Rashedul Islam Rashed</v>
          </cell>
          <cell r="O1291" t="str">
            <v>FQ-20</v>
          </cell>
          <cell r="P1291" t="str">
            <v>ANTI-CORONA-FIGHTERS</v>
          </cell>
          <cell r="Q1291">
            <v>1</v>
          </cell>
          <cell r="R1291">
            <v>217</v>
          </cell>
          <cell r="T1291" t="str">
            <v>CHAMP</v>
          </cell>
          <cell r="U1291">
            <v>43891</v>
          </cell>
        </row>
        <row r="1292">
          <cell r="B1292" t="str">
            <v>Faisal</v>
          </cell>
          <cell r="C1292">
            <v>4</v>
          </cell>
          <cell r="D1292">
            <v>6</v>
          </cell>
          <cell r="E1292">
            <v>4</v>
          </cell>
          <cell r="F1292">
            <v>3</v>
          </cell>
          <cell r="G1292">
            <v>0</v>
          </cell>
          <cell r="H1292">
            <v>0</v>
          </cell>
          <cell r="I1292">
            <v>1</v>
          </cell>
          <cell r="M1292" t="str">
            <v>&gt;&gt;</v>
          </cell>
          <cell r="N1292" t="str">
            <v>Red Heart Faisal (Fayze Ahamed)</v>
          </cell>
          <cell r="O1292" t="str">
            <v>FQ-20</v>
          </cell>
          <cell r="P1292" t="str">
            <v>ANTI-CORONA-FIGHTERS</v>
          </cell>
          <cell r="Q1292">
            <v>1</v>
          </cell>
          <cell r="R1292">
            <v>217</v>
          </cell>
          <cell r="T1292" t="str">
            <v>CHAMP</v>
          </cell>
          <cell r="U1292">
            <v>43891</v>
          </cell>
        </row>
        <row r="1293">
          <cell r="B1293" t="str">
            <v>Asif</v>
          </cell>
          <cell r="C1293">
            <v>4</v>
          </cell>
          <cell r="D1293">
            <v>73</v>
          </cell>
          <cell r="E1293">
            <v>2</v>
          </cell>
          <cell r="F1293">
            <v>4</v>
          </cell>
          <cell r="G1293">
            <v>1</v>
          </cell>
          <cell r="H1293">
            <v>5</v>
          </cell>
          <cell r="I1293">
            <v>6</v>
          </cell>
          <cell r="M1293" t="str">
            <v>&gt;&gt;</v>
          </cell>
          <cell r="N1293" t="str">
            <v>Asif Iqbal Khan</v>
          </cell>
          <cell r="O1293" t="str">
            <v>FQ-20</v>
          </cell>
          <cell r="P1293" t="str">
            <v>ANTI-CORONA-FIGHTERS</v>
          </cell>
          <cell r="Q1293">
            <v>1</v>
          </cell>
          <cell r="R1293">
            <v>217</v>
          </cell>
          <cell r="T1293" t="str">
            <v>CHAMP</v>
          </cell>
          <cell r="U1293">
            <v>43891</v>
          </cell>
        </row>
        <row r="1294">
          <cell r="B1294" t="str">
            <v>SH Shanto</v>
          </cell>
          <cell r="C1294">
            <v>4</v>
          </cell>
          <cell r="D1294">
            <v>14</v>
          </cell>
          <cell r="E1294">
            <v>4</v>
          </cell>
          <cell r="F1294">
            <v>4</v>
          </cell>
          <cell r="G1294">
            <v>2</v>
          </cell>
          <cell r="H1294">
            <v>1</v>
          </cell>
          <cell r="I1294">
            <v>1</v>
          </cell>
          <cell r="M1294" t="str">
            <v>&gt;&gt;</v>
          </cell>
          <cell r="N1294" t="str">
            <v>Sakhawat Hossain Shanto</v>
          </cell>
          <cell r="O1294" t="str">
            <v>FQ-20</v>
          </cell>
          <cell r="P1294" t="str">
            <v>ANTI-CORONA-FIGHTERS</v>
          </cell>
          <cell r="Q1294">
            <v>1</v>
          </cell>
          <cell r="R1294">
            <v>217</v>
          </cell>
          <cell r="T1294" t="str">
            <v>CHAMP</v>
          </cell>
          <cell r="U1294">
            <v>43891</v>
          </cell>
        </row>
        <row r="1295">
          <cell r="B1295" t="str">
            <v>Munna</v>
          </cell>
          <cell r="C1295">
            <v>4</v>
          </cell>
          <cell r="D1295">
            <v>11</v>
          </cell>
          <cell r="E1295">
            <v>2</v>
          </cell>
          <cell r="F1295">
            <v>3</v>
          </cell>
          <cell r="G1295">
            <v>0</v>
          </cell>
          <cell r="H1295">
            <v>2</v>
          </cell>
          <cell r="I1295">
            <v>0</v>
          </cell>
          <cell r="M1295" t="str">
            <v>&gt;&gt;</v>
          </cell>
          <cell r="N1295" t="str">
            <v>Monowar Hossain Munna</v>
          </cell>
          <cell r="O1295" t="str">
            <v>FQ-20</v>
          </cell>
          <cell r="P1295" t="str">
            <v>ANTI-CORONA-FIGHTERS</v>
          </cell>
          <cell r="Q1295">
            <v>1</v>
          </cell>
          <cell r="R1295">
            <v>217</v>
          </cell>
          <cell r="T1295" t="str">
            <v>CHAMP</v>
          </cell>
          <cell r="U1295">
            <v>43891</v>
          </cell>
        </row>
        <row r="1296">
          <cell r="B1296" t="str">
            <v>VIRUS-BLOCKERS</v>
          </cell>
          <cell r="M1296" t="str">
            <v>&gt;&gt;</v>
          </cell>
          <cell r="N1296" t="str">
            <v/>
          </cell>
          <cell r="O1296" t="str">
            <v>FQ-20</v>
          </cell>
          <cell r="P1296" t="str">
            <v>VIRUS-BLOCKERS</v>
          </cell>
          <cell r="Q1296">
            <v>1</v>
          </cell>
          <cell r="R1296">
            <v>218</v>
          </cell>
          <cell r="T1296" t="str">
            <v>RU</v>
          </cell>
          <cell r="U1296">
            <v>43891</v>
          </cell>
        </row>
        <row r="1297">
          <cell r="B1297" t="str">
            <v>Saaj</v>
          </cell>
          <cell r="C1297">
            <v>4</v>
          </cell>
          <cell r="D1297">
            <v>37</v>
          </cell>
          <cell r="E1297">
            <v>5</v>
          </cell>
          <cell r="F1297">
            <v>3</v>
          </cell>
          <cell r="G1297">
            <v>0</v>
          </cell>
          <cell r="H1297">
            <v>4</v>
          </cell>
          <cell r="I1297">
            <v>3</v>
          </cell>
          <cell r="M1297" t="str">
            <v>&gt;&gt;</v>
          </cell>
          <cell r="N1297" t="str">
            <v>AB Saaj</v>
          </cell>
          <cell r="O1297" t="str">
            <v>FQ-20</v>
          </cell>
          <cell r="P1297" t="str">
            <v>VIRUS-BLOCKERS</v>
          </cell>
          <cell r="Q1297">
            <v>1</v>
          </cell>
          <cell r="R1297">
            <v>218</v>
          </cell>
          <cell r="T1297" t="str">
            <v>RU</v>
          </cell>
          <cell r="U1297">
            <v>43891</v>
          </cell>
        </row>
        <row r="1298">
          <cell r="B1298" t="str">
            <v>Shohag</v>
          </cell>
          <cell r="C1298">
            <v>2</v>
          </cell>
          <cell r="D1298">
            <v>0</v>
          </cell>
          <cell r="E1298">
            <v>3</v>
          </cell>
          <cell r="F1298">
            <v>2</v>
          </cell>
          <cell r="G1298">
            <v>0</v>
          </cell>
          <cell r="H1298">
            <v>0</v>
          </cell>
          <cell r="I1298">
            <v>0</v>
          </cell>
          <cell r="M1298" t="str">
            <v>&gt;&gt;</v>
          </cell>
          <cell r="N1298" t="str">
            <v>Hetlar Shohag</v>
          </cell>
          <cell r="O1298" t="str">
            <v>FQ-20</v>
          </cell>
          <cell r="P1298" t="str">
            <v>VIRUS-BLOCKERS</v>
          </cell>
          <cell r="Q1298">
            <v>1</v>
          </cell>
          <cell r="R1298">
            <v>218</v>
          </cell>
          <cell r="T1298" t="str">
            <v>RU</v>
          </cell>
          <cell r="U1298">
            <v>43891</v>
          </cell>
        </row>
        <row r="1299">
          <cell r="B1299" t="str">
            <v>Kamal</v>
          </cell>
          <cell r="C1299">
            <v>4</v>
          </cell>
          <cell r="D1299">
            <v>107</v>
          </cell>
          <cell r="E1299">
            <v>7</v>
          </cell>
          <cell r="F1299">
            <v>6</v>
          </cell>
          <cell r="G1299">
            <v>2</v>
          </cell>
          <cell r="H1299">
            <v>7</v>
          </cell>
          <cell r="I1299">
            <v>8</v>
          </cell>
          <cell r="M1299" t="str">
            <v>&gt;&gt;</v>
          </cell>
          <cell r="N1299" t="str">
            <v>MD Kamal Hossain Kamal</v>
          </cell>
          <cell r="O1299" t="str">
            <v>FQ-20</v>
          </cell>
          <cell r="P1299" t="str">
            <v>VIRUS-BLOCKERS</v>
          </cell>
          <cell r="Q1299">
            <v>1</v>
          </cell>
          <cell r="R1299">
            <v>218</v>
          </cell>
          <cell r="S1299" t="str">
            <v>MOT</v>
          </cell>
          <cell r="T1299" t="str">
            <v>RU</v>
          </cell>
          <cell r="U1299">
            <v>43891</v>
          </cell>
          <cell r="V1299">
            <v>1</v>
          </cell>
          <cell r="W1299">
            <v>1</v>
          </cell>
        </row>
        <row r="1300">
          <cell r="B1300" t="str">
            <v>Joy</v>
          </cell>
          <cell r="C1300">
            <v>2</v>
          </cell>
          <cell r="D1300">
            <v>14</v>
          </cell>
          <cell r="E1300">
            <v>0</v>
          </cell>
          <cell r="F1300">
            <v>2</v>
          </cell>
          <cell r="G1300">
            <v>0</v>
          </cell>
          <cell r="H1300">
            <v>2</v>
          </cell>
          <cell r="I1300">
            <v>0</v>
          </cell>
          <cell r="M1300" t="str">
            <v>&gt;&gt;</v>
          </cell>
          <cell r="N1300" t="str">
            <v>Mehedi Hasan Joy</v>
          </cell>
          <cell r="O1300" t="str">
            <v>FQ-20</v>
          </cell>
          <cell r="P1300" t="str">
            <v>VIRUS-BLOCKERS</v>
          </cell>
          <cell r="Q1300">
            <v>1</v>
          </cell>
          <cell r="R1300">
            <v>218</v>
          </cell>
          <cell r="T1300" t="str">
            <v>RU</v>
          </cell>
          <cell r="U1300">
            <v>43891</v>
          </cell>
        </row>
        <row r="1301">
          <cell r="B1301" t="str">
            <v>Shakil</v>
          </cell>
          <cell r="C1301">
            <v>4</v>
          </cell>
          <cell r="D1301">
            <v>18</v>
          </cell>
          <cell r="E1301">
            <v>4</v>
          </cell>
          <cell r="F1301">
            <v>4</v>
          </cell>
          <cell r="G1301">
            <v>0</v>
          </cell>
          <cell r="H1301">
            <v>3</v>
          </cell>
          <cell r="I1301">
            <v>1</v>
          </cell>
          <cell r="M1301" t="str">
            <v>&gt;&gt;</v>
          </cell>
          <cell r="N1301" t="str">
            <v>M R Shakil</v>
          </cell>
          <cell r="O1301" t="str">
            <v>FQ-20</v>
          </cell>
          <cell r="P1301" t="str">
            <v>VIRUS-BLOCKERS</v>
          </cell>
          <cell r="Q1301">
            <v>1</v>
          </cell>
          <cell r="R1301">
            <v>218</v>
          </cell>
          <cell r="T1301" t="str">
            <v>RU</v>
          </cell>
          <cell r="U1301">
            <v>43891</v>
          </cell>
        </row>
        <row r="1302">
          <cell r="B1302" t="str">
            <v>Helal</v>
          </cell>
          <cell r="C1302">
            <v>4</v>
          </cell>
          <cell r="D1302">
            <v>94</v>
          </cell>
          <cell r="E1302">
            <v>2</v>
          </cell>
          <cell r="F1302">
            <v>5</v>
          </cell>
          <cell r="G1302">
            <v>1</v>
          </cell>
          <cell r="H1302">
            <v>4</v>
          </cell>
          <cell r="I1302">
            <v>8</v>
          </cell>
          <cell r="M1302" t="str">
            <v>&gt;&gt;</v>
          </cell>
          <cell r="N1302" t="str">
            <v>Sheik Helal Ahmed</v>
          </cell>
          <cell r="O1302" t="str">
            <v>FQ-20</v>
          </cell>
          <cell r="P1302" t="str">
            <v>VIRUS-BLOCKERS</v>
          </cell>
          <cell r="Q1302">
            <v>1</v>
          </cell>
          <cell r="R1302">
            <v>218</v>
          </cell>
          <cell r="S1302" t="str">
            <v>CPOT</v>
          </cell>
          <cell r="T1302" t="str">
            <v>RU</v>
          </cell>
          <cell r="U1302">
            <v>43891</v>
          </cell>
        </row>
        <row r="1303">
          <cell r="B1303" t="str">
            <v>TROPHY FIGHTES</v>
          </cell>
          <cell r="M1303" t="str">
            <v>&gt;&gt;</v>
          </cell>
          <cell r="N1303" t="str">
            <v/>
          </cell>
          <cell r="O1303" t="str">
            <v>FWIN-3</v>
          </cell>
          <cell r="P1303" t="str">
            <v>TROPHY FIGHTES</v>
          </cell>
          <cell r="Q1303">
            <v>1</v>
          </cell>
          <cell r="R1303">
            <v>219</v>
          </cell>
          <cell r="T1303" t="str">
            <v>CHAMP</v>
          </cell>
          <cell r="U1303">
            <v>43922</v>
          </cell>
        </row>
        <row r="1304">
          <cell r="B1304" t="str">
            <v>Jhony</v>
          </cell>
          <cell r="C1304">
            <v>10</v>
          </cell>
          <cell r="D1304">
            <v>86</v>
          </cell>
          <cell r="E1304">
            <v>12</v>
          </cell>
          <cell r="F1304">
            <v>10</v>
          </cell>
          <cell r="G1304">
            <v>1</v>
          </cell>
          <cell r="H1304">
            <v>9</v>
          </cell>
          <cell r="I1304">
            <v>6</v>
          </cell>
          <cell r="J1304">
            <v>1</v>
          </cell>
          <cell r="M1304" t="str">
            <v>&gt;&gt;</v>
          </cell>
          <cell r="N1304" t="str">
            <v>Faisal Ahmed Jhony</v>
          </cell>
          <cell r="O1304" t="str">
            <v>FWIN-3</v>
          </cell>
          <cell r="P1304" t="str">
            <v>TROPHY FIGHTES</v>
          </cell>
          <cell r="Q1304">
            <v>1</v>
          </cell>
          <cell r="R1304">
            <v>219</v>
          </cell>
          <cell r="T1304" t="str">
            <v>CHAMP</v>
          </cell>
          <cell r="U1304">
            <v>43922</v>
          </cell>
        </row>
        <row r="1305">
          <cell r="B1305" t="str">
            <v>SH Shanto</v>
          </cell>
          <cell r="C1305">
            <v>10</v>
          </cell>
          <cell r="D1305">
            <v>99</v>
          </cell>
          <cell r="E1305">
            <v>16</v>
          </cell>
          <cell r="F1305">
            <v>8</v>
          </cell>
          <cell r="G1305">
            <v>3</v>
          </cell>
          <cell r="H1305">
            <v>7</v>
          </cell>
          <cell r="I1305">
            <v>7</v>
          </cell>
          <cell r="J1305">
            <v>1</v>
          </cell>
          <cell r="M1305" t="str">
            <v>&gt;&gt;</v>
          </cell>
          <cell r="N1305" t="str">
            <v>Sakhawat Hossain Shanto</v>
          </cell>
          <cell r="O1305" t="str">
            <v>FWIN-3</v>
          </cell>
          <cell r="P1305" t="str">
            <v>TROPHY FIGHTES</v>
          </cell>
          <cell r="Q1305">
            <v>1</v>
          </cell>
          <cell r="R1305">
            <v>219</v>
          </cell>
          <cell r="T1305" t="str">
            <v>CHAMP</v>
          </cell>
          <cell r="U1305">
            <v>43922</v>
          </cell>
        </row>
        <row r="1306">
          <cell r="B1306" t="str">
            <v>Jumon</v>
          </cell>
          <cell r="C1306">
            <v>10</v>
          </cell>
          <cell r="D1306">
            <v>123</v>
          </cell>
          <cell r="E1306">
            <v>19</v>
          </cell>
          <cell r="F1306">
            <v>10</v>
          </cell>
          <cell r="G1306">
            <v>2</v>
          </cell>
          <cell r="H1306">
            <v>16</v>
          </cell>
          <cell r="I1306">
            <v>5</v>
          </cell>
          <cell r="M1306" t="str">
            <v>&gt;&gt;</v>
          </cell>
          <cell r="N1306" t="str">
            <v>Foysal Ahmed Jumon</v>
          </cell>
          <cell r="O1306" t="str">
            <v>FWIN-3</v>
          </cell>
          <cell r="P1306" t="str">
            <v>TROPHY FIGHTES</v>
          </cell>
          <cell r="Q1306">
            <v>1</v>
          </cell>
          <cell r="R1306">
            <v>219</v>
          </cell>
          <cell r="S1306" t="str">
            <v>MOT</v>
          </cell>
          <cell r="T1306" t="str">
            <v>CHAMP</v>
          </cell>
          <cell r="U1306">
            <v>43922</v>
          </cell>
          <cell r="W1306">
            <v>1</v>
          </cell>
        </row>
        <row r="1307">
          <cell r="B1307" t="str">
            <v>Rashed</v>
          </cell>
          <cell r="C1307">
            <v>10</v>
          </cell>
          <cell r="D1307">
            <v>101</v>
          </cell>
          <cell r="E1307">
            <v>4</v>
          </cell>
          <cell r="F1307">
            <v>10</v>
          </cell>
          <cell r="G1307">
            <v>3</v>
          </cell>
          <cell r="H1307">
            <v>6</v>
          </cell>
          <cell r="I1307">
            <v>7</v>
          </cell>
          <cell r="M1307" t="str">
            <v>&gt;&gt;</v>
          </cell>
          <cell r="N1307" t="str">
            <v>KM Rashedul Islam Rashed</v>
          </cell>
          <cell r="O1307" t="str">
            <v>FWIN-3</v>
          </cell>
          <cell r="P1307" t="str">
            <v>TROPHY FIGHTES</v>
          </cell>
          <cell r="Q1307">
            <v>1</v>
          </cell>
          <cell r="R1307">
            <v>219</v>
          </cell>
          <cell r="T1307" t="str">
            <v>CHAMP</v>
          </cell>
          <cell r="U1307">
            <v>43922</v>
          </cell>
        </row>
        <row r="1308">
          <cell r="B1308" t="str">
            <v>Shohag</v>
          </cell>
          <cell r="C1308">
            <v>10</v>
          </cell>
          <cell r="D1308">
            <v>90</v>
          </cell>
          <cell r="E1308">
            <v>3</v>
          </cell>
          <cell r="F1308">
            <v>8</v>
          </cell>
          <cell r="G1308">
            <v>0</v>
          </cell>
          <cell r="H1308">
            <v>6</v>
          </cell>
          <cell r="I1308">
            <v>7</v>
          </cell>
          <cell r="M1308" t="str">
            <v>&gt;&gt;</v>
          </cell>
          <cell r="N1308" t="str">
            <v>Hetlar Shohag</v>
          </cell>
          <cell r="O1308" t="str">
            <v>FWIN-3</v>
          </cell>
          <cell r="P1308" t="str">
            <v>TROPHY FIGHTES</v>
          </cell>
          <cell r="Q1308">
            <v>1</v>
          </cell>
          <cell r="R1308">
            <v>219</v>
          </cell>
          <cell r="T1308" t="str">
            <v>CHAMP</v>
          </cell>
          <cell r="U1308">
            <v>43922</v>
          </cell>
        </row>
        <row r="1309">
          <cell r="B1309" t="str">
            <v>FURIOUS FALCONS</v>
          </cell>
          <cell r="M1309" t="str">
            <v>&gt;&gt;</v>
          </cell>
          <cell r="N1309" t="str">
            <v/>
          </cell>
          <cell r="O1309" t="str">
            <v>FWIN-3</v>
          </cell>
          <cell r="P1309" t="str">
            <v>FURIOUS FALCONS</v>
          </cell>
          <cell r="Q1309">
            <v>1</v>
          </cell>
          <cell r="R1309">
            <v>220</v>
          </cell>
          <cell r="T1309" t="str">
            <v>RU</v>
          </cell>
          <cell r="U1309">
            <v>43922</v>
          </cell>
        </row>
        <row r="1310">
          <cell r="B1310" t="str">
            <v>Mashuk</v>
          </cell>
          <cell r="C1310">
            <v>9</v>
          </cell>
          <cell r="D1310">
            <v>63</v>
          </cell>
          <cell r="E1310">
            <v>9</v>
          </cell>
          <cell r="F1310">
            <v>9</v>
          </cell>
          <cell r="G1310">
            <v>2</v>
          </cell>
          <cell r="H1310">
            <v>5</v>
          </cell>
          <cell r="I1310">
            <v>3</v>
          </cell>
          <cell r="M1310" t="str">
            <v>&gt;&gt;</v>
          </cell>
          <cell r="N1310" t="str">
            <v>Mustofa Muddassir Mahmud Mashuk</v>
          </cell>
          <cell r="O1310" t="str">
            <v>FWIN-3</v>
          </cell>
          <cell r="P1310" t="str">
            <v>FURIOUS FALCONS</v>
          </cell>
          <cell r="Q1310">
            <v>1</v>
          </cell>
          <cell r="R1310">
            <v>220</v>
          </cell>
          <cell r="T1310" t="str">
            <v>RU</v>
          </cell>
          <cell r="U1310">
            <v>43922</v>
          </cell>
        </row>
        <row r="1311">
          <cell r="B1311" t="str">
            <v>Dulal</v>
          </cell>
          <cell r="C1311">
            <v>9</v>
          </cell>
          <cell r="D1311">
            <v>181</v>
          </cell>
          <cell r="E1311">
            <v>7</v>
          </cell>
          <cell r="F1311">
            <v>12</v>
          </cell>
          <cell r="G1311">
            <v>3</v>
          </cell>
          <cell r="H1311">
            <v>16</v>
          </cell>
          <cell r="I1311">
            <v>15</v>
          </cell>
          <cell r="M1311" t="str">
            <v>&gt;&gt;</v>
          </cell>
          <cell r="N1311" t="str">
            <v>Md Dulal Miah</v>
          </cell>
          <cell r="O1311" t="str">
            <v>FWIN-3</v>
          </cell>
          <cell r="P1311" t="str">
            <v>FURIOUS FALCONS</v>
          </cell>
          <cell r="Q1311">
            <v>1</v>
          </cell>
          <cell r="R1311">
            <v>220</v>
          </cell>
          <cell r="T1311" t="str">
            <v>RU</v>
          </cell>
          <cell r="U1311">
            <v>43922</v>
          </cell>
        </row>
        <row r="1312">
          <cell r="B1312" t="str">
            <v>Tanvir</v>
          </cell>
          <cell r="C1312">
            <v>9</v>
          </cell>
          <cell r="D1312">
            <v>169</v>
          </cell>
          <cell r="E1312">
            <v>15</v>
          </cell>
          <cell r="F1312">
            <v>11</v>
          </cell>
          <cell r="G1312">
            <v>2</v>
          </cell>
          <cell r="H1312">
            <v>14</v>
          </cell>
          <cell r="I1312">
            <v>12</v>
          </cell>
          <cell r="J1312">
            <v>2</v>
          </cell>
          <cell r="M1312" t="str">
            <v>&gt;&gt;</v>
          </cell>
          <cell r="N1312" t="str">
            <v>Tanvir Shakib</v>
          </cell>
          <cell r="O1312" t="str">
            <v>FWIN-3</v>
          </cell>
          <cell r="P1312" t="str">
            <v>FURIOUS FALCONS</v>
          </cell>
          <cell r="Q1312">
            <v>1</v>
          </cell>
          <cell r="R1312">
            <v>220</v>
          </cell>
          <cell r="S1312" t="str">
            <v>CPOT</v>
          </cell>
          <cell r="T1312" t="str">
            <v>RU</v>
          </cell>
          <cell r="U1312">
            <v>43922</v>
          </cell>
        </row>
        <row r="1313">
          <cell r="B1313" t="str">
            <v>Asif</v>
          </cell>
          <cell r="C1313">
            <v>9</v>
          </cell>
          <cell r="D1313">
            <v>91</v>
          </cell>
          <cell r="E1313">
            <v>9</v>
          </cell>
          <cell r="F1313">
            <v>9</v>
          </cell>
          <cell r="G1313">
            <v>0</v>
          </cell>
          <cell r="H1313">
            <v>7</v>
          </cell>
          <cell r="I1313">
            <v>6</v>
          </cell>
          <cell r="M1313" t="str">
            <v>&gt;&gt;</v>
          </cell>
          <cell r="N1313" t="str">
            <v>Asif Iqbal Khan</v>
          </cell>
          <cell r="O1313" t="str">
            <v>FWIN-3</v>
          </cell>
          <cell r="P1313" t="str">
            <v>FURIOUS FALCONS</v>
          </cell>
          <cell r="Q1313">
            <v>1</v>
          </cell>
          <cell r="R1313">
            <v>220</v>
          </cell>
          <cell r="T1313" t="str">
            <v>RU</v>
          </cell>
          <cell r="U1313">
            <v>43922</v>
          </cell>
        </row>
        <row r="1314">
          <cell r="B1314" t="str">
            <v>SA Shanto</v>
          </cell>
          <cell r="C1314">
            <v>6</v>
          </cell>
          <cell r="D1314">
            <v>21</v>
          </cell>
          <cell r="E1314">
            <v>8</v>
          </cell>
          <cell r="F1314">
            <v>3</v>
          </cell>
          <cell r="G1314">
            <v>0</v>
          </cell>
          <cell r="H1314">
            <v>1</v>
          </cell>
          <cell r="I1314">
            <v>1</v>
          </cell>
          <cell r="J1314">
            <v>1</v>
          </cell>
          <cell r="M1314" t="str">
            <v>&gt;&gt;</v>
          </cell>
          <cell r="N1314" t="str">
            <v>Sayed Anowar Shanto</v>
          </cell>
          <cell r="O1314" t="str">
            <v>FWIN-3</v>
          </cell>
          <cell r="P1314" t="str">
            <v>FURIOUS FALCONS</v>
          </cell>
          <cell r="Q1314">
            <v>1</v>
          </cell>
          <cell r="R1314">
            <v>220</v>
          </cell>
          <cell r="T1314" t="str">
            <v>RU</v>
          </cell>
          <cell r="U1314">
            <v>43922</v>
          </cell>
        </row>
        <row r="1315">
          <cell r="B1315" t="str">
            <v>POWERFUL SUPEERGIANTS</v>
          </cell>
          <cell r="M1315" t="str">
            <v>&gt;&gt;</v>
          </cell>
          <cell r="N1315" t="str">
            <v/>
          </cell>
          <cell r="O1315" t="str">
            <v>FWIN-3</v>
          </cell>
          <cell r="P1315" t="str">
            <v>POWERFUL SUPEERGIANTS</v>
          </cell>
          <cell r="Q1315">
            <v>1</v>
          </cell>
          <cell r="R1315">
            <v>221</v>
          </cell>
          <cell r="U1315">
            <v>43922</v>
          </cell>
        </row>
        <row r="1316">
          <cell r="B1316" t="str">
            <v>Sadrul</v>
          </cell>
          <cell r="C1316">
            <v>8</v>
          </cell>
          <cell r="D1316">
            <v>61</v>
          </cell>
          <cell r="E1316">
            <v>9</v>
          </cell>
          <cell r="F1316">
            <v>8</v>
          </cell>
          <cell r="G1316">
            <v>1</v>
          </cell>
          <cell r="H1316">
            <v>5</v>
          </cell>
          <cell r="I1316">
            <v>5</v>
          </cell>
          <cell r="J1316">
            <v>1</v>
          </cell>
          <cell r="M1316" t="str">
            <v>&gt;&gt;</v>
          </cell>
          <cell r="N1316" t="str">
            <v>Sadrul Anam</v>
          </cell>
          <cell r="O1316" t="str">
            <v>FWIN-3</v>
          </cell>
          <cell r="P1316" t="str">
            <v>POWERFUL SUPEERGIANTS</v>
          </cell>
          <cell r="Q1316">
            <v>1</v>
          </cell>
          <cell r="R1316">
            <v>221</v>
          </cell>
          <cell r="U1316">
            <v>43922</v>
          </cell>
        </row>
        <row r="1317">
          <cell r="B1317" t="str">
            <v>Khokon</v>
          </cell>
          <cell r="C1317">
            <v>8</v>
          </cell>
          <cell r="D1317">
            <v>62</v>
          </cell>
          <cell r="E1317">
            <v>11</v>
          </cell>
          <cell r="F1317">
            <v>10</v>
          </cell>
          <cell r="G1317">
            <v>0</v>
          </cell>
          <cell r="H1317">
            <v>5</v>
          </cell>
          <cell r="I1317">
            <v>4</v>
          </cell>
          <cell r="M1317" t="str">
            <v>&gt;&gt;</v>
          </cell>
          <cell r="N1317" t="str">
            <v>Shahriar Khokon</v>
          </cell>
          <cell r="O1317" t="str">
            <v>FWIN-3</v>
          </cell>
          <cell r="P1317" t="str">
            <v>POWERFUL SUPEERGIANTS</v>
          </cell>
          <cell r="Q1317">
            <v>1</v>
          </cell>
          <cell r="R1317">
            <v>221</v>
          </cell>
          <cell r="U1317">
            <v>43922</v>
          </cell>
        </row>
        <row r="1318">
          <cell r="B1318" t="str">
            <v>Kamal</v>
          </cell>
          <cell r="C1318">
            <v>8</v>
          </cell>
          <cell r="D1318">
            <v>167</v>
          </cell>
          <cell r="E1318">
            <v>10</v>
          </cell>
          <cell r="F1318">
            <v>13</v>
          </cell>
          <cell r="G1318">
            <v>2</v>
          </cell>
          <cell r="H1318">
            <v>12</v>
          </cell>
          <cell r="I1318">
            <v>12</v>
          </cell>
          <cell r="M1318" t="str">
            <v>&gt;&gt;</v>
          </cell>
          <cell r="N1318" t="str">
            <v>MD Kamal Hossain Kamal</v>
          </cell>
          <cell r="O1318" t="str">
            <v>FWIN-3</v>
          </cell>
          <cell r="P1318" t="str">
            <v>POWERFUL SUPEERGIANTS</v>
          </cell>
          <cell r="Q1318">
            <v>1</v>
          </cell>
          <cell r="R1318">
            <v>221</v>
          </cell>
          <cell r="U1318">
            <v>43922</v>
          </cell>
        </row>
        <row r="1319">
          <cell r="B1319" t="str">
            <v>Munna</v>
          </cell>
          <cell r="C1319">
            <v>8</v>
          </cell>
          <cell r="D1319">
            <v>144</v>
          </cell>
          <cell r="E1319">
            <v>5</v>
          </cell>
          <cell r="F1319">
            <v>8</v>
          </cell>
          <cell r="G1319">
            <v>0</v>
          </cell>
          <cell r="H1319">
            <v>11</v>
          </cell>
          <cell r="I1319">
            <v>11</v>
          </cell>
          <cell r="M1319" t="str">
            <v>&gt;&gt;</v>
          </cell>
          <cell r="N1319" t="str">
            <v>Monowar Hossain Munna</v>
          </cell>
          <cell r="O1319" t="str">
            <v>FWIN-3</v>
          </cell>
          <cell r="P1319" t="str">
            <v>POWERFUL SUPEERGIANTS</v>
          </cell>
          <cell r="Q1319">
            <v>1</v>
          </cell>
          <cell r="R1319">
            <v>221</v>
          </cell>
          <cell r="U1319">
            <v>43922</v>
          </cell>
        </row>
        <row r="1320">
          <cell r="B1320" t="str">
            <v>Wasiq</v>
          </cell>
          <cell r="C1320">
            <v>5</v>
          </cell>
          <cell r="D1320">
            <v>64</v>
          </cell>
          <cell r="E1320">
            <v>3</v>
          </cell>
          <cell r="F1320">
            <v>5</v>
          </cell>
          <cell r="G1320">
            <v>1</v>
          </cell>
          <cell r="H1320">
            <v>7</v>
          </cell>
          <cell r="I1320">
            <v>3</v>
          </cell>
          <cell r="J1320">
            <v>1</v>
          </cell>
          <cell r="M1320" t="str">
            <v>&gt;&gt;</v>
          </cell>
          <cell r="N1320" t="str">
            <v>Wasiq Rahman</v>
          </cell>
          <cell r="O1320" t="str">
            <v>FWIN-3</v>
          </cell>
          <cell r="P1320" t="str">
            <v>POWERFUL SUPEERGIANTS</v>
          </cell>
          <cell r="Q1320">
            <v>1</v>
          </cell>
          <cell r="R1320">
            <v>221</v>
          </cell>
          <cell r="U1320">
            <v>43922</v>
          </cell>
        </row>
        <row r="1321">
          <cell r="B1321" t="str">
            <v>TERRIFIC HITTERS</v>
          </cell>
          <cell r="M1321" t="str">
            <v>&gt;&gt;</v>
          </cell>
          <cell r="N1321" t="str">
            <v/>
          </cell>
          <cell r="O1321" t="str">
            <v>FWIN-3</v>
          </cell>
          <cell r="P1321" t="str">
            <v>TERRIFIC HITTERS</v>
          </cell>
          <cell r="Q1321">
            <v>1</v>
          </cell>
          <cell r="R1321">
            <v>222</v>
          </cell>
          <cell r="U1321">
            <v>43922</v>
          </cell>
        </row>
        <row r="1322">
          <cell r="B1322" t="str">
            <v>Helal</v>
          </cell>
          <cell r="C1322">
            <v>7</v>
          </cell>
          <cell r="D1322">
            <v>56</v>
          </cell>
          <cell r="E1322">
            <v>4</v>
          </cell>
          <cell r="F1322">
            <v>8</v>
          </cell>
          <cell r="G1322">
            <v>0</v>
          </cell>
          <cell r="H1322">
            <v>2</v>
          </cell>
          <cell r="I1322">
            <v>5</v>
          </cell>
          <cell r="M1322" t="str">
            <v>&gt;&gt;</v>
          </cell>
          <cell r="N1322" t="str">
            <v>Sheik Helal Ahmed</v>
          </cell>
          <cell r="O1322" t="str">
            <v>FWIN-3</v>
          </cell>
          <cell r="P1322" t="str">
            <v>TERRIFIC HITTERS</v>
          </cell>
          <cell r="Q1322">
            <v>1</v>
          </cell>
          <cell r="R1322">
            <v>222</v>
          </cell>
          <cell r="U1322">
            <v>43922</v>
          </cell>
        </row>
        <row r="1323">
          <cell r="B1323" t="str">
            <v>Tofayel</v>
          </cell>
          <cell r="C1323">
            <v>7</v>
          </cell>
          <cell r="D1323">
            <v>85</v>
          </cell>
          <cell r="E1323">
            <v>7</v>
          </cell>
          <cell r="F1323">
            <v>6</v>
          </cell>
          <cell r="G1323">
            <v>1</v>
          </cell>
          <cell r="H1323">
            <v>9</v>
          </cell>
          <cell r="I1323">
            <v>6</v>
          </cell>
          <cell r="J1323">
            <v>1</v>
          </cell>
          <cell r="M1323" t="str">
            <v>&gt;&gt;</v>
          </cell>
          <cell r="N1323" t="str">
            <v>MD Tofayel Ahmed</v>
          </cell>
          <cell r="O1323" t="str">
            <v>FWIN-3</v>
          </cell>
          <cell r="P1323" t="str">
            <v>TERRIFIC HITTERS</v>
          </cell>
          <cell r="Q1323">
            <v>1</v>
          </cell>
          <cell r="R1323">
            <v>222</v>
          </cell>
          <cell r="U1323">
            <v>43922</v>
          </cell>
        </row>
        <row r="1324">
          <cell r="B1324" t="str">
            <v>Nur</v>
          </cell>
          <cell r="C1324">
            <v>7</v>
          </cell>
          <cell r="D1324">
            <v>220</v>
          </cell>
          <cell r="E1324">
            <v>10</v>
          </cell>
          <cell r="F1324">
            <v>9</v>
          </cell>
          <cell r="G1324">
            <v>0</v>
          </cell>
          <cell r="H1324">
            <v>21</v>
          </cell>
          <cell r="I1324">
            <v>9</v>
          </cell>
          <cell r="M1324" t="str">
            <v>&gt;&gt;</v>
          </cell>
          <cell r="N1324" t="str">
            <v>Nur Muhammad</v>
          </cell>
          <cell r="O1324" t="str">
            <v>FWIN-3</v>
          </cell>
          <cell r="P1324" t="str">
            <v>TERRIFIC HITTERS</v>
          </cell>
          <cell r="Q1324">
            <v>1</v>
          </cell>
          <cell r="R1324">
            <v>222</v>
          </cell>
          <cell r="U1324">
            <v>43922</v>
          </cell>
          <cell r="V1324">
            <v>1</v>
          </cell>
        </row>
        <row r="1325">
          <cell r="B1325" t="str">
            <v>Ariful</v>
          </cell>
          <cell r="C1325">
            <v>7</v>
          </cell>
          <cell r="D1325">
            <v>24</v>
          </cell>
          <cell r="E1325">
            <v>1</v>
          </cell>
          <cell r="F1325">
            <v>8</v>
          </cell>
          <cell r="G1325">
            <v>1</v>
          </cell>
          <cell r="H1325">
            <v>1</v>
          </cell>
          <cell r="I1325">
            <v>3</v>
          </cell>
          <cell r="M1325" t="str">
            <v>&gt;&gt;</v>
          </cell>
          <cell r="N1325" t="str">
            <v>Ahammed Ariful Haq</v>
          </cell>
          <cell r="O1325" t="str">
            <v>FWIN-3</v>
          </cell>
          <cell r="P1325" t="str">
            <v>TERRIFIC HITTERS</v>
          </cell>
          <cell r="Q1325">
            <v>1</v>
          </cell>
          <cell r="R1325">
            <v>222</v>
          </cell>
          <cell r="U1325">
            <v>43922</v>
          </cell>
        </row>
        <row r="1326">
          <cell r="B1326" t="str">
            <v>Shovon</v>
          </cell>
          <cell r="C1326">
            <v>7</v>
          </cell>
          <cell r="D1326">
            <v>2</v>
          </cell>
          <cell r="E1326">
            <v>7</v>
          </cell>
          <cell r="F1326">
            <v>5</v>
          </cell>
          <cell r="G1326">
            <v>0</v>
          </cell>
          <cell r="H1326">
            <v>0</v>
          </cell>
          <cell r="I1326">
            <v>0</v>
          </cell>
          <cell r="M1326" t="str">
            <v>&gt;&gt;</v>
          </cell>
          <cell r="N1326" t="str">
            <v>Shahriar Khan Shovon</v>
          </cell>
          <cell r="O1326" t="str">
            <v>FWIN-3</v>
          </cell>
          <cell r="P1326" t="str">
            <v>TERRIFIC HITTERS</v>
          </cell>
          <cell r="Q1326">
            <v>1</v>
          </cell>
          <cell r="R1326">
            <v>222</v>
          </cell>
          <cell r="U1326">
            <v>43922</v>
          </cell>
        </row>
        <row r="1327">
          <cell r="B1327" t="str">
            <v>FCL KINGS</v>
          </cell>
          <cell r="M1327" t="str">
            <v>&gt;&gt;</v>
          </cell>
          <cell r="N1327" t="str">
            <v/>
          </cell>
          <cell r="O1327" t="str">
            <v>FWIN-3</v>
          </cell>
          <cell r="P1327" t="str">
            <v>FCL KINGS</v>
          </cell>
          <cell r="Q1327">
            <v>1</v>
          </cell>
          <cell r="R1327">
            <v>223</v>
          </cell>
          <cell r="U1327">
            <v>43922</v>
          </cell>
        </row>
        <row r="1328">
          <cell r="B1328" t="str">
            <v>Tarek</v>
          </cell>
          <cell r="C1328">
            <v>6</v>
          </cell>
          <cell r="D1328">
            <v>131</v>
          </cell>
          <cell r="E1328">
            <v>1</v>
          </cell>
          <cell r="F1328">
            <v>7</v>
          </cell>
          <cell r="G1328">
            <v>1</v>
          </cell>
          <cell r="H1328">
            <v>6</v>
          </cell>
          <cell r="I1328">
            <v>12</v>
          </cell>
          <cell r="M1328" t="str">
            <v>&gt;&gt;</v>
          </cell>
          <cell r="N1328" t="str">
            <v>Prince Tarek</v>
          </cell>
          <cell r="O1328" t="str">
            <v>FWIN-3</v>
          </cell>
          <cell r="P1328" t="str">
            <v>FCL KINGS</v>
          </cell>
          <cell r="Q1328">
            <v>1</v>
          </cell>
          <cell r="R1328">
            <v>223</v>
          </cell>
          <cell r="U1328">
            <v>43922</v>
          </cell>
        </row>
        <row r="1329">
          <cell r="B1329" t="str">
            <v>Saaj</v>
          </cell>
          <cell r="C1329">
            <v>7</v>
          </cell>
          <cell r="D1329">
            <v>182</v>
          </cell>
          <cell r="E1329">
            <v>5</v>
          </cell>
          <cell r="F1329">
            <v>11</v>
          </cell>
          <cell r="G1329">
            <v>1</v>
          </cell>
          <cell r="H1329">
            <v>10</v>
          </cell>
          <cell r="I1329">
            <v>13</v>
          </cell>
          <cell r="M1329" t="str">
            <v>&gt;&gt;</v>
          </cell>
          <cell r="N1329" t="str">
            <v>AB Saaj</v>
          </cell>
          <cell r="O1329" t="str">
            <v>FWIN-3</v>
          </cell>
          <cell r="P1329" t="str">
            <v>FCL KINGS</v>
          </cell>
          <cell r="Q1329">
            <v>1</v>
          </cell>
          <cell r="R1329">
            <v>223</v>
          </cell>
          <cell r="U1329">
            <v>43922</v>
          </cell>
        </row>
        <row r="1330">
          <cell r="B1330" t="str">
            <v>Tonmoy</v>
          </cell>
          <cell r="C1330">
            <v>6</v>
          </cell>
          <cell r="D1330">
            <v>9</v>
          </cell>
          <cell r="E1330">
            <v>3</v>
          </cell>
          <cell r="F1330">
            <v>7</v>
          </cell>
          <cell r="G1330">
            <v>0</v>
          </cell>
          <cell r="H1330">
            <v>1</v>
          </cell>
          <cell r="I1330">
            <v>0</v>
          </cell>
          <cell r="M1330" t="str">
            <v>&gt;&gt;</v>
          </cell>
          <cell r="N1330" t="str">
            <v>Asik Hassan Tonmoy</v>
          </cell>
          <cell r="O1330" t="str">
            <v>FWIN-3</v>
          </cell>
          <cell r="P1330" t="str">
            <v>FCL KINGS</v>
          </cell>
          <cell r="Q1330">
            <v>1</v>
          </cell>
          <cell r="R1330">
            <v>223</v>
          </cell>
          <cell r="U1330">
            <v>43922</v>
          </cell>
        </row>
        <row r="1331">
          <cell r="B1331" t="str">
            <v>Shakil</v>
          </cell>
          <cell r="C1331">
            <v>7</v>
          </cell>
          <cell r="D1331">
            <v>33</v>
          </cell>
          <cell r="E1331">
            <v>6</v>
          </cell>
          <cell r="F1331">
            <v>10</v>
          </cell>
          <cell r="G1331">
            <v>1</v>
          </cell>
          <cell r="H1331">
            <v>4</v>
          </cell>
          <cell r="I1331">
            <v>2</v>
          </cell>
          <cell r="M1331" t="str">
            <v>&gt;&gt;</v>
          </cell>
          <cell r="N1331" t="str">
            <v>M R Shakil</v>
          </cell>
          <cell r="O1331" t="str">
            <v>FWIN-3</v>
          </cell>
          <cell r="P1331" t="str">
            <v>FCL KINGS</v>
          </cell>
          <cell r="Q1331">
            <v>1</v>
          </cell>
          <cell r="R1331">
            <v>223</v>
          </cell>
          <cell r="U1331">
            <v>43922</v>
          </cell>
        </row>
        <row r="1332">
          <cell r="B1332" t="str">
            <v>Ab Mamun</v>
          </cell>
          <cell r="C1332">
            <v>5</v>
          </cell>
          <cell r="D1332">
            <v>12</v>
          </cell>
          <cell r="E1332">
            <v>9</v>
          </cell>
          <cell r="F1332">
            <v>4</v>
          </cell>
          <cell r="G1332">
            <v>0</v>
          </cell>
          <cell r="H1332">
            <v>2</v>
          </cell>
          <cell r="I1332">
            <v>0</v>
          </cell>
          <cell r="M1332" t="str">
            <v>&gt;&gt;</v>
          </cell>
          <cell r="N1332" t="str">
            <v>Abdullah Al Mamun</v>
          </cell>
          <cell r="O1332" t="str">
            <v>FWIN-3</v>
          </cell>
          <cell r="P1332" t="str">
            <v>FCL KINGS</v>
          </cell>
          <cell r="Q1332">
            <v>1</v>
          </cell>
          <cell r="R1332">
            <v>223</v>
          </cell>
          <cell r="U1332">
            <v>43922</v>
          </cell>
        </row>
        <row r="1333">
          <cell r="B1333" t="str">
            <v>OLD IS GOLD</v>
          </cell>
          <cell r="M1333" t="str">
            <v>&gt;&gt;</v>
          </cell>
          <cell r="N1333" t="str">
            <v/>
          </cell>
          <cell r="O1333" t="str">
            <v>FWIN-3</v>
          </cell>
          <cell r="P1333" t="str">
            <v>OLD IS GOLD</v>
          </cell>
          <cell r="Q1333">
            <v>1</v>
          </cell>
          <cell r="R1333">
            <v>224</v>
          </cell>
          <cell r="U1333">
            <v>43922</v>
          </cell>
        </row>
        <row r="1334">
          <cell r="B1334" t="str">
            <v>Jahin</v>
          </cell>
          <cell r="C1334">
            <v>7</v>
          </cell>
          <cell r="D1334">
            <v>150</v>
          </cell>
          <cell r="E1334">
            <v>5</v>
          </cell>
          <cell r="F1334">
            <v>10</v>
          </cell>
          <cell r="G1334">
            <v>2</v>
          </cell>
          <cell r="H1334">
            <v>13</v>
          </cell>
          <cell r="I1334">
            <v>9</v>
          </cell>
          <cell r="M1334" t="str">
            <v>&gt;&gt;</v>
          </cell>
          <cell r="N1334" t="str">
            <v>Jahin Shahriar Chowdhury</v>
          </cell>
          <cell r="O1334" t="str">
            <v>FWIN-3</v>
          </cell>
          <cell r="P1334" t="str">
            <v>OLD IS GOLD</v>
          </cell>
          <cell r="Q1334">
            <v>1</v>
          </cell>
          <cell r="R1334">
            <v>224</v>
          </cell>
          <cell r="U1334">
            <v>43922</v>
          </cell>
        </row>
        <row r="1335">
          <cell r="B1335" t="str">
            <v>Sakib Sr.</v>
          </cell>
          <cell r="C1335">
            <v>7</v>
          </cell>
          <cell r="D1335">
            <v>49</v>
          </cell>
          <cell r="E1335">
            <v>10</v>
          </cell>
          <cell r="F1335">
            <v>7</v>
          </cell>
          <cell r="G1335">
            <v>1</v>
          </cell>
          <cell r="H1335">
            <v>4</v>
          </cell>
          <cell r="I1335">
            <v>3</v>
          </cell>
          <cell r="M1335" t="str">
            <v>&gt;&gt;</v>
          </cell>
          <cell r="N1335" t="str">
            <v>Ahmad Sakib Abdullah</v>
          </cell>
          <cell r="O1335" t="str">
            <v>FWIN-3</v>
          </cell>
          <cell r="P1335" t="str">
            <v>OLD IS GOLD</v>
          </cell>
          <cell r="Q1335">
            <v>1</v>
          </cell>
          <cell r="R1335">
            <v>224</v>
          </cell>
          <cell r="U1335">
            <v>43922</v>
          </cell>
        </row>
        <row r="1336">
          <cell r="B1336" t="str">
            <v>Nahid</v>
          </cell>
          <cell r="C1336">
            <v>7</v>
          </cell>
          <cell r="D1336">
            <v>73</v>
          </cell>
          <cell r="E1336">
            <v>1</v>
          </cell>
          <cell r="F1336">
            <v>7</v>
          </cell>
          <cell r="G1336">
            <v>0</v>
          </cell>
          <cell r="H1336">
            <v>10</v>
          </cell>
          <cell r="I1336">
            <v>3</v>
          </cell>
          <cell r="M1336" t="str">
            <v>&gt;&gt;</v>
          </cell>
          <cell r="N1336" t="str">
            <v>Nahid Saifullah</v>
          </cell>
          <cell r="O1336" t="str">
            <v>FWIN-3</v>
          </cell>
          <cell r="P1336" t="str">
            <v>OLD IS GOLD</v>
          </cell>
          <cell r="Q1336">
            <v>1</v>
          </cell>
          <cell r="R1336">
            <v>224</v>
          </cell>
          <cell r="U1336">
            <v>43922</v>
          </cell>
        </row>
        <row r="1337">
          <cell r="B1337" t="str">
            <v>Pranto</v>
          </cell>
          <cell r="C1337">
            <v>7</v>
          </cell>
          <cell r="D1337">
            <v>89</v>
          </cell>
          <cell r="E1337">
            <v>12</v>
          </cell>
          <cell r="F1337">
            <v>9</v>
          </cell>
          <cell r="G1337">
            <v>0</v>
          </cell>
          <cell r="H1337">
            <v>8</v>
          </cell>
          <cell r="I1337">
            <v>6</v>
          </cell>
          <cell r="J1337">
            <v>1</v>
          </cell>
          <cell r="M1337" t="str">
            <v>&gt;&gt;</v>
          </cell>
          <cell r="N1337" t="str">
            <v>Bandhon Podder Pranto</v>
          </cell>
          <cell r="O1337" t="str">
            <v>FWIN-3</v>
          </cell>
          <cell r="P1337" t="str">
            <v>OLD IS GOLD</v>
          </cell>
          <cell r="Q1337">
            <v>1</v>
          </cell>
          <cell r="R1337">
            <v>224</v>
          </cell>
          <cell r="U1337">
            <v>43922</v>
          </cell>
        </row>
        <row r="1338">
          <cell r="B1338" t="str">
            <v>Sagar</v>
          </cell>
          <cell r="C1338">
            <v>7</v>
          </cell>
          <cell r="D1338">
            <v>47</v>
          </cell>
          <cell r="E1338">
            <v>7</v>
          </cell>
          <cell r="F1338">
            <v>7</v>
          </cell>
          <cell r="G1338">
            <v>0</v>
          </cell>
          <cell r="H1338">
            <v>4</v>
          </cell>
          <cell r="I1338">
            <v>4</v>
          </cell>
          <cell r="M1338" t="str">
            <v>&gt;&gt;</v>
          </cell>
          <cell r="N1338" t="str">
            <v>Sajjadul Haque Sagar</v>
          </cell>
          <cell r="O1338" t="str">
            <v>FWIN-3</v>
          </cell>
          <cell r="P1338" t="str">
            <v>OLD IS GOLD</v>
          </cell>
          <cell r="Q1338">
            <v>1</v>
          </cell>
          <cell r="R1338">
            <v>224</v>
          </cell>
          <cell r="U1338">
            <v>43922</v>
          </cell>
        </row>
        <row r="1339">
          <cell r="B1339" t="str">
            <v>BANGLADESH TIGERS</v>
          </cell>
          <cell r="M1339" t="str">
            <v>&gt;&gt;</v>
          </cell>
          <cell r="N1339" t="str">
            <v/>
          </cell>
          <cell r="O1339" t="str">
            <v>FWIN-3</v>
          </cell>
          <cell r="P1339" t="str">
            <v>BANGLADESH TIGERS</v>
          </cell>
          <cell r="Q1339">
            <v>1</v>
          </cell>
          <cell r="R1339">
            <v>225</v>
          </cell>
          <cell r="U1339">
            <v>43922</v>
          </cell>
        </row>
        <row r="1340">
          <cell r="B1340" t="str">
            <v>Al Mamun</v>
          </cell>
          <cell r="C1340">
            <v>7</v>
          </cell>
          <cell r="D1340">
            <v>82</v>
          </cell>
          <cell r="E1340">
            <v>3</v>
          </cell>
          <cell r="F1340">
            <v>10</v>
          </cell>
          <cell r="G1340">
            <v>0</v>
          </cell>
          <cell r="H1340">
            <v>8</v>
          </cell>
          <cell r="I1340">
            <v>4</v>
          </cell>
          <cell r="M1340" t="str">
            <v>&gt;&gt;</v>
          </cell>
          <cell r="N1340" t="str">
            <v>Mohammed Al Mamun</v>
          </cell>
          <cell r="O1340" t="str">
            <v>FWIN-3</v>
          </cell>
          <cell r="P1340" t="str">
            <v>BANGLADESH TIGERS</v>
          </cell>
          <cell r="Q1340">
            <v>1</v>
          </cell>
          <cell r="R1340">
            <v>225</v>
          </cell>
          <cell r="U1340">
            <v>43922</v>
          </cell>
        </row>
        <row r="1341">
          <cell r="B1341" t="str">
            <v>Zaheed</v>
          </cell>
          <cell r="C1341">
            <v>7</v>
          </cell>
          <cell r="D1341">
            <v>111</v>
          </cell>
          <cell r="E1341">
            <v>7</v>
          </cell>
          <cell r="F1341">
            <v>10</v>
          </cell>
          <cell r="G1341">
            <v>1</v>
          </cell>
          <cell r="H1341">
            <v>12</v>
          </cell>
          <cell r="I1341">
            <v>7</v>
          </cell>
          <cell r="M1341" t="str">
            <v>&gt;&gt;</v>
          </cell>
          <cell r="N1341" t="str">
            <v>Zaheed Hasan</v>
          </cell>
          <cell r="O1341" t="str">
            <v>FWIN-3</v>
          </cell>
          <cell r="P1341" t="str">
            <v>BANGLADESH TIGERS</v>
          </cell>
          <cell r="Q1341">
            <v>1</v>
          </cell>
          <cell r="R1341">
            <v>225</v>
          </cell>
          <cell r="U1341">
            <v>43922</v>
          </cell>
        </row>
        <row r="1342">
          <cell r="B1342" t="str">
            <v>Niamul</v>
          </cell>
          <cell r="C1342">
            <v>6</v>
          </cell>
          <cell r="D1342">
            <v>55</v>
          </cell>
          <cell r="E1342">
            <v>6</v>
          </cell>
          <cell r="F1342">
            <v>6</v>
          </cell>
          <cell r="G1342">
            <v>0</v>
          </cell>
          <cell r="H1342">
            <v>6</v>
          </cell>
          <cell r="I1342">
            <v>3</v>
          </cell>
          <cell r="M1342" t="str">
            <v>&gt;&gt;</v>
          </cell>
          <cell r="N1342" t="str">
            <v>Niamul Habib Setu</v>
          </cell>
          <cell r="O1342" t="str">
            <v>FWIN-3</v>
          </cell>
          <cell r="P1342" t="str">
            <v>BANGLADESH TIGERS</v>
          </cell>
          <cell r="Q1342">
            <v>1</v>
          </cell>
          <cell r="R1342">
            <v>225</v>
          </cell>
          <cell r="U1342">
            <v>43922</v>
          </cell>
        </row>
        <row r="1343">
          <cell r="B1343" t="str">
            <v>Siyam Islam</v>
          </cell>
          <cell r="C1343">
            <v>4</v>
          </cell>
          <cell r="D1343">
            <v>6</v>
          </cell>
          <cell r="E1343">
            <v>4</v>
          </cell>
          <cell r="F1343">
            <v>4</v>
          </cell>
          <cell r="G1343">
            <v>0</v>
          </cell>
          <cell r="H1343">
            <v>0</v>
          </cell>
          <cell r="I1343">
            <v>0</v>
          </cell>
          <cell r="M1343" t="str">
            <v>&gt;&gt;</v>
          </cell>
          <cell r="N1343" t="str">
            <v>Md Siyam Islam</v>
          </cell>
          <cell r="O1343" t="str">
            <v>FWIN-3</v>
          </cell>
          <cell r="P1343" t="str">
            <v>BANGLADESH TIGERS</v>
          </cell>
          <cell r="Q1343">
            <v>1</v>
          </cell>
          <cell r="R1343">
            <v>225</v>
          </cell>
          <cell r="U1343">
            <v>43922</v>
          </cell>
        </row>
        <row r="1344">
          <cell r="B1344" t="str">
            <v>Kamil</v>
          </cell>
          <cell r="C1344">
            <v>7</v>
          </cell>
          <cell r="D1344">
            <v>165</v>
          </cell>
          <cell r="E1344">
            <v>10</v>
          </cell>
          <cell r="F1344">
            <v>11</v>
          </cell>
          <cell r="G1344">
            <v>1</v>
          </cell>
          <cell r="H1344">
            <v>15</v>
          </cell>
          <cell r="I1344">
            <v>11</v>
          </cell>
          <cell r="M1344" t="str">
            <v>&gt;&gt;</v>
          </cell>
          <cell r="N1344" t="str">
            <v>Kamil Ahmed</v>
          </cell>
          <cell r="O1344" t="str">
            <v>FWIN-3</v>
          </cell>
          <cell r="P1344" t="str">
            <v>BANGLADESH TIGERS</v>
          </cell>
          <cell r="Q1344">
            <v>1</v>
          </cell>
          <cell r="R1344">
            <v>225</v>
          </cell>
          <cell r="U1344">
            <v>43922</v>
          </cell>
        </row>
        <row r="1345">
          <cell r="B1345" t="str">
            <v>GREEN GALAXY</v>
          </cell>
          <cell r="M1345" t="str">
            <v>&gt;&gt;</v>
          </cell>
          <cell r="N1345" t="str">
            <v/>
          </cell>
          <cell r="O1345" t="str">
            <v>FWIN-3</v>
          </cell>
          <cell r="P1345" t="str">
            <v>GREEN GALAXY</v>
          </cell>
          <cell r="Q1345">
            <v>1</v>
          </cell>
          <cell r="R1345">
            <v>226</v>
          </cell>
          <cell r="U1345">
            <v>43922</v>
          </cell>
        </row>
        <row r="1346">
          <cell r="B1346" t="str">
            <v>Sumon</v>
          </cell>
          <cell r="C1346">
            <v>9</v>
          </cell>
          <cell r="D1346">
            <v>114</v>
          </cell>
          <cell r="E1346">
            <v>12</v>
          </cell>
          <cell r="F1346">
            <v>13</v>
          </cell>
          <cell r="G1346">
            <v>1</v>
          </cell>
          <cell r="H1346">
            <v>12</v>
          </cell>
          <cell r="I1346">
            <v>7</v>
          </cell>
          <cell r="M1346" t="str">
            <v>&gt;&gt;</v>
          </cell>
          <cell r="N1346" t="str">
            <v>Sumon Ab</v>
          </cell>
          <cell r="O1346" t="str">
            <v>FWIN-3</v>
          </cell>
          <cell r="P1346" t="str">
            <v>GREEN GALAXY</v>
          </cell>
          <cell r="Q1346">
            <v>1</v>
          </cell>
          <cell r="R1346">
            <v>226</v>
          </cell>
          <cell r="U1346">
            <v>43922</v>
          </cell>
        </row>
        <row r="1347">
          <cell r="B1347" t="str">
            <v>Tutul</v>
          </cell>
          <cell r="C1347">
            <v>8</v>
          </cell>
          <cell r="D1347">
            <v>115</v>
          </cell>
          <cell r="E1347">
            <v>10</v>
          </cell>
          <cell r="F1347">
            <v>9</v>
          </cell>
          <cell r="G1347">
            <v>1</v>
          </cell>
          <cell r="H1347">
            <v>10</v>
          </cell>
          <cell r="I1347">
            <v>7</v>
          </cell>
          <cell r="M1347" t="str">
            <v>&gt;&gt;</v>
          </cell>
          <cell r="N1347" t="str">
            <v>Kamrul Hasan Tutul</v>
          </cell>
          <cell r="O1347" t="str">
            <v>FWIN-3</v>
          </cell>
          <cell r="P1347" t="str">
            <v>GREEN GALAXY</v>
          </cell>
          <cell r="Q1347">
            <v>1</v>
          </cell>
          <cell r="R1347">
            <v>226</v>
          </cell>
          <cell r="U1347">
            <v>43922</v>
          </cell>
        </row>
        <row r="1348">
          <cell r="B1348" t="str">
            <v>Shishir</v>
          </cell>
          <cell r="C1348">
            <v>9</v>
          </cell>
          <cell r="D1348">
            <v>97</v>
          </cell>
          <cell r="E1348">
            <v>15</v>
          </cell>
          <cell r="F1348">
            <v>10</v>
          </cell>
          <cell r="G1348">
            <v>2</v>
          </cell>
          <cell r="H1348">
            <v>5</v>
          </cell>
          <cell r="I1348">
            <v>9</v>
          </cell>
          <cell r="J1348">
            <v>1</v>
          </cell>
          <cell r="M1348" t="str">
            <v>&gt;&gt;</v>
          </cell>
          <cell r="N1348" t="str">
            <v>ShiShir Hossain</v>
          </cell>
          <cell r="O1348" t="str">
            <v>FWIN-3</v>
          </cell>
          <cell r="P1348" t="str">
            <v>GREEN GALAXY</v>
          </cell>
          <cell r="Q1348">
            <v>1</v>
          </cell>
          <cell r="R1348">
            <v>226</v>
          </cell>
          <cell r="U1348">
            <v>43922</v>
          </cell>
        </row>
        <row r="1349">
          <cell r="B1349" t="str">
            <v>Joy</v>
          </cell>
          <cell r="C1349">
            <v>6</v>
          </cell>
          <cell r="D1349">
            <v>46</v>
          </cell>
          <cell r="E1349">
            <v>4</v>
          </cell>
          <cell r="F1349">
            <v>6</v>
          </cell>
          <cell r="G1349">
            <v>0</v>
          </cell>
          <cell r="H1349">
            <v>3</v>
          </cell>
          <cell r="I1349">
            <v>3</v>
          </cell>
          <cell r="M1349" t="str">
            <v>&gt;&gt;</v>
          </cell>
          <cell r="N1349" t="str">
            <v>Mehedi Hasan Joy</v>
          </cell>
          <cell r="O1349" t="str">
            <v>FWIN-3</v>
          </cell>
          <cell r="P1349" t="str">
            <v>GREEN GALAXY</v>
          </cell>
          <cell r="Q1349">
            <v>1</v>
          </cell>
          <cell r="R1349">
            <v>226</v>
          </cell>
          <cell r="U1349">
            <v>43922</v>
          </cell>
        </row>
        <row r="1350">
          <cell r="B1350" t="str">
            <v>Ruhin</v>
          </cell>
          <cell r="C1350">
            <v>9</v>
          </cell>
          <cell r="D1350">
            <v>73</v>
          </cell>
          <cell r="E1350">
            <v>3</v>
          </cell>
          <cell r="F1350">
            <v>9</v>
          </cell>
          <cell r="G1350">
            <v>1</v>
          </cell>
          <cell r="H1350">
            <v>6</v>
          </cell>
          <cell r="I1350">
            <v>1</v>
          </cell>
          <cell r="M1350" t="str">
            <v>&gt;&gt;</v>
          </cell>
          <cell r="N1350" t="str">
            <v>Md. Ruhin</v>
          </cell>
          <cell r="O1350" t="str">
            <v>FWIN-3</v>
          </cell>
          <cell r="P1350" t="str">
            <v>GREEN GALAXY</v>
          </cell>
          <cell r="Q1350">
            <v>1</v>
          </cell>
          <cell r="R1350">
            <v>226</v>
          </cell>
          <cell r="U1350">
            <v>43922</v>
          </cell>
        </row>
        <row r="1351">
          <cell r="B1351" t="str">
            <v>CONFIDENT BOYS</v>
          </cell>
          <cell r="M1351" t="str">
            <v>&gt;&gt;</v>
          </cell>
          <cell r="N1351" t="str">
            <v/>
          </cell>
          <cell r="O1351" t="str">
            <v>FFC-2</v>
          </cell>
          <cell r="P1351" t="str">
            <v>CONFIDENT BOYS</v>
          </cell>
          <cell r="Q1351">
            <v>1</v>
          </cell>
          <cell r="R1351">
            <v>227</v>
          </cell>
          <cell r="U1351">
            <v>43952</v>
          </cell>
        </row>
        <row r="1352">
          <cell r="B1352" t="str">
            <v>Akash</v>
          </cell>
          <cell r="C1352">
            <v>5</v>
          </cell>
          <cell r="D1352">
            <v>126</v>
          </cell>
          <cell r="E1352">
            <v>2</v>
          </cell>
          <cell r="F1352">
            <v>9</v>
          </cell>
          <cell r="G1352">
            <v>2</v>
          </cell>
          <cell r="H1352">
            <v>7</v>
          </cell>
          <cell r="I1352">
            <v>8</v>
          </cell>
          <cell r="M1352" t="str">
            <v>&gt;&gt;</v>
          </cell>
          <cell r="N1352" t="str">
            <v>Mahbubur Rahman Akash</v>
          </cell>
          <cell r="O1352" t="str">
            <v>FFC-2</v>
          </cell>
          <cell r="P1352" t="str">
            <v>CONFIDENT BOYS</v>
          </cell>
          <cell r="Q1352">
            <v>1</v>
          </cell>
          <cell r="R1352">
            <v>227</v>
          </cell>
          <cell r="U1352">
            <v>43952</v>
          </cell>
        </row>
        <row r="1353">
          <cell r="B1353" t="str">
            <v>Kamal</v>
          </cell>
          <cell r="C1353">
            <v>5</v>
          </cell>
          <cell r="D1353">
            <v>91</v>
          </cell>
          <cell r="E1353">
            <v>11</v>
          </cell>
          <cell r="F1353">
            <v>9</v>
          </cell>
          <cell r="G1353">
            <v>2</v>
          </cell>
          <cell r="H1353">
            <v>6</v>
          </cell>
          <cell r="I1353">
            <v>3</v>
          </cell>
          <cell r="J1353">
            <v>1</v>
          </cell>
          <cell r="M1353" t="str">
            <v>&gt;&gt;</v>
          </cell>
          <cell r="N1353" t="str">
            <v>MD Kamal Hossain Kamal</v>
          </cell>
          <cell r="O1353" t="str">
            <v>FFC-2</v>
          </cell>
          <cell r="P1353" t="str">
            <v>CONFIDENT BOYS</v>
          </cell>
          <cell r="Q1353">
            <v>1</v>
          </cell>
          <cell r="R1353">
            <v>227</v>
          </cell>
          <cell r="U1353">
            <v>43952</v>
          </cell>
        </row>
        <row r="1354">
          <cell r="B1354" t="str">
            <v>Ruhin</v>
          </cell>
          <cell r="C1354">
            <v>3</v>
          </cell>
          <cell r="D1354">
            <v>4</v>
          </cell>
          <cell r="E1354">
            <v>3</v>
          </cell>
          <cell r="F1354">
            <v>3</v>
          </cell>
          <cell r="G1354">
            <v>0</v>
          </cell>
          <cell r="H1354">
            <v>0</v>
          </cell>
          <cell r="I1354">
            <v>0</v>
          </cell>
          <cell r="M1354" t="str">
            <v>&gt;&gt;</v>
          </cell>
          <cell r="N1354" t="str">
            <v>Md. Ruhin</v>
          </cell>
          <cell r="O1354" t="str">
            <v>FFC-2</v>
          </cell>
          <cell r="P1354" t="str">
            <v>CONFIDENT BOYS</v>
          </cell>
          <cell r="Q1354">
            <v>1</v>
          </cell>
          <cell r="R1354">
            <v>227</v>
          </cell>
          <cell r="U1354">
            <v>43952</v>
          </cell>
        </row>
        <row r="1355">
          <cell r="B1355" t="str">
            <v>SA Shanto</v>
          </cell>
          <cell r="C1355">
            <v>5</v>
          </cell>
          <cell r="D1355">
            <v>49</v>
          </cell>
          <cell r="E1355">
            <v>8</v>
          </cell>
          <cell r="F1355">
            <v>6</v>
          </cell>
          <cell r="G1355">
            <v>0</v>
          </cell>
          <cell r="H1355">
            <v>2</v>
          </cell>
          <cell r="I1355">
            <v>5</v>
          </cell>
          <cell r="M1355" t="str">
            <v>&gt;&gt;</v>
          </cell>
          <cell r="N1355" t="str">
            <v>Sayed Anowar Shanto</v>
          </cell>
          <cell r="O1355" t="str">
            <v>FFC-2</v>
          </cell>
          <cell r="P1355" t="str">
            <v>CONFIDENT BOYS</v>
          </cell>
          <cell r="Q1355">
            <v>1</v>
          </cell>
          <cell r="R1355">
            <v>227</v>
          </cell>
          <cell r="U1355">
            <v>43952</v>
          </cell>
        </row>
        <row r="1356">
          <cell r="B1356" t="str">
            <v>Himel</v>
          </cell>
          <cell r="C1356">
            <v>5</v>
          </cell>
          <cell r="D1356">
            <v>19</v>
          </cell>
          <cell r="E1356">
            <v>4</v>
          </cell>
          <cell r="F1356">
            <v>5</v>
          </cell>
          <cell r="G1356">
            <v>0</v>
          </cell>
          <cell r="H1356">
            <v>4</v>
          </cell>
          <cell r="I1356">
            <v>0</v>
          </cell>
          <cell r="M1356" t="str">
            <v>&gt;&gt;</v>
          </cell>
          <cell r="N1356" t="str">
            <v>Hj Himel</v>
          </cell>
          <cell r="O1356" t="str">
            <v>FFC-2</v>
          </cell>
          <cell r="P1356" t="str">
            <v>CONFIDENT BOYS</v>
          </cell>
          <cell r="Q1356">
            <v>1</v>
          </cell>
          <cell r="R1356">
            <v>227</v>
          </cell>
          <cell r="U1356">
            <v>43952</v>
          </cell>
        </row>
        <row r="1357">
          <cell r="B1357" t="str">
            <v>REMEMBER THE NAME</v>
          </cell>
          <cell r="M1357" t="str">
            <v>&gt;&gt;</v>
          </cell>
          <cell r="N1357" t="str">
            <v/>
          </cell>
          <cell r="O1357" t="str">
            <v>FFC-2</v>
          </cell>
          <cell r="P1357" t="str">
            <v>REMEMBER THE NAME</v>
          </cell>
          <cell r="Q1357">
            <v>1</v>
          </cell>
          <cell r="R1357">
            <v>228</v>
          </cell>
          <cell r="U1357">
            <v>43952</v>
          </cell>
        </row>
        <row r="1358">
          <cell r="B1358" t="str">
            <v>Jahin</v>
          </cell>
          <cell r="C1358">
            <v>5</v>
          </cell>
          <cell r="D1358">
            <v>159</v>
          </cell>
          <cell r="E1358">
            <v>6</v>
          </cell>
          <cell r="F1358">
            <v>10</v>
          </cell>
          <cell r="G1358">
            <v>3</v>
          </cell>
          <cell r="H1358">
            <v>13</v>
          </cell>
          <cell r="I1358">
            <v>4</v>
          </cell>
          <cell r="M1358" t="str">
            <v>&gt;&gt;</v>
          </cell>
          <cell r="N1358" t="str">
            <v>Jahin Shahriar Chowdhury</v>
          </cell>
          <cell r="O1358" t="str">
            <v>FFC-2</v>
          </cell>
          <cell r="P1358" t="str">
            <v>REMEMBER THE NAME</v>
          </cell>
          <cell r="Q1358">
            <v>1</v>
          </cell>
          <cell r="R1358">
            <v>228</v>
          </cell>
          <cell r="U1358">
            <v>43952</v>
          </cell>
        </row>
        <row r="1359">
          <cell r="B1359" t="str">
            <v>Asif</v>
          </cell>
          <cell r="C1359">
            <v>5</v>
          </cell>
          <cell r="D1359">
            <v>46</v>
          </cell>
          <cell r="E1359">
            <v>5</v>
          </cell>
          <cell r="F1359">
            <v>5</v>
          </cell>
          <cell r="G1359">
            <v>0</v>
          </cell>
          <cell r="H1359">
            <v>4</v>
          </cell>
          <cell r="I1359">
            <v>3</v>
          </cell>
          <cell r="M1359" t="str">
            <v>&gt;&gt;</v>
          </cell>
          <cell r="N1359" t="str">
            <v>Asif Iqbal Khan</v>
          </cell>
          <cell r="O1359" t="str">
            <v>FFC-2</v>
          </cell>
          <cell r="P1359" t="str">
            <v>REMEMBER THE NAME</v>
          </cell>
          <cell r="Q1359">
            <v>1</v>
          </cell>
          <cell r="R1359">
            <v>228</v>
          </cell>
          <cell r="U1359">
            <v>43952</v>
          </cell>
        </row>
        <row r="1360">
          <cell r="B1360" t="str">
            <v>Tonmoy</v>
          </cell>
          <cell r="C1360">
            <v>5</v>
          </cell>
          <cell r="D1360">
            <v>75</v>
          </cell>
          <cell r="E1360">
            <v>4</v>
          </cell>
          <cell r="F1360">
            <v>6</v>
          </cell>
          <cell r="G1360">
            <v>0</v>
          </cell>
          <cell r="H1360">
            <v>6</v>
          </cell>
          <cell r="I1360">
            <v>7</v>
          </cell>
          <cell r="M1360" t="str">
            <v>&gt;&gt;</v>
          </cell>
          <cell r="N1360" t="str">
            <v>Asik Hassan Tonmoy</v>
          </cell>
          <cell r="O1360" t="str">
            <v>FFC-2</v>
          </cell>
          <cell r="P1360" t="str">
            <v>REMEMBER THE NAME</v>
          </cell>
          <cell r="Q1360">
            <v>1</v>
          </cell>
          <cell r="R1360">
            <v>228</v>
          </cell>
          <cell r="U1360">
            <v>43952</v>
          </cell>
        </row>
        <row r="1361">
          <cell r="B1361" t="str">
            <v>Sajid</v>
          </cell>
          <cell r="C1361">
            <v>5</v>
          </cell>
          <cell r="D1361">
            <v>42</v>
          </cell>
          <cell r="E1361">
            <v>6</v>
          </cell>
          <cell r="F1361">
            <v>7</v>
          </cell>
          <cell r="G1361">
            <v>0</v>
          </cell>
          <cell r="H1361">
            <v>3</v>
          </cell>
          <cell r="I1361">
            <v>2</v>
          </cell>
          <cell r="M1361" t="str">
            <v>&gt;&gt;</v>
          </cell>
          <cell r="N1361" t="str">
            <v>Ahmad Sajid Abdullah</v>
          </cell>
          <cell r="O1361" t="str">
            <v>FFC-2</v>
          </cell>
          <cell r="P1361" t="str">
            <v>REMEMBER THE NAME</v>
          </cell>
          <cell r="Q1361">
            <v>1</v>
          </cell>
          <cell r="R1361">
            <v>228</v>
          </cell>
          <cell r="U1361">
            <v>43952</v>
          </cell>
        </row>
        <row r="1362">
          <cell r="B1362" t="str">
            <v>Towkir</v>
          </cell>
          <cell r="C1362">
            <v>5</v>
          </cell>
          <cell r="D1362">
            <v>35</v>
          </cell>
          <cell r="E1362">
            <v>7</v>
          </cell>
          <cell r="F1362">
            <v>5</v>
          </cell>
          <cell r="G1362">
            <v>0</v>
          </cell>
          <cell r="H1362">
            <v>3</v>
          </cell>
          <cell r="I1362">
            <v>3</v>
          </cell>
          <cell r="J1362">
            <v>1</v>
          </cell>
          <cell r="M1362" t="str">
            <v>&gt;&gt;</v>
          </cell>
          <cell r="N1362" t="str">
            <v>Towkir Ahmed Siddique</v>
          </cell>
          <cell r="O1362" t="str">
            <v>FFC-2</v>
          </cell>
          <cell r="P1362" t="str">
            <v>REMEMBER THE NAME</v>
          </cell>
          <cell r="Q1362">
            <v>1</v>
          </cell>
          <cell r="R1362">
            <v>228</v>
          </cell>
          <cell r="U1362">
            <v>43952</v>
          </cell>
        </row>
        <row r="1363">
          <cell r="B1363" t="str">
            <v>FCL DFP (RUNNER-UP)</v>
          </cell>
          <cell r="M1363" t="str">
            <v>&gt;&gt;</v>
          </cell>
          <cell r="N1363" t="str">
            <v/>
          </cell>
          <cell r="O1363" t="str">
            <v>FFC-2</v>
          </cell>
          <cell r="P1363" t="str">
            <v>FCL DFP (RUNNER-UP)</v>
          </cell>
          <cell r="Q1363">
            <v>1</v>
          </cell>
          <cell r="R1363">
            <v>229</v>
          </cell>
          <cell r="T1363" t="str">
            <v>RU</v>
          </cell>
          <cell r="U1363">
            <v>43952</v>
          </cell>
        </row>
        <row r="1364">
          <cell r="B1364" t="str">
            <v>Zaheed</v>
          </cell>
          <cell r="C1364">
            <v>8</v>
          </cell>
          <cell r="D1364">
            <v>96</v>
          </cell>
          <cell r="E1364">
            <v>9</v>
          </cell>
          <cell r="F1364">
            <v>10</v>
          </cell>
          <cell r="G1364">
            <v>1</v>
          </cell>
          <cell r="H1364">
            <v>8</v>
          </cell>
          <cell r="I1364">
            <v>6</v>
          </cell>
          <cell r="M1364" t="str">
            <v>&gt;&gt;</v>
          </cell>
          <cell r="N1364" t="str">
            <v>Zaheed Hasan</v>
          </cell>
          <cell r="O1364" t="str">
            <v>FFC-2</v>
          </cell>
          <cell r="P1364" t="str">
            <v>FCL DFP (RUNNER-UP)</v>
          </cell>
          <cell r="Q1364">
            <v>1</v>
          </cell>
          <cell r="R1364">
            <v>229</v>
          </cell>
          <cell r="T1364" t="str">
            <v>RU</v>
          </cell>
          <cell r="U1364">
            <v>43952</v>
          </cell>
        </row>
        <row r="1365">
          <cell r="B1365" t="str">
            <v>SH Shanto</v>
          </cell>
          <cell r="C1365">
            <v>8</v>
          </cell>
          <cell r="D1365">
            <v>139</v>
          </cell>
          <cell r="E1365">
            <v>13</v>
          </cell>
          <cell r="F1365">
            <v>14</v>
          </cell>
          <cell r="G1365">
            <v>1</v>
          </cell>
          <cell r="H1365">
            <v>7</v>
          </cell>
          <cell r="I1365">
            <v>12</v>
          </cell>
          <cell r="J1365">
            <v>1</v>
          </cell>
          <cell r="M1365" t="str">
            <v>&gt;&gt;</v>
          </cell>
          <cell r="N1365" t="str">
            <v>Sakhawat Hossain Shanto</v>
          </cell>
          <cell r="O1365" t="str">
            <v>FFC-2</v>
          </cell>
          <cell r="P1365" t="str">
            <v>FCL DFP (RUNNER-UP)</v>
          </cell>
          <cell r="Q1365">
            <v>1</v>
          </cell>
          <cell r="R1365">
            <v>229</v>
          </cell>
          <cell r="S1365" t="str">
            <v>CPOT</v>
          </cell>
          <cell r="T1365" t="str">
            <v>RU</v>
          </cell>
          <cell r="U1365">
            <v>43952</v>
          </cell>
        </row>
        <row r="1366">
          <cell r="B1366" t="str">
            <v>Kamil</v>
          </cell>
          <cell r="C1366">
            <v>6</v>
          </cell>
          <cell r="D1366">
            <v>84</v>
          </cell>
          <cell r="E1366">
            <v>5</v>
          </cell>
          <cell r="F1366">
            <v>8</v>
          </cell>
          <cell r="G1366">
            <v>1</v>
          </cell>
          <cell r="H1366">
            <v>9</v>
          </cell>
          <cell r="I1366">
            <v>5</v>
          </cell>
          <cell r="M1366" t="str">
            <v>&gt;&gt;</v>
          </cell>
          <cell r="N1366" t="str">
            <v>Kamil Ahmed</v>
          </cell>
          <cell r="O1366" t="str">
            <v>FFC-2</v>
          </cell>
          <cell r="P1366" t="str">
            <v>FCL DFP (RUNNER-UP)</v>
          </cell>
          <cell r="Q1366">
            <v>1</v>
          </cell>
          <cell r="R1366">
            <v>229</v>
          </cell>
          <cell r="T1366" t="str">
            <v>RU</v>
          </cell>
          <cell r="U1366">
            <v>43952</v>
          </cell>
        </row>
        <row r="1367">
          <cell r="B1367" t="str">
            <v>Rexx</v>
          </cell>
          <cell r="C1367">
            <v>7</v>
          </cell>
          <cell r="D1367">
            <v>141</v>
          </cell>
          <cell r="E1367">
            <v>8</v>
          </cell>
          <cell r="F1367">
            <v>11</v>
          </cell>
          <cell r="G1367">
            <v>0</v>
          </cell>
          <cell r="H1367">
            <v>12</v>
          </cell>
          <cell r="I1367">
            <v>7</v>
          </cell>
          <cell r="M1367" t="str">
            <v>&gt;&gt;</v>
          </cell>
          <cell r="N1367" t="str">
            <v>Bishwajit Sarkar</v>
          </cell>
          <cell r="O1367" t="str">
            <v>FFC-2</v>
          </cell>
          <cell r="P1367" t="str">
            <v>FCL DFP (RUNNER-UP)</v>
          </cell>
          <cell r="Q1367">
            <v>1</v>
          </cell>
          <cell r="R1367">
            <v>229</v>
          </cell>
          <cell r="T1367" t="str">
            <v>RU</v>
          </cell>
          <cell r="U1367">
            <v>43952</v>
          </cell>
        </row>
        <row r="1368">
          <cell r="B1368" t="str">
            <v>Samiul</v>
          </cell>
          <cell r="C1368">
            <v>8</v>
          </cell>
          <cell r="D1368">
            <v>78</v>
          </cell>
          <cell r="E1368">
            <v>7</v>
          </cell>
          <cell r="F1368">
            <v>8</v>
          </cell>
          <cell r="G1368">
            <v>0</v>
          </cell>
          <cell r="H1368">
            <v>3</v>
          </cell>
          <cell r="I1368">
            <v>6</v>
          </cell>
          <cell r="M1368" t="str">
            <v>&gt;&gt;</v>
          </cell>
          <cell r="N1368" t="str">
            <v>Samilul Khan</v>
          </cell>
          <cell r="O1368" t="str">
            <v>FFC-2</v>
          </cell>
          <cell r="P1368" t="str">
            <v>FCL DFP (RUNNER-UP)</v>
          </cell>
          <cell r="Q1368">
            <v>1</v>
          </cell>
          <cell r="R1368">
            <v>229</v>
          </cell>
          <cell r="T1368" t="str">
            <v>RU</v>
          </cell>
          <cell r="U1368">
            <v>43952</v>
          </cell>
        </row>
        <row r="1369">
          <cell r="B1369" t="str">
            <v>FIERCE WARRIORS (CHAMPION)</v>
          </cell>
          <cell r="M1369" t="str">
            <v>&gt;&gt;</v>
          </cell>
          <cell r="N1369" t="str">
            <v/>
          </cell>
          <cell r="O1369" t="str">
            <v>FFC-2</v>
          </cell>
          <cell r="P1369" t="str">
            <v>FIERCE WARRIORS (CHAMPION)</v>
          </cell>
          <cell r="Q1369">
            <v>1</v>
          </cell>
          <cell r="R1369">
            <v>230</v>
          </cell>
          <cell r="T1369" t="str">
            <v>CHAMP</v>
          </cell>
          <cell r="U1369">
            <v>43952</v>
          </cell>
        </row>
        <row r="1370">
          <cell r="B1370" t="str">
            <v>Sadrul</v>
          </cell>
          <cell r="C1370">
            <v>8</v>
          </cell>
          <cell r="D1370">
            <v>132</v>
          </cell>
          <cell r="E1370">
            <v>9</v>
          </cell>
          <cell r="F1370">
            <v>7</v>
          </cell>
          <cell r="G1370">
            <v>2</v>
          </cell>
          <cell r="H1370">
            <v>13</v>
          </cell>
          <cell r="I1370">
            <v>11</v>
          </cell>
          <cell r="M1370" t="str">
            <v>&gt;&gt;</v>
          </cell>
          <cell r="N1370" t="str">
            <v>Sadrul Anam</v>
          </cell>
          <cell r="O1370" t="str">
            <v>FFC-2</v>
          </cell>
          <cell r="P1370" t="str">
            <v>FIERCE WARRIORS (CHAMPION)</v>
          </cell>
          <cell r="Q1370">
            <v>1</v>
          </cell>
          <cell r="R1370">
            <v>230</v>
          </cell>
          <cell r="T1370" t="str">
            <v>CHAMP</v>
          </cell>
          <cell r="U1370">
            <v>43952</v>
          </cell>
        </row>
        <row r="1371">
          <cell r="B1371" t="str">
            <v>Tarek</v>
          </cell>
          <cell r="C1371">
            <v>8</v>
          </cell>
          <cell r="D1371">
            <v>133</v>
          </cell>
          <cell r="E1371">
            <v>14</v>
          </cell>
          <cell r="F1371">
            <v>9</v>
          </cell>
          <cell r="G1371">
            <v>2</v>
          </cell>
          <cell r="H1371">
            <v>11</v>
          </cell>
          <cell r="I1371">
            <v>8</v>
          </cell>
          <cell r="J1371">
            <v>1</v>
          </cell>
          <cell r="M1371" t="str">
            <v>&gt;&gt;</v>
          </cell>
          <cell r="N1371" t="str">
            <v>Prince Tarek</v>
          </cell>
          <cell r="O1371" t="str">
            <v>FFC-2</v>
          </cell>
          <cell r="P1371" t="str">
            <v>FIERCE WARRIORS (CHAMPION)</v>
          </cell>
          <cell r="Q1371">
            <v>1</v>
          </cell>
          <cell r="R1371">
            <v>230</v>
          </cell>
          <cell r="T1371" t="str">
            <v>CHAMP</v>
          </cell>
          <cell r="U1371">
            <v>43952</v>
          </cell>
        </row>
        <row r="1372">
          <cell r="B1372" t="str">
            <v>Shovon</v>
          </cell>
          <cell r="C1372">
            <v>8</v>
          </cell>
          <cell r="D1372">
            <v>119</v>
          </cell>
          <cell r="E1372">
            <v>16</v>
          </cell>
          <cell r="F1372">
            <v>10</v>
          </cell>
          <cell r="G1372">
            <v>2</v>
          </cell>
          <cell r="H1372">
            <v>11</v>
          </cell>
          <cell r="I1372">
            <v>11</v>
          </cell>
          <cell r="J1372">
            <v>1</v>
          </cell>
          <cell r="M1372" t="str">
            <v>&gt;&gt;</v>
          </cell>
          <cell r="N1372" t="str">
            <v>Shahriar Khan Shovon</v>
          </cell>
          <cell r="O1372" t="str">
            <v>FFC-2</v>
          </cell>
          <cell r="P1372" t="str">
            <v>FIERCE WARRIORS (CHAMPION)</v>
          </cell>
          <cell r="Q1372">
            <v>1</v>
          </cell>
          <cell r="R1372">
            <v>230</v>
          </cell>
          <cell r="S1372" t="str">
            <v>MOT</v>
          </cell>
          <cell r="T1372" t="str">
            <v>CHAMP</v>
          </cell>
          <cell r="U1372">
            <v>43952</v>
          </cell>
        </row>
        <row r="1373">
          <cell r="B1373" t="str">
            <v>Sakif</v>
          </cell>
          <cell r="C1373">
            <v>8</v>
          </cell>
          <cell r="D1373">
            <v>145</v>
          </cell>
          <cell r="E1373">
            <v>1</v>
          </cell>
          <cell r="F1373">
            <v>9</v>
          </cell>
          <cell r="G1373">
            <v>0</v>
          </cell>
          <cell r="H1373">
            <v>7</v>
          </cell>
          <cell r="I1373">
            <v>9</v>
          </cell>
          <cell r="M1373" t="str">
            <v>&gt;&gt;</v>
          </cell>
          <cell r="N1373" t="str">
            <v>Sakif Rahaman</v>
          </cell>
          <cell r="O1373" t="str">
            <v>FFC-2</v>
          </cell>
          <cell r="P1373" t="str">
            <v>FIERCE WARRIORS (CHAMPION)</v>
          </cell>
          <cell r="Q1373">
            <v>1</v>
          </cell>
          <cell r="R1373">
            <v>230</v>
          </cell>
          <cell r="T1373" t="str">
            <v>CHAMP</v>
          </cell>
          <cell r="U1373">
            <v>43952</v>
          </cell>
        </row>
        <row r="1374">
          <cell r="B1374" t="str">
            <v>Ayan</v>
          </cell>
          <cell r="C1374">
            <v>7</v>
          </cell>
          <cell r="D1374">
            <v>61</v>
          </cell>
          <cell r="E1374">
            <v>11</v>
          </cell>
          <cell r="F1374">
            <v>7</v>
          </cell>
          <cell r="G1374">
            <v>0</v>
          </cell>
          <cell r="H1374">
            <v>3</v>
          </cell>
          <cell r="I1374">
            <v>4</v>
          </cell>
          <cell r="M1374" t="str">
            <v>&gt;&gt;</v>
          </cell>
          <cell r="N1374" t="str">
            <v>Md. Tanveer Mahmud Ayan</v>
          </cell>
          <cell r="O1374" t="str">
            <v>FFC-2</v>
          </cell>
          <cell r="P1374" t="str">
            <v>FIERCE WARRIORS (CHAMPION)</v>
          </cell>
          <cell r="Q1374">
            <v>1</v>
          </cell>
          <cell r="R1374">
            <v>230</v>
          </cell>
          <cell r="T1374" t="str">
            <v>CHAMP</v>
          </cell>
          <cell r="U1374">
            <v>43952</v>
          </cell>
        </row>
        <row r="1375">
          <cell r="B1375" t="str">
            <v>FLYING BIRDS</v>
          </cell>
          <cell r="M1375" t="str">
            <v>&gt;&gt;</v>
          </cell>
          <cell r="N1375" t="str">
            <v/>
          </cell>
          <cell r="O1375" t="str">
            <v>FFC-2</v>
          </cell>
          <cell r="P1375" t="str">
            <v>FLYING BIRDS</v>
          </cell>
          <cell r="Q1375">
            <v>1</v>
          </cell>
          <cell r="R1375">
            <v>231</v>
          </cell>
          <cell r="U1375">
            <v>43952</v>
          </cell>
        </row>
        <row r="1376">
          <cell r="B1376" t="str">
            <v>Nur</v>
          </cell>
          <cell r="C1376">
            <v>7</v>
          </cell>
          <cell r="D1376">
            <v>185</v>
          </cell>
          <cell r="E1376">
            <v>13</v>
          </cell>
          <cell r="F1376">
            <v>10</v>
          </cell>
          <cell r="G1376">
            <v>2</v>
          </cell>
          <cell r="H1376">
            <v>17</v>
          </cell>
          <cell r="I1376">
            <v>13</v>
          </cell>
          <cell r="M1376" t="str">
            <v>&gt;&gt;</v>
          </cell>
          <cell r="N1376" t="str">
            <v>Nur Muhammad</v>
          </cell>
          <cell r="O1376" t="str">
            <v>FFC-2</v>
          </cell>
          <cell r="P1376" t="str">
            <v>FLYING BIRDS</v>
          </cell>
          <cell r="Q1376">
            <v>1</v>
          </cell>
          <cell r="R1376">
            <v>231</v>
          </cell>
          <cell r="U1376">
            <v>43952</v>
          </cell>
          <cell r="V1376">
            <v>1</v>
          </cell>
        </row>
        <row r="1377">
          <cell r="B1377" t="str">
            <v>Saaj</v>
          </cell>
          <cell r="C1377">
            <v>7</v>
          </cell>
          <cell r="D1377">
            <v>101</v>
          </cell>
          <cell r="E1377">
            <v>11</v>
          </cell>
          <cell r="F1377">
            <v>10</v>
          </cell>
          <cell r="G1377">
            <v>0</v>
          </cell>
          <cell r="H1377">
            <v>9</v>
          </cell>
          <cell r="I1377">
            <v>5</v>
          </cell>
          <cell r="M1377" t="str">
            <v>&gt;&gt;</v>
          </cell>
          <cell r="N1377" t="str">
            <v>AB Saaj</v>
          </cell>
          <cell r="O1377" t="str">
            <v>FFC-2</v>
          </cell>
          <cell r="P1377" t="str">
            <v>FLYING BIRDS</v>
          </cell>
          <cell r="Q1377">
            <v>1</v>
          </cell>
          <cell r="R1377">
            <v>231</v>
          </cell>
          <cell r="U1377">
            <v>43952</v>
          </cell>
        </row>
        <row r="1378">
          <cell r="B1378" t="str">
            <v>Niamul</v>
          </cell>
          <cell r="C1378">
            <v>7</v>
          </cell>
          <cell r="D1378">
            <v>42</v>
          </cell>
          <cell r="E1378">
            <v>9</v>
          </cell>
          <cell r="F1378">
            <v>6</v>
          </cell>
          <cell r="G1378">
            <v>1</v>
          </cell>
          <cell r="H1378">
            <v>6</v>
          </cell>
          <cell r="I1378">
            <v>1</v>
          </cell>
          <cell r="M1378" t="str">
            <v>&gt;&gt;</v>
          </cell>
          <cell r="N1378" t="str">
            <v>Niamul Habib Setu</v>
          </cell>
          <cell r="O1378" t="str">
            <v>FFC-2</v>
          </cell>
          <cell r="P1378" t="str">
            <v>FLYING BIRDS</v>
          </cell>
          <cell r="Q1378">
            <v>1</v>
          </cell>
          <cell r="R1378">
            <v>231</v>
          </cell>
          <cell r="U1378">
            <v>43952</v>
          </cell>
        </row>
        <row r="1379">
          <cell r="B1379" t="str">
            <v>Shakil</v>
          </cell>
          <cell r="C1379">
            <v>7</v>
          </cell>
          <cell r="D1379">
            <v>11</v>
          </cell>
          <cell r="E1379">
            <v>5</v>
          </cell>
          <cell r="F1379">
            <v>6</v>
          </cell>
          <cell r="G1379">
            <v>0</v>
          </cell>
          <cell r="H1379">
            <v>1</v>
          </cell>
          <cell r="I1379">
            <v>0</v>
          </cell>
          <cell r="M1379" t="str">
            <v>&gt;&gt;</v>
          </cell>
          <cell r="N1379" t="str">
            <v>M R Shakil</v>
          </cell>
          <cell r="O1379" t="str">
            <v>FFC-2</v>
          </cell>
          <cell r="P1379" t="str">
            <v>FLYING BIRDS</v>
          </cell>
          <cell r="Q1379">
            <v>1</v>
          </cell>
          <cell r="R1379">
            <v>231</v>
          </cell>
          <cell r="U1379">
            <v>43952</v>
          </cell>
        </row>
        <row r="1380">
          <cell r="B1380" t="str">
            <v>Mithu</v>
          </cell>
          <cell r="C1380">
            <v>7</v>
          </cell>
          <cell r="D1380">
            <v>83</v>
          </cell>
          <cell r="E1380">
            <v>5</v>
          </cell>
          <cell r="F1380">
            <v>7</v>
          </cell>
          <cell r="G1380">
            <v>1</v>
          </cell>
          <cell r="H1380">
            <v>5</v>
          </cell>
          <cell r="I1380">
            <v>5</v>
          </cell>
          <cell r="M1380" t="str">
            <v>&gt;&gt;</v>
          </cell>
          <cell r="N1380" t="str">
            <v>Mostafizur Rahman Mithu</v>
          </cell>
          <cell r="O1380" t="str">
            <v>FFC-2</v>
          </cell>
          <cell r="P1380" t="str">
            <v>FLYING BIRDS</v>
          </cell>
          <cell r="Q1380">
            <v>1</v>
          </cell>
          <cell r="R1380">
            <v>231</v>
          </cell>
          <cell r="U1380">
            <v>43952</v>
          </cell>
        </row>
        <row r="1381">
          <cell r="B1381" t="str">
            <v>NETA EXPRESS</v>
          </cell>
          <cell r="M1381" t="str">
            <v>&gt;&gt;</v>
          </cell>
          <cell r="N1381" t="str">
            <v/>
          </cell>
          <cell r="O1381" t="str">
            <v>FFC-2</v>
          </cell>
          <cell r="P1381" t="str">
            <v>NETA EXPRESS</v>
          </cell>
          <cell r="Q1381">
            <v>1</v>
          </cell>
          <cell r="R1381">
            <v>232</v>
          </cell>
          <cell r="U1381">
            <v>43952</v>
          </cell>
        </row>
        <row r="1382">
          <cell r="B1382" t="str">
            <v>Jhony</v>
          </cell>
          <cell r="C1382">
            <v>6</v>
          </cell>
          <cell r="D1382">
            <v>109</v>
          </cell>
          <cell r="E1382">
            <v>19</v>
          </cell>
          <cell r="F1382">
            <v>7</v>
          </cell>
          <cell r="G1382">
            <v>1</v>
          </cell>
          <cell r="H1382">
            <v>12</v>
          </cell>
          <cell r="I1382">
            <v>8</v>
          </cell>
          <cell r="M1382" t="str">
            <v>&gt;&gt;</v>
          </cell>
          <cell r="N1382" t="str">
            <v>Faisal Ahmed Jhony</v>
          </cell>
          <cell r="O1382" t="str">
            <v>FFC-2</v>
          </cell>
          <cell r="P1382" t="str">
            <v>NETA EXPRESS</v>
          </cell>
          <cell r="Q1382">
            <v>1</v>
          </cell>
          <cell r="R1382">
            <v>232</v>
          </cell>
          <cell r="U1382">
            <v>43952</v>
          </cell>
          <cell r="W1382">
            <v>1</v>
          </cell>
        </row>
        <row r="1383">
          <cell r="B1383" t="str">
            <v>Tofayel</v>
          </cell>
          <cell r="C1383">
            <v>6</v>
          </cell>
          <cell r="D1383">
            <v>110</v>
          </cell>
          <cell r="E1383">
            <v>6</v>
          </cell>
          <cell r="F1383">
            <v>9</v>
          </cell>
          <cell r="G1383">
            <v>2</v>
          </cell>
          <cell r="H1383">
            <v>14</v>
          </cell>
          <cell r="I1383">
            <v>3</v>
          </cell>
          <cell r="M1383" t="str">
            <v>&gt;&gt;</v>
          </cell>
          <cell r="N1383" t="str">
            <v>MD Tofayel Ahmed</v>
          </cell>
          <cell r="O1383" t="str">
            <v>FFC-2</v>
          </cell>
          <cell r="P1383" t="str">
            <v>NETA EXPRESS</v>
          </cell>
          <cell r="Q1383">
            <v>1</v>
          </cell>
          <cell r="R1383">
            <v>232</v>
          </cell>
          <cell r="U1383">
            <v>43952</v>
          </cell>
        </row>
        <row r="1384">
          <cell r="B1384" t="str">
            <v>Shohag</v>
          </cell>
          <cell r="C1384">
            <v>6</v>
          </cell>
          <cell r="D1384">
            <v>89</v>
          </cell>
          <cell r="E1384">
            <v>3</v>
          </cell>
          <cell r="F1384">
            <v>10</v>
          </cell>
          <cell r="G1384">
            <v>2</v>
          </cell>
          <cell r="H1384">
            <v>9</v>
          </cell>
          <cell r="I1384">
            <v>5</v>
          </cell>
          <cell r="M1384" t="str">
            <v>&gt;&gt;</v>
          </cell>
          <cell r="N1384" t="str">
            <v>Hetlar Shohag</v>
          </cell>
          <cell r="O1384" t="str">
            <v>FFC-2</v>
          </cell>
          <cell r="P1384" t="str">
            <v>NETA EXPRESS</v>
          </cell>
          <cell r="Q1384">
            <v>1</v>
          </cell>
          <cell r="R1384">
            <v>232</v>
          </cell>
          <cell r="U1384">
            <v>43952</v>
          </cell>
        </row>
        <row r="1385">
          <cell r="B1385" t="str">
            <v>Siyam Islam</v>
          </cell>
          <cell r="C1385">
            <v>6</v>
          </cell>
          <cell r="D1385">
            <v>94</v>
          </cell>
          <cell r="E1385">
            <v>0</v>
          </cell>
          <cell r="F1385">
            <v>6</v>
          </cell>
          <cell r="G1385">
            <v>0</v>
          </cell>
          <cell r="H1385">
            <v>8</v>
          </cell>
          <cell r="I1385">
            <v>3</v>
          </cell>
          <cell r="M1385" t="str">
            <v>&gt;&gt;</v>
          </cell>
          <cell r="N1385" t="str">
            <v>Md Siyam Islam</v>
          </cell>
          <cell r="O1385" t="str">
            <v>FFC-2</v>
          </cell>
          <cell r="P1385" t="str">
            <v>NETA EXPRESS</v>
          </cell>
          <cell r="Q1385">
            <v>1</v>
          </cell>
          <cell r="R1385">
            <v>232</v>
          </cell>
          <cell r="U1385">
            <v>43952</v>
          </cell>
        </row>
        <row r="1386">
          <cell r="B1386" t="str">
            <v>Monsur</v>
          </cell>
          <cell r="C1386">
            <v>5</v>
          </cell>
          <cell r="D1386">
            <v>57</v>
          </cell>
          <cell r="E1386">
            <v>2</v>
          </cell>
          <cell r="F1386">
            <v>6</v>
          </cell>
          <cell r="G1386">
            <v>0</v>
          </cell>
          <cell r="H1386">
            <v>8</v>
          </cell>
          <cell r="I1386">
            <v>3</v>
          </cell>
          <cell r="M1386" t="str">
            <v>&gt;&gt;</v>
          </cell>
          <cell r="N1386" t="str">
            <v>Monsur Rahman</v>
          </cell>
          <cell r="O1386" t="str">
            <v>FFC-2</v>
          </cell>
          <cell r="P1386" t="str">
            <v>NETA EXPRESS</v>
          </cell>
          <cell r="Q1386">
            <v>1</v>
          </cell>
          <cell r="R1386">
            <v>232</v>
          </cell>
          <cell r="U1386">
            <v>43952</v>
          </cell>
        </row>
        <row r="1387">
          <cell r="B1387" t="str">
            <v>RUNNERS FOR VICTORY</v>
          </cell>
          <cell r="M1387" t="str">
            <v>&gt;&gt;</v>
          </cell>
          <cell r="N1387" t="str">
            <v/>
          </cell>
          <cell r="O1387" t="str">
            <v>FFC-2</v>
          </cell>
          <cell r="P1387" t="str">
            <v>RUNNERS FOR VICTORY</v>
          </cell>
          <cell r="Q1387">
            <v>1</v>
          </cell>
          <cell r="R1387">
            <v>233</v>
          </cell>
          <cell r="U1387">
            <v>43952</v>
          </cell>
        </row>
        <row r="1388">
          <cell r="B1388" t="str">
            <v>Paul</v>
          </cell>
          <cell r="C1388">
            <v>6</v>
          </cell>
          <cell r="D1388">
            <v>39</v>
          </cell>
          <cell r="E1388">
            <v>5</v>
          </cell>
          <cell r="F1388">
            <v>7</v>
          </cell>
          <cell r="G1388">
            <v>0</v>
          </cell>
          <cell r="H1388">
            <v>7</v>
          </cell>
          <cell r="I1388">
            <v>1</v>
          </cell>
          <cell r="M1388" t="str">
            <v>&gt;&gt;</v>
          </cell>
          <cell r="N1388" t="str">
            <v>Susmoy Paul</v>
          </cell>
          <cell r="O1388" t="str">
            <v>FFC-2</v>
          </cell>
          <cell r="P1388" t="str">
            <v>RUNNERS FOR VICTORY</v>
          </cell>
          <cell r="Q1388">
            <v>1</v>
          </cell>
          <cell r="R1388">
            <v>233</v>
          </cell>
          <cell r="U1388">
            <v>43952</v>
          </cell>
        </row>
        <row r="1389">
          <cell r="B1389" t="str">
            <v>Shishir</v>
          </cell>
          <cell r="C1389">
            <v>6</v>
          </cell>
          <cell r="D1389">
            <v>110</v>
          </cell>
          <cell r="E1389">
            <v>4</v>
          </cell>
          <cell r="F1389">
            <v>9</v>
          </cell>
          <cell r="G1389">
            <v>2</v>
          </cell>
          <cell r="H1389">
            <v>7</v>
          </cell>
          <cell r="I1389">
            <v>8</v>
          </cell>
          <cell r="M1389" t="str">
            <v>&gt;&gt;</v>
          </cell>
          <cell r="N1389" t="str">
            <v>ShiShir Hossain</v>
          </cell>
          <cell r="O1389" t="str">
            <v>FFC-2</v>
          </cell>
          <cell r="P1389" t="str">
            <v>RUNNERS FOR VICTORY</v>
          </cell>
          <cell r="Q1389">
            <v>1</v>
          </cell>
          <cell r="R1389">
            <v>233</v>
          </cell>
          <cell r="U1389">
            <v>43952</v>
          </cell>
        </row>
        <row r="1390">
          <cell r="B1390" t="str">
            <v>Munna</v>
          </cell>
          <cell r="C1390">
            <v>6</v>
          </cell>
          <cell r="D1390">
            <v>106</v>
          </cell>
          <cell r="E1390">
            <v>7</v>
          </cell>
          <cell r="F1390">
            <v>8</v>
          </cell>
          <cell r="G1390">
            <v>1</v>
          </cell>
          <cell r="H1390">
            <v>6</v>
          </cell>
          <cell r="I1390">
            <v>7</v>
          </cell>
          <cell r="J1390">
            <v>1</v>
          </cell>
          <cell r="M1390" t="str">
            <v>&gt;&gt;</v>
          </cell>
          <cell r="N1390" t="str">
            <v>Monowar Hossain Munna</v>
          </cell>
          <cell r="O1390" t="str">
            <v>FFC-2</v>
          </cell>
          <cell r="P1390" t="str">
            <v>RUNNERS FOR VICTORY</v>
          </cell>
          <cell r="Q1390">
            <v>1</v>
          </cell>
          <cell r="R1390">
            <v>233</v>
          </cell>
          <cell r="U1390">
            <v>43952</v>
          </cell>
        </row>
        <row r="1391">
          <cell r="B1391" t="str">
            <v>Firoj</v>
          </cell>
          <cell r="C1391">
            <v>6</v>
          </cell>
          <cell r="D1391">
            <v>135</v>
          </cell>
          <cell r="E1391">
            <v>5</v>
          </cell>
          <cell r="F1391">
            <v>7</v>
          </cell>
          <cell r="G1391">
            <v>0</v>
          </cell>
          <cell r="H1391">
            <v>12</v>
          </cell>
          <cell r="I1391">
            <v>9</v>
          </cell>
          <cell r="M1391" t="str">
            <v>&gt;&gt;</v>
          </cell>
          <cell r="N1391" t="str">
            <v>Firoj alam</v>
          </cell>
          <cell r="O1391" t="str">
            <v>FFC-2</v>
          </cell>
          <cell r="P1391" t="str">
            <v>RUNNERS FOR VICTORY</v>
          </cell>
          <cell r="Q1391">
            <v>1</v>
          </cell>
          <cell r="R1391">
            <v>233</v>
          </cell>
          <cell r="U1391">
            <v>43952</v>
          </cell>
        </row>
        <row r="1392">
          <cell r="B1392" t="str">
            <v>Hridoy</v>
          </cell>
          <cell r="C1392">
            <v>6</v>
          </cell>
          <cell r="D1392">
            <v>51</v>
          </cell>
          <cell r="E1392">
            <v>6</v>
          </cell>
          <cell r="F1392">
            <v>8</v>
          </cell>
          <cell r="G1392">
            <v>0</v>
          </cell>
          <cell r="H1392">
            <v>5</v>
          </cell>
          <cell r="I1392">
            <v>2</v>
          </cell>
          <cell r="M1392" t="str">
            <v>&gt;&gt;</v>
          </cell>
          <cell r="N1392" t="str">
            <v>Kamrul Hasan Hridoy</v>
          </cell>
          <cell r="O1392" t="str">
            <v>FFC-2</v>
          </cell>
          <cell r="P1392" t="str">
            <v>RUNNERS FOR VICTORY</v>
          </cell>
          <cell r="Q1392">
            <v>1</v>
          </cell>
          <cell r="R1392">
            <v>233</v>
          </cell>
          <cell r="U1392">
            <v>43952</v>
          </cell>
        </row>
        <row r="1393">
          <cell r="B1393" t="str">
            <v>GAME SWINGERS</v>
          </cell>
          <cell r="M1393" t="str">
            <v>&gt;&gt;</v>
          </cell>
          <cell r="N1393" t="str">
            <v/>
          </cell>
          <cell r="O1393" t="str">
            <v>FFC-2</v>
          </cell>
          <cell r="P1393" t="str">
            <v>GAME SWINGERS</v>
          </cell>
          <cell r="Q1393">
            <v>1</v>
          </cell>
          <cell r="R1393">
            <v>234</v>
          </cell>
          <cell r="U1393">
            <v>43952</v>
          </cell>
        </row>
        <row r="1394">
          <cell r="B1394" t="str">
            <v>Ovi</v>
          </cell>
          <cell r="C1394">
            <v>5</v>
          </cell>
          <cell r="D1394">
            <v>93</v>
          </cell>
          <cell r="E1394">
            <v>8</v>
          </cell>
          <cell r="F1394">
            <v>8</v>
          </cell>
          <cell r="G1394">
            <v>1</v>
          </cell>
          <cell r="H1394">
            <v>11</v>
          </cell>
          <cell r="I1394">
            <v>5</v>
          </cell>
          <cell r="M1394" t="str">
            <v>&gt;&gt;</v>
          </cell>
          <cell r="N1394" t="str">
            <v>Toufiq Ahmed Ovi</v>
          </cell>
          <cell r="O1394" t="str">
            <v>FFC-2</v>
          </cell>
          <cell r="P1394" t="str">
            <v>GAME SWINGERS</v>
          </cell>
          <cell r="Q1394">
            <v>1</v>
          </cell>
          <cell r="R1394">
            <v>234</v>
          </cell>
          <cell r="U1394">
            <v>43952</v>
          </cell>
        </row>
        <row r="1395">
          <cell r="B1395" t="str">
            <v>Jumon</v>
          </cell>
          <cell r="C1395">
            <v>5</v>
          </cell>
          <cell r="D1395">
            <v>39</v>
          </cell>
          <cell r="E1395">
            <v>4</v>
          </cell>
          <cell r="F1395">
            <v>6</v>
          </cell>
          <cell r="G1395">
            <v>1</v>
          </cell>
          <cell r="H1395">
            <v>3</v>
          </cell>
          <cell r="I1395">
            <v>3</v>
          </cell>
          <cell r="M1395" t="str">
            <v>&gt;&gt;</v>
          </cell>
          <cell r="N1395" t="str">
            <v>Foysal Ahmed Jumon</v>
          </cell>
          <cell r="O1395" t="str">
            <v>FFC-2</v>
          </cell>
          <cell r="P1395" t="str">
            <v>GAME SWINGERS</v>
          </cell>
          <cell r="Q1395">
            <v>1</v>
          </cell>
          <cell r="R1395">
            <v>234</v>
          </cell>
          <cell r="U1395">
            <v>43952</v>
          </cell>
        </row>
        <row r="1396">
          <cell r="B1396" t="str">
            <v>Al Mamun</v>
          </cell>
          <cell r="C1396">
            <v>5</v>
          </cell>
          <cell r="D1396">
            <v>88</v>
          </cell>
          <cell r="E1396">
            <v>2</v>
          </cell>
          <cell r="F1396">
            <v>7</v>
          </cell>
          <cell r="G1396">
            <v>0</v>
          </cell>
          <cell r="H1396">
            <v>10</v>
          </cell>
          <cell r="I1396">
            <v>2</v>
          </cell>
          <cell r="M1396" t="str">
            <v>&gt;&gt;</v>
          </cell>
          <cell r="N1396" t="str">
            <v>Mohammed Al Mamun</v>
          </cell>
          <cell r="O1396" t="str">
            <v>FFC-2</v>
          </cell>
          <cell r="P1396" t="str">
            <v>GAME SWINGERS</v>
          </cell>
          <cell r="Q1396">
            <v>1</v>
          </cell>
          <cell r="R1396">
            <v>234</v>
          </cell>
          <cell r="U1396">
            <v>43952</v>
          </cell>
        </row>
        <row r="1397">
          <cell r="B1397" t="str">
            <v>Yahya</v>
          </cell>
          <cell r="C1397">
            <v>2</v>
          </cell>
          <cell r="D1397">
            <v>12</v>
          </cell>
          <cell r="E1397">
            <v>1</v>
          </cell>
          <cell r="F1397">
            <v>2</v>
          </cell>
          <cell r="G1397">
            <v>0</v>
          </cell>
          <cell r="H1397">
            <v>1</v>
          </cell>
          <cell r="I1397">
            <v>1</v>
          </cell>
          <cell r="M1397" t="str">
            <v>&gt;&gt;</v>
          </cell>
          <cell r="N1397" t="str">
            <v>Yahya Riyad</v>
          </cell>
          <cell r="O1397" t="str">
            <v>FFC-2</v>
          </cell>
          <cell r="P1397" t="str">
            <v>GAME SWINGERS</v>
          </cell>
          <cell r="Q1397">
            <v>1</v>
          </cell>
          <cell r="R1397">
            <v>234</v>
          </cell>
          <cell r="U1397">
            <v>43952</v>
          </cell>
        </row>
        <row r="1398">
          <cell r="B1398" t="str">
            <v>Rayhan</v>
          </cell>
          <cell r="C1398">
            <v>5</v>
          </cell>
          <cell r="D1398">
            <v>82</v>
          </cell>
          <cell r="E1398">
            <v>4</v>
          </cell>
          <cell r="F1398">
            <v>9</v>
          </cell>
          <cell r="G1398">
            <v>0</v>
          </cell>
          <cell r="H1398">
            <v>5</v>
          </cell>
          <cell r="I1398">
            <v>3</v>
          </cell>
          <cell r="M1398" t="str">
            <v>&gt;&gt;</v>
          </cell>
          <cell r="N1398" t="str">
            <v>Rayhan Rahman</v>
          </cell>
          <cell r="O1398" t="str">
            <v>FFC-2</v>
          </cell>
          <cell r="P1398" t="str">
            <v>GAME SWINGERS</v>
          </cell>
          <cell r="Q1398">
            <v>1</v>
          </cell>
          <cell r="R1398">
            <v>234</v>
          </cell>
          <cell r="U1398">
            <v>43952</v>
          </cell>
        </row>
        <row r="1399">
          <cell r="B1399" t="str">
            <v>LEADING STARS</v>
          </cell>
          <cell r="M1399" t="str">
            <v>&gt;&gt;</v>
          </cell>
          <cell r="N1399" t="str">
            <v/>
          </cell>
          <cell r="O1399" t="str">
            <v>FFC-2</v>
          </cell>
          <cell r="P1399" t="str">
            <v>LEADING STARS</v>
          </cell>
          <cell r="Q1399">
            <v>1</v>
          </cell>
          <cell r="R1399">
            <v>235</v>
          </cell>
          <cell r="U1399">
            <v>43952</v>
          </cell>
        </row>
        <row r="1400">
          <cell r="B1400" t="str">
            <v>ARIF</v>
          </cell>
          <cell r="C1400">
            <v>6</v>
          </cell>
          <cell r="D1400">
            <v>127</v>
          </cell>
          <cell r="E1400">
            <v>9</v>
          </cell>
          <cell r="F1400">
            <v>6</v>
          </cell>
          <cell r="G1400">
            <v>0</v>
          </cell>
          <cell r="H1400">
            <v>12</v>
          </cell>
          <cell r="I1400">
            <v>8</v>
          </cell>
          <cell r="J1400">
            <v>1</v>
          </cell>
          <cell r="M1400" t="str">
            <v>&gt;&gt;</v>
          </cell>
          <cell r="N1400" t="str">
            <v>Arif Ziad</v>
          </cell>
          <cell r="O1400" t="str">
            <v>FFC-2</v>
          </cell>
          <cell r="P1400" t="str">
            <v>LEADING STARS</v>
          </cell>
          <cell r="Q1400">
            <v>1</v>
          </cell>
          <cell r="R1400">
            <v>235</v>
          </cell>
          <cell r="U1400">
            <v>43952</v>
          </cell>
        </row>
        <row r="1401">
          <cell r="B1401" t="str">
            <v>Tanvir</v>
          </cell>
          <cell r="C1401">
            <v>6</v>
          </cell>
          <cell r="D1401">
            <v>42</v>
          </cell>
          <cell r="E1401">
            <v>10</v>
          </cell>
          <cell r="F1401">
            <v>9</v>
          </cell>
          <cell r="G1401">
            <v>0</v>
          </cell>
          <cell r="H1401">
            <v>5</v>
          </cell>
          <cell r="I1401">
            <v>1</v>
          </cell>
          <cell r="J1401">
            <v>1</v>
          </cell>
          <cell r="M1401" t="str">
            <v>&gt;&gt;</v>
          </cell>
          <cell r="N1401" t="str">
            <v>Tanvir Shakib</v>
          </cell>
          <cell r="O1401" t="str">
            <v>FFC-2</v>
          </cell>
          <cell r="P1401" t="str">
            <v>LEADING STARS</v>
          </cell>
          <cell r="Q1401">
            <v>1</v>
          </cell>
          <cell r="R1401">
            <v>235</v>
          </cell>
          <cell r="U1401">
            <v>43952</v>
          </cell>
        </row>
        <row r="1402">
          <cell r="B1402" t="str">
            <v>Helal</v>
          </cell>
          <cell r="C1402">
            <v>6</v>
          </cell>
          <cell r="D1402">
            <v>166</v>
          </cell>
          <cell r="E1402">
            <v>8</v>
          </cell>
          <cell r="F1402">
            <v>7</v>
          </cell>
          <cell r="G1402">
            <v>0</v>
          </cell>
          <cell r="H1402">
            <v>13</v>
          </cell>
          <cell r="I1402">
            <v>12</v>
          </cell>
          <cell r="M1402" t="str">
            <v>&gt;&gt;</v>
          </cell>
          <cell r="N1402" t="str">
            <v>Sheik Helal Ahmed</v>
          </cell>
          <cell r="O1402" t="str">
            <v>FFC-2</v>
          </cell>
          <cell r="P1402" t="str">
            <v>LEADING STARS</v>
          </cell>
          <cell r="Q1402">
            <v>1</v>
          </cell>
          <cell r="R1402">
            <v>235</v>
          </cell>
          <cell r="U1402">
            <v>43952</v>
          </cell>
        </row>
        <row r="1403">
          <cell r="B1403" t="str">
            <v>Meyaz</v>
          </cell>
          <cell r="C1403">
            <v>6</v>
          </cell>
          <cell r="D1403">
            <v>41</v>
          </cell>
          <cell r="E1403">
            <v>1</v>
          </cell>
          <cell r="F1403">
            <v>5</v>
          </cell>
          <cell r="G1403">
            <v>0</v>
          </cell>
          <cell r="H1403">
            <v>3</v>
          </cell>
          <cell r="I1403">
            <v>2</v>
          </cell>
          <cell r="M1403" t="str">
            <v>&gt;&gt;</v>
          </cell>
          <cell r="N1403" t="str">
            <v>Meyaz Al Emon</v>
          </cell>
          <cell r="O1403" t="str">
            <v>FFC-2</v>
          </cell>
          <cell r="P1403" t="str">
            <v>LEADING STARS</v>
          </cell>
          <cell r="Q1403">
            <v>1</v>
          </cell>
          <cell r="R1403">
            <v>235</v>
          </cell>
          <cell r="U1403">
            <v>43952</v>
          </cell>
        </row>
        <row r="1404">
          <cell r="B1404" t="str">
            <v>Manik</v>
          </cell>
          <cell r="C1404">
            <v>6</v>
          </cell>
          <cell r="D1404">
            <v>66</v>
          </cell>
          <cell r="E1404">
            <v>8</v>
          </cell>
          <cell r="F1404">
            <v>5</v>
          </cell>
          <cell r="G1404">
            <v>1</v>
          </cell>
          <cell r="H1404">
            <v>4</v>
          </cell>
          <cell r="I1404">
            <v>6</v>
          </cell>
          <cell r="M1404" t="str">
            <v>&gt;&gt;</v>
          </cell>
          <cell r="N1404" t="str">
            <v>GM Manik</v>
          </cell>
          <cell r="O1404" t="str">
            <v>FFC-2</v>
          </cell>
          <cell r="P1404" t="str">
            <v>LEADING STARS</v>
          </cell>
          <cell r="Q1404">
            <v>1</v>
          </cell>
          <cell r="R1404">
            <v>235</v>
          </cell>
          <cell r="U1404">
            <v>43952</v>
          </cell>
        </row>
        <row r="1405">
          <cell r="B1405" t="str">
            <v>FLAME BOYS</v>
          </cell>
          <cell r="M1405" t="str">
            <v>&gt;&gt;</v>
          </cell>
          <cell r="N1405" t="str">
            <v/>
          </cell>
          <cell r="O1405" t="str">
            <v>FFC-2</v>
          </cell>
          <cell r="P1405" t="str">
            <v>FLAME BOYS</v>
          </cell>
          <cell r="Q1405">
            <v>1</v>
          </cell>
          <cell r="R1405">
            <v>236</v>
          </cell>
          <cell r="U1405">
            <v>43952</v>
          </cell>
        </row>
        <row r="1406">
          <cell r="B1406" t="str">
            <v>Sakib Sr.</v>
          </cell>
          <cell r="C1406">
            <v>5</v>
          </cell>
          <cell r="D1406">
            <v>94</v>
          </cell>
          <cell r="E1406">
            <v>2</v>
          </cell>
          <cell r="F1406">
            <v>8</v>
          </cell>
          <cell r="G1406">
            <v>0</v>
          </cell>
          <cell r="H1406">
            <v>4</v>
          </cell>
          <cell r="I1406">
            <v>9</v>
          </cell>
          <cell r="M1406" t="str">
            <v>&gt;&gt;</v>
          </cell>
          <cell r="N1406" t="str">
            <v>Ahmad Sakib Abdullah</v>
          </cell>
          <cell r="O1406" t="str">
            <v>FFC-2</v>
          </cell>
          <cell r="P1406" t="str">
            <v>FLAME BOYS</v>
          </cell>
          <cell r="Q1406">
            <v>1</v>
          </cell>
          <cell r="R1406">
            <v>236</v>
          </cell>
          <cell r="U1406">
            <v>43952</v>
          </cell>
        </row>
        <row r="1407">
          <cell r="B1407" t="str">
            <v>Khokon</v>
          </cell>
          <cell r="C1407">
            <v>5</v>
          </cell>
          <cell r="D1407">
            <v>80</v>
          </cell>
          <cell r="E1407">
            <v>10</v>
          </cell>
          <cell r="F1407">
            <v>8</v>
          </cell>
          <cell r="G1407">
            <v>0</v>
          </cell>
          <cell r="H1407">
            <v>5</v>
          </cell>
          <cell r="I1407">
            <v>7</v>
          </cell>
          <cell r="M1407" t="str">
            <v>&gt;&gt;</v>
          </cell>
          <cell r="N1407" t="str">
            <v>Shahriar Khokon</v>
          </cell>
          <cell r="O1407" t="str">
            <v>FFC-2</v>
          </cell>
          <cell r="P1407" t="str">
            <v>FLAME BOYS</v>
          </cell>
          <cell r="Q1407">
            <v>1</v>
          </cell>
          <cell r="R1407">
            <v>236</v>
          </cell>
          <cell r="U1407">
            <v>43952</v>
          </cell>
        </row>
        <row r="1408">
          <cell r="B1408" t="str">
            <v>Sagar</v>
          </cell>
          <cell r="C1408">
            <v>5</v>
          </cell>
          <cell r="D1408">
            <v>35</v>
          </cell>
          <cell r="E1408">
            <v>4</v>
          </cell>
          <cell r="F1408">
            <v>4</v>
          </cell>
          <cell r="G1408">
            <v>0</v>
          </cell>
          <cell r="H1408">
            <v>3</v>
          </cell>
          <cell r="I1408">
            <v>2</v>
          </cell>
          <cell r="M1408" t="str">
            <v>&gt;&gt;</v>
          </cell>
          <cell r="N1408" t="str">
            <v>Sajjadul Haque Sagar</v>
          </cell>
          <cell r="O1408" t="str">
            <v>FFC-2</v>
          </cell>
          <cell r="P1408" t="str">
            <v>FLAME BOYS</v>
          </cell>
          <cell r="Q1408">
            <v>1</v>
          </cell>
          <cell r="R1408">
            <v>236</v>
          </cell>
          <cell r="U1408">
            <v>43952</v>
          </cell>
        </row>
        <row r="1409">
          <cell r="B1409" t="str">
            <v>Redwan</v>
          </cell>
          <cell r="C1409">
            <v>4</v>
          </cell>
          <cell r="D1409">
            <v>53</v>
          </cell>
          <cell r="E1409">
            <v>4</v>
          </cell>
          <cell r="F1409">
            <v>5</v>
          </cell>
          <cell r="G1409">
            <v>0</v>
          </cell>
          <cell r="H1409">
            <v>6</v>
          </cell>
          <cell r="I1409">
            <v>1</v>
          </cell>
          <cell r="M1409" t="str">
            <v>&gt;&gt;</v>
          </cell>
          <cell r="N1409" t="str">
            <v>Redwan Ahmed</v>
          </cell>
          <cell r="O1409" t="str">
            <v>FFC-2</v>
          </cell>
          <cell r="P1409" t="str">
            <v>FLAME BOYS</v>
          </cell>
          <cell r="Q1409">
            <v>1</v>
          </cell>
          <cell r="R1409">
            <v>236</v>
          </cell>
          <cell r="U1409">
            <v>43952</v>
          </cell>
        </row>
        <row r="1410">
          <cell r="B1410" t="str">
            <v>Arafat</v>
          </cell>
          <cell r="C1410">
            <v>5</v>
          </cell>
          <cell r="D1410">
            <v>64</v>
          </cell>
          <cell r="E1410">
            <v>6</v>
          </cell>
          <cell r="F1410">
            <v>6</v>
          </cell>
          <cell r="G1410">
            <v>1</v>
          </cell>
          <cell r="H1410">
            <v>8</v>
          </cell>
          <cell r="I1410">
            <v>2</v>
          </cell>
          <cell r="M1410" t="str">
            <v>&gt;&gt;</v>
          </cell>
          <cell r="N1410" t="str">
            <v>Sakib Arafat</v>
          </cell>
          <cell r="O1410" t="str">
            <v>FFC-2</v>
          </cell>
          <cell r="P1410" t="str">
            <v>FLAME BOYS</v>
          </cell>
          <cell r="Q1410">
            <v>1</v>
          </cell>
          <cell r="R1410">
            <v>236</v>
          </cell>
          <cell r="U1410">
            <v>43952</v>
          </cell>
        </row>
        <row r="1411">
          <cell r="B1411" t="str">
            <v>Joy</v>
          </cell>
          <cell r="C1411">
            <v>1</v>
          </cell>
          <cell r="D1411">
            <v>18</v>
          </cell>
          <cell r="E1411">
            <v>0</v>
          </cell>
          <cell r="F1411">
            <v>1</v>
          </cell>
          <cell r="G1411">
            <v>0</v>
          </cell>
          <cell r="H1411">
            <v>1</v>
          </cell>
          <cell r="I1411">
            <v>1</v>
          </cell>
          <cell r="M1411" t="str">
            <v>&gt;&gt;</v>
          </cell>
          <cell r="N1411" t="str">
            <v>Mehedi Hasan Joy</v>
          </cell>
          <cell r="O1411" t="str">
            <v>FFC-2</v>
          </cell>
          <cell r="P1411" t="str">
            <v>FLAME BOYS</v>
          </cell>
          <cell r="Q1411">
            <v>1</v>
          </cell>
          <cell r="R1411">
            <v>236</v>
          </cell>
          <cell r="U1411">
            <v>43952</v>
          </cell>
        </row>
        <row r="1412">
          <cell r="B1412" t="str">
            <v>MAJESTIC ASSASSIN'S</v>
          </cell>
          <cell r="M1412" t="str">
            <v>&gt;&gt;</v>
          </cell>
          <cell r="N1412" t="str">
            <v/>
          </cell>
          <cell r="O1412" t="str">
            <v>FFC-2</v>
          </cell>
          <cell r="P1412" t="str">
            <v>MAJESTIC ASSASSIN'S</v>
          </cell>
          <cell r="Q1412">
            <v>1</v>
          </cell>
          <cell r="R1412">
            <v>237</v>
          </cell>
          <cell r="U1412">
            <v>43952</v>
          </cell>
        </row>
        <row r="1413">
          <cell r="B1413" t="str">
            <v>Dulal</v>
          </cell>
          <cell r="C1413">
            <v>6</v>
          </cell>
          <cell r="D1413">
            <v>79</v>
          </cell>
          <cell r="E1413">
            <v>6</v>
          </cell>
          <cell r="F1413">
            <v>8</v>
          </cell>
          <cell r="G1413">
            <v>0</v>
          </cell>
          <cell r="H1413">
            <v>5</v>
          </cell>
          <cell r="I1413">
            <v>5</v>
          </cell>
          <cell r="M1413" t="str">
            <v>&gt;&gt;</v>
          </cell>
          <cell r="N1413" t="str">
            <v>Md Dulal Miah</v>
          </cell>
          <cell r="O1413" t="str">
            <v>FFC-2</v>
          </cell>
          <cell r="P1413" t="str">
            <v>MAJESTIC ASSASSIN'S</v>
          </cell>
          <cell r="Q1413">
            <v>1</v>
          </cell>
          <cell r="R1413">
            <v>237</v>
          </cell>
          <cell r="U1413">
            <v>43952</v>
          </cell>
        </row>
        <row r="1414">
          <cell r="B1414" t="str">
            <v>Tutul</v>
          </cell>
          <cell r="C1414">
            <v>6</v>
          </cell>
          <cell r="D1414">
            <v>69</v>
          </cell>
          <cell r="E1414">
            <v>10</v>
          </cell>
          <cell r="F1414">
            <v>9</v>
          </cell>
          <cell r="G1414">
            <v>1</v>
          </cell>
          <cell r="H1414">
            <v>5</v>
          </cell>
          <cell r="I1414">
            <v>5</v>
          </cell>
          <cell r="M1414" t="str">
            <v>&gt;&gt;</v>
          </cell>
          <cell r="N1414" t="str">
            <v>Kamrul Hasan Tutul</v>
          </cell>
          <cell r="O1414" t="str">
            <v>FFC-2</v>
          </cell>
          <cell r="P1414" t="str">
            <v>MAJESTIC ASSASSIN'S</v>
          </cell>
          <cell r="Q1414">
            <v>1</v>
          </cell>
          <cell r="R1414">
            <v>237</v>
          </cell>
          <cell r="U1414">
            <v>43952</v>
          </cell>
        </row>
        <row r="1415">
          <cell r="B1415" t="str">
            <v>Nahid</v>
          </cell>
          <cell r="C1415">
            <v>7</v>
          </cell>
          <cell r="D1415">
            <v>114</v>
          </cell>
          <cell r="E1415">
            <v>6</v>
          </cell>
          <cell r="F1415">
            <v>8</v>
          </cell>
          <cell r="G1415">
            <v>0</v>
          </cell>
          <cell r="H1415">
            <v>7</v>
          </cell>
          <cell r="I1415">
            <v>9</v>
          </cell>
          <cell r="M1415" t="str">
            <v>&gt;&gt;</v>
          </cell>
          <cell r="N1415" t="str">
            <v>Nahid Saifullah</v>
          </cell>
          <cell r="O1415" t="str">
            <v>FFC-2</v>
          </cell>
          <cell r="P1415" t="str">
            <v>MAJESTIC ASSASSIN'S</v>
          </cell>
          <cell r="Q1415">
            <v>1</v>
          </cell>
          <cell r="R1415">
            <v>237</v>
          </cell>
          <cell r="U1415">
            <v>43952</v>
          </cell>
        </row>
        <row r="1416">
          <cell r="B1416" t="str">
            <v>Rinkon</v>
          </cell>
          <cell r="C1416">
            <v>7</v>
          </cell>
          <cell r="D1416">
            <v>91</v>
          </cell>
          <cell r="E1416">
            <v>7</v>
          </cell>
          <cell r="F1416">
            <v>11</v>
          </cell>
          <cell r="G1416">
            <v>1</v>
          </cell>
          <cell r="H1416">
            <v>9</v>
          </cell>
          <cell r="I1416">
            <v>6</v>
          </cell>
          <cell r="M1416" t="str">
            <v>&gt;&gt;</v>
          </cell>
          <cell r="N1416" t="str">
            <v>Rinkon Khan</v>
          </cell>
          <cell r="O1416" t="str">
            <v>FFC-2</v>
          </cell>
          <cell r="P1416" t="str">
            <v>MAJESTIC ASSASSIN'S</v>
          </cell>
          <cell r="Q1416">
            <v>1</v>
          </cell>
          <cell r="R1416">
            <v>237</v>
          </cell>
          <cell r="U1416">
            <v>43952</v>
          </cell>
        </row>
        <row r="1417">
          <cell r="B1417" t="str">
            <v>Ab Mamun</v>
          </cell>
          <cell r="C1417">
            <v>6</v>
          </cell>
          <cell r="D1417">
            <v>90</v>
          </cell>
          <cell r="E1417">
            <v>9</v>
          </cell>
          <cell r="F1417">
            <v>7</v>
          </cell>
          <cell r="G1417">
            <v>1</v>
          </cell>
          <cell r="H1417">
            <v>9</v>
          </cell>
          <cell r="I1417">
            <v>7</v>
          </cell>
          <cell r="J1417">
            <v>1</v>
          </cell>
          <cell r="M1417" t="str">
            <v>&gt;&gt;</v>
          </cell>
          <cell r="N1417" t="str">
            <v>Abdullah Al Mamun</v>
          </cell>
          <cell r="O1417" t="str">
            <v>FFC-2</v>
          </cell>
          <cell r="P1417" t="str">
            <v>MAJESTIC ASSASSIN'S</v>
          </cell>
          <cell r="Q1417">
            <v>1</v>
          </cell>
          <cell r="R1417">
            <v>237</v>
          </cell>
          <cell r="U1417">
            <v>43952</v>
          </cell>
        </row>
        <row r="1418">
          <cell r="B1418" t="str">
            <v>GOLDEN HAWKS</v>
          </cell>
          <cell r="M1418" t="str">
            <v>&gt;&gt;</v>
          </cell>
          <cell r="N1418" t="str">
            <v/>
          </cell>
          <cell r="O1418" t="str">
            <v>FFC-2</v>
          </cell>
          <cell r="P1418" t="str">
            <v>GOLDEN HAWKS</v>
          </cell>
          <cell r="Q1418">
            <v>1</v>
          </cell>
          <cell r="R1418">
            <v>238</v>
          </cell>
          <cell r="U1418">
            <v>43952</v>
          </cell>
        </row>
        <row r="1419">
          <cell r="B1419" t="str">
            <v>Sumon</v>
          </cell>
          <cell r="C1419">
            <v>5</v>
          </cell>
          <cell r="D1419">
            <v>160</v>
          </cell>
          <cell r="E1419">
            <v>12</v>
          </cell>
          <cell r="F1419">
            <v>8</v>
          </cell>
          <cell r="G1419">
            <v>2</v>
          </cell>
          <cell r="H1419">
            <v>23</v>
          </cell>
          <cell r="I1419">
            <v>6</v>
          </cell>
          <cell r="M1419" t="str">
            <v>&gt;&gt;</v>
          </cell>
          <cell r="N1419" t="str">
            <v>Sumon Ab</v>
          </cell>
          <cell r="O1419" t="str">
            <v>FFC-2</v>
          </cell>
          <cell r="P1419" t="str">
            <v>GOLDEN HAWKS</v>
          </cell>
          <cell r="Q1419">
            <v>1</v>
          </cell>
          <cell r="R1419">
            <v>238</v>
          </cell>
          <cell r="U1419">
            <v>43952</v>
          </cell>
        </row>
        <row r="1420">
          <cell r="B1420" t="str">
            <v>Pranto</v>
          </cell>
          <cell r="C1420">
            <v>5</v>
          </cell>
          <cell r="D1420">
            <v>110</v>
          </cell>
          <cell r="E1420">
            <v>7</v>
          </cell>
          <cell r="F1420">
            <v>8</v>
          </cell>
          <cell r="G1420">
            <v>1</v>
          </cell>
          <cell r="H1420">
            <v>8</v>
          </cell>
          <cell r="I1420">
            <v>8</v>
          </cell>
          <cell r="M1420" t="str">
            <v>&gt;&gt;</v>
          </cell>
          <cell r="N1420" t="str">
            <v>Bandhon Podder Pranto</v>
          </cell>
          <cell r="O1420" t="str">
            <v>FFC-2</v>
          </cell>
          <cell r="P1420" t="str">
            <v>GOLDEN HAWKS</v>
          </cell>
          <cell r="Q1420">
            <v>1</v>
          </cell>
          <cell r="R1420">
            <v>238</v>
          </cell>
          <cell r="U1420">
            <v>43952</v>
          </cell>
        </row>
        <row r="1421">
          <cell r="B1421" t="str">
            <v>Rashed</v>
          </cell>
          <cell r="C1421">
            <v>6</v>
          </cell>
          <cell r="D1421">
            <v>89</v>
          </cell>
          <cell r="E1421">
            <v>7</v>
          </cell>
          <cell r="F1421">
            <v>9</v>
          </cell>
          <cell r="G1421">
            <v>1</v>
          </cell>
          <cell r="H1421">
            <v>6</v>
          </cell>
          <cell r="I1421">
            <v>5</v>
          </cell>
          <cell r="J1421">
            <v>1</v>
          </cell>
          <cell r="M1421" t="str">
            <v>&gt;&gt;</v>
          </cell>
          <cell r="N1421" t="str">
            <v>KM Rashedul Islam Rashed</v>
          </cell>
          <cell r="O1421" t="str">
            <v>FFC-2</v>
          </cell>
          <cell r="P1421" t="str">
            <v>GOLDEN HAWKS</v>
          </cell>
          <cell r="Q1421">
            <v>1</v>
          </cell>
          <cell r="R1421">
            <v>238</v>
          </cell>
          <cell r="U1421">
            <v>43952</v>
          </cell>
        </row>
        <row r="1422">
          <cell r="B1422" t="str">
            <v>Washim</v>
          </cell>
          <cell r="C1422">
            <v>3</v>
          </cell>
          <cell r="D1422">
            <v>16</v>
          </cell>
          <cell r="E1422">
            <v>6</v>
          </cell>
          <cell r="F1422">
            <v>3</v>
          </cell>
          <cell r="G1422">
            <v>0</v>
          </cell>
          <cell r="H1422">
            <v>1</v>
          </cell>
          <cell r="I1422">
            <v>1</v>
          </cell>
          <cell r="M1422" t="str">
            <v>&gt;&gt;</v>
          </cell>
          <cell r="N1422" t="str">
            <v>Akram Husan (Washim)</v>
          </cell>
          <cell r="O1422" t="str">
            <v>FFC-2</v>
          </cell>
          <cell r="P1422" t="str">
            <v>GOLDEN HAWKS</v>
          </cell>
          <cell r="Q1422">
            <v>1</v>
          </cell>
          <cell r="R1422">
            <v>238</v>
          </cell>
          <cell r="U1422">
            <v>43952</v>
          </cell>
        </row>
        <row r="1423">
          <cell r="B1423" t="str">
            <v>Ariful</v>
          </cell>
          <cell r="C1423">
            <v>5</v>
          </cell>
          <cell r="D1423">
            <v>54</v>
          </cell>
          <cell r="E1423">
            <v>8</v>
          </cell>
          <cell r="F1423">
            <v>6</v>
          </cell>
          <cell r="G1423">
            <v>0</v>
          </cell>
          <cell r="H1423">
            <v>4</v>
          </cell>
          <cell r="I1423">
            <v>3</v>
          </cell>
          <cell r="J1423">
            <v>1</v>
          </cell>
          <cell r="M1423" t="str">
            <v>&gt;&gt;</v>
          </cell>
          <cell r="N1423" t="str">
            <v>Ahammed Ariful Haq</v>
          </cell>
          <cell r="O1423" t="str">
            <v>FFC-2</v>
          </cell>
          <cell r="P1423" t="str">
            <v>GOLDEN HAWKS</v>
          </cell>
          <cell r="Q1423">
            <v>1</v>
          </cell>
          <cell r="R1423">
            <v>238</v>
          </cell>
          <cell r="U1423">
            <v>43952</v>
          </cell>
        </row>
        <row r="1424">
          <cell r="B1424" t="str">
            <v>CREAMERY TRENCHERMAN (Champion)</v>
          </cell>
          <cell r="M1424" t="str">
            <v>&gt;&gt;</v>
          </cell>
          <cell r="N1424" t="str">
            <v/>
          </cell>
          <cell r="O1424" t="str">
            <v>FSC-2</v>
          </cell>
          <cell r="P1424" t="str">
            <v>CREAMERY TRENCHERMAN (Champion)</v>
          </cell>
          <cell r="Q1424">
            <v>1</v>
          </cell>
          <cell r="R1424">
            <v>239</v>
          </cell>
          <cell r="T1424" t="str">
            <v>CHAMP</v>
          </cell>
          <cell r="U1424">
            <v>44013</v>
          </cell>
        </row>
        <row r="1425">
          <cell r="B1425" t="str">
            <v>Nur</v>
          </cell>
          <cell r="C1425">
            <v>9</v>
          </cell>
          <cell r="D1425">
            <v>253</v>
          </cell>
          <cell r="E1425">
            <v>16</v>
          </cell>
          <cell r="F1425">
            <v>16</v>
          </cell>
          <cell r="G1425">
            <v>2</v>
          </cell>
          <cell r="H1425">
            <v>28</v>
          </cell>
          <cell r="I1425">
            <v>14</v>
          </cell>
          <cell r="M1425" t="str">
            <v>&gt;&gt;</v>
          </cell>
          <cell r="N1425" t="str">
            <v>Nur Muhammad</v>
          </cell>
          <cell r="O1425" t="str">
            <v>FSC-2</v>
          </cell>
          <cell r="P1425" t="str">
            <v>CREAMERY TRENCHERMAN (Champion)</v>
          </cell>
          <cell r="Q1425">
            <v>1</v>
          </cell>
          <cell r="R1425">
            <v>239</v>
          </cell>
          <cell r="S1425" t="str">
            <v>MOT</v>
          </cell>
          <cell r="T1425" t="str">
            <v>Champ</v>
          </cell>
          <cell r="U1425">
            <v>44013</v>
          </cell>
          <cell r="V1425">
            <v>1</v>
          </cell>
        </row>
        <row r="1426">
          <cell r="B1426" t="str">
            <v>Sakib Sr.</v>
          </cell>
          <cell r="C1426">
            <v>9</v>
          </cell>
          <cell r="D1426">
            <v>120</v>
          </cell>
          <cell r="E1426">
            <v>20</v>
          </cell>
          <cell r="F1426">
            <v>10</v>
          </cell>
          <cell r="G1426">
            <v>0</v>
          </cell>
          <cell r="H1426">
            <v>11</v>
          </cell>
          <cell r="I1426">
            <v>6</v>
          </cell>
          <cell r="M1426" t="str">
            <v>&gt;&gt;</v>
          </cell>
          <cell r="N1426" t="str">
            <v>Ahmad Sakib Abdullah</v>
          </cell>
          <cell r="O1426" t="str">
            <v>FSC-2</v>
          </cell>
          <cell r="P1426" t="str">
            <v>CREAMERY TRENCHERMAN (Champion)</v>
          </cell>
          <cell r="Q1426">
            <v>1</v>
          </cell>
          <cell r="R1426">
            <v>239</v>
          </cell>
          <cell r="T1426" t="str">
            <v>Champ</v>
          </cell>
          <cell r="U1426">
            <v>44013</v>
          </cell>
          <cell r="W1426">
            <v>1</v>
          </cell>
        </row>
        <row r="1427">
          <cell r="B1427" t="str">
            <v>Ariful</v>
          </cell>
          <cell r="C1427">
            <v>9</v>
          </cell>
          <cell r="D1427">
            <v>91</v>
          </cell>
          <cell r="E1427">
            <v>13</v>
          </cell>
          <cell r="F1427">
            <v>10</v>
          </cell>
          <cell r="G1427">
            <v>2</v>
          </cell>
          <cell r="H1427">
            <v>10</v>
          </cell>
          <cell r="I1427">
            <v>6</v>
          </cell>
          <cell r="M1427" t="str">
            <v>&gt;&gt;</v>
          </cell>
          <cell r="N1427" t="str">
            <v>Ahammed Ariful Haq</v>
          </cell>
          <cell r="O1427" t="str">
            <v>FSC-2</v>
          </cell>
          <cell r="P1427" t="str">
            <v>CREAMERY TRENCHERMAN (Champion)</v>
          </cell>
          <cell r="Q1427">
            <v>1</v>
          </cell>
          <cell r="R1427">
            <v>239</v>
          </cell>
          <cell r="T1427" t="str">
            <v>Champ</v>
          </cell>
          <cell r="U1427">
            <v>44013</v>
          </cell>
        </row>
        <row r="1428">
          <cell r="B1428" t="str">
            <v>Mridul</v>
          </cell>
          <cell r="C1428">
            <v>5</v>
          </cell>
          <cell r="D1428">
            <v>77</v>
          </cell>
          <cell r="E1428">
            <v>3</v>
          </cell>
          <cell r="F1428">
            <v>5</v>
          </cell>
          <cell r="G1428">
            <v>0</v>
          </cell>
          <cell r="H1428">
            <v>8</v>
          </cell>
          <cell r="I1428">
            <v>4</v>
          </cell>
          <cell r="M1428" t="str">
            <v>&gt;&gt;</v>
          </cell>
          <cell r="N1428" t="str">
            <v>Mridul Haque</v>
          </cell>
          <cell r="O1428" t="str">
            <v>FSC-2</v>
          </cell>
          <cell r="P1428" t="str">
            <v>CREAMERY TRENCHERMAN (Champion)</v>
          </cell>
          <cell r="Q1428">
            <v>1</v>
          </cell>
          <cell r="R1428">
            <v>239</v>
          </cell>
          <cell r="T1428" t="str">
            <v>Champ</v>
          </cell>
          <cell r="U1428">
            <v>44013</v>
          </cell>
        </row>
        <row r="1429">
          <cell r="B1429" t="str">
            <v>Sakib Jr.</v>
          </cell>
          <cell r="C1429">
            <v>8</v>
          </cell>
          <cell r="D1429">
            <v>133</v>
          </cell>
          <cell r="E1429">
            <v>7</v>
          </cell>
          <cell r="F1429">
            <v>10</v>
          </cell>
          <cell r="G1429">
            <v>1</v>
          </cell>
          <cell r="H1429">
            <v>10</v>
          </cell>
          <cell r="I1429">
            <v>11</v>
          </cell>
          <cell r="M1429" t="str">
            <v>&gt;&gt;</v>
          </cell>
          <cell r="N1429" t="str">
            <v>Sakib Ahmed</v>
          </cell>
          <cell r="O1429" t="str">
            <v>FSC-2</v>
          </cell>
          <cell r="P1429" t="str">
            <v>CREAMERY TRENCHERMAN (Champion)</v>
          </cell>
          <cell r="Q1429">
            <v>1</v>
          </cell>
          <cell r="R1429">
            <v>239</v>
          </cell>
          <cell r="T1429" t="str">
            <v>Champ</v>
          </cell>
          <cell r="U1429">
            <v>44013</v>
          </cell>
        </row>
        <row r="1430">
          <cell r="B1430" t="str">
            <v>MIGHTY SPARTANS</v>
          </cell>
          <cell r="M1430" t="str">
            <v>&gt;&gt;</v>
          </cell>
          <cell r="N1430" t="str">
            <v/>
          </cell>
          <cell r="O1430" t="str">
            <v>FSC-2</v>
          </cell>
          <cell r="P1430" t="str">
            <v>MIGHTY SPARTANS</v>
          </cell>
          <cell r="Q1430">
            <v>1</v>
          </cell>
          <cell r="R1430">
            <v>240</v>
          </cell>
          <cell r="U1430">
            <v>44013</v>
          </cell>
        </row>
        <row r="1431">
          <cell r="B1431" t="str">
            <v>Paul</v>
          </cell>
          <cell r="C1431">
            <v>7</v>
          </cell>
          <cell r="D1431">
            <v>133</v>
          </cell>
          <cell r="E1431">
            <v>16</v>
          </cell>
          <cell r="F1431">
            <v>12</v>
          </cell>
          <cell r="G1431">
            <v>1</v>
          </cell>
          <cell r="H1431">
            <v>4</v>
          </cell>
          <cell r="I1431">
            <v>12</v>
          </cell>
          <cell r="M1431" t="str">
            <v>&gt;&gt;</v>
          </cell>
          <cell r="N1431" t="str">
            <v>Susmoy Paul</v>
          </cell>
          <cell r="O1431" t="str">
            <v>FSC-2</v>
          </cell>
          <cell r="P1431" t="str">
            <v>MIGHTY SPARTANS</v>
          </cell>
          <cell r="Q1431">
            <v>1</v>
          </cell>
          <cell r="R1431">
            <v>240</v>
          </cell>
          <cell r="U1431">
            <v>44013</v>
          </cell>
        </row>
        <row r="1432">
          <cell r="B1432" t="str">
            <v>Dulal</v>
          </cell>
          <cell r="C1432">
            <v>7</v>
          </cell>
          <cell r="D1432">
            <v>86</v>
          </cell>
          <cell r="E1432">
            <v>10</v>
          </cell>
          <cell r="F1432">
            <v>9</v>
          </cell>
          <cell r="G1432">
            <v>0</v>
          </cell>
          <cell r="H1432">
            <v>9</v>
          </cell>
          <cell r="I1432">
            <v>3</v>
          </cell>
          <cell r="M1432" t="str">
            <v>&gt;&gt;</v>
          </cell>
          <cell r="N1432" t="str">
            <v>Md Dulal Miah</v>
          </cell>
          <cell r="O1432" t="str">
            <v>FSC-2</v>
          </cell>
          <cell r="P1432" t="str">
            <v>MIGHTY SPARTANS</v>
          </cell>
          <cell r="Q1432">
            <v>1</v>
          </cell>
          <cell r="R1432">
            <v>240</v>
          </cell>
          <cell r="U1432">
            <v>44013</v>
          </cell>
        </row>
        <row r="1433">
          <cell r="B1433" t="str">
            <v>Munna</v>
          </cell>
          <cell r="C1433">
            <v>5</v>
          </cell>
          <cell r="D1433">
            <v>4</v>
          </cell>
          <cell r="E1433">
            <v>3</v>
          </cell>
          <cell r="F1433">
            <v>4</v>
          </cell>
          <cell r="G1433">
            <v>0</v>
          </cell>
          <cell r="H1433">
            <v>0</v>
          </cell>
          <cell r="I1433">
            <v>0</v>
          </cell>
          <cell r="M1433" t="str">
            <v>&gt;&gt;</v>
          </cell>
          <cell r="N1433" t="str">
            <v>Monowar Hossain Munna</v>
          </cell>
          <cell r="O1433" t="str">
            <v>FSC-2</v>
          </cell>
          <cell r="P1433" t="str">
            <v>MIGHTY SPARTANS</v>
          </cell>
          <cell r="Q1433">
            <v>1</v>
          </cell>
          <cell r="R1433">
            <v>240</v>
          </cell>
          <cell r="U1433">
            <v>44013</v>
          </cell>
        </row>
        <row r="1434">
          <cell r="B1434" t="str">
            <v>Joy</v>
          </cell>
          <cell r="C1434">
            <v>5</v>
          </cell>
          <cell r="D1434">
            <v>27</v>
          </cell>
          <cell r="E1434">
            <v>1</v>
          </cell>
          <cell r="F1434">
            <v>4</v>
          </cell>
          <cell r="G1434">
            <v>0</v>
          </cell>
          <cell r="H1434">
            <v>0</v>
          </cell>
          <cell r="I1434">
            <v>2</v>
          </cell>
          <cell r="M1434" t="str">
            <v>&gt;&gt;</v>
          </cell>
          <cell r="N1434" t="str">
            <v>Mehedi Hasan Joy</v>
          </cell>
          <cell r="O1434" t="str">
            <v>FSC-2</v>
          </cell>
          <cell r="P1434" t="str">
            <v>MIGHTY SPARTANS</v>
          </cell>
          <cell r="Q1434">
            <v>1</v>
          </cell>
          <cell r="R1434">
            <v>240</v>
          </cell>
          <cell r="U1434">
            <v>44013</v>
          </cell>
        </row>
        <row r="1435">
          <cell r="B1435" t="str">
            <v>Rubel</v>
          </cell>
          <cell r="C1435">
            <v>7</v>
          </cell>
          <cell r="D1435">
            <v>178</v>
          </cell>
          <cell r="E1435">
            <v>12</v>
          </cell>
          <cell r="F1435">
            <v>10</v>
          </cell>
          <cell r="G1435">
            <v>1</v>
          </cell>
          <cell r="H1435">
            <v>13</v>
          </cell>
          <cell r="I1435">
            <v>13</v>
          </cell>
          <cell r="M1435" t="str">
            <v>&gt;&gt;</v>
          </cell>
          <cell r="N1435" t="str">
            <v>Anisur Islam (Rubel Hossain)</v>
          </cell>
          <cell r="O1435" t="str">
            <v>FSC-2</v>
          </cell>
          <cell r="P1435" t="str">
            <v>MIGHTY SPARTANS</v>
          </cell>
          <cell r="Q1435">
            <v>1</v>
          </cell>
          <cell r="R1435">
            <v>240</v>
          </cell>
          <cell r="U1435">
            <v>44013</v>
          </cell>
        </row>
        <row r="1436">
          <cell r="B1436" t="str">
            <v>Eminent Blood-Slayers</v>
          </cell>
          <cell r="M1436" t="str">
            <v>&gt;&gt;</v>
          </cell>
          <cell r="N1436" t="str">
            <v/>
          </cell>
          <cell r="O1436" t="str">
            <v>FSC-2</v>
          </cell>
          <cell r="P1436" t="str">
            <v>Eminent Blood-Slayers</v>
          </cell>
          <cell r="Q1436">
            <v>1</v>
          </cell>
          <cell r="R1436">
            <v>241</v>
          </cell>
          <cell r="U1436">
            <v>44013</v>
          </cell>
        </row>
        <row r="1437">
          <cell r="B1437" t="str">
            <v>Pranto</v>
          </cell>
          <cell r="C1437">
            <v>7</v>
          </cell>
          <cell r="D1437">
            <v>90</v>
          </cell>
          <cell r="E1437">
            <v>13</v>
          </cell>
          <cell r="F1437">
            <v>8</v>
          </cell>
          <cell r="G1437">
            <v>3</v>
          </cell>
          <cell r="H1437">
            <v>13</v>
          </cell>
          <cell r="I1437">
            <v>2</v>
          </cell>
          <cell r="M1437" t="str">
            <v>&gt;&gt;</v>
          </cell>
          <cell r="N1437" t="str">
            <v>Bandhon Podder Pranto</v>
          </cell>
          <cell r="O1437" t="str">
            <v>FSC-2</v>
          </cell>
          <cell r="P1437" t="str">
            <v>Eminent Blood-Slayers</v>
          </cell>
          <cell r="Q1437">
            <v>1</v>
          </cell>
          <cell r="R1437">
            <v>241</v>
          </cell>
          <cell r="U1437">
            <v>44013</v>
          </cell>
        </row>
        <row r="1438">
          <cell r="B1438" t="str">
            <v>Tutul</v>
          </cell>
          <cell r="C1438">
            <v>7</v>
          </cell>
          <cell r="D1438">
            <v>43</v>
          </cell>
          <cell r="E1438">
            <v>9</v>
          </cell>
          <cell r="F1438">
            <v>8</v>
          </cell>
          <cell r="G1438">
            <v>0</v>
          </cell>
          <cell r="H1438">
            <v>5</v>
          </cell>
          <cell r="I1438">
            <v>2</v>
          </cell>
          <cell r="M1438" t="str">
            <v>&gt;&gt;</v>
          </cell>
          <cell r="N1438" t="str">
            <v>Kamrul Hasan Tutul</v>
          </cell>
          <cell r="O1438" t="str">
            <v>FSC-2</v>
          </cell>
          <cell r="P1438" t="str">
            <v>Eminent Blood-Slayers</v>
          </cell>
          <cell r="Q1438">
            <v>1</v>
          </cell>
          <cell r="R1438">
            <v>241</v>
          </cell>
          <cell r="U1438">
            <v>44013</v>
          </cell>
        </row>
        <row r="1439">
          <cell r="B1439" t="str">
            <v>Mashuk</v>
          </cell>
          <cell r="C1439">
            <v>7</v>
          </cell>
          <cell r="D1439">
            <v>153</v>
          </cell>
          <cell r="E1439">
            <v>8</v>
          </cell>
          <cell r="F1439">
            <v>9</v>
          </cell>
          <cell r="G1439">
            <v>0</v>
          </cell>
          <cell r="H1439">
            <v>15</v>
          </cell>
          <cell r="I1439">
            <v>7</v>
          </cell>
          <cell r="M1439" t="str">
            <v>&gt;&gt;</v>
          </cell>
          <cell r="N1439" t="str">
            <v>Mustofa Muddassir Mahmud Mashuk</v>
          </cell>
          <cell r="O1439" t="str">
            <v>FSC-2</v>
          </cell>
          <cell r="P1439" t="str">
            <v>Eminent Blood-Slayers</v>
          </cell>
          <cell r="Q1439">
            <v>1</v>
          </cell>
          <cell r="R1439">
            <v>241</v>
          </cell>
          <cell r="U1439">
            <v>44013</v>
          </cell>
        </row>
        <row r="1440">
          <cell r="B1440" t="str">
            <v>Moon</v>
          </cell>
          <cell r="C1440">
            <v>5</v>
          </cell>
          <cell r="D1440">
            <v>107</v>
          </cell>
          <cell r="E1440">
            <v>4</v>
          </cell>
          <cell r="F1440">
            <v>7</v>
          </cell>
          <cell r="G1440">
            <v>1</v>
          </cell>
          <cell r="H1440">
            <v>7</v>
          </cell>
          <cell r="I1440">
            <v>10</v>
          </cell>
          <cell r="M1440" t="str">
            <v>&gt;&gt;</v>
          </cell>
          <cell r="N1440" t="str">
            <v>Mazharul Islam Moon</v>
          </cell>
          <cell r="O1440" t="str">
            <v>FSC-2</v>
          </cell>
          <cell r="P1440" t="str">
            <v>Eminent Blood-Slayers</v>
          </cell>
          <cell r="Q1440">
            <v>1</v>
          </cell>
          <cell r="R1440">
            <v>241</v>
          </cell>
          <cell r="U1440">
            <v>44013</v>
          </cell>
        </row>
        <row r="1441">
          <cell r="B1441" t="str">
            <v>Tuhin</v>
          </cell>
          <cell r="C1441">
            <v>7</v>
          </cell>
          <cell r="D1441">
            <v>78</v>
          </cell>
          <cell r="E1441">
            <v>7</v>
          </cell>
          <cell r="F1441">
            <v>8</v>
          </cell>
          <cell r="G1441">
            <v>1</v>
          </cell>
          <cell r="H1441">
            <v>3</v>
          </cell>
          <cell r="I1441">
            <v>7</v>
          </cell>
          <cell r="M1441" t="str">
            <v>&gt;&gt;</v>
          </cell>
          <cell r="N1441" t="str">
            <v>Nasir Ahmed Tuhin</v>
          </cell>
          <cell r="O1441" t="str">
            <v>FSC-2</v>
          </cell>
          <cell r="P1441" t="str">
            <v>Eminent Blood-Slayers</v>
          </cell>
          <cell r="Q1441">
            <v>1</v>
          </cell>
          <cell r="R1441">
            <v>241</v>
          </cell>
          <cell r="U1441">
            <v>44013</v>
          </cell>
        </row>
        <row r="1442">
          <cell r="B1442" t="str">
            <v>HAAOR EXPRESS</v>
          </cell>
          <cell r="M1442" t="str">
            <v>&gt;&gt;</v>
          </cell>
          <cell r="N1442" t="str">
            <v/>
          </cell>
          <cell r="O1442" t="str">
            <v>FSC-2</v>
          </cell>
          <cell r="P1442" t="str">
            <v>HAAOR EXPRESS</v>
          </cell>
          <cell r="Q1442">
            <v>1</v>
          </cell>
          <cell r="R1442">
            <v>242</v>
          </cell>
          <cell r="U1442">
            <v>44013</v>
          </cell>
        </row>
        <row r="1443">
          <cell r="B1443" t="str">
            <v>Jhony</v>
          </cell>
          <cell r="C1443">
            <v>2</v>
          </cell>
          <cell r="D1443">
            <v>39</v>
          </cell>
          <cell r="E1443">
            <v>4</v>
          </cell>
          <cell r="F1443">
            <v>4</v>
          </cell>
          <cell r="G1443">
            <v>0</v>
          </cell>
          <cell r="H1443">
            <v>1</v>
          </cell>
          <cell r="I1443">
            <v>5</v>
          </cell>
          <cell r="M1443" t="str">
            <v>&gt;&gt;</v>
          </cell>
          <cell r="N1443" t="str">
            <v>Faisal Ahmed Jhony</v>
          </cell>
          <cell r="O1443" t="str">
            <v>FSC-2</v>
          </cell>
          <cell r="P1443" t="str">
            <v>HAAOR EXPRESS</v>
          </cell>
          <cell r="Q1443">
            <v>1</v>
          </cell>
          <cell r="R1443">
            <v>242</v>
          </cell>
          <cell r="U1443">
            <v>44013</v>
          </cell>
        </row>
        <row r="1444">
          <cell r="B1444" t="str">
            <v>Saaj</v>
          </cell>
          <cell r="C1444">
            <v>5</v>
          </cell>
          <cell r="D1444">
            <v>125</v>
          </cell>
          <cell r="E1444">
            <v>5</v>
          </cell>
          <cell r="F1444">
            <v>7</v>
          </cell>
          <cell r="G1444">
            <v>1</v>
          </cell>
          <cell r="H1444">
            <v>8</v>
          </cell>
          <cell r="I1444">
            <v>12</v>
          </cell>
          <cell r="M1444" t="str">
            <v>&gt;&gt;</v>
          </cell>
          <cell r="N1444" t="str">
            <v>AB Saaj</v>
          </cell>
          <cell r="O1444" t="str">
            <v>FSC-2</v>
          </cell>
          <cell r="P1444" t="str">
            <v>HAAOR EXPRESS</v>
          </cell>
          <cell r="Q1444">
            <v>1</v>
          </cell>
          <cell r="R1444">
            <v>242</v>
          </cell>
          <cell r="U1444">
            <v>44013</v>
          </cell>
        </row>
        <row r="1445">
          <cell r="B1445" t="str">
            <v>Shohag</v>
          </cell>
          <cell r="C1445">
            <v>6</v>
          </cell>
          <cell r="D1445">
            <v>83</v>
          </cell>
          <cell r="E1445">
            <v>9</v>
          </cell>
          <cell r="F1445">
            <v>10</v>
          </cell>
          <cell r="G1445">
            <v>2</v>
          </cell>
          <cell r="H1445">
            <v>5</v>
          </cell>
          <cell r="I1445">
            <v>6</v>
          </cell>
          <cell r="M1445" t="str">
            <v>&gt;&gt;</v>
          </cell>
          <cell r="N1445" t="str">
            <v>Hetlar Shohag</v>
          </cell>
          <cell r="O1445" t="str">
            <v>FSC-2</v>
          </cell>
          <cell r="P1445" t="str">
            <v>HAAOR EXPRESS</v>
          </cell>
          <cell r="Q1445">
            <v>1</v>
          </cell>
          <cell r="R1445">
            <v>242</v>
          </cell>
          <cell r="U1445">
            <v>44013</v>
          </cell>
        </row>
        <row r="1446">
          <cell r="B1446" t="str">
            <v>Shamim</v>
          </cell>
          <cell r="C1446">
            <v>5</v>
          </cell>
          <cell r="D1446">
            <v>74</v>
          </cell>
          <cell r="E1446">
            <v>5</v>
          </cell>
          <cell r="F1446">
            <v>7</v>
          </cell>
          <cell r="G1446">
            <v>0</v>
          </cell>
          <cell r="H1446">
            <v>6</v>
          </cell>
          <cell r="I1446">
            <v>5</v>
          </cell>
          <cell r="M1446" t="str">
            <v>&gt;&gt;</v>
          </cell>
          <cell r="N1446" t="str">
            <v>SH Shamim</v>
          </cell>
          <cell r="O1446" t="str">
            <v>FSC-2</v>
          </cell>
          <cell r="P1446" t="str">
            <v>HAAOR EXPRESS</v>
          </cell>
          <cell r="Q1446">
            <v>1</v>
          </cell>
          <cell r="R1446">
            <v>242</v>
          </cell>
          <cell r="U1446">
            <v>44013</v>
          </cell>
        </row>
        <row r="1447">
          <cell r="B1447" t="str">
            <v>Rakib Jr.</v>
          </cell>
          <cell r="C1447">
            <v>6</v>
          </cell>
          <cell r="D1447">
            <v>43</v>
          </cell>
          <cell r="E1447">
            <v>4</v>
          </cell>
          <cell r="F1447">
            <v>10</v>
          </cell>
          <cell r="G1447">
            <v>0</v>
          </cell>
          <cell r="H1447">
            <v>1</v>
          </cell>
          <cell r="I1447">
            <v>4</v>
          </cell>
          <cell r="M1447" t="str">
            <v>&gt;&gt;</v>
          </cell>
          <cell r="N1447" t="str">
            <v>Rakib Hossain</v>
          </cell>
          <cell r="O1447" t="str">
            <v>FSC-2</v>
          </cell>
          <cell r="P1447" t="str">
            <v>HAAOR EXPRESS</v>
          </cell>
          <cell r="Q1447">
            <v>1</v>
          </cell>
          <cell r="R1447">
            <v>242</v>
          </cell>
          <cell r="U1447">
            <v>44013</v>
          </cell>
        </row>
        <row r="1448">
          <cell r="B1448" t="str">
            <v>Mithu</v>
          </cell>
          <cell r="C1448">
            <v>3</v>
          </cell>
          <cell r="D1448">
            <v>22</v>
          </cell>
          <cell r="E1448">
            <v>4</v>
          </cell>
          <cell r="F1448">
            <v>4</v>
          </cell>
          <cell r="G1448">
            <v>0</v>
          </cell>
          <cell r="H1448">
            <v>2</v>
          </cell>
          <cell r="I1448">
            <v>1</v>
          </cell>
          <cell r="M1448" t="str">
            <v>&gt;&gt;</v>
          </cell>
          <cell r="N1448" t="str">
            <v>Mostafizur Rahman Mithu</v>
          </cell>
          <cell r="O1448" t="str">
            <v>FSC-2</v>
          </cell>
          <cell r="P1448" t="str">
            <v>HAAOR EXPRESS</v>
          </cell>
          <cell r="Q1448">
            <v>1</v>
          </cell>
          <cell r="R1448">
            <v>242</v>
          </cell>
          <cell r="U1448">
            <v>44013</v>
          </cell>
        </row>
        <row r="1449">
          <cell r="B1449" t="str">
            <v>The Ultimate Kings</v>
          </cell>
          <cell r="M1449" t="str">
            <v>&gt;&gt;</v>
          </cell>
          <cell r="N1449" t="str">
            <v/>
          </cell>
          <cell r="O1449" t="str">
            <v>FSC-2</v>
          </cell>
          <cell r="P1449" t="str">
            <v>The Ultimate Kings</v>
          </cell>
          <cell r="Q1449">
            <v>1</v>
          </cell>
          <cell r="R1449">
            <v>243</v>
          </cell>
          <cell r="U1449">
            <v>44013</v>
          </cell>
        </row>
        <row r="1450">
          <cell r="B1450" t="str">
            <v>Jahin</v>
          </cell>
          <cell r="C1450">
            <v>6</v>
          </cell>
          <cell r="D1450">
            <v>133</v>
          </cell>
          <cell r="E1450">
            <v>11</v>
          </cell>
          <cell r="F1450">
            <v>10</v>
          </cell>
          <cell r="G1450">
            <v>0</v>
          </cell>
          <cell r="H1450">
            <v>13</v>
          </cell>
          <cell r="I1450">
            <v>7</v>
          </cell>
          <cell r="M1450" t="str">
            <v>&gt;&gt;</v>
          </cell>
          <cell r="N1450" t="str">
            <v>Jahin Shahriar Chowdhury</v>
          </cell>
          <cell r="O1450" t="str">
            <v>FSC-2</v>
          </cell>
          <cell r="P1450" t="str">
            <v>The Ultimate Kings</v>
          </cell>
          <cell r="Q1450">
            <v>1</v>
          </cell>
          <cell r="R1450">
            <v>243</v>
          </cell>
          <cell r="U1450">
            <v>44013</v>
          </cell>
        </row>
        <row r="1451">
          <cell r="B1451" t="str">
            <v>Sadrul</v>
          </cell>
          <cell r="C1451">
            <v>6</v>
          </cell>
          <cell r="D1451">
            <v>80</v>
          </cell>
          <cell r="E1451">
            <v>9</v>
          </cell>
          <cell r="F1451">
            <v>8</v>
          </cell>
          <cell r="G1451">
            <v>2</v>
          </cell>
          <cell r="H1451">
            <v>4</v>
          </cell>
          <cell r="I1451">
            <v>5</v>
          </cell>
          <cell r="M1451" t="str">
            <v>&gt;&gt;</v>
          </cell>
          <cell r="N1451" t="str">
            <v>Sadrul Anam</v>
          </cell>
          <cell r="O1451" t="str">
            <v>FSC-2</v>
          </cell>
          <cell r="P1451" t="str">
            <v>The Ultimate Kings</v>
          </cell>
          <cell r="Q1451">
            <v>1</v>
          </cell>
          <cell r="R1451">
            <v>243</v>
          </cell>
          <cell r="U1451">
            <v>44013</v>
          </cell>
        </row>
        <row r="1452">
          <cell r="B1452" t="str">
            <v>Firoj</v>
          </cell>
          <cell r="C1452">
            <v>6</v>
          </cell>
          <cell r="D1452">
            <v>66</v>
          </cell>
          <cell r="E1452">
            <v>5</v>
          </cell>
          <cell r="F1452">
            <v>7</v>
          </cell>
          <cell r="G1452">
            <v>2</v>
          </cell>
          <cell r="H1452">
            <v>6</v>
          </cell>
          <cell r="I1452">
            <v>2</v>
          </cell>
          <cell r="M1452" t="str">
            <v>&gt;&gt;</v>
          </cell>
          <cell r="N1452" t="str">
            <v>Firoj alam</v>
          </cell>
          <cell r="O1452" t="str">
            <v>FSC-2</v>
          </cell>
          <cell r="P1452" t="str">
            <v>The Ultimate Kings</v>
          </cell>
          <cell r="Q1452">
            <v>1</v>
          </cell>
          <cell r="R1452">
            <v>243</v>
          </cell>
          <cell r="U1452">
            <v>44013</v>
          </cell>
        </row>
        <row r="1453">
          <cell r="B1453" t="str">
            <v>Sohan</v>
          </cell>
          <cell r="C1453">
            <v>5</v>
          </cell>
          <cell r="D1453">
            <v>65</v>
          </cell>
          <cell r="E1453">
            <v>3</v>
          </cell>
          <cell r="F1453">
            <v>5</v>
          </cell>
          <cell r="G1453">
            <v>0</v>
          </cell>
          <cell r="H1453">
            <v>4</v>
          </cell>
          <cell r="I1453">
            <v>7</v>
          </cell>
          <cell r="M1453" t="str">
            <v>&gt;&gt;</v>
          </cell>
          <cell r="N1453" t="str">
            <v>Moksedur RaHman SoHan (Duronto Sohan)</v>
          </cell>
          <cell r="O1453" t="str">
            <v>FSC-2</v>
          </cell>
          <cell r="P1453" t="str">
            <v>The Ultimate Kings</v>
          </cell>
          <cell r="Q1453">
            <v>1</v>
          </cell>
          <cell r="R1453">
            <v>243</v>
          </cell>
          <cell r="U1453">
            <v>44013</v>
          </cell>
        </row>
        <row r="1454">
          <cell r="B1454" t="str">
            <v>Meer</v>
          </cell>
          <cell r="C1454">
            <v>5</v>
          </cell>
          <cell r="D1454">
            <v>57</v>
          </cell>
          <cell r="E1454">
            <v>4</v>
          </cell>
          <cell r="F1454">
            <v>5</v>
          </cell>
          <cell r="G1454">
            <v>0</v>
          </cell>
          <cell r="H1454">
            <v>3</v>
          </cell>
          <cell r="I1454">
            <v>4</v>
          </cell>
          <cell r="M1454" t="str">
            <v>&gt;&gt;</v>
          </cell>
          <cell r="N1454" t="str">
            <v>Meer Sher Ali</v>
          </cell>
          <cell r="O1454" t="str">
            <v>FSC-2</v>
          </cell>
          <cell r="P1454" t="str">
            <v>The Ultimate Kings</v>
          </cell>
          <cell r="Q1454">
            <v>1</v>
          </cell>
          <cell r="R1454">
            <v>243</v>
          </cell>
          <cell r="U1454">
            <v>44013</v>
          </cell>
        </row>
        <row r="1455">
          <cell r="B1455" t="str">
            <v>The Smashers</v>
          </cell>
          <cell r="M1455" t="str">
            <v>&gt;&gt;</v>
          </cell>
          <cell r="N1455" t="str">
            <v/>
          </cell>
          <cell r="O1455" t="str">
            <v>FSC-2</v>
          </cell>
          <cell r="P1455" t="str">
            <v>The Smashers</v>
          </cell>
          <cell r="Q1455">
            <v>1</v>
          </cell>
          <cell r="R1455">
            <v>244</v>
          </cell>
          <cell r="U1455">
            <v>44013</v>
          </cell>
        </row>
        <row r="1456">
          <cell r="B1456" t="str">
            <v>Rashed</v>
          </cell>
          <cell r="C1456">
            <v>7</v>
          </cell>
          <cell r="D1456">
            <v>71</v>
          </cell>
          <cell r="E1456">
            <v>9</v>
          </cell>
          <cell r="F1456">
            <v>10</v>
          </cell>
          <cell r="G1456">
            <v>2</v>
          </cell>
          <cell r="H1456">
            <v>6</v>
          </cell>
          <cell r="I1456">
            <v>6</v>
          </cell>
          <cell r="M1456" t="str">
            <v>&gt;&gt;</v>
          </cell>
          <cell r="N1456" t="str">
            <v>KM Rashedul Islam Rashed</v>
          </cell>
          <cell r="O1456" t="str">
            <v>FSC-2</v>
          </cell>
          <cell r="P1456" t="str">
            <v>The Smashers</v>
          </cell>
          <cell r="Q1456">
            <v>1</v>
          </cell>
          <cell r="R1456">
            <v>244</v>
          </cell>
          <cell r="U1456">
            <v>44013</v>
          </cell>
        </row>
        <row r="1457">
          <cell r="B1457" t="str">
            <v>Khokon</v>
          </cell>
          <cell r="C1457">
            <v>7</v>
          </cell>
          <cell r="D1457">
            <v>124</v>
          </cell>
          <cell r="E1457">
            <v>12</v>
          </cell>
          <cell r="F1457">
            <v>10</v>
          </cell>
          <cell r="G1457">
            <v>0</v>
          </cell>
          <cell r="H1457">
            <v>6</v>
          </cell>
          <cell r="I1457">
            <v>11</v>
          </cell>
          <cell r="M1457" t="str">
            <v>&gt;&gt;</v>
          </cell>
          <cell r="N1457" t="str">
            <v>Shahriar Khokon</v>
          </cell>
          <cell r="O1457" t="str">
            <v>FSC-2</v>
          </cell>
          <cell r="P1457" t="str">
            <v>The Smashers</v>
          </cell>
          <cell r="Q1457">
            <v>1</v>
          </cell>
          <cell r="R1457">
            <v>244</v>
          </cell>
          <cell r="U1457">
            <v>44013</v>
          </cell>
        </row>
        <row r="1458">
          <cell r="B1458" t="str">
            <v>Rexx</v>
          </cell>
          <cell r="C1458">
            <v>7</v>
          </cell>
          <cell r="D1458">
            <v>160</v>
          </cell>
          <cell r="E1458">
            <v>9</v>
          </cell>
          <cell r="F1458">
            <v>10</v>
          </cell>
          <cell r="G1458">
            <v>0</v>
          </cell>
          <cell r="H1458">
            <v>11</v>
          </cell>
          <cell r="I1458">
            <v>11</v>
          </cell>
          <cell r="M1458" t="str">
            <v>&gt;&gt;</v>
          </cell>
          <cell r="N1458" t="str">
            <v>Bishwajit Sarkar</v>
          </cell>
          <cell r="O1458" t="str">
            <v>FSC-2</v>
          </cell>
          <cell r="P1458" t="str">
            <v>The Smashers</v>
          </cell>
          <cell r="Q1458">
            <v>1</v>
          </cell>
          <cell r="R1458">
            <v>244</v>
          </cell>
          <cell r="U1458">
            <v>44013</v>
          </cell>
        </row>
        <row r="1459">
          <cell r="B1459" t="str">
            <v>Sagar</v>
          </cell>
          <cell r="C1459">
            <v>7</v>
          </cell>
          <cell r="D1459">
            <v>75</v>
          </cell>
          <cell r="E1459">
            <v>7</v>
          </cell>
          <cell r="F1459">
            <v>7</v>
          </cell>
          <cell r="G1459">
            <v>0</v>
          </cell>
          <cell r="H1459">
            <v>6</v>
          </cell>
          <cell r="I1459">
            <v>4</v>
          </cell>
          <cell r="M1459" t="str">
            <v>&gt;&gt;</v>
          </cell>
          <cell r="N1459" t="str">
            <v>Sajjadul Haque Sagar</v>
          </cell>
          <cell r="O1459" t="str">
            <v>FSC-2</v>
          </cell>
          <cell r="P1459" t="str">
            <v>The Smashers</v>
          </cell>
          <cell r="Q1459">
            <v>1</v>
          </cell>
          <cell r="R1459">
            <v>244</v>
          </cell>
          <cell r="U1459">
            <v>44013</v>
          </cell>
        </row>
        <row r="1460">
          <cell r="B1460" t="str">
            <v>Yaro</v>
          </cell>
          <cell r="C1460">
            <v>7</v>
          </cell>
          <cell r="D1460">
            <v>51</v>
          </cell>
          <cell r="E1460">
            <v>3</v>
          </cell>
          <cell r="F1460">
            <v>7</v>
          </cell>
          <cell r="G1460">
            <v>1</v>
          </cell>
          <cell r="H1460">
            <v>1</v>
          </cell>
          <cell r="I1460">
            <v>5</v>
          </cell>
          <cell r="M1460" t="str">
            <v>&gt;&gt;</v>
          </cell>
          <cell r="N1460" t="str">
            <v>Abu Mohammad Yaro</v>
          </cell>
          <cell r="O1460" t="str">
            <v>FSC-2</v>
          </cell>
          <cell r="P1460" t="str">
            <v>The Smashers</v>
          </cell>
          <cell r="Q1460">
            <v>1</v>
          </cell>
          <cell r="R1460">
            <v>244</v>
          </cell>
          <cell r="U1460">
            <v>44013</v>
          </cell>
        </row>
        <row r="1461">
          <cell r="B1461" t="str">
            <v>ULTIMATE SQUADRON</v>
          </cell>
          <cell r="M1461" t="str">
            <v>&gt;&gt;</v>
          </cell>
          <cell r="N1461" t="str">
            <v/>
          </cell>
          <cell r="O1461" t="str">
            <v>FSC-2</v>
          </cell>
          <cell r="P1461" t="str">
            <v>ULTIMATE SQUADRON</v>
          </cell>
          <cell r="Q1461">
            <v>1</v>
          </cell>
          <cell r="R1461">
            <v>245</v>
          </cell>
          <cell r="U1461">
            <v>44013</v>
          </cell>
        </row>
        <row r="1462">
          <cell r="B1462" t="str">
            <v>Helal</v>
          </cell>
          <cell r="C1462">
            <v>7</v>
          </cell>
          <cell r="D1462">
            <v>134</v>
          </cell>
          <cell r="E1462">
            <v>13</v>
          </cell>
          <cell r="F1462">
            <v>14</v>
          </cell>
          <cell r="G1462">
            <v>1</v>
          </cell>
          <cell r="H1462">
            <v>6</v>
          </cell>
          <cell r="I1462">
            <v>10</v>
          </cell>
          <cell r="M1462" t="str">
            <v>&gt;&gt;</v>
          </cell>
          <cell r="N1462" t="str">
            <v>Sheik Helal Ahmed</v>
          </cell>
          <cell r="O1462" t="str">
            <v>FSC-2</v>
          </cell>
          <cell r="P1462" t="str">
            <v>ULTIMATE SQUADRON</v>
          </cell>
          <cell r="Q1462">
            <v>1</v>
          </cell>
          <cell r="R1462">
            <v>245</v>
          </cell>
          <cell r="U1462">
            <v>44013</v>
          </cell>
        </row>
        <row r="1463">
          <cell r="B1463" t="str">
            <v>Jumon</v>
          </cell>
          <cell r="C1463">
            <v>7</v>
          </cell>
          <cell r="D1463">
            <v>115</v>
          </cell>
          <cell r="E1463">
            <v>10</v>
          </cell>
          <cell r="F1463">
            <v>10</v>
          </cell>
          <cell r="G1463">
            <v>1</v>
          </cell>
          <cell r="H1463">
            <v>8</v>
          </cell>
          <cell r="I1463">
            <v>7</v>
          </cell>
          <cell r="M1463" t="str">
            <v>&gt;&gt;</v>
          </cell>
          <cell r="N1463" t="str">
            <v>Foysal Ahmed Jumon</v>
          </cell>
          <cell r="O1463" t="str">
            <v>FSC-2</v>
          </cell>
          <cell r="P1463" t="str">
            <v>ULTIMATE SQUADRON</v>
          </cell>
          <cell r="Q1463">
            <v>1</v>
          </cell>
          <cell r="R1463">
            <v>245</v>
          </cell>
          <cell r="U1463">
            <v>44013</v>
          </cell>
        </row>
        <row r="1464">
          <cell r="B1464" t="str">
            <v>Kamil</v>
          </cell>
          <cell r="C1464">
            <v>7</v>
          </cell>
          <cell r="D1464">
            <v>59</v>
          </cell>
          <cell r="E1464">
            <v>3</v>
          </cell>
          <cell r="F1464">
            <v>9</v>
          </cell>
          <cell r="G1464">
            <v>0</v>
          </cell>
          <cell r="H1464">
            <v>6</v>
          </cell>
          <cell r="I1464">
            <v>3</v>
          </cell>
          <cell r="M1464" t="str">
            <v>&gt;&gt;</v>
          </cell>
          <cell r="N1464" t="str">
            <v>Kamil Ahmed</v>
          </cell>
          <cell r="O1464" t="str">
            <v>FSC-2</v>
          </cell>
          <cell r="P1464" t="str">
            <v>ULTIMATE SQUADRON</v>
          </cell>
          <cell r="Q1464">
            <v>1</v>
          </cell>
          <cell r="R1464">
            <v>245</v>
          </cell>
          <cell r="U1464">
            <v>44013</v>
          </cell>
        </row>
        <row r="1465">
          <cell r="B1465" t="str">
            <v>Meyaz</v>
          </cell>
          <cell r="C1465">
            <v>6</v>
          </cell>
          <cell r="D1465">
            <v>81</v>
          </cell>
          <cell r="E1465">
            <v>9</v>
          </cell>
          <cell r="F1465">
            <v>10</v>
          </cell>
          <cell r="G1465">
            <v>0</v>
          </cell>
          <cell r="H1465">
            <v>8</v>
          </cell>
          <cell r="I1465">
            <v>6</v>
          </cell>
          <cell r="M1465" t="str">
            <v>&gt;&gt;</v>
          </cell>
          <cell r="N1465" t="str">
            <v>Meyaz Al Emon</v>
          </cell>
          <cell r="O1465" t="str">
            <v>FSC-2</v>
          </cell>
          <cell r="P1465" t="str">
            <v>ULTIMATE SQUADRON</v>
          </cell>
          <cell r="Q1465">
            <v>1</v>
          </cell>
          <cell r="R1465">
            <v>245</v>
          </cell>
          <cell r="U1465">
            <v>44013</v>
          </cell>
        </row>
        <row r="1466">
          <cell r="B1466" t="str">
            <v>Anik</v>
          </cell>
          <cell r="C1466">
            <v>5</v>
          </cell>
          <cell r="D1466">
            <v>34</v>
          </cell>
          <cell r="E1466">
            <v>1</v>
          </cell>
          <cell r="F1466">
            <v>5</v>
          </cell>
          <cell r="G1466">
            <v>0</v>
          </cell>
          <cell r="H1466">
            <v>3</v>
          </cell>
          <cell r="I1466">
            <v>2</v>
          </cell>
          <cell r="M1466" t="str">
            <v>&gt;&gt;</v>
          </cell>
          <cell r="N1466" t="str">
            <v>Anik Day Shanto</v>
          </cell>
          <cell r="O1466" t="str">
            <v>FSC-2</v>
          </cell>
          <cell r="P1466" t="str">
            <v>ULTIMATE SQUADRON</v>
          </cell>
          <cell r="Q1466">
            <v>1</v>
          </cell>
          <cell r="R1466">
            <v>245</v>
          </cell>
          <cell r="U1466">
            <v>44013</v>
          </cell>
        </row>
        <row r="1467">
          <cell r="B1467" t="str">
            <v>XTREME TRITONS</v>
          </cell>
          <cell r="M1467" t="str">
            <v>&gt;&gt;</v>
          </cell>
          <cell r="N1467" t="str">
            <v/>
          </cell>
          <cell r="O1467" t="str">
            <v>FSC-2</v>
          </cell>
          <cell r="P1467" t="str">
            <v>XTREME TRITONS</v>
          </cell>
          <cell r="Q1467">
            <v>1</v>
          </cell>
          <cell r="R1467">
            <v>246</v>
          </cell>
          <cell r="U1467">
            <v>44013</v>
          </cell>
        </row>
        <row r="1468">
          <cell r="B1468" t="str">
            <v>Asif</v>
          </cell>
          <cell r="C1468">
            <v>8</v>
          </cell>
          <cell r="D1468">
            <v>48</v>
          </cell>
          <cell r="E1468">
            <v>11</v>
          </cell>
          <cell r="F1468">
            <v>8</v>
          </cell>
          <cell r="G1468">
            <v>1</v>
          </cell>
          <cell r="H1468">
            <v>5</v>
          </cell>
          <cell r="I1468">
            <v>2</v>
          </cell>
          <cell r="M1468" t="str">
            <v>&gt;&gt;</v>
          </cell>
          <cell r="N1468" t="str">
            <v>Asif Iqbal Khan</v>
          </cell>
          <cell r="O1468" t="str">
            <v>FSC-2</v>
          </cell>
          <cell r="P1468" t="str">
            <v>XTREME TRITONS</v>
          </cell>
          <cell r="Q1468">
            <v>1</v>
          </cell>
          <cell r="R1468">
            <v>246</v>
          </cell>
          <cell r="U1468">
            <v>44013</v>
          </cell>
        </row>
        <row r="1469">
          <cell r="B1469" t="str">
            <v>Tonmoy</v>
          </cell>
          <cell r="C1469">
            <v>8</v>
          </cell>
          <cell r="D1469">
            <v>116</v>
          </cell>
          <cell r="E1469">
            <v>16</v>
          </cell>
          <cell r="F1469">
            <v>11</v>
          </cell>
          <cell r="G1469">
            <v>2</v>
          </cell>
          <cell r="H1469">
            <v>7</v>
          </cell>
          <cell r="I1469">
            <v>5</v>
          </cell>
          <cell r="M1469" t="str">
            <v>&gt;&gt;</v>
          </cell>
          <cell r="N1469" t="str">
            <v>Asik Hassan Tonmoy</v>
          </cell>
          <cell r="O1469" t="str">
            <v>FSC-2</v>
          </cell>
          <cell r="P1469" t="str">
            <v>XTREME TRITONS</v>
          </cell>
          <cell r="Q1469">
            <v>1</v>
          </cell>
          <cell r="R1469">
            <v>246</v>
          </cell>
          <cell r="U1469">
            <v>44013</v>
          </cell>
        </row>
        <row r="1470">
          <cell r="B1470" t="str">
            <v>Shakil</v>
          </cell>
          <cell r="C1470">
            <v>8</v>
          </cell>
          <cell r="D1470">
            <v>88</v>
          </cell>
          <cell r="E1470">
            <v>6</v>
          </cell>
          <cell r="F1470">
            <v>10</v>
          </cell>
          <cell r="G1470">
            <v>0</v>
          </cell>
          <cell r="H1470">
            <v>6</v>
          </cell>
          <cell r="I1470">
            <v>7</v>
          </cell>
          <cell r="M1470" t="str">
            <v>&gt;&gt;</v>
          </cell>
          <cell r="N1470" t="str">
            <v>M R Shakil</v>
          </cell>
          <cell r="O1470" t="str">
            <v>FSC-2</v>
          </cell>
          <cell r="P1470" t="str">
            <v>XTREME TRITONS</v>
          </cell>
          <cell r="Q1470">
            <v>1</v>
          </cell>
          <cell r="R1470">
            <v>246</v>
          </cell>
          <cell r="U1470">
            <v>44013</v>
          </cell>
        </row>
        <row r="1471">
          <cell r="B1471" t="str">
            <v>Ayan</v>
          </cell>
          <cell r="C1471">
            <v>8</v>
          </cell>
          <cell r="D1471">
            <v>169</v>
          </cell>
          <cell r="E1471">
            <v>11</v>
          </cell>
          <cell r="F1471">
            <v>10</v>
          </cell>
          <cell r="G1471">
            <v>2</v>
          </cell>
          <cell r="H1471">
            <v>19</v>
          </cell>
          <cell r="I1471">
            <v>10</v>
          </cell>
          <cell r="M1471" t="str">
            <v>&gt;&gt;</v>
          </cell>
          <cell r="N1471" t="str">
            <v>Md. Tanveer Mahmud Ayan</v>
          </cell>
          <cell r="O1471" t="str">
            <v>FSC-2</v>
          </cell>
          <cell r="P1471" t="str">
            <v>XTREME TRITONS</v>
          </cell>
          <cell r="Q1471">
            <v>1</v>
          </cell>
          <cell r="R1471">
            <v>246</v>
          </cell>
          <cell r="U1471">
            <v>44013</v>
          </cell>
        </row>
        <row r="1472">
          <cell r="B1472" t="str">
            <v>TM SHUVRO</v>
          </cell>
          <cell r="C1472">
            <v>8</v>
          </cell>
          <cell r="D1472">
            <v>81</v>
          </cell>
          <cell r="E1472">
            <v>3</v>
          </cell>
          <cell r="F1472">
            <v>8</v>
          </cell>
          <cell r="G1472">
            <v>0</v>
          </cell>
          <cell r="H1472">
            <v>2</v>
          </cell>
          <cell r="I1472">
            <v>4</v>
          </cell>
          <cell r="M1472" t="str">
            <v>&gt;&gt;</v>
          </cell>
          <cell r="N1472" t="str">
            <v>তন্ময় মজুমদার শুভ্র</v>
          </cell>
          <cell r="O1472" t="str">
            <v>FSC-2</v>
          </cell>
          <cell r="P1472" t="str">
            <v>XTREME TRITONS</v>
          </cell>
          <cell r="Q1472">
            <v>1</v>
          </cell>
          <cell r="R1472">
            <v>246</v>
          </cell>
          <cell r="U1472">
            <v>44013</v>
          </cell>
        </row>
        <row r="1473">
          <cell r="B1473" t="str">
            <v>Fearless Knight (RUNNER-UP)</v>
          </cell>
          <cell r="F1473" t="str">
            <v>*</v>
          </cell>
          <cell r="M1473" t="str">
            <v>&gt;&gt;</v>
          </cell>
          <cell r="N1473" t="str">
            <v/>
          </cell>
          <cell r="O1473" t="str">
            <v>FSC-2</v>
          </cell>
          <cell r="P1473" t="str">
            <v>Fearless Knight (RUNNER-UP)</v>
          </cell>
          <cell r="Q1473">
            <v>1</v>
          </cell>
          <cell r="R1473">
            <v>247</v>
          </cell>
          <cell r="T1473" t="str">
            <v>RU</v>
          </cell>
          <cell r="U1473">
            <v>44013</v>
          </cell>
        </row>
        <row r="1474">
          <cell r="B1474" t="str">
            <v>Tanvir</v>
          </cell>
          <cell r="C1474">
            <v>9</v>
          </cell>
          <cell r="D1474">
            <v>87</v>
          </cell>
          <cell r="E1474">
            <v>16</v>
          </cell>
          <cell r="F1474">
            <v>13</v>
          </cell>
          <cell r="G1474">
            <v>1</v>
          </cell>
          <cell r="H1474">
            <v>7</v>
          </cell>
          <cell r="I1474">
            <v>8</v>
          </cell>
          <cell r="M1474" t="str">
            <v>&gt;&gt;</v>
          </cell>
          <cell r="N1474" t="str">
            <v>Tanvir Shakib</v>
          </cell>
          <cell r="O1474" t="str">
            <v>FSC-2</v>
          </cell>
          <cell r="P1474" t="str">
            <v>Fearless Knight (RUNNER-UP)</v>
          </cell>
          <cell r="Q1474">
            <v>1</v>
          </cell>
          <cell r="R1474">
            <v>247</v>
          </cell>
          <cell r="T1474" t="str">
            <v>RU</v>
          </cell>
          <cell r="U1474">
            <v>44013</v>
          </cell>
        </row>
        <row r="1475">
          <cell r="B1475" t="str">
            <v>Nahid</v>
          </cell>
          <cell r="C1475">
            <v>9</v>
          </cell>
          <cell r="D1475">
            <v>158</v>
          </cell>
          <cell r="E1475">
            <v>11</v>
          </cell>
          <cell r="F1475">
            <v>12</v>
          </cell>
          <cell r="G1475">
            <v>0</v>
          </cell>
          <cell r="H1475">
            <v>11</v>
          </cell>
          <cell r="I1475">
            <v>10</v>
          </cell>
          <cell r="M1475" t="str">
            <v>&gt;&gt;</v>
          </cell>
          <cell r="N1475" t="str">
            <v>Nahid Saifullah</v>
          </cell>
          <cell r="O1475" t="str">
            <v>FSC-2</v>
          </cell>
          <cell r="P1475" t="str">
            <v>Fearless Knight (RUNNER-UP)</v>
          </cell>
          <cell r="Q1475">
            <v>1</v>
          </cell>
          <cell r="R1475">
            <v>247</v>
          </cell>
          <cell r="T1475" t="str">
            <v>RU</v>
          </cell>
          <cell r="U1475">
            <v>44013</v>
          </cell>
        </row>
        <row r="1476">
          <cell r="B1476" t="str">
            <v>Hridoy</v>
          </cell>
          <cell r="C1476">
            <v>6</v>
          </cell>
          <cell r="D1476">
            <v>80</v>
          </cell>
          <cell r="E1476">
            <v>3</v>
          </cell>
          <cell r="F1476">
            <v>7</v>
          </cell>
          <cell r="G1476">
            <v>1</v>
          </cell>
          <cell r="H1476">
            <v>5</v>
          </cell>
          <cell r="I1476">
            <v>7</v>
          </cell>
          <cell r="M1476" t="str">
            <v>&gt;&gt;</v>
          </cell>
          <cell r="N1476" t="str">
            <v>Kamrul Hasan Hridoy</v>
          </cell>
          <cell r="O1476" t="str">
            <v>FSC-2</v>
          </cell>
          <cell r="P1476" t="str">
            <v>Fearless Knight (RUNNER-UP)</v>
          </cell>
          <cell r="Q1476">
            <v>1</v>
          </cell>
          <cell r="R1476">
            <v>247</v>
          </cell>
          <cell r="T1476" t="str">
            <v>RU</v>
          </cell>
          <cell r="U1476">
            <v>44013</v>
          </cell>
        </row>
        <row r="1477">
          <cell r="B1477" t="str">
            <v>Shafiqul</v>
          </cell>
          <cell r="C1477">
            <v>9</v>
          </cell>
          <cell r="D1477">
            <v>251</v>
          </cell>
          <cell r="E1477">
            <v>15</v>
          </cell>
          <cell r="F1477">
            <v>15</v>
          </cell>
          <cell r="G1477">
            <v>1</v>
          </cell>
          <cell r="H1477">
            <v>16</v>
          </cell>
          <cell r="I1477">
            <v>21</v>
          </cell>
          <cell r="M1477" t="str">
            <v>&gt;&gt;</v>
          </cell>
          <cell r="N1477" t="str">
            <v>Shafiqul Islam</v>
          </cell>
          <cell r="O1477" t="str">
            <v>FSC-2</v>
          </cell>
          <cell r="P1477" t="str">
            <v>Fearless Knight (RUNNER-UP)</v>
          </cell>
          <cell r="Q1477">
            <v>1</v>
          </cell>
          <cell r="R1477">
            <v>247</v>
          </cell>
          <cell r="S1477" t="str">
            <v>CPOT</v>
          </cell>
          <cell r="T1477" t="str">
            <v>RU</v>
          </cell>
          <cell r="U1477">
            <v>44013</v>
          </cell>
        </row>
        <row r="1478">
          <cell r="B1478" t="str">
            <v>Rakib</v>
          </cell>
          <cell r="C1478">
            <v>9</v>
          </cell>
          <cell r="D1478">
            <v>97</v>
          </cell>
          <cell r="E1478">
            <v>11</v>
          </cell>
          <cell r="F1478">
            <v>8</v>
          </cell>
          <cell r="G1478">
            <v>1</v>
          </cell>
          <cell r="H1478">
            <v>9</v>
          </cell>
          <cell r="I1478">
            <v>8</v>
          </cell>
          <cell r="M1478" t="str">
            <v>&gt;&gt;</v>
          </cell>
          <cell r="N1478" t="str">
            <v>Rakib Hasan</v>
          </cell>
          <cell r="O1478" t="str">
            <v>FSC-2</v>
          </cell>
          <cell r="P1478" t="str">
            <v>Fearless Knight (RUNNER-UP)</v>
          </cell>
          <cell r="Q1478">
            <v>1</v>
          </cell>
          <cell r="R1478">
            <v>247</v>
          </cell>
          <cell r="T1478" t="str">
            <v>RU</v>
          </cell>
          <cell r="U1478">
            <v>44013</v>
          </cell>
        </row>
        <row r="1479">
          <cell r="B1479" t="str">
            <v>Blusterous Wolves</v>
          </cell>
          <cell r="M1479" t="str">
            <v>&gt;&gt;</v>
          </cell>
          <cell r="N1479" t="str">
            <v/>
          </cell>
          <cell r="O1479" t="str">
            <v>FSC-2</v>
          </cell>
          <cell r="P1479" t="str">
            <v>Blusterous Wolves</v>
          </cell>
          <cell r="Q1479">
            <v>1</v>
          </cell>
          <cell r="R1479">
            <v>248</v>
          </cell>
          <cell r="U1479">
            <v>44013</v>
          </cell>
        </row>
        <row r="1480">
          <cell r="B1480" t="str">
            <v>Al Mamun</v>
          </cell>
          <cell r="C1480">
            <v>6</v>
          </cell>
          <cell r="D1480">
            <v>108</v>
          </cell>
          <cell r="E1480">
            <v>8</v>
          </cell>
          <cell r="F1480">
            <v>9</v>
          </cell>
          <cell r="G1480">
            <v>0</v>
          </cell>
          <cell r="H1480">
            <v>6</v>
          </cell>
          <cell r="I1480">
            <v>9</v>
          </cell>
          <cell r="M1480" t="str">
            <v>&gt;&gt;</v>
          </cell>
          <cell r="N1480" t="str">
            <v>Mohammed Al Mamun</v>
          </cell>
          <cell r="O1480" t="str">
            <v>FSC-2</v>
          </cell>
          <cell r="P1480" t="str">
            <v>Blusterous Wolves</v>
          </cell>
          <cell r="Q1480">
            <v>1</v>
          </cell>
          <cell r="R1480">
            <v>248</v>
          </cell>
          <cell r="U1480">
            <v>44013</v>
          </cell>
        </row>
        <row r="1481">
          <cell r="B1481" t="str">
            <v>Kamal</v>
          </cell>
          <cell r="C1481">
            <v>6</v>
          </cell>
          <cell r="D1481">
            <v>112</v>
          </cell>
          <cell r="E1481">
            <v>4</v>
          </cell>
          <cell r="F1481">
            <v>11</v>
          </cell>
          <cell r="G1481">
            <v>1</v>
          </cell>
          <cell r="H1481">
            <v>3</v>
          </cell>
          <cell r="I1481">
            <v>10</v>
          </cell>
          <cell r="M1481" t="str">
            <v>&gt;&gt;</v>
          </cell>
          <cell r="N1481" t="str">
            <v>MD Kamal Hossain Kamal</v>
          </cell>
          <cell r="O1481" t="str">
            <v>FSC-2</v>
          </cell>
          <cell r="P1481" t="str">
            <v>Blusterous Wolves</v>
          </cell>
          <cell r="Q1481">
            <v>1</v>
          </cell>
          <cell r="R1481">
            <v>248</v>
          </cell>
          <cell r="U1481">
            <v>44013</v>
          </cell>
        </row>
        <row r="1482">
          <cell r="B1482" t="str">
            <v>SA Shanto</v>
          </cell>
          <cell r="C1482">
            <v>6</v>
          </cell>
          <cell r="D1482">
            <v>111</v>
          </cell>
          <cell r="E1482">
            <v>5</v>
          </cell>
          <cell r="F1482">
            <v>9</v>
          </cell>
          <cell r="G1482">
            <v>1</v>
          </cell>
          <cell r="H1482">
            <v>6</v>
          </cell>
          <cell r="I1482">
            <v>10</v>
          </cell>
          <cell r="M1482" t="str">
            <v>&gt;&gt;</v>
          </cell>
          <cell r="N1482" t="str">
            <v>Sayed Anowar Shanto</v>
          </cell>
          <cell r="O1482" t="str">
            <v>FSC-2</v>
          </cell>
          <cell r="P1482" t="str">
            <v>Blusterous Wolves</v>
          </cell>
          <cell r="Q1482">
            <v>1</v>
          </cell>
          <cell r="R1482">
            <v>248</v>
          </cell>
          <cell r="U1482">
            <v>44013</v>
          </cell>
        </row>
        <row r="1483">
          <cell r="B1483" t="str">
            <v>Mh Nayem</v>
          </cell>
          <cell r="C1483">
            <v>6</v>
          </cell>
          <cell r="D1483">
            <v>92</v>
          </cell>
          <cell r="E1483">
            <v>5</v>
          </cell>
          <cell r="F1483">
            <v>8</v>
          </cell>
          <cell r="G1483">
            <v>1</v>
          </cell>
          <cell r="H1483">
            <v>9</v>
          </cell>
          <cell r="I1483">
            <v>6</v>
          </cell>
          <cell r="M1483" t="str">
            <v>&gt;&gt;</v>
          </cell>
          <cell r="N1483" t="str">
            <v>মাহমুদুল হক নাইম</v>
          </cell>
          <cell r="O1483" t="str">
            <v>FSC-2</v>
          </cell>
          <cell r="P1483" t="str">
            <v>Blusterous Wolves</v>
          </cell>
          <cell r="Q1483">
            <v>1</v>
          </cell>
          <cell r="R1483">
            <v>248</v>
          </cell>
          <cell r="U1483">
            <v>44013</v>
          </cell>
        </row>
        <row r="1484">
          <cell r="B1484" t="str">
            <v>SH Sohan</v>
          </cell>
          <cell r="C1484">
            <v>6</v>
          </cell>
          <cell r="D1484">
            <v>36</v>
          </cell>
          <cell r="E1484">
            <v>4</v>
          </cell>
          <cell r="F1484">
            <v>5</v>
          </cell>
          <cell r="G1484">
            <v>0</v>
          </cell>
          <cell r="H1484">
            <v>3</v>
          </cell>
          <cell r="I1484">
            <v>1</v>
          </cell>
          <cell r="M1484" t="str">
            <v>&gt;&gt;</v>
          </cell>
          <cell r="N1484" t="str">
            <v>S H Sohan</v>
          </cell>
          <cell r="O1484" t="str">
            <v>FSC-2</v>
          </cell>
          <cell r="P1484" t="str">
            <v>Blusterous Wolves</v>
          </cell>
          <cell r="Q1484">
            <v>1</v>
          </cell>
          <cell r="R1484">
            <v>248</v>
          </cell>
          <cell r="U1484">
            <v>44013</v>
          </cell>
        </row>
        <row r="1485">
          <cell r="B1485" t="str">
            <v>SPARTAN LOCOMOTIVES</v>
          </cell>
          <cell r="M1485" t="str">
            <v>&gt;&gt;</v>
          </cell>
          <cell r="N1485" t="str">
            <v/>
          </cell>
          <cell r="O1485" t="str">
            <v>FSC-2</v>
          </cell>
          <cell r="P1485" t="str">
            <v>SPARTAN LOCOMOTIVES</v>
          </cell>
          <cell r="Q1485">
            <v>1</v>
          </cell>
          <cell r="R1485">
            <v>249</v>
          </cell>
          <cell r="U1485">
            <v>44013</v>
          </cell>
        </row>
        <row r="1486">
          <cell r="B1486" t="str">
            <v>Shovon</v>
          </cell>
          <cell r="C1486">
            <v>6</v>
          </cell>
          <cell r="D1486">
            <v>122</v>
          </cell>
          <cell r="E1486">
            <v>11</v>
          </cell>
          <cell r="F1486">
            <v>7</v>
          </cell>
          <cell r="G1486">
            <v>1</v>
          </cell>
          <cell r="H1486">
            <v>13</v>
          </cell>
          <cell r="I1486">
            <v>7</v>
          </cell>
          <cell r="M1486" t="str">
            <v>&gt;&gt;</v>
          </cell>
          <cell r="N1486" t="str">
            <v>Shahriar Khan Shovon</v>
          </cell>
          <cell r="O1486" t="str">
            <v>FSC-2</v>
          </cell>
          <cell r="P1486" t="str">
            <v>SPARTAN LOCOMOTIVES</v>
          </cell>
          <cell r="Q1486">
            <v>1</v>
          </cell>
          <cell r="R1486">
            <v>249</v>
          </cell>
          <cell r="U1486">
            <v>44013</v>
          </cell>
        </row>
        <row r="1487">
          <cell r="B1487" t="str">
            <v>Tarek</v>
          </cell>
          <cell r="C1487">
            <v>6</v>
          </cell>
          <cell r="D1487">
            <v>40</v>
          </cell>
          <cell r="E1487">
            <v>8</v>
          </cell>
          <cell r="F1487">
            <v>7</v>
          </cell>
          <cell r="G1487">
            <v>0</v>
          </cell>
          <cell r="H1487">
            <v>5</v>
          </cell>
          <cell r="I1487">
            <v>1</v>
          </cell>
          <cell r="M1487" t="str">
            <v>&gt;&gt;</v>
          </cell>
          <cell r="N1487" t="str">
            <v>Prince Tarek</v>
          </cell>
          <cell r="O1487" t="str">
            <v>FSC-2</v>
          </cell>
          <cell r="P1487" t="str">
            <v>SPARTAN LOCOMOTIVES</v>
          </cell>
          <cell r="Q1487">
            <v>1</v>
          </cell>
          <cell r="R1487">
            <v>249</v>
          </cell>
          <cell r="U1487">
            <v>44013</v>
          </cell>
        </row>
        <row r="1488">
          <cell r="B1488" t="str">
            <v>Akash</v>
          </cell>
          <cell r="C1488">
            <v>6</v>
          </cell>
          <cell r="D1488">
            <v>29</v>
          </cell>
          <cell r="E1488">
            <v>3</v>
          </cell>
          <cell r="F1488">
            <v>7</v>
          </cell>
          <cell r="G1488">
            <v>0</v>
          </cell>
          <cell r="H1488">
            <v>1</v>
          </cell>
          <cell r="I1488">
            <v>2</v>
          </cell>
          <cell r="M1488" t="str">
            <v>&gt;&gt;</v>
          </cell>
          <cell r="N1488" t="str">
            <v>Mahbubur Rahman Akash</v>
          </cell>
          <cell r="O1488" t="str">
            <v>FSC-2</v>
          </cell>
          <cell r="P1488" t="str">
            <v>SPARTAN LOCOMOTIVES</v>
          </cell>
          <cell r="Q1488">
            <v>1</v>
          </cell>
          <cell r="R1488">
            <v>249</v>
          </cell>
          <cell r="U1488">
            <v>44013</v>
          </cell>
        </row>
        <row r="1489">
          <cell r="B1489" t="str">
            <v>Rana</v>
          </cell>
          <cell r="C1489">
            <v>6</v>
          </cell>
          <cell r="D1489">
            <v>59</v>
          </cell>
          <cell r="E1489">
            <v>1</v>
          </cell>
          <cell r="F1489">
            <v>7</v>
          </cell>
          <cell r="G1489">
            <v>1</v>
          </cell>
          <cell r="H1489">
            <v>4</v>
          </cell>
          <cell r="I1489">
            <v>4</v>
          </cell>
          <cell r="M1489" t="str">
            <v>&gt;&gt;</v>
          </cell>
          <cell r="N1489" t="str">
            <v>Rana Md Masud</v>
          </cell>
          <cell r="O1489" t="str">
            <v>FSC-2</v>
          </cell>
          <cell r="P1489" t="str">
            <v>SPARTAN LOCOMOTIVES</v>
          </cell>
          <cell r="Q1489">
            <v>1</v>
          </cell>
          <cell r="R1489">
            <v>249</v>
          </cell>
          <cell r="U1489">
            <v>44013</v>
          </cell>
        </row>
        <row r="1490">
          <cell r="B1490" t="str">
            <v>Laisul</v>
          </cell>
          <cell r="C1490">
            <v>6</v>
          </cell>
          <cell r="D1490">
            <v>104</v>
          </cell>
          <cell r="E1490">
            <v>6</v>
          </cell>
          <cell r="F1490">
            <v>10</v>
          </cell>
          <cell r="G1490">
            <v>0</v>
          </cell>
          <cell r="H1490">
            <v>10</v>
          </cell>
          <cell r="I1490">
            <v>4</v>
          </cell>
          <cell r="M1490" t="str">
            <v>&gt;&gt;</v>
          </cell>
          <cell r="N1490" t="str">
            <v>Laisul Morshed</v>
          </cell>
          <cell r="O1490" t="str">
            <v>FSC-2</v>
          </cell>
          <cell r="P1490" t="str">
            <v>SPARTAN LOCOMOTIVES</v>
          </cell>
          <cell r="Q1490">
            <v>1</v>
          </cell>
          <cell r="R1490">
            <v>249</v>
          </cell>
          <cell r="U1490">
            <v>44013</v>
          </cell>
        </row>
        <row r="1491">
          <cell r="B1491" t="str">
            <v>SCREAMING EAGLES</v>
          </cell>
          <cell r="M1491" t="str">
            <v>&gt;&gt;</v>
          </cell>
          <cell r="N1491" t="str">
            <v/>
          </cell>
          <cell r="O1491" t="str">
            <v>FSC-2</v>
          </cell>
          <cell r="P1491" t="str">
            <v>SCREAMING EAGLES</v>
          </cell>
          <cell r="Q1491">
            <v>1</v>
          </cell>
          <cell r="R1491">
            <v>250</v>
          </cell>
          <cell r="U1491">
            <v>44013</v>
          </cell>
        </row>
        <row r="1492">
          <cell r="B1492" t="str">
            <v>Zaheed</v>
          </cell>
          <cell r="C1492">
            <v>8</v>
          </cell>
          <cell r="D1492">
            <v>72</v>
          </cell>
          <cell r="E1492">
            <v>17</v>
          </cell>
          <cell r="F1492">
            <v>7</v>
          </cell>
          <cell r="G1492">
            <v>0</v>
          </cell>
          <cell r="H1492">
            <v>4</v>
          </cell>
          <cell r="I1492">
            <v>5</v>
          </cell>
          <cell r="M1492" t="str">
            <v>&gt;&gt;</v>
          </cell>
          <cell r="N1492" t="str">
            <v>Zaheed Hasan</v>
          </cell>
          <cell r="O1492" t="str">
            <v>FSC-2</v>
          </cell>
          <cell r="P1492" t="str">
            <v>SCREAMING EAGLES</v>
          </cell>
          <cell r="Q1492">
            <v>1</v>
          </cell>
          <cell r="R1492">
            <v>250</v>
          </cell>
          <cell r="U1492">
            <v>44013</v>
          </cell>
        </row>
        <row r="1493">
          <cell r="B1493" t="str">
            <v>Ovi</v>
          </cell>
          <cell r="C1493">
            <v>5</v>
          </cell>
          <cell r="D1493">
            <v>58</v>
          </cell>
          <cell r="E1493">
            <v>4</v>
          </cell>
          <cell r="F1493">
            <v>5</v>
          </cell>
          <cell r="G1493">
            <v>1</v>
          </cell>
          <cell r="H1493">
            <v>5</v>
          </cell>
          <cell r="I1493">
            <v>3</v>
          </cell>
          <cell r="M1493" t="str">
            <v>&gt;&gt;</v>
          </cell>
          <cell r="N1493" t="str">
            <v>Toufiq Ahmed Ovi</v>
          </cell>
          <cell r="O1493" t="str">
            <v>FSC-2</v>
          </cell>
          <cell r="P1493" t="str">
            <v>SCREAMING EAGLES</v>
          </cell>
          <cell r="Q1493">
            <v>1</v>
          </cell>
          <cell r="R1493">
            <v>250</v>
          </cell>
          <cell r="U1493">
            <v>44013</v>
          </cell>
        </row>
        <row r="1494">
          <cell r="B1494" t="str">
            <v>Niamul</v>
          </cell>
          <cell r="C1494">
            <v>8</v>
          </cell>
          <cell r="D1494">
            <v>189</v>
          </cell>
          <cell r="E1494">
            <v>12</v>
          </cell>
          <cell r="F1494">
            <v>14</v>
          </cell>
          <cell r="G1494">
            <v>2</v>
          </cell>
          <cell r="H1494">
            <v>14</v>
          </cell>
          <cell r="I1494">
            <v>11</v>
          </cell>
          <cell r="M1494" t="str">
            <v>&gt;&gt;</v>
          </cell>
          <cell r="N1494" t="str">
            <v>Niamul Habib Setu</v>
          </cell>
          <cell r="O1494" t="str">
            <v>FSC-2</v>
          </cell>
          <cell r="P1494" t="str">
            <v>SCREAMING EAGLES</v>
          </cell>
          <cell r="Q1494">
            <v>1</v>
          </cell>
          <cell r="R1494">
            <v>250</v>
          </cell>
          <cell r="U1494">
            <v>44013</v>
          </cell>
        </row>
        <row r="1495">
          <cell r="B1495" t="str">
            <v>Faruque</v>
          </cell>
          <cell r="C1495">
            <v>8</v>
          </cell>
          <cell r="D1495">
            <v>133</v>
          </cell>
          <cell r="E1495">
            <v>4</v>
          </cell>
          <cell r="F1495">
            <v>11</v>
          </cell>
          <cell r="G1495">
            <v>0</v>
          </cell>
          <cell r="H1495">
            <v>10</v>
          </cell>
          <cell r="I1495">
            <v>8</v>
          </cell>
          <cell r="M1495" t="str">
            <v>&gt;&gt;</v>
          </cell>
          <cell r="N1495" t="str">
            <v>Mohammad Faruque</v>
          </cell>
          <cell r="O1495" t="str">
            <v>FSC-2</v>
          </cell>
          <cell r="P1495" t="str">
            <v>SCREAMING EAGLES</v>
          </cell>
          <cell r="Q1495">
            <v>1</v>
          </cell>
          <cell r="R1495">
            <v>250</v>
          </cell>
          <cell r="U1495">
            <v>44013</v>
          </cell>
        </row>
        <row r="1496">
          <cell r="B1496" t="str">
            <v>Ador</v>
          </cell>
          <cell r="C1496">
            <v>8</v>
          </cell>
          <cell r="D1496">
            <v>161</v>
          </cell>
          <cell r="E1496">
            <v>6</v>
          </cell>
          <cell r="F1496">
            <v>10</v>
          </cell>
          <cell r="G1496">
            <v>1</v>
          </cell>
          <cell r="H1496">
            <v>19</v>
          </cell>
          <cell r="I1496">
            <v>10</v>
          </cell>
          <cell r="M1496" t="str">
            <v>&gt;&gt;</v>
          </cell>
          <cell r="N1496" t="str">
            <v>Ador Hasan</v>
          </cell>
          <cell r="O1496" t="str">
            <v>FSC-2</v>
          </cell>
          <cell r="P1496" t="str">
            <v>SCREAMING EAGLES</v>
          </cell>
          <cell r="Q1496">
            <v>1</v>
          </cell>
          <cell r="R1496">
            <v>250</v>
          </cell>
          <cell r="U1496">
            <v>44013</v>
          </cell>
        </row>
        <row r="1497">
          <cell r="B1497" t="str">
            <v>Fortune Strikers</v>
          </cell>
          <cell r="M1497" t="str">
            <v>&gt;&gt;</v>
          </cell>
          <cell r="N1497" t="str">
            <v/>
          </cell>
          <cell r="O1497" t="str">
            <v>FSC-2</v>
          </cell>
          <cell r="P1497" t="str">
            <v>Fortune Strikers</v>
          </cell>
          <cell r="Q1497">
            <v>1</v>
          </cell>
          <cell r="R1497">
            <v>251</v>
          </cell>
          <cell r="U1497">
            <v>44013</v>
          </cell>
        </row>
        <row r="1498">
          <cell r="B1498" t="str">
            <v>Tofayel</v>
          </cell>
          <cell r="C1498">
            <v>6</v>
          </cell>
          <cell r="D1498">
            <v>47</v>
          </cell>
          <cell r="E1498">
            <v>12</v>
          </cell>
          <cell r="F1498">
            <v>6</v>
          </cell>
          <cell r="G1498">
            <v>1</v>
          </cell>
          <cell r="H1498">
            <v>4</v>
          </cell>
          <cell r="I1498">
            <v>4</v>
          </cell>
          <cell r="M1498" t="str">
            <v>&gt;&gt;</v>
          </cell>
          <cell r="N1498" t="str">
            <v>MD Tofayel Ahmed</v>
          </cell>
          <cell r="O1498" t="str">
            <v>FSC-2</v>
          </cell>
          <cell r="P1498" t="str">
            <v>Fortune Strikers</v>
          </cell>
          <cell r="Q1498">
            <v>1</v>
          </cell>
          <cell r="R1498">
            <v>251</v>
          </cell>
          <cell r="U1498">
            <v>44013</v>
          </cell>
        </row>
        <row r="1499">
          <cell r="B1499" t="str">
            <v>Arif</v>
          </cell>
          <cell r="C1499">
            <v>6</v>
          </cell>
          <cell r="D1499">
            <v>79</v>
          </cell>
          <cell r="E1499">
            <v>10</v>
          </cell>
          <cell r="F1499">
            <v>7</v>
          </cell>
          <cell r="G1499">
            <v>1</v>
          </cell>
          <cell r="H1499">
            <v>8</v>
          </cell>
          <cell r="I1499">
            <v>4</v>
          </cell>
          <cell r="M1499" t="str">
            <v>&gt;&gt;</v>
          </cell>
          <cell r="N1499" t="str">
            <v>Arif Ziad</v>
          </cell>
          <cell r="O1499" t="str">
            <v>FSC-2</v>
          </cell>
          <cell r="P1499" t="str">
            <v>Fortune Strikers</v>
          </cell>
          <cell r="Q1499">
            <v>1</v>
          </cell>
          <cell r="R1499">
            <v>251</v>
          </cell>
          <cell r="U1499">
            <v>44013</v>
          </cell>
        </row>
        <row r="1500">
          <cell r="B1500" t="str">
            <v>Pritom</v>
          </cell>
          <cell r="C1500">
            <v>4</v>
          </cell>
          <cell r="D1500">
            <v>33</v>
          </cell>
          <cell r="E1500">
            <v>3</v>
          </cell>
          <cell r="F1500">
            <v>4</v>
          </cell>
          <cell r="G1500">
            <v>0</v>
          </cell>
          <cell r="H1500">
            <v>3</v>
          </cell>
          <cell r="I1500">
            <v>2</v>
          </cell>
          <cell r="M1500" t="str">
            <v>&gt;&gt;</v>
          </cell>
          <cell r="N1500" t="str">
            <v>Sanju Pritom</v>
          </cell>
          <cell r="O1500" t="str">
            <v>FSC-2</v>
          </cell>
          <cell r="P1500" t="str">
            <v>Fortune Strikers</v>
          </cell>
          <cell r="Q1500">
            <v>1</v>
          </cell>
          <cell r="R1500">
            <v>251</v>
          </cell>
          <cell r="U1500">
            <v>44013</v>
          </cell>
        </row>
        <row r="1501">
          <cell r="B1501" t="str">
            <v>Siyam Islam</v>
          </cell>
          <cell r="C1501">
            <v>6</v>
          </cell>
          <cell r="D1501">
            <v>141</v>
          </cell>
          <cell r="E1501">
            <v>5</v>
          </cell>
          <cell r="F1501">
            <v>7</v>
          </cell>
          <cell r="G1501">
            <v>1</v>
          </cell>
          <cell r="H1501">
            <v>14</v>
          </cell>
          <cell r="I1501">
            <v>8</v>
          </cell>
          <cell r="M1501" t="str">
            <v>&gt;&gt;</v>
          </cell>
          <cell r="N1501" t="str">
            <v>Md Siyam Islam</v>
          </cell>
          <cell r="O1501" t="str">
            <v>FSC-2</v>
          </cell>
          <cell r="P1501" t="str">
            <v>Fortune Strikers</v>
          </cell>
          <cell r="Q1501">
            <v>1</v>
          </cell>
          <cell r="R1501">
            <v>251</v>
          </cell>
          <cell r="U1501">
            <v>44013</v>
          </cell>
        </row>
        <row r="1502">
          <cell r="B1502" t="str">
            <v>Rafi</v>
          </cell>
          <cell r="C1502">
            <v>6</v>
          </cell>
          <cell r="D1502">
            <v>41</v>
          </cell>
          <cell r="E1502">
            <v>5</v>
          </cell>
          <cell r="F1502">
            <v>7</v>
          </cell>
          <cell r="G1502">
            <v>0</v>
          </cell>
          <cell r="H1502">
            <v>2</v>
          </cell>
          <cell r="I1502">
            <v>3</v>
          </cell>
          <cell r="M1502" t="str">
            <v>&gt;&gt;</v>
          </cell>
          <cell r="N1502" t="str">
            <v>Rafi Islam</v>
          </cell>
          <cell r="O1502" t="str">
            <v>FSC-2</v>
          </cell>
          <cell r="P1502" t="str">
            <v>Fortune Strikers</v>
          </cell>
          <cell r="Q1502">
            <v>1</v>
          </cell>
          <cell r="R1502">
            <v>251</v>
          </cell>
          <cell r="U1502">
            <v>44013</v>
          </cell>
        </row>
        <row r="1503">
          <cell r="B1503" t="str">
            <v>Googly Gang</v>
          </cell>
          <cell r="M1503" t="str">
            <v>&gt;&gt;</v>
          </cell>
          <cell r="N1503" t="str">
            <v/>
          </cell>
          <cell r="O1503" t="str">
            <v>FSC-2</v>
          </cell>
          <cell r="P1503" t="str">
            <v>Googly Gang</v>
          </cell>
          <cell r="Q1503">
            <v>1</v>
          </cell>
          <cell r="R1503">
            <v>252</v>
          </cell>
          <cell r="U1503">
            <v>44013</v>
          </cell>
        </row>
        <row r="1504">
          <cell r="B1504" t="str">
            <v>Sumon</v>
          </cell>
          <cell r="C1504">
            <v>6</v>
          </cell>
          <cell r="D1504">
            <v>114</v>
          </cell>
          <cell r="E1504">
            <v>6</v>
          </cell>
          <cell r="F1504">
            <v>10</v>
          </cell>
          <cell r="G1504">
            <v>0</v>
          </cell>
          <cell r="H1504">
            <v>9</v>
          </cell>
          <cell r="I1504">
            <v>6</v>
          </cell>
          <cell r="M1504" t="str">
            <v>&gt;&gt;</v>
          </cell>
          <cell r="N1504" t="str">
            <v>Sumon Ab</v>
          </cell>
          <cell r="O1504" t="str">
            <v>FSC-2</v>
          </cell>
          <cell r="P1504" t="str">
            <v>Googly Gang</v>
          </cell>
          <cell r="Q1504">
            <v>1</v>
          </cell>
          <cell r="R1504">
            <v>252</v>
          </cell>
          <cell r="U1504">
            <v>44013</v>
          </cell>
        </row>
        <row r="1505">
          <cell r="B1505" t="str">
            <v>ShiShir</v>
          </cell>
          <cell r="C1505">
            <v>6</v>
          </cell>
          <cell r="D1505">
            <v>70</v>
          </cell>
          <cell r="E1505">
            <v>9</v>
          </cell>
          <cell r="F1505">
            <v>11</v>
          </cell>
          <cell r="G1505">
            <v>0</v>
          </cell>
          <cell r="H1505">
            <v>5</v>
          </cell>
          <cell r="I1505">
            <v>4</v>
          </cell>
          <cell r="M1505" t="str">
            <v>&gt;&gt;</v>
          </cell>
          <cell r="N1505" t="str">
            <v>ShiShir Hossain</v>
          </cell>
          <cell r="O1505" t="str">
            <v>FSC-2</v>
          </cell>
          <cell r="P1505" t="str">
            <v>Googly Gang</v>
          </cell>
          <cell r="Q1505">
            <v>1</v>
          </cell>
          <cell r="R1505">
            <v>252</v>
          </cell>
          <cell r="U1505">
            <v>44013</v>
          </cell>
        </row>
        <row r="1506">
          <cell r="B1506" t="str">
            <v>Arafat</v>
          </cell>
          <cell r="C1506">
            <v>6</v>
          </cell>
          <cell r="D1506">
            <v>86</v>
          </cell>
          <cell r="E1506">
            <v>6</v>
          </cell>
          <cell r="F1506">
            <v>8</v>
          </cell>
          <cell r="G1506">
            <v>0</v>
          </cell>
          <cell r="H1506">
            <v>6</v>
          </cell>
          <cell r="I1506">
            <v>7</v>
          </cell>
          <cell r="M1506" t="str">
            <v>&gt;&gt;</v>
          </cell>
          <cell r="N1506" t="str">
            <v>Sakib Arafat</v>
          </cell>
          <cell r="O1506" t="str">
            <v>FSC-2</v>
          </cell>
          <cell r="P1506" t="str">
            <v>Googly Gang</v>
          </cell>
          <cell r="Q1506">
            <v>1</v>
          </cell>
          <cell r="R1506">
            <v>252</v>
          </cell>
          <cell r="U1506">
            <v>44013</v>
          </cell>
        </row>
        <row r="1507">
          <cell r="B1507" t="str">
            <v>Sajid</v>
          </cell>
          <cell r="C1507">
            <v>4</v>
          </cell>
          <cell r="D1507">
            <v>41</v>
          </cell>
          <cell r="E1507">
            <v>5</v>
          </cell>
          <cell r="F1507">
            <v>5</v>
          </cell>
          <cell r="G1507">
            <v>0</v>
          </cell>
          <cell r="H1507">
            <v>2</v>
          </cell>
          <cell r="I1507">
            <v>3</v>
          </cell>
          <cell r="M1507" t="str">
            <v>&gt;&gt;</v>
          </cell>
          <cell r="N1507" t="str">
            <v>Ahmad Sajid Abdullah</v>
          </cell>
          <cell r="O1507" t="str">
            <v>FSC-2</v>
          </cell>
          <cell r="P1507" t="str">
            <v>Googly Gang</v>
          </cell>
          <cell r="Q1507">
            <v>1</v>
          </cell>
          <cell r="R1507">
            <v>252</v>
          </cell>
          <cell r="U1507">
            <v>44013</v>
          </cell>
        </row>
        <row r="1508">
          <cell r="B1508" t="str">
            <v>Miraj</v>
          </cell>
          <cell r="C1508">
            <v>4</v>
          </cell>
          <cell r="D1508">
            <v>30</v>
          </cell>
          <cell r="E1508">
            <v>7</v>
          </cell>
          <cell r="F1508">
            <v>5</v>
          </cell>
          <cell r="G1508">
            <v>0</v>
          </cell>
          <cell r="H1508">
            <v>3</v>
          </cell>
          <cell r="I1508">
            <v>1</v>
          </cell>
          <cell r="M1508" t="str">
            <v>&gt;&gt;</v>
          </cell>
          <cell r="N1508" t="str">
            <v>Shafayat Miraj</v>
          </cell>
          <cell r="O1508" t="str">
            <v>FSC-2</v>
          </cell>
          <cell r="P1508" t="str">
            <v>Googly Gang</v>
          </cell>
          <cell r="Q1508">
            <v>1</v>
          </cell>
          <cell r="R1508">
            <v>252</v>
          </cell>
          <cell r="U1508">
            <v>44013</v>
          </cell>
        </row>
        <row r="1509">
          <cell r="B1509" t="str">
            <v>DESPERATE SCORERS</v>
          </cell>
          <cell r="M1509" t="str">
            <v>&gt;&gt;</v>
          </cell>
          <cell r="N1509" t="str">
            <v/>
          </cell>
          <cell r="O1509" t="str">
            <v>FRS-2</v>
          </cell>
          <cell r="P1509" t="str">
            <v>DESPERATE SCORERS</v>
          </cell>
          <cell r="Q1509">
            <v>1</v>
          </cell>
          <cell r="R1509">
            <v>253</v>
          </cell>
          <cell r="U1509">
            <v>44256</v>
          </cell>
        </row>
        <row r="1510">
          <cell r="B1510" t="str">
            <v>TONMOY</v>
          </cell>
          <cell r="C1510">
            <v>8</v>
          </cell>
          <cell r="D1510">
            <v>82</v>
          </cell>
          <cell r="E1510">
            <v>11</v>
          </cell>
          <cell r="F1510">
            <v>11</v>
          </cell>
          <cell r="G1510">
            <v>1</v>
          </cell>
          <cell r="H1510">
            <v>3</v>
          </cell>
          <cell r="I1510">
            <v>6</v>
          </cell>
          <cell r="J1510">
            <v>0</v>
          </cell>
          <cell r="M1510" t="str">
            <v>&gt;&gt;</v>
          </cell>
          <cell r="N1510" t="str">
            <v>Asik Hassan Tonmoy</v>
          </cell>
          <cell r="O1510" t="str">
            <v>FRS-2</v>
          </cell>
          <cell r="P1510" t="str">
            <v>DESPERATE SCORERS</v>
          </cell>
          <cell r="Q1510">
            <v>1</v>
          </cell>
          <cell r="R1510">
            <v>253</v>
          </cell>
          <cell r="U1510">
            <v>44256</v>
          </cell>
        </row>
        <row r="1511">
          <cell r="B1511" t="str">
            <v>TANVIR</v>
          </cell>
          <cell r="C1511">
            <v>8</v>
          </cell>
          <cell r="D1511">
            <v>125</v>
          </cell>
          <cell r="E1511">
            <v>13</v>
          </cell>
          <cell r="F1511">
            <v>13</v>
          </cell>
          <cell r="G1511">
            <v>4</v>
          </cell>
          <cell r="H1511">
            <v>9</v>
          </cell>
          <cell r="I1511">
            <v>7</v>
          </cell>
          <cell r="J1511">
            <v>0</v>
          </cell>
          <cell r="M1511" t="str">
            <v>&gt;&gt;</v>
          </cell>
          <cell r="N1511" t="str">
            <v>Tanvir Shakib</v>
          </cell>
          <cell r="O1511" t="str">
            <v>FRS-2</v>
          </cell>
          <cell r="P1511" t="str">
            <v>DESPERATE SCORERS</v>
          </cell>
          <cell r="Q1511">
            <v>1</v>
          </cell>
          <cell r="R1511">
            <v>253</v>
          </cell>
          <cell r="U1511">
            <v>44256</v>
          </cell>
        </row>
        <row r="1512">
          <cell r="B1512" t="str">
            <v>RAKIB</v>
          </cell>
          <cell r="C1512">
            <v>8</v>
          </cell>
          <cell r="D1512">
            <v>125</v>
          </cell>
          <cell r="E1512">
            <v>7</v>
          </cell>
          <cell r="F1512">
            <v>8</v>
          </cell>
          <cell r="G1512">
            <v>0</v>
          </cell>
          <cell r="H1512">
            <v>12</v>
          </cell>
          <cell r="I1512">
            <v>11</v>
          </cell>
          <cell r="J1512">
            <v>0</v>
          </cell>
          <cell r="M1512" t="str">
            <v>&gt;&gt;</v>
          </cell>
          <cell r="N1512" t="str">
            <v>Rakib Hasan</v>
          </cell>
          <cell r="O1512" t="str">
            <v>FRS-2</v>
          </cell>
          <cell r="P1512" t="str">
            <v>DESPERATE SCORERS</v>
          </cell>
          <cell r="Q1512">
            <v>1</v>
          </cell>
          <cell r="R1512">
            <v>253</v>
          </cell>
          <cell r="U1512">
            <v>44256</v>
          </cell>
        </row>
        <row r="1513">
          <cell r="B1513" t="str">
            <v>SHAMIM</v>
          </cell>
          <cell r="C1513">
            <v>8</v>
          </cell>
          <cell r="D1513">
            <v>96</v>
          </cell>
          <cell r="E1513">
            <v>5</v>
          </cell>
          <cell r="F1513">
            <v>9</v>
          </cell>
          <cell r="G1513">
            <v>0</v>
          </cell>
          <cell r="H1513">
            <v>9</v>
          </cell>
          <cell r="I1513">
            <v>6</v>
          </cell>
          <cell r="J1513">
            <v>0</v>
          </cell>
          <cell r="M1513" t="str">
            <v>&gt;&gt;</v>
          </cell>
          <cell r="N1513" t="str">
            <v>SH Shamim</v>
          </cell>
          <cell r="O1513" t="str">
            <v>FRS-2</v>
          </cell>
          <cell r="P1513" t="str">
            <v>DESPERATE SCORERS</v>
          </cell>
          <cell r="Q1513">
            <v>1</v>
          </cell>
          <cell r="R1513">
            <v>253</v>
          </cell>
          <cell r="U1513">
            <v>44256</v>
          </cell>
        </row>
        <row r="1514">
          <cell r="B1514" t="str">
            <v>MD. ASIF</v>
          </cell>
          <cell r="C1514">
            <v>6</v>
          </cell>
          <cell r="D1514">
            <v>58</v>
          </cell>
          <cell r="E1514">
            <v>7</v>
          </cell>
          <cell r="F1514">
            <v>5</v>
          </cell>
          <cell r="G1514">
            <v>0</v>
          </cell>
          <cell r="H1514">
            <v>9</v>
          </cell>
          <cell r="I1514">
            <v>2</v>
          </cell>
          <cell r="J1514">
            <v>0</v>
          </cell>
          <cell r="M1514" t="str">
            <v>&gt;&gt;</v>
          </cell>
          <cell r="N1514" t="str">
            <v>Mohammad Asif</v>
          </cell>
          <cell r="O1514" t="str">
            <v>FRS-2</v>
          </cell>
          <cell r="P1514" t="str">
            <v>DESPERATE SCORERS</v>
          </cell>
          <cell r="Q1514">
            <v>1</v>
          </cell>
          <cell r="R1514">
            <v>253</v>
          </cell>
          <cell r="U1514">
            <v>44256</v>
          </cell>
        </row>
        <row r="1515">
          <cell r="B1515" t="str">
            <v>KILLER  KING</v>
          </cell>
          <cell r="M1515" t="str">
            <v>&gt;&gt;</v>
          </cell>
          <cell r="N1515" t="str">
            <v/>
          </cell>
          <cell r="O1515" t="str">
            <v>FRS-2</v>
          </cell>
          <cell r="P1515" t="str">
            <v>KILLER  KING</v>
          </cell>
          <cell r="Q1515">
            <v>1</v>
          </cell>
          <cell r="R1515">
            <v>254</v>
          </cell>
          <cell r="U1515">
            <v>44256</v>
          </cell>
        </row>
        <row r="1516">
          <cell r="B1516" t="str">
            <v>KHOKON</v>
          </cell>
          <cell r="C1516">
            <v>6</v>
          </cell>
          <cell r="D1516">
            <v>209</v>
          </cell>
          <cell r="E1516">
            <v>11</v>
          </cell>
          <cell r="F1516">
            <v>10</v>
          </cell>
          <cell r="G1516">
            <v>3</v>
          </cell>
          <cell r="H1516">
            <v>17</v>
          </cell>
          <cell r="I1516">
            <v>13</v>
          </cell>
          <cell r="J1516">
            <v>0</v>
          </cell>
          <cell r="M1516" t="str">
            <v>&gt;&gt;</v>
          </cell>
          <cell r="N1516" t="str">
            <v>Shahriar Khokon</v>
          </cell>
          <cell r="O1516" t="str">
            <v>FRS-2</v>
          </cell>
          <cell r="P1516" t="str">
            <v>KILLER  KING</v>
          </cell>
          <cell r="Q1516">
            <v>1</v>
          </cell>
          <cell r="R1516">
            <v>254</v>
          </cell>
          <cell r="U1516">
            <v>44256</v>
          </cell>
          <cell r="V1516">
            <v>1</v>
          </cell>
        </row>
        <row r="1517">
          <cell r="B1517" t="str">
            <v>Arif</v>
          </cell>
          <cell r="C1517">
            <v>6</v>
          </cell>
          <cell r="D1517">
            <v>168</v>
          </cell>
          <cell r="E1517">
            <v>13</v>
          </cell>
          <cell r="F1517">
            <v>9</v>
          </cell>
          <cell r="G1517">
            <v>2</v>
          </cell>
          <cell r="H1517">
            <v>6</v>
          </cell>
          <cell r="I1517">
            <v>14</v>
          </cell>
          <cell r="J1517">
            <v>1</v>
          </cell>
          <cell r="M1517" t="str">
            <v>&gt;&gt;</v>
          </cell>
          <cell r="N1517" t="str">
            <v>Arif Ziad</v>
          </cell>
          <cell r="O1517" t="str">
            <v>FRS-2</v>
          </cell>
          <cell r="P1517" t="str">
            <v>KILLER  KING</v>
          </cell>
          <cell r="Q1517">
            <v>1</v>
          </cell>
          <cell r="R1517">
            <v>254</v>
          </cell>
          <cell r="U1517">
            <v>44256</v>
          </cell>
        </row>
        <row r="1518">
          <cell r="B1518" t="str">
            <v>RASHED</v>
          </cell>
          <cell r="C1518">
            <v>4</v>
          </cell>
          <cell r="D1518">
            <v>51</v>
          </cell>
          <cell r="E1518">
            <v>4</v>
          </cell>
          <cell r="F1518">
            <v>5</v>
          </cell>
          <cell r="G1518">
            <v>0</v>
          </cell>
          <cell r="H1518">
            <v>4</v>
          </cell>
          <cell r="I1518">
            <v>3</v>
          </cell>
          <cell r="J1518">
            <v>0</v>
          </cell>
          <cell r="M1518" t="str">
            <v>&gt;&gt;</v>
          </cell>
          <cell r="N1518" t="str">
            <v>KM Rashedul Islam Rashed</v>
          </cell>
          <cell r="O1518" t="str">
            <v>FRS-2</v>
          </cell>
          <cell r="P1518" t="str">
            <v>KILLER  KING</v>
          </cell>
          <cell r="Q1518">
            <v>1</v>
          </cell>
          <cell r="R1518">
            <v>254</v>
          </cell>
          <cell r="U1518">
            <v>44256</v>
          </cell>
        </row>
        <row r="1519">
          <cell r="B1519" t="str">
            <v>ARAFAT</v>
          </cell>
          <cell r="C1519">
            <v>6</v>
          </cell>
          <cell r="D1519">
            <v>70</v>
          </cell>
          <cell r="E1519">
            <v>4</v>
          </cell>
          <cell r="F1519">
            <v>8</v>
          </cell>
          <cell r="G1519">
            <v>1</v>
          </cell>
          <cell r="H1519">
            <v>8</v>
          </cell>
          <cell r="I1519">
            <v>3</v>
          </cell>
          <cell r="J1519">
            <v>0</v>
          </cell>
          <cell r="M1519" t="str">
            <v>&gt;&gt;</v>
          </cell>
          <cell r="N1519" t="str">
            <v>Sakib Arafat</v>
          </cell>
          <cell r="O1519" t="str">
            <v>FRS-2</v>
          </cell>
          <cell r="P1519" t="str">
            <v>KILLER  KING</v>
          </cell>
          <cell r="Q1519">
            <v>1</v>
          </cell>
          <cell r="R1519">
            <v>254</v>
          </cell>
          <cell r="U1519">
            <v>44256</v>
          </cell>
        </row>
        <row r="1520">
          <cell r="B1520" t="str">
            <v>MUNNA</v>
          </cell>
          <cell r="C1520">
            <v>5</v>
          </cell>
          <cell r="D1520">
            <v>36</v>
          </cell>
          <cell r="E1520">
            <v>5</v>
          </cell>
          <cell r="F1520">
            <v>4</v>
          </cell>
          <cell r="G1520">
            <v>0</v>
          </cell>
          <cell r="H1520">
            <v>3</v>
          </cell>
          <cell r="I1520">
            <v>3</v>
          </cell>
          <cell r="J1520">
            <v>0</v>
          </cell>
          <cell r="M1520" t="str">
            <v>&gt;&gt;</v>
          </cell>
          <cell r="N1520" t="str">
            <v>Monowar Hossain Munna</v>
          </cell>
          <cell r="O1520" t="str">
            <v>FRS-2</v>
          </cell>
          <cell r="P1520" t="str">
            <v>KILLER  KING</v>
          </cell>
          <cell r="Q1520">
            <v>1</v>
          </cell>
          <cell r="R1520">
            <v>254</v>
          </cell>
          <cell r="U1520">
            <v>44256</v>
          </cell>
        </row>
        <row r="1521">
          <cell r="B1521" t="str">
            <v>FIGHTER   FIVE</v>
          </cell>
          <cell r="M1521" t="str">
            <v>&gt;&gt;</v>
          </cell>
          <cell r="N1521" t="str">
            <v/>
          </cell>
          <cell r="O1521" t="str">
            <v>FRS-2</v>
          </cell>
          <cell r="P1521" t="str">
            <v>FIGHTER   FIVE</v>
          </cell>
          <cell r="Q1521">
            <v>1</v>
          </cell>
          <cell r="R1521">
            <v>255</v>
          </cell>
          <cell r="U1521">
            <v>44256</v>
          </cell>
        </row>
        <row r="1522">
          <cell r="B1522" t="str">
            <v>KAMAL</v>
          </cell>
          <cell r="C1522">
            <v>5</v>
          </cell>
          <cell r="D1522">
            <v>169</v>
          </cell>
          <cell r="E1522">
            <v>8</v>
          </cell>
          <cell r="F1522">
            <v>10</v>
          </cell>
          <cell r="G1522">
            <v>1</v>
          </cell>
          <cell r="H1522">
            <v>13</v>
          </cell>
          <cell r="I1522">
            <v>8</v>
          </cell>
          <cell r="J1522">
            <v>0</v>
          </cell>
          <cell r="M1522" t="str">
            <v>&gt;&gt;</v>
          </cell>
          <cell r="N1522" t="str">
            <v>MD Kamal Hossain Kamal</v>
          </cell>
          <cell r="O1522" t="str">
            <v>FRS-2</v>
          </cell>
          <cell r="P1522" t="str">
            <v>FIGHTER   FIVE</v>
          </cell>
          <cell r="Q1522">
            <v>1</v>
          </cell>
          <cell r="R1522">
            <v>255</v>
          </cell>
          <cell r="U1522">
            <v>44256</v>
          </cell>
        </row>
        <row r="1523">
          <cell r="B1523" t="str">
            <v>NUR</v>
          </cell>
          <cell r="C1523">
            <v>5</v>
          </cell>
          <cell r="D1523">
            <v>76</v>
          </cell>
          <cell r="E1523">
            <v>6</v>
          </cell>
          <cell r="F1523">
            <v>9</v>
          </cell>
          <cell r="G1523">
            <v>1</v>
          </cell>
          <cell r="H1523">
            <v>7</v>
          </cell>
          <cell r="I1523">
            <v>5</v>
          </cell>
          <cell r="J1523">
            <v>0</v>
          </cell>
          <cell r="M1523" t="str">
            <v>&gt;&gt;</v>
          </cell>
          <cell r="N1523" t="str">
            <v>Nur Muhammad</v>
          </cell>
          <cell r="O1523" t="str">
            <v>FRS-2</v>
          </cell>
          <cell r="P1523" t="str">
            <v>FIGHTER   FIVE</v>
          </cell>
          <cell r="Q1523">
            <v>1</v>
          </cell>
          <cell r="R1523">
            <v>255</v>
          </cell>
          <cell r="U1523">
            <v>44256</v>
          </cell>
        </row>
        <row r="1524">
          <cell r="B1524" t="str">
            <v>MITHU</v>
          </cell>
          <cell r="C1524">
            <v>4</v>
          </cell>
          <cell r="D1524">
            <v>44</v>
          </cell>
          <cell r="E1524">
            <v>2</v>
          </cell>
          <cell r="F1524">
            <v>4</v>
          </cell>
          <cell r="G1524">
            <v>0</v>
          </cell>
          <cell r="H1524">
            <v>5</v>
          </cell>
          <cell r="I1524">
            <v>3</v>
          </cell>
          <cell r="J1524">
            <v>0</v>
          </cell>
          <cell r="M1524" t="str">
            <v>&gt;&gt;</v>
          </cell>
          <cell r="N1524" t="str">
            <v>Mostafizur Rahman Mithu</v>
          </cell>
          <cell r="O1524" t="str">
            <v>FRS-2</v>
          </cell>
          <cell r="P1524" t="str">
            <v>FIGHTER   FIVE</v>
          </cell>
          <cell r="Q1524">
            <v>1</v>
          </cell>
          <cell r="R1524">
            <v>255</v>
          </cell>
          <cell r="U1524">
            <v>44256</v>
          </cell>
        </row>
        <row r="1525">
          <cell r="B1525" t="str">
            <v>HIMEL</v>
          </cell>
          <cell r="C1525">
            <v>5</v>
          </cell>
          <cell r="D1525">
            <v>38</v>
          </cell>
          <cell r="E1525">
            <v>5</v>
          </cell>
          <cell r="F1525">
            <v>6</v>
          </cell>
          <cell r="G1525">
            <v>0</v>
          </cell>
          <cell r="H1525">
            <v>3</v>
          </cell>
          <cell r="I1525">
            <v>2</v>
          </cell>
          <cell r="J1525">
            <v>0</v>
          </cell>
          <cell r="M1525" t="str">
            <v>&gt;&gt;</v>
          </cell>
          <cell r="N1525" t="str">
            <v>Hj Himel</v>
          </cell>
          <cell r="O1525" t="str">
            <v>FRS-2</v>
          </cell>
          <cell r="P1525" t="str">
            <v>FIGHTER   FIVE</v>
          </cell>
          <cell r="Q1525">
            <v>1</v>
          </cell>
          <cell r="R1525">
            <v>255</v>
          </cell>
          <cell r="U1525">
            <v>44256</v>
          </cell>
        </row>
        <row r="1526">
          <cell r="B1526" t="str">
            <v>PRANTO</v>
          </cell>
          <cell r="C1526">
            <v>5</v>
          </cell>
          <cell r="D1526">
            <v>22</v>
          </cell>
          <cell r="E1526">
            <v>6</v>
          </cell>
          <cell r="F1526">
            <v>5</v>
          </cell>
          <cell r="G1526">
            <v>0</v>
          </cell>
          <cell r="H1526">
            <v>1</v>
          </cell>
          <cell r="I1526">
            <v>2</v>
          </cell>
          <cell r="J1526">
            <v>0</v>
          </cell>
          <cell r="M1526" t="str">
            <v>&gt;&gt;</v>
          </cell>
          <cell r="N1526" t="str">
            <v>Bandhon Podder Pranto</v>
          </cell>
          <cell r="O1526" t="str">
            <v>FRS-2</v>
          </cell>
          <cell r="P1526" t="str">
            <v>FIGHTER   FIVE</v>
          </cell>
          <cell r="Q1526">
            <v>1</v>
          </cell>
          <cell r="R1526">
            <v>255</v>
          </cell>
          <cell r="U1526">
            <v>44256</v>
          </cell>
        </row>
        <row r="1527">
          <cell r="B1527" t="str">
            <v>SHADOW  HUNTERS</v>
          </cell>
          <cell r="M1527" t="str">
            <v>&gt;&gt;</v>
          </cell>
          <cell r="N1527" t="str">
            <v/>
          </cell>
          <cell r="O1527" t="str">
            <v>FRS-2</v>
          </cell>
          <cell r="P1527" t="str">
            <v>SHADOW  HUNTERS</v>
          </cell>
          <cell r="Q1527">
            <v>1</v>
          </cell>
          <cell r="R1527">
            <v>256</v>
          </cell>
          <cell r="T1527" t="str">
            <v>Champ</v>
          </cell>
          <cell r="U1527">
            <v>44256</v>
          </cell>
        </row>
        <row r="1528">
          <cell r="B1528" t="str">
            <v>TAREK</v>
          </cell>
          <cell r="C1528">
            <v>8</v>
          </cell>
          <cell r="D1528">
            <v>114</v>
          </cell>
          <cell r="E1528">
            <v>8</v>
          </cell>
          <cell r="F1528">
            <v>9</v>
          </cell>
          <cell r="G1528">
            <v>1</v>
          </cell>
          <cell r="H1528">
            <v>6</v>
          </cell>
          <cell r="I1528">
            <v>10</v>
          </cell>
          <cell r="J1528">
            <v>1</v>
          </cell>
          <cell r="M1528" t="str">
            <v>&gt;&gt;</v>
          </cell>
          <cell r="N1528" t="str">
            <v>Prince Tarek</v>
          </cell>
          <cell r="O1528" t="str">
            <v>FRS-2</v>
          </cell>
          <cell r="P1528" t="str">
            <v>SHADOW  HUNTERS</v>
          </cell>
          <cell r="Q1528">
            <v>1</v>
          </cell>
          <cell r="R1528">
            <v>256</v>
          </cell>
          <cell r="T1528" t="str">
            <v>Champ</v>
          </cell>
          <cell r="U1528">
            <v>44256</v>
          </cell>
        </row>
        <row r="1529">
          <cell r="B1529" t="str">
            <v>AL MAMUN</v>
          </cell>
          <cell r="C1529">
            <v>8</v>
          </cell>
          <cell r="D1529">
            <v>84</v>
          </cell>
          <cell r="E1529">
            <v>7</v>
          </cell>
          <cell r="F1529">
            <v>9</v>
          </cell>
          <cell r="G1529">
            <v>0</v>
          </cell>
          <cell r="H1529">
            <v>8</v>
          </cell>
          <cell r="I1529">
            <v>6</v>
          </cell>
          <cell r="J1529">
            <v>0</v>
          </cell>
          <cell r="M1529" t="str">
            <v>&gt;&gt;</v>
          </cell>
          <cell r="N1529" t="str">
            <v>Mohammed Al Mamun</v>
          </cell>
          <cell r="O1529" t="str">
            <v>FRS-2</v>
          </cell>
          <cell r="P1529" t="str">
            <v>SHADOW  HUNTERS</v>
          </cell>
          <cell r="Q1529">
            <v>1</v>
          </cell>
          <cell r="R1529">
            <v>256</v>
          </cell>
          <cell r="T1529" t="str">
            <v>Champ</v>
          </cell>
          <cell r="U1529">
            <v>44256</v>
          </cell>
        </row>
        <row r="1530">
          <cell r="B1530" t="str">
            <v>AYAN</v>
          </cell>
          <cell r="C1530">
            <v>8</v>
          </cell>
          <cell r="D1530">
            <v>132</v>
          </cell>
          <cell r="E1530">
            <v>10</v>
          </cell>
          <cell r="F1530">
            <v>11</v>
          </cell>
          <cell r="G1530">
            <v>2</v>
          </cell>
          <cell r="H1530">
            <v>19</v>
          </cell>
          <cell r="I1530">
            <v>4</v>
          </cell>
          <cell r="J1530">
            <v>0</v>
          </cell>
          <cell r="M1530" t="str">
            <v>&gt;&gt;</v>
          </cell>
          <cell r="N1530" t="str">
            <v>Md. Tanveer Mahmud Ayan</v>
          </cell>
          <cell r="O1530" t="str">
            <v>FRS-2</v>
          </cell>
          <cell r="P1530" t="str">
            <v>SHADOW  HUNTERS</v>
          </cell>
          <cell r="Q1530">
            <v>1</v>
          </cell>
          <cell r="R1530">
            <v>256</v>
          </cell>
          <cell r="S1530" t="str">
            <v>CPOT</v>
          </cell>
          <cell r="T1530" t="str">
            <v>Champ</v>
          </cell>
          <cell r="U1530">
            <v>44256</v>
          </cell>
        </row>
        <row r="1531">
          <cell r="B1531" t="str">
            <v>DURJOY</v>
          </cell>
          <cell r="C1531">
            <v>8</v>
          </cell>
          <cell r="D1531">
            <v>82</v>
          </cell>
          <cell r="E1531">
            <v>11</v>
          </cell>
          <cell r="F1531">
            <v>5</v>
          </cell>
          <cell r="G1531">
            <v>0</v>
          </cell>
          <cell r="H1531">
            <v>10</v>
          </cell>
          <cell r="I1531">
            <v>4</v>
          </cell>
          <cell r="J1531">
            <v>0</v>
          </cell>
          <cell r="M1531" t="str">
            <v>&gt;&gt;</v>
          </cell>
          <cell r="N1531" t="str">
            <v>Naieem Islam Durjoy</v>
          </cell>
          <cell r="O1531" t="str">
            <v>FRS-2</v>
          </cell>
          <cell r="P1531" t="str">
            <v>SHADOW  HUNTERS</v>
          </cell>
          <cell r="Q1531">
            <v>1</v>
          </cell>
          <cell r="R1531">
            <v>256</v>
          </cell>
          <cell r="T1531" t="str">
            <v>Champ</v>
          </cell>
          <cell r="U1531">
            <v>44256</v>
          </cell>
        </row>
        <row r="1532">
          <cell r="B1532" t="str">
            <v>Azwad</v>
          </cell>
          <cell r="C1532">
            <v>8</v>
          </cell>
          <cell r="D1532">
            <v>88</v>
          </cell>
          <cell r="E1532">
            <v>11</v>
          </cell>
          <cell r="F1532">
            <v>7</v>
          </cell>
          <cell r="G1532">
            <v>2</v>
          </cell>
          <cell r="H1532">
            <v>7</v>
          </cell>
          <cell r="I1532">
            <v>4</v>
          </cell>
          <cell r="J1532">
            <v>0</v>
          </cell>
          <cell r="M1532" t="str">
            <v>&gt;&gt;</v>
          </cell>
          <cell r="N1532" t="str">
            <v>Azwad Awsaf</v>
          </cell>
          <cell r="O1532" t="str">
            <v>FRS-2</v>
          </cell>
          <cell r="P1532" t="str">
            <v>SHADOW  HUNTERS</v>
          </cell>
          <cell r="Q1532">
            <v>1</v>
          </cell>
          <cell r="R1532">
            <v>256</v>
          </cell>
          <cell r="T1532" t="str">
            <v>Champ</v>
          </cell>
          <cell r="U1532">
            <v>44256</v>
          </cell>
        </row>
        <row r="1533">
          <cell r="B1533" t="str">
            <v>INVINCIBLE  FIGHTERS</v>
          </cell>
          <cell r="M1533" t="str">
            <v>&gt;&gt;</v>
          </cell>
          <cell r="N1533" t="str">
            <v/>
          </cell>
          <cell r="O1533" t="str">
            <v>FRS-2</v>
          </cell>
          <cell r="P1533" t="str">
            <v>INVINCIBLE  FIGHTERS</v>
          </cell>
          <cell r="Q1533">
            <v>1</v>
          </cell>
          <cell r="R1533">
            <v>257</v>
          </cell>
          <cell r="U1533">
            <v>44256</v>
          </cell>
        </row>
        <row r="1534">
          <cell r="B1534" t="str">
            <v>AKASH</v>
          </cell>
          <cell r="C1534">
            <v>5</v>
          </cell>
          <cell r="D1534">
            <v>91</v>
          </cell>
          <cell r="E1534">
            <v>4</v>
          </cell>
          <cell r="F1534">
            <v>9</v>
          </cell>
          <cell r="G1534">
            <v>1</v>
          </cell>
          <cell r="H1534">
            <v>9</v>
          </cell>
          <cell r="I1534">
            <v>6</v>
          </cell>
          <cell r="J1534">
            <v>0</v>
          </cell>
          <cell r="M1534" t="str">
            <v>&gt;&gt;</v>
          </cell>
          <cell r="N1534" t="str">
            <v>Mahbubur Rahman Akash</v>
          </cell>
          <cell r="O1534" t="str">
            <v>FRS-2</v>
          </cell>
          <cell r="P1534" t="str">
            <v>INVINCIBLE  FIGHTERS</v>
          </cell>
          <cell r="Q1534">
            <v>1</v>
          </cell>
          <cell r="R1534">
            <v>257</v>
          </cell>
          <cell r="U1534">
            <v>44256</v>
          </cell>
        </row>
        <row r="1535">
          <cell r="B1535" t="str">
            <v>ZAHEED</v>
          </cell>
          <cell r="C1535">
            <v>5</v>
          </cell>
          <cell r="D1535">
            <v>111</v>
          </cell>
          <cell r="E1535">
            <v>7</v>
          </cell>
          <cell r="F1535">
            <v>11</v>
          </cell>
          <cell r="G1535">
            <v>0</v>
          </cell>
          <cell r="H1535">
            <v>12</v>
          </cell>
          <cell r="I1535">
            <v>3</v>
          </cell>
          <cell r="J1535">
            <v>1</v>
          </cell>
          <cell r="M1535" t="str">
            <v>&gt;&gt;</v>
          </cell>
          <cell r="N1535" t="str">
            <v>Zaheed Hasan</v>
          </cell>
          <cell r="O1535" t="str">
            <v>FRS-2</v>
          </cell>
          <cell r="P1535" t="str">
            <v>INVINCIBLE  FIGHTERS</v>
          </cell>
          <cell r="Q1535">
            <v>1</v>
          </cell>
          <cell r="R1535">
            <v>257</v>
          </cell>
          <cell r="U1535">
            <v>44256</v>
          </cell>
        </row>
        <row r="1536">
          <cell r="B1536" t="str">
            <v>SA SHANTO</v>
          </cell>
          <cell r="C1536">
            <v>4</v>
          </cell>
          <cell r="D1536">
            <v>16</v>
          </cell>
          <cell r="E1536">
            <v>7</v>
          </cell>
          <cell r="F1536">
            <v>2</v>
          </cell>
          <cell r="G1536">
            <v>0</v>
          </cell>
          <cell r="H1536">
            <v>2</v>
          </cell>
          <cell r="I1536">
            <v>1</v>
          </cell>
          <cell r="J1536">
            <v>0</v>
          </cell>
          <cell r="M1536" t="str">
            <v>&gt;&gt;</v>
          </cell>
          <cell r="N1536" t="str">
            <v>Sayed Anowar Shanto</v>
          </cell>
          <cell r="O1536" t="str">
            <v>FRS-2</v>
          </cell>
          <cell r="P1536" t="str">
            <v>INVINCIBLE  FIGHTERS</v>
          </cell>
          <cell r="Q1536">
            <v>1</v>
          </cell>
          <cell r="R1536">
            <v>257</v>
          </cell>
          <cell r="U1536">
            <v>44256</v>
          </cell>
        </row>
        <row r="1537">
          <cell r="B1537" t="str">
            <v>JOY</v>
          </cell>
          <cell r="C1537">
            <v>5</v>
          </cell>
          <cell r="D1537">
            <v>54</v>
          </cell>
          <cell r="E1537">
            <v>5</v>
          </cell>
          <cell r="F1537">
            <v>7</v>
          </cell>
          <cell r="G1537">
            <v>0</v>
          </cell>
          <cell r="H1537">
            <v>7</v>
          </cell>
          <cell r="I1537">
            <v>1</v>
          </cell>
          <cell r="J1537">
            <v>0</v>
          </cell>
          <cell r="M1537" t="str">
            <v>&gt;&gt;</v>
          </cell>
          <cell r="N1537" t="str">
            <v>Mehedi Hasan Joy</v>
          </cell>
          <cell r="O1537" t="str">
            <v>FRS-2</v>
          </cell>
          <cell r="P1537" t="str">
            <v>INVINCIBLE  FIGHTERS</v>
          </cell>
          <cell r="Q1537">
            <v>1</v>
          </cell>
          <cell r="R1537">
            <v>257</v>
          </cell>
          <cell r="U1537">
            <v>44256</v>
          </cell>
        </row>
        <row r="1538">
          <cell r="B1538" t="str">
            <v>Rakib Jr.</v>
          </cell>
          <cell r="C1538">
            <v>3</v>
          </cell>
          <cell r="D1538">
            <v>35</v>
          </cell>
          <cell r="E1538">
            <v>6</v>
          </cell>
          <cell r="F1538">
            <v>5</v>
          </cell>
          <cell r="G1538">
            <v>0</v>
          </cell>
          <cell r="H1538">
            <v>1</v>
          </cell>
          <cell r="I1538">
            <v>3</v>
          </cell>
          <cell r="J1538">
            <v>0</v>
          </cell>
          <cell r="M1538" t="str">
            <v>&gt;&gt;</v>
          </cell>
          <cell r="N1538" t="str">
            <v>Rakib Hossain</v>
          </cell>
          <cell r="O1538" t="str">
            <v>FRS-2</v>
          </cell>
          <cell r="P1538" t="str">
            <v>INVINCIBLE  FIGHTERS</v>
          </cell>
          <cell r="Q1538">
            <v>1</v>
          </cell>
          <cell r="R1538">
            <v>257</v>
          </cell>
          <cell r="U1538">
            <v>44256</v>
          </cell>
        </row>
        <row r="1539">
          <cell r="B1539" t="str">
            <v>JOY BANGLA FIGHTERS</v>
          </cell>
          <cell r="M1539" t="str">
            <v>&gt;&gt;</v>
          </cell>
          <cell r="N1539" t="str">
            <v/>
          </cell>
          <cell r="O1539" t="str">
            <v>FRS-2</v>
          </cell>
          <cell r="P1539" t="str">
            <v>JOY BANGLA FIGHTERS</v>
          </cell>
          <cell r="Q1539">
            <v>1</v>
          </cell>
          <cell r="R1539">
            <v>258</v>
          </cell>
          <cell r="U1539">
            <v>44256</v>
          </cell>
        </row>
        <row r="1540">
          <cell r="B1540" t="str">
            <v>JHONY</v>
          </cell>
          <cell r="C1540">
            <v>6</v>
          </cell>
          <cell r="D1540">
            <v>134</v>
          </cell>
          <cell r="E1540">
            <v>15</v>
          </cell>
          <cell r="F1540">
            <v>8</v>
          </cell>
          <cell r="G1540">
            <v>0</v>
          </cell>
          <cell r="H1540">
            <v>16</v>
          </cell>
          <cell r="I1540">
            <v>8</v>
          </cell>
          <cell r="J1540">
            <v>0</v>
          </cell>
          <cell r="M1540" t="str">
            <v>&gt;&gt;</v>
          </cell>
          <cell r="N1540" t="str">
            <v>Faisal Ahmed Jhony</v>
          </cell>
          <cell r="O1540" t="str">
            <v>FRS-2</v>
          </cell>
          <cell r="P1540" t="str">
            <v>JOY BANGLA FIGHTERS</v>
          </cell>
          <cell r="Q1540">
            <v>1</v>
          </cell>
          <cell r="R1540">
            <v>258</v>
          </cell>
          <cell r="U1540">
            <v>44256</v>
          </cell>
          <cell r="W1540">
            <v>1</v>
          </cell>
        </row>
        <row r="1541">
          <cell r="B1541" t="str">
            <v>NIAMUL</v>
          </cell>
          <cell r="C1541">
            <v>5</v>
          </cell>
          <cell r="D1541">
            <v>133</v>
          </cell>
          <cell r="E1541">
            <v>3</v>
          </cell>
          <cell r="F1541">
            <v>8</v>
          </cell>
          <cell r="G1541">
            <v>4</v>
          </cell>
          <cell r="H1541">
            <v>6</v>
          </cell>
          <cell r="I1541">
            <v>11</v>
          </cell>
          <cell r="J1541">
            <v>0</v>
          </cell>
          <cell r="M1541" t="str">
            <v>&gt;&gt;</v>
          </cell>
          <cell r="N1541" t="str">
            <v>Niamul Habib Setu</v>
          </cell>
          <cell r="O1541" t="str">
            <v>FRS-2</v>
          </cell>
          <cell r="P1541" t="str">
            <v>JOY BANGLA FIGHTERS</v>
          </cell>
          <cell r="Q1541">
            <v>1</v>
          </cell>
          <cell r="R1541">
            <v>258</v>
          </cell>
          <cell r="U1541">
            <v>44256</v>
          </cell>
        </row>
        <row r="1542">
          <cell r="B1542" t="str">
            <v>DULAL</v>
          </cell>
          <cell r="C1542">
            <v>6</v>
          </cell>
          <cell r="D1542">
            <v>154</v>
          </cell>
          <cell r="E1542">
            <v>12</v>
          </cell>
          <cell r="F1542">
            <v>9</v>
          </cell>
          <cell r="G1542">
            <v>0</v>
          </cell>
          <cell r="H1542">
            <v>12</v>
          </cell>
          <cell r="I1542">
            <v>6</v>
          </cell>
          <cell r="J1542">
            <v>1</v>
          </cell>
          <cell r="M1542" t="str">
            <v>&gt;&gt;</v>
          </cell>
          <cell r="N1542" t="str">
            <v>Md Dulal Miah</v>
          </cell>
          <cell r="O1542" t="str">
            <v>FRS-2</v>
          </cell>
          <cell r="P1542" t="str">
            <v>JOY BANGLA FIGHTERS</v>
          </cell>
          <cell r="Q1542">
            <v>1</v>
          </cell>
          <cell r="R1542">
            <v>258</v>
          </cell>
          <cell r="U1542">
            <v>44256</v>
          </cell>
        </row>
        <row r="1543">
          <cell r="B1543" t="str">
            <v>LAISUL</v>
          </cell>
          <cell r="C1543">
            <v>6</v>
          </cell>
          <cell r="D1543">
            <v>59</v>
          </cell>
          <cell r="E1543">
            <v>4</v>
          </cell>
          <cell r="F1543">
            <v>8</v>
          </cell>
          <cell r="G1543">
            <v>0</v>
          </cell>
          <cell r="H1543">
            <v>8</v>
          </cell>
          <cell r="I1543">
            <v>2</v>
          </cell>
          <cell r="J1543">
            <v>0</v>
          </cell>
          <cell r="M1543" t="str">
            <v>&gt;&gt;</v>
          </cell>
          <cell r="N1543" t="str">
            <v>Laisul Morshed</v>
          </cell>
          <cell r="O1543" t="str">
            <v>FRS-2</v>
          </cell>
          <cell r="P1543" t="str">
            <v>JOY BANGLA FIGHTERS</v>
          </cell>
          <cell r="Q1543">
            <v>1</v>
          </cell>
          <cell r="R1543">
            <v>258</v>
          </cell>
          <cell r="U1543">
            <v>44256</v>
          </cell>
        </row>
        <row r="1544">
          <cell r="B1544" t="str">
            <v>Siyam Islam</v>
          </cell>
          <cell r="C1544">
            <v>5</v>
          </cell>
          <cell r="D1544">
            <v>12</v>
          </cell>
          <cell r="E1544">
            <v>3</v>
          </cell>
          <cell r="F1544">
            <v>5</v>
          </cell>
          <cell r="G1544">
            <v>0</v>
          </cell>
          <cell r="H1544">
            <v>1</v>
          </cell>
          <cell r="I1544">
            <v>0</v>
          </cell>
          <cell r="J1544">
            <v>0</v>
          </cell>
          <cell r="M1544" t="str">
            <v>&gt;&gt;</v>
          </cell>
          <cell r="N1544" t="str">
            <v>Md Siyam Islam</v>
          </cell>
          <cell r="O1544" t="str">
            <v>FRS-2</v>
          </cell>
          <cell r="P1544" t="str">
            <v>JOY BANGLA FIGHTERS</v>
          </cell>
          <cell r="Q1544">
            <v>1</v>
          </cell>
          <cell r="R1544">
            <v>258</v>
          </cell>
          <cell r="U1544">
            <v>44256</v>
          </cell>
        </row>
        <row r="1545">
          <cell r="B1545" t="str">
            <v>MIGHTY CHALLENGERS</v>
          </cell>
          <cell r="M1545" t="str">
            <v>&gt;&gt;</v>
          </cell>
          <cell r="N1545" t="str">
            <v/>
          </cell>
          <cell r="O1545" t="str">
            <v>FRS-2</v>
          </cell>
          <cell r="P1545" t="str">
            <v>MIGHTY CHALLENGERS</v>
          </cell>
          <cell r="Q1545">
            <v>1</v>
          </cell>
          <cell r="R1545">
            <v>259</v>
          </cell>
          <cell r="T1545" t="str">
            <v>RU</v>
          </cell>
          <cell r="U1545">
            <v>44256</v>
          </cell>
        </row>
        <row r="1546">
          <cell r="B1546" t="str">
            <v>ARIFUL</v>
          </cell>
          <cell r="C1546">
            <v>8</v>
          </cell>
          <cell r="D1546">
            <v>42</v>
          </cell>
          <cell r="E1546">
            <v>8</v>
          </cell>
          <cell r="F1546">
            <v>7</v>
          </cell>
          <cell r="G1546">
            <v>0</v>
          </cell>
          <cell r="H1546">
            <v>4</v>
          </cell>
          <cell r="I1546">
            <v>3</v>
          </cell>
          <cell r="J1546">
            <v>0</v>
          </cell>
          <cell r="M1546" t="str">
            <v>&gt;&gt;</v>
          </cell>
          <cell r="N1546" t="str">
            <v>Ahammed Ariful Haq</v>
          </cell>
          <cell r="O1546" t="str">
            <v>FRS-2</v>
          </cell>
          <cell r="P1546" t="str">
            <v>MIGHTY CHALLENGERS</v>
          </cell>
          <cell r="Q1546">
            <v>1</v>
          </cell>
          <cell r="R1546">
            <v>259</v>
          </cell>
          <cell r="T1546" t="str">
            <v>RU</v>
          </cell>
          <cell r="U1546">
            <v>44256</v>
          </cell>
        </row>
        <row r="1547">
          <cell r="B1547" t="str">
            <v>HRIDOY</v>
          </cell>
          <cell r="C1547">
            <v>8</v>
          </cell>
          <cell r="D1547">
            <v>167</v>
          </cell>
          <cell r="E1547">
            <v>6</v>
          </cell>
          <cell r="F1547">
            <v>12</v>
          </cell>
          <cell r="G1547">
            <v>1</v>
          </cell>
          <cell r="H1547">
            <v>11</v>
          </cell>
          <cell r="I1547">
            <v>16</v>
          </cell>
          <cell r="J1547">
            <v>0</v>
          </cell>
          <cell r="M1547" t="str">
            <v>&gt;&gt;</v>
          </cell>
          <cell r="N1547" t="str">
            <v>Kamrul Hasan Hridoy</v>
          </cell>
          <cell r="O1547" t="str">
            <v>FRS-2</v>
          </cell>
          <cell r="P1547" t="str">
            <v>MIGHTY CHALLENGERS</v>
          </cell>
          <cell r="Q1547">
            <v>1</v>
          </cell>
          <cell r="R1547">
            <v>259</v>
          </cell>
          <cell r="T1547" t="str">
            <v>RU</v>
          </cell>
          <cell r="U1547">
            <v>44256</v>
          </cell>
        </row>
        <row r="1548">
          <cell r="B1548" t="str">
            <v>SHAKIL</v>
          </cell>
          <cell r="C1548">
            <v>8</v>
          </cell>
          <cell r="D1548">
            <v>150</v>
          </cell>
          <cell r="E1548">
            <v>4</v>
          </cell>
          <cell r="F1548">
            <v>12</v>
          </cell>
          <cell r="G1548">
            <v>0</v>
          </cell>
          <cell r="H1548">
            <v>11</v>
          </cell>
          <cell r="I1548">
            <v>10</v>
          </cell>
          <cell r="J1548">
            <v>0</v>
          </cell>
          <cell r="M1548" t="str">
            <v>&gt;&gt;</v>
          </cell>
          <cell r="N1548" t="str">
            <v>M R Shakil</v>
          </cell>
          <cell r="O1548" t="str">
            <v>FRS-2</v>
          </cell>
          <cell r="P1548" t="str">
            <v>MIGHTY CHALLENGERS</v>
          </cell>
          <cell r="Q1548">
            <v>1</v>
          </cell>
          <cell r="R1548">
            <v>259</v>
          </cell>
          <cell r="T1548" t="str">
            <v>RU</v>
          </cell>
          <cell r="U1548">
            <v>44256</v>
          </cell>
        </row>
        <row r="1549">
          <cell r="B1549" t="str">
            <v>Shohag</v>
          </cell>
          <cell r="C1549">
            <v>8</v>
          </cell>
          <cell r="D1549">
            <v>33</v>
          </cell>
          <cell r="E1549">
            <v>12</v>
          </cell>
          <cell r="F1549">
            <v>8</v>
          </cell>
          <cell r="G1549">
            <v>0</v>
          </cell>
          <cell r="H1549">
            <v>2</v>
          </cell>
          <cell r="I1549">
            <v>2</v>
          </cell>
          <cell r="J1549">
            <v>0</v>
          </cell>
          <cell r="M1549" t="str">
            <v>&gt;&gt;</v>
          </cell>
          <cell r="N1549" t="str">
            <v>Hetlar Shohag</v>
          </cell>
          <cell r="O1549" t="str">
            <v>FRS-2</v>
          </cell>
          <cell r="P1549" t="str">
            <v>MIGHTY CHALLENGERS</v>
          </cell>
          <cell r="Q1549">
            <v>1</v>
          </cell>
          <cell r="R1549">
            <v>259</v>
          </cell>
          <cell r="T1549" t="str">
            <v>RU</v>
          </cell>
          <cell r="U1549">
            <v>44256</v>
          </cell>
        </row>
        <row r="1550">
          <cell r="B1550" t="str">
            <v>TOFAYEL</v>
          </cell>
          <cell r="C1550">
            <v>8</v>
          </cell>
          <cell r="D1550">
            <v>131</v>
          </cell>
          <cell r="E1550">
            <v>12</v>
          </cell>
          <cell r="F1550">
            <v>12</v>
          </cell>
          <cell r="G1550">
            <v>3</v>
          </cell>
          <cell r="H1550">
            <v>7</v>
          </cell>
          <cell r="I1550">
            <v>12</v>
          </cell>
          <cell r="J1550">
            <v>1</v>
          </cell>
          <cell r="M1550" t="str">
            <v>&gt;&gt;</v>
          </cell>
          <cell r="N1550" t="str">
            <v>MD Tofayel Ahmed</v>
          </cell>
          <cell r="O1550" t="str">
            <v>FRS-2</v>
          </cell>
          <cell r="P1550" t="str">
            <v>MIGHTY CHALLENGERS</v>
          </cell>
          <cell r="Q1550">
            <v>1</v>
          </cell>
          <cell r="R1550">
            <v>259</v>
          </cell>
          <cell r="S1550" t="str">
            <v>MOT</v>
          </cell>
          <cell r="T1550" t="str">
            <v>RU</v>
          </cell>
          <cell r="U1550">
            <v>44256</v>
          </cell>
        </row>
        <row r="1551">
          <cell r="B1551" t="str">
            <v>SCORING  WILLOWS</v>
          </cell>
          <cell r="M1551" t="str">
            <v>&gt;&gt;</v>
          </cell>
          <cell r="N1551" t="str">
            <v/>
          </cell>
          <cell r="O1551" t="str">
            <v>FRS-2</v>
          </cell>
          <cell r="P1551" t="str">
            <v>SCORING  WILLOWS</v>
          </cell>
          <cell r="Q1551">
            <v>1</v>
          </cell>
          <cell r="R1551">
            <v>260</v>
          </cell>
          <cell r="U1551">
            <v>44256</v>
          </cell>
        </row>
        <row r="1552">
          <cell r="B1552" t="str">
            <v>SAAJ</v>
          </cell>
          <cell r="C1552">
            <v>6</v>
          </cell>
          <cell r="D1552">
            <v>99</v>
          </cell>
          <cell r="E1552">
            <v>13</v>
          </cell>
          <cell r="F1552">
            <v>7</v>
          </cell>
          <cell r="G1552">
            <v>2</v>
          </cell>
          <cell r="H1552">
            <v>7</v>
          </cell>
          <cell r="I1552">
            <v>6</v>
          </cell>
          <cell r="J1552">
            <v>0</v>
          </cell>
          <cell r="M1552" t="str">
            <v>&gt;&gt;</v>
          </cell>
          <cell r="N1552" t="str">
            <v>AB Saaj</v>
          </cell>
          <cell r="O1552" t="str">
            <v>FRS-2</v>
          </cell>
          <cell r="P1552" t="str">
            <v>SCORING  WILLOWS</v>
          </cell>
          <cell r="Q1552">
            <v>1</v>
          </cell>
          <cell r="R1552">
            <v>260</v>
          </cell>
          <cell r="U1552">
            <v>44256</v>
          </cell>
        </row>
        <row r="1553">
          <cell r="B1553" t="str">
            <v>FARUQUE</v>
          </cell>
          <cell r="C1553">
            <v>6</v>
          </cell>
          <cell r="D1553">
            <v>85</v>
          </cell>
          <cell r="E1553">
            <v>4</v>
          </cell>
          <cell r="F1553">
            <v>7</v>
          </cell>
          <cell r="G1553">
            <v>0</v>
          </cell>
          <cell r="H1553">
            <v>6</v>
          </cell>
          <cell r="I1553">
            <v>7</v>
          </cell>
          <cell r="J1553">
            <v>0</v>
          </cell>
          <cell r="M1553" t="str">
            <v>&gt;&gt;</v>
          </cell>
          <cell r="N1553" t="str">
            <v>Mohammad Faruque</v>
          </cell>
          <cell r="O1553" t="str">
            <v>FRS-2</v>
          </cell>
          <cell r="P1553" t="str">
            <v>SCORING  WILLOWS</v>
          </cell>
          <cell r="Q1553">
            <v>1</v>
          </cell>
          <cell r="R1553">
            <v>260</v>
          </cell>
          <cell r="U1553">
            <v>44256</v>
          </cell>
        </row>
        <row r="1554">
          <cell r="B1554" t="str">
            <v>MEER</v>
          </cell>
          <cell r="C1554">
            <v>4</v>
          </cell>
          <cell r="D1554">
            <v>16</v>
          </cell>
          <cell r="E1554">
            <v>5</v>
          </cell>
          <cell r="F1554">
            <v>3</v>
          </cell>
          <cell r="G1554">
            <v>0</v>
          </cell>
          <cell r="H1554">
            <v>0</v>
          </cell>
          <cell r="I1554">
            <v>2</v>
          </cell>
          <cell r="J1554">
            <v>0</v>
          </cell>
          <cell r="M1554" t="str">
            <v>&gt;&gt;</v>
          </cell>
          <cell r="N1554" t="str">
            <v>Meer Sher Ali</v>
          </cell>
          <cell r="O1554" t="str">
            <v>FRS-2</v>
          </cell>
          <cell r="P1554" t="str">
            <v>SCORING  WILLOWS</v>
          </cell>
          <cell r="Q1554">
            <v>1</v>
          </cell>
          <cell r="R1554">
            <v>260</v>
          </cell>
          <cell r="U1554">
            <v>44256</v>
          </cell>
        </row>
        <row r="1555">
          <cell r="B1555" t="str">
            <v>ADOR</v>
          </cell>
          <cell r="C1555">
            <v>6</v>
          </cell>
          <cell r="D1555">
            <v>91</v>
          </cell>
          <cell r="E1555">
            <v>11</v>
          </cell>
          <cell r="F1555">
            <v>8</v>
          </cell>
          <cell r="G1555">
            <v>1</v>
          </cell>
          <cell r="H1555">
            <v>11</v>
          </cell>
          <cell r="I1555">
            <v>2</v>
          </cell>
          <cell r="J1555">
            <v>0</v>
          </cell>
          <cell r="M1555" t="str">
            <v>&gt;&gt;</v>
          </cell>
          <cell r="N1555" t="str">
            <v>Ador Hasan</v>
          </cell>
          <cell r="O1555" t="str">
            <v>FRS-2</v>
          </cell>
          <cell r="P1555" t="str">
            <v>SCORING  WILLOWS</v>
          </cell>
          <cell r="Q1555">
            <v>1</v>
          </cell>
          <cell r="R1555">
            <v>260</v>
          </cell>
          <cell r="U1555">
            <v>44256</v>
          </cell>
        </row>
        <row r="1556">
          <cell r="B1556" t="str">
            <v>Asif</v>
          </cell>
          <cell r="C1556">
            <v>6</v>
          </cell>
          <cell r="D1556">
            <v>67</v>
          </cell>
          <cell r="E1556">
            <v>3</v>
          </cell>
          <cell r="F1556">
            <v>5</v>
          </cell>
          <cell r="G1556">
            <v>1</v>
          </cell>
          <cell r="H1556">
            <v>4</v>
          </cell>
          <cell r="I1556">
            <v>5</v>
          </cell>
          <cell r="J1556">
            <v>0</v>
          </cell>
          <cell r="M1556" t="str">
            <v>&gt;&gt;</v>
          </cell>
          <cell r="N1556" t="str">
            <v>Asif Iqbal Khan</v>
          </cell>
          <cell r="O1556" t="str">
            <v>FRS-2</v>
          </cell>
          <cell r="P1556" t="str">
            <v>SCORING  WILLOWS</v>
          </cell>
          <cell r="Q1556">
            <v>1</v>
          </cell>
          <cell r="R1556">
            <v>260</v>
          </cell>
          <cell r="U1556">
            <v>44256</v>
          </cell>
        </row>
        <row r="1557">
          <cell r="B1557" t="str">
            <v>BANGLA SUPERBOYS</v>
          </cell>
          <cell r="M1557" t="str">
            <v>&gt;&gt;</v>
          </cell>
          <cell r="N1557" t="str">
            <v/>
          </cell>
          <cell r="O1557" t="str">
            <v>FRS-2</v>
          </cell>
          <cell r="P1557" t="str">
            <v>BANGLA SUPERBOYS</v>
          </cell>
          <cell r="Q1557">
            <v>1</v>
          </cell>
          <cell r="R1557">
            <v>261</v>
          </cell>
          <cell r="U1557">
            <v>44256</v>
          </cell>
        </row>
        <row r="1558">
          <cell r="B1558" t="str">
            <v>SADRUL</v>
          </cell>
          <cell r="C1558">
            <v>8</v>
          </cell>
          <cell r="D1558">
            <v>93</v>
          </cell>
          <cell r="E1558">
            <v>11</v>
          </cell>
          <cell r="F1558">
            <v>7</v>
          </cell>
          <cell r="G1558">
            <v>0</v>
          </cell>
          <cell r="H1558">
            <v>8</v>
          </cell>
          <cell r="I1558">
            <v>9</v>
          </cell>
          <cell r="J1558">
            <v>0</v>
          </cell>
          <cell r="M1558" t="str">
            <v>&gt;&gt;</v>
          </cell>
          <cell r="N1558" t="str">
            <v>Sadrul Anam</v>
          </cell>
          <cell r="O1558" t="str">
            <v>FRS-2</v>
          </cell>
          <cell r="P1558" t="str">
            <v>BANGLA SUPERBOYS</v>
          </cell>
          <cell r="Q1558">
            <v>1</v>
          </cell>
          <cell r="R1558">
            <v>261</v>
          </cell>
          <cell r="U1558">
            <v>44256</v>
          </cell>
        </row>
        <row r="1559">
          <cell r="B1559" t="str">
            <v>HELAL</v>
          </cell>
          <cell r="C1559">
            <v>8</v>
          </cell>
          <cell r="D1559">
            <v>131</v>
          </cell>
          <cell r="E1559">
            <v>5</v>
          </cell>
          <cell r="F1559">
            <v>11</v>
          </cell>
          <cell r="G1559">
            <v>2</v>
          </cell>
          <cell r="H1559">
            <v>13</v>
          </cell>
          <cell r="I1559">
            <v>6</v>
          </cell>
          <cell r="J1559">
            <v>0</v>
          </cell>
          <cell r="M1559" t="str">
            <v>&gt;&gt;</v>
          </cell>
          <cell r="N1559" t="str">
            <v>Sheik Helal Ahmed</v>
          </cell>
          <cell r="O1559" t="str">
            <v>FRS-2</v>
          </cell>
          <cell r="P1559" t="str">
            <v>BANGLA SUPERBOYS</v>
          </cell>
          <cell r="Q1559">
            <v>1</v>
          </cell>
          <cell r="R1559">
            <v>261</v>
          </cell>
          <cell r="U1559">
            <v>44256</v>
          </cell>
        </row>
        <row r="1560">
          <cell r="B1560" t="str">
            <v>Rubel</v>
          </cell>
          <cell r="C1560">
            <v>8</v>
          </cell>
          <cell r="D1560">
            <v>139</v>
          </cell>
          <cell r="E1560">
            <v>10</v>
          </cell>
          <cell r="F1560">
            <v>13</v>
          </cell>
          <cell r="G1560">
            <v>0</v>
          </cell>
          <cell r="H1560">
            <v>12</v>
          </cell>
          <cell r="I1560">
            <v>9</v>
          </cell>
          <cell r="J1560">
            <v>0</v>
          </cell>
          <cell r="M1560" t="str">
            <v>&gt;&gt;</v>
          </cell>
          <cell r="N1560" t="str">
            <v>Anisur Islam (Rubel Hossain)</v>
          </cell>
          <cell r="O1560" t="str">
            <v>FRS-2</v>
          </cell>
          <cell r="P1560" t="str">
            <v>BANGLA SUPERBOYS</v>
          </cell>
          <cell r="Q1560">
            <v>1</v>
          </cell>
          <cell r="R1560">
            <v>261</v>
          </cell>
          <cell r="U1560">
            <v>44256</v>
          </cell>
        </row>
        <row r="1561">
          <cell r="B1561" t="str">
            <v>YARO</v>
          </cell>
          <cell r="C1561">
            <v>8</v>
          </cell>
          <cell r="D1561">
            <v>152</v>
          </cell>
          <cell r="E1561">
            <v>8</v>
          </cell>
          <cell r="F1561">
            <v>10</v>
          </cell>
          <cell r="G1561">
            <v>1</v>
          </cell>
          <cell r="H1561">
            <v>14</v>
          </cell>
          <cell r="I1561">
            <v>10</v>
          </cell>
          <cell r="J1561">
            <v>0</v>
          </cell>
          <cell r="M1561" t="str">
            <v>&gt;&gt;</v>
          </cell>
          <cell r="N1561" t="str">
            <v>Abu Mohammad Yaro</v>
          </cell>
          <cell r="O1561" t="str">
            <v>FRS-2</v>
          </cell>
          <cell r="P1561" t="str">
            <v>BANGLA SUPERBOYS</v>
          </cell>
          <cell r="Q1561">
            <v>1</v>
          </cell>
          <cell r="R1561">
            <v>261</v>
          </cell>
          <cell r="U1561">
            <v>44256</v>
          </cell>
        </row>
        <row r="1562">
          <cell r="B1562" t="str">
            <v>SH SHANTO</v>
          </cell>
          <cell r="C1562">
            <v>8</v>
          </cell>
          <cell r="D1562">
            <v>117</v>
          </cell>
          <cell r="E1562">
            <v>11</v>
          </cell>
          <cell r="F1562">
            <v>9</v>
          </cell>
          <cell r="G1562">
            <v>0</v>
          </cell>
          <cell r="H1562">
            <v>9</v>
          </cell>
          <cell r="I1562">
            <v>8</v>
          </cell>
          <cell r="J1562">
            <v>1</v>
          </cell>
          <cell r="M1562" t="str">
            <v>&gt;&gt;</v>
          </cell>
          <cell r="N1562" t="str">
            <v>Sakhawat Hossain Shanto</v>
          </cell>
          <cell r="O1562" t="str">
            <v>FRS-2</v>
          </cell>
          <cell r="P1562" t="str">
            <v>BANGLA SUPERBOYS</v>
          </cell>
          <cell r="Q1562">
            <v>1</v>
          </cell>
          <cell r="R1562">
            <v>261</v>
          </cell>
          <cell r="U1562">
            <v>44256</v>
          </cell>
        </row>
        <row r="1563">
          <cell r="B1563" t="str">
            <v>ARISTOCRATIC  BROTHERS</v>
          </cell>
          <cell r="M1563" t="str">
            <v>&gt;&gt;</v>
          </cell>
          <cell r="N1563" t="str">
            <v/>
          </cell>
          <cell r="O1563" t="str">
            <v>FRS-2</v>
          </cell>
          <cell r="P1563" t="str">
            <v>ARISTOCRATIC  BROTHERS</v>
          </cell>
          <cell r="Q1563">
            <v>1</v>
          </cell>
          <cell r="R1563">
            <v>262</v>
          </cell>
          <cell r="U1563">
            <v>44256</v>
          </cell>
        </row>
        <row r="1564">
          <cell r="B1564" t="str">
            <v>NAHID</v>
          </cell>
          <cell r="C1564">
            <v>4</v>
          </cell>
          <cell r="D1564">
            <v>52</v>
          </cell>
          <cell r="E1564">
            <v>6</v>
          </cell>
          <cell r="F1564">
            <v>6</v>
          </cell>
          <cell r="G1564">
            <v>0</v>
          </cell>
          <cell r="H1564">
            <v>5</v>
          </cell>
          <cell r="I1564">
            <v>3</v>
          </cell>
          <cell r="J1564">
            <v>1</v>
          </cell>
          <cell r="M1564" t="str">
            <v>&gt;&gt;</v>
          </cell>
          <cell r="N1564" t="str">
            <v>Nahid Saifullah</v>
          </cell>
          <cell r="O1564" t="str">
            <v>FRS-2</v>
          </cell>
          <cell r="P1564" t="str">
            <v>ARISTOCRATIC  BROTHERS</v>
          </cell>
          <cell r="Q1564">
            <v>1</v>
          </cell>
          <cell r="R1564">
            <v>262</v>
          </cell>
          <cell r="U1564">
            <v>44256</v>
          </cell>
        </row>
        <row r="1565">
          <cell r="B1565" t="str">
            <v>SHOVON</v>
          </cell>
          <cell r="C1565">
            <v>5</v>
          </cell>
          <cell r="D1565">
            <v>135</v>
          </cell>
          <cell r="E1565">
            <v>4</v>
          </cell>
          <cell r="F1565">
            <v>9</v>
          </cell>
          <cell r="G1565">
            <v>0</v>
          </cell>
          <cell r="H1565">
            <v>13</v>
          </cell>
          <cell r="I1565">
            <v>7</v>
          </cell>
          <cell r="J1565">
            <v>0</v>
          </cell>
          <cell r="M1565" t="str">
            <v>&gt;&gt;</v>
          </cell>
          <cell r="N1565" t="str">
            <v>Shahriar Khan Shovon</v>
          </cell>
          <cell r="O1565" t="str">
            <v>FRS-2</v>
          </cell>
          <cell r="P1565" t="str">
            <v>ARISTOCRATIC  BROTHERS</v>
          </cell>
          <cell r="Q1565">
            <v>1</v>
          </cell>
          <cell r="R1565">
            <v>262</v>
          </cell>
          <cell r="U1565">
            <v>44256</v>
          </cell>
        </row>
        <row r="1566">
          <cell r="B1566" t="str">
            <v>Sakib Sr.</v>
          </cell>
          <cell r="C1566">
            <v>5</v>
          </cell>
          <cell r="D1566">
            <v>53</v>
          </cell>
          <cell r="E1566">
            <v>6</v>
          </cell>
          <cell r="F1566">
            <v>8</v>
          </cell>
          <cell r="G1566">
            <v>0</v>
          </cell>
          <cell r="H1566">
            <v>5</v>
          </cell>
          <cell r="I1566">
            <v>1</v>
          </cell>
          <cell r="J1566">
            <v>0</v>
          </cell>
          <cell r="M1566" t="str">
            <v>&gt;&gt;</v>
          </cell>
          <cell r="N1566" t="str">
            <v>Ahmad Sakib Abdullah</v>
          </cell>
          <cell r="O1566" t="str">
            <v>FRS-2</v>
          </cell>
          <cell r="P1566" t="str">
            <v>ARISTOCRATIC  BROTHERS</v>
          </cell>
          <cell r="Q1566">
            <v>1</v>
          </cell>
          <cell r="R1566">
            <v>262</v>
          </cell>
          <cell r="U1566">
            <v>44256</v>
          </cell>
        </row>
        <row r="1567">
          <cell r="B1567" t="str">
            <v>SHAFIQUL</v>
          </cell>
          <cell r="C1567">
            <v>5</v>
          </cell>
          <cell r="D1567">
            <v>44</v>
          </cell>
          <cell r="E1567">
            <v>3</v>
          </cell>
          <cell r="F1567">
            <v>6</v>
          </cell>
          <cell r="G1567">
            <v>1</v>
          </cell>
          <cell r="H1567">
            <v>5</v>
          </cell>
          <cell r="I1567">
            <v>0</v>
          </cell>
          <cell r="J1567">
            <v>0</v>
          </cell>
          <cell r="M1567" t="str">
            <v>&gt;&gt;</v>
          </cell>
          <cell r="N1567" t="str">
            <v>Shafiqul Islam</v>
          </cell>
          <cell r="O1567" t="str">
            <v>FRS-2</v>
          </cell>
          <cell r="P1567" t="str">
            <v>ARISTOCRATIC  BROTHERS</v>
          </cell>
          <cell r="Q1567">
            <v>1</v>
          </cell>
          <cell r="R1567">
            <v>262</v>
          </cell>
          <cell r="U1567">
            <v>44256</v>
          </cell>
        </row>
        <row r="1568">
          <cell r="B1568" t="str">
            <v>SAJID</v>
          </cell>
          <cell r="C1568">
            <v>5</v>
          </cell>
          <cell r="D1568">
            <v>62</v>
          </cell>
          <cell r="E1568">
            <v>4</v>
          </cell>
          <cell r="F1568">
            <v>5</v>
          </cell>
          <cell r="G1568">
            <v>0</v>
          </cell>
          <cell r="H1568">
            <v>3</v>
          </cell>
          <cell r="I1568">
            <v>5</v>
          </cell>
          <cell r="J1568">
            <v>0</v>
          </cell>
          <cell r="M1568" t="str">
            <v>&gt;&gt;</v>
          </cell>
          <cell r="N1568" t="str">
            <v>Ahmad Sajid Abdullah</v>
          </cell>
          <cell r="O1568" t="str">
            <v>FRS-2</v>
          </cell>
          <cell r="P1568" t="str">
            <v>ARISTOCRATIC  BROTHERS</v>
          </cell>
          <cell r="Q1568">
            <v>1</v>
          </cell>
          <cell r="R1568">
            <v>262</v>
          </cell>
          <cell r="U1568">
            <v>44256</v>
          </cell>
        </row>
        <row r="1569">
          <cell r="B1569" t="str">
            <v>LAZY BOYS</v>
          </cell>
          <cell r="M1569" t="str">
            <v>&gt;&gt;</v>
          </cell>
          <cell r="N1569" t="str">
            <v/>
          </cell>
          <cell r="O1569" t="str">
            <v>FRS-2</v>
          </cell>
          <cell r="P1569" t="str">
            <v>LAZY BOYS</v>
          </cell>
          <cell r="Q1569">
            <v>1</v>
          </cell>
          <cell r="R1569">
            <v>263</v>
          </cell>
          <cell r="U1569">
            <v>44256</v>
          </cell>
        </row>
        <row r="1570">
          <cell r="B1570" t="str">
            <v>TUTUL</v>
          </cell>
          <cell r="C1570">
            <v>6</v>
          </cell>
          <cell r="D1570">
            <v>137</v>
          </cell>
          <cell r="E1570">
            <v>15</v>
          </cell>
          <cell r="F1570">
            <v>11</v>
          </cell>
          <cell r="G1570">
            <v>1</v>
          </cell>
          <cell r="H1570">
            <v>12</v>
          </cell>
          <cell r="I1570">
            <v>7</v>
          </cell>
          <cell r="J1570">
            <v>1</v>
          </cell>
          <cell r="M1570" t="str">
            <v>&gt;&gt;</v>
          </cell>
          <cell r="N1570" t="str">
            <v>Kamrul Hasan Tutul</v>
          </cell>
          <cell r="O1570" t="str">
            <v>FRS-2</v>
          </cell>
          <cell r="P1570" t="str">
            <v>LAZY BOYS</v>
          </cell>
          <cell r="Q1570">
            <v>1</v>
          </cell>
          <cell r="R1570">
            <v>263</v>
          </cell>
          <cell r="U1570">
            <v>44256</v>
          </cell>
          <cell r="W1570">
            <v>1</v>
          </cell>
        </row>
        <row r="1571">
          <cell r="B1571" t="str">
            <v>SAGAR</v>
          </cell>
          <cell r="C1571">
            <v>6</v>
          </cell>
          <cell r="D1571">
            <v>105</v>
          </cell>
          <cell r="E1571">
            <v>6</v>
          </cell>
          <cell r="F1571">
            <v>10</v>
          </cell>
          <cell r="G1571">
            <v>1</v>
          </cell>
          <cell r="H1571">
            <v>10</v>
          </cell>
          <cell r="I1571">
            <v>4</v>
          </cell>
          <cell r="J1571">
            <v>0</v>
          </cell>
          <cell r="M1571" t="str">
            <v>&gt;&gt;</v>
          </cell>
          <cell r="N1571" t="str">
            <v>Sajjadul Haque Sagar</v>
          </cell>
          <cell r="O1571" t="str">
            <v>FRS-2</v>
          </cell>
          <cell r="P1571" t="str">
            <v>LAZY BOYS</v>
          </cell>
          <cell r="Q1571">
            <v>1</v>
          </cell>
          <cell r="R1571">
            <v>263</v>
          </cell>
          <cell r="U1571">
            <v>44256</v>
          </cell>
        </row>
        <row r="1572">
          <cell r="B1572" t="str">
            <v>Rana</v>
          </cell>
          <cell r="C1572">
            <v>4</v>
          </cell>
          <cell r="D1572">
            <v>47</v>
          </cell>
          <cell r="E1572">
            <v>4</v>
          </cell>
          <cell r="F1572">
            <v>8</v>
          </cell>
          <cell r="G1572">
            <v>0</v>
          </cell>
          <cell r="H1572">
            <v>2</v>
          </cell>
          <cell r="I1572">
            <v>4</v>
          </cell>
          <cell r="J1572">
            <v>0</v>
          </cell>
          <cell r="M1572" t="str">
            <v>&gt;&gt;</v>
          </cell>
          <cell r="N1572" t="str">
            <v>Rana Md Masud</v>
          </cell>
          <cell r="O1572" t="str">
            <v>FRS-2</v>
          </cell>
          <cell r="P1572" t="str">
            <v>LAZY BOYS</v>
          </cell>
          <cell r="Q1572">
            <v>1</v>
          </cell>
          <cell r="R1572">
            <v>263</v>
          </cell>
          <cell r="U1572">
            <v>44256</v>
          </cell>
        </row>
        <row r="1573">
          <cell r="B1573" t="str">
            <v>RAYHAN</v>
          </cell>
          <cell r="C1573">
            <v>1</v>
          </cell>
          <cell r="D1573">
            <v>1</v>
          </cell>
          <cell r="E1573">
            <v>0</v>
          </cell>
          <cell r="F1573">
            <v>1</v>
          </cell>
          <cell r="G1573">
            <v>0</v>
          </cell>
          <cell r="H1573">
            <v>0</v>
          </cell>
          <cell r="I1573">
            <v>0</v>
          </cell>
          <cell r="J1573">
            <v>0</v>
          </cell>
          <cell r="M1573" t="str">
            <v>&gt;&gt;</v>
          </cell>
          <cell r="N1573" t="str">
            <v>Rayhan Rahman</v>
          </cell>
          <cell r="O1573" t="str">
            <v>FRS-2</v>
          </cell>
          <cell r="P1573" t="str">
            <v>LAZY BOYS</v>
          </cell>
          <cell r="Q1573">
            <v>1</v>
          </cell>
          <cell r="R1573">
            <v>263</v>
          </cell>
          <cell r="U1573">
            <v>44256</v>
          </cell>
        </row>
        <row r="1574">
          <cell r="B1574" t="str">
            <v>Sobuz</v>
          </cell>
          <cell r="C1574">
            <v>4</v>
          </cell>
          <cell r="D1574">
            <v>71</v>
          </cell>
          <cell r="E1574">
            <v>5</v>
          </cell>
          <cell r="F1574">
            <v>6</v>
          </cell>
          <cell r="G1574">
            <v>0</v>
          </cell>
          <cell r="H1574">
            <v>7</v>
          </cell>
          <cell r="I1574">
            <v>5</v>
          </cell>
          <cell r="J1574">
            <v>0</v>
          </cell>
          <cell r="M1574" t="str">
            <v>&gt;&gt;</v>
          </cell>
          <cell r="N1574" t="str">
            <v>Sobuz Al Setu</v>
          </cell>
          <cell r="O1574" t="str">
            <v>FRS-2</v>
          </cell>
          <cell r="P1574" t="str">
            <v>LAZY BOYS</v>
          </cell>
          <cell r="Q1574">
            <v>1</v>
          </cell>
          <cell r="R1574">
            <v>263</v>
          </cell>
          <cell r="U1574">
            <v>44256</v>
          </cell>
        </row>
        <row r="1575">
          <cell r="B1575" t="str">
            <v>Zohir</v>
          </cell>
          <cell r="C1575">
            <v>2</v>
          </cell>
          <cell r="D1575">
            <v>22</v>
          </cell>
          <cell r="E1575">
            <v>2</v>
          </cell>
          <cell r="F1575">
            <v>3</v>
          </cell>
          <cell r="G1575">
            <v>0</v>
          </cell>
          <cell r="H1575">
            <v>2</v>
          </cell>
          <cell r="I1575">
            <v>1</v>
          </cell>
          <cell r="J1575">
            <v>0</v>
          </cell>
          <cell r="M1575" t="str">
            <v>&gt;&gt;</v>
          </cell>
          <cell r="N1575" t="str">
            <v>Zi Zohir</v>
          </cell>
          <cell r="O1575" t="str">
            <v>FRS-2</v>
          </cell>
          <cell r="P1575" t="str">
            <v>LAZY BOYS</v>
          </cell>
          <cell r="Q1575">
            <v>1</v>
          </cell>
          <cell r="R1575">
            <v>263</v>
          </cell>
          <cell r="U1575">
            <v>44256</v>
          </cell>
        </row>
        <row r="1576">
          <cell r="B1576" t="str">
            <v>BRAVE HEART WARRIORS</v>
          </cell>
          <cell r="M1576" t="str">
            <v>&gt;&gt;</v>
          </cell>
          <cell r="N1576" t="str">
            <v/>
          </cell>
          <cell r="O1576" t="str">
            <v>FRS-2</v>
          </cell>
          <cell r="P1576" t="str">
            <v>BRAVE HEART WARRIORS</v>
          </cell>
          <cell r="Q1576">
            <v>1</v>
          </cell>
          <cell r="R1576">
            <v>264</v>
          </cell>
          <cell r="U1576">
            <v>44256</v>
          </cell>
        </row>
        <row r="1577">
          <cell r="B1577" t="str">
            <v>FIROJ</v>
          </cell>
          <cell r="C1577">
            <v>5</v>
          </cell>
          <cell r="D1577">
            <v>60</v>
          </cell>
          <cell r="E1577">
            <v>6</v>
          </cell>
          <cell r="F1577">
            <v>7</v>
          </cell>
          <cell r="G1577">
            <v>0</v>
          </cell>
          <cell r="H1577">
            <v>5</v>
          </cell>
          <cell r="I1577">
            <v>3</v>
          </cell>
          <cell r="J1577">
            <v>0</v>
          </cell>
          <cell r="M1577" t="str">
            <v>&gt;&gt;</v>
          </cell>
          <cell r="N1577" t="str">
            <v>Firoj alam</v>
          </cell>
          <cell r="O1577" t="str">
            <v>FRS-2</v>
          </cell>
          <cell r="P1577" t="str">
            <v>BRAVE HEART WARRIORS</v>
          </cell>
          <cell r="Q1577">
            <v>1</v>
          </cell>
          <cell r="R1577">
            <v>264</v>
          </cell>
          <cell r="U1577">
            <v>44256</v>
          </cell>
        </row>
        <row r="1578">
          <cell r="B1578" t="str">
            <v>JAHIN</v>
          </cell>
          <cell r="C1578">
            <v>5</v>
          </cell>
          <cell r="D1578">
            <v>43</v>
          </cell>
          <cell r="E1578">
            <v>3</v>
          </cell>
          <cell r="F1578">
            <v>7</v>
          </cell>
          <cell r="G1578">
            <v>0</v>
          </cell>
          <cell r="H1578">
            <v>3</v>
          </cell>
          <cell r="I1578">
            <v>4</v>
          </cell>
          <cell r="J1578">
            <v>0</v>
          </cell>
          <cell r="M1578" t="str">
            <v>&gt;&gt;</v>
          </cell>
          <cell r="N1578" t="str">
            <v>Jahin Shahriar Chowdhury</v>
          </cell>
          <cell r="O1578" t="str">
            <v>FRS-2</v>
          </cell>
          <cell r="P1578" t="str">
            <v>BRAVE HEART WARRIORS</v>
          </cell>
          <cell r="Q1578">
            <v>1</v>
          </cell>
          <cell r="R1578">
            <v>264</v>
          </cell>
          <cell r="U1578">
            <v>44256</v>
          </cell>
        </row>
        <row r="1579">
          <cell r="B1579" t="str">
            <v>SHISHIR</v>
          </cell>
          <cell r="C1579">
            <v>5</v>
          </cell>
          <cell r="D1579">
            <v>58</v>
          </cell>
          <cell r="E1579">
            <v>6</v>
          </cell>
          <cell r="F1579">
            <v>5</v>
          </cell>
          <cell r="G1579">
            <v>0</v>
          </cell>
          <cell r="H1579">
            <v>4</v>
          </cell>
          <cell r="I1579">
            <v>4</v>
          </cell>
          <cell r="J1579">
            <v>0</v>
          </cell>
          <cell r="M1579" t="str">
            <v>&gt;&gt;</v>
          </cell>
          <cell r="N1579" t="str">
            <v>ShiShir Hossain</v>
          </cell>
          <cell r="O1579" t="str">
            <v>FRS-2</v>
          </cell>
          <cell r="P1579" t="str">
            <v>BRAVE HEART WARRIORS</v>
          </cell>
          <cell r="Q1579">
            <v>1</v>
          </cell>
          <cell r="R1579">
            <v>264</v>
          </cell>
          <cell r="U1579">
            <v>44256</v>
          </cell>
        </row>
        <row r="1580">
          <cell r="B1580" t="str">
            <v>PRITOM</v>
          </cell>
          <cell r="C1580">
            <v>5</v>
          </cell>
          <cell r="D1580">
            <v>36</v>
          </cell>
          <cell r="E1580">
            <v>7</v>
          </cell>
          <cell r="F1580">
            <v>7</v>
          </cell>
          <cell r="G1580">
            <v>0</v>
          </cell>
          <cell r="H1580">
            <v>1</v>
          </cell>
          <cell r="I1580">
            <v>1</v>
          </cell>
          <cell r="J1580">
            <v>0</v>
          </cell>
          <cell r="M1580" t="str">
            <v>&gt;&gt;</v>
          </cell>
          <cell r="N1580" t="str">
            <v>Sanju Pritom</v>
          </cell>
          <cell r="O1580" t="str">
            <v>FRS-2</v>
          </cell>
          <cell r="P1580" t="str">
            <v>BRAVE HEART WARRIORS</v>
          </cell>
          <cell r="Q1580">
            <v>1</v>
          </cell>
          <cell r="R1580">
            <v>264</v>
          </cell>
          <cell r="U1580">
            <v>44256</v>
          </cell>
        </row>
        <row r="1581">
          <cell r="B1581" t="str">
            <v>KAMIL</v>
          </cell>
          <cell r="C1581">
            <v>5</v>
          </cell>
          <cell r="D1581">
            <v>64</v>
          </cell>
          <cell r="E1581">
            <v>7</v>
          </cell>
          <cell r="F1581">
            <v>6</v>
          </cell>
          <cell r="G1581">
            <v>1</v>
          </cell>
          <cell r="H1581">
            <v>4</v>
          </cell>
          <cell r="I1581">
            <v>6</v>
          </cell>
          <cell r="J1581">
            <v>0</v>
          </cell>
          <cell r="M1581" t="str">
            <v>&gt;&gt;</v>
          </cell>
          <cell r="N1581" t="str">
            <v>Kamil Ahmed</v>
          </cell>
          <cell r="O1581" t="str">
            <v>FRS-2</v>
          </cell>
          <cell r="P1581" t="str">
            <v>BRAVE HEART WARRIORS</v>
          </cell>
          <cell r="Q1581">
            <v>1</v>
          </cell>
          <cell r="R1581">
            <v>264</v>
          </cell>
          <cell r="U1581">
            <v>44256</v>
          </cell>
        </row>
        <row r="1582">
          <cell r="B1582" t="str">
            <v>FCL  SUPERHEROES</v>
          </cell>
          <cell r="M1582" t="str">
            <v>&gt;&gt;</v>
          </cell>
          <cell r="N1582" t="str">
            <v/>
          </cell>
          <cell r="O1582" t="str">
            <v>FCL-4</v>
          </cell>
          <cell r="P1582" t="str">
            <v>FCL  SUPERHEROES</v>
          </cell>
          <cell r="Q1582">
            <v>1</v>
          </cell>
          <cell r="R1582">
            <v>265</v>
          </cell>
          <cell r="U1582">
            <v>44374</v>
          </cell>
        </row>
        <row r="1583">
          <cell r="B1583" t="str">
            <v>SADRUL</v>
          </cell>
          <cell r="C1583">
            <v>11</v>
          </cell>
          <cell r="D1583">
            <v>136</v>
          </cell>
          <cell r="E1583">
            <v>6</v>
          </cell>
          <cell r="F1583">
            <v>11</v>
          </cell>
          <cell r="G1583">
            <v>2</v>
          </cell>
          <cell r="H1583">
            <v>8</v>
          </cell>
          <cell r="I1583">
            <v>10</v>
          </cell>
          <cell r="J1583">
            <v>0</v>
          </cell>
          <cell r="K1583">
            <v>1</v>
          </cell>
          <cell r="L1583">
            <v>0</v>
          </cell>
          <cell r="M1583" t="str">
            <v>&gt;&gt;</v>
          </cell>
          <cell r="N1583" t="str">
            <v>Sadrul Anam</v>
          </cell>
          <cell r="O1583" t="str">
            <v>FCL-4</v>
          </cell>
          <cell r="P1583" t="str">
            <v>FCL  SUPERHEROES</v>
          </cell>
          <cell r="Q1583">
            <v>1</v>
          </cell>
          <cell r="R1583">
            <v>265</v>
          </cell>
          <cell r="U1583">
            <v>44374</v>
          </cell>
        </row>
        <row r="1584">
          <cell r="B1584" t="str">
            <v>NUR</v>
          </cell>
          <cell r="C1584">
            <v>11</v>
          </cell>
          <cell r="D1584">
            <v>222</v>
          </cell>
          <cell r="E1584">
            <v>13</v>
          </cell>
          <cell r="F1584">
            <v>19</v>
          </cell>
          <cell r="G1584">
            <v>2</v>
          </cell>
          <cell r="H1584">
            <v>16</v>
          </cell>
          <cell r="I1584">
            <v>10</v>
          </cell>
          <cell r="J1584">
            <v>1</v>
          </cell>
          <cell r="K1584">
            <v>1</v>
          </cell>
          <cell r="L1584">
            <v>1</v>
          </cell>
          <cell r="M1584" t="str">
            <v>&gt;&gt;</v>
          </cell>
          <cell r="N1584" t="str">
            <v>Nur Muhammad</v>
          </cell>
          <cell r="O1584" t="str">
            <v>FCL-4</v>
          </cell>
          <cell r="P1584" t="str">
            <v>FCL  SUPERHEROES</v>
          </cell>
          <cell r="Q1584">
            <v>1</v>
          </cell>
          <cell r="R1584">
            <v>265</v>
          </cell>
          <cell r="U1584">
            <v>44374</v>
          </cell>
        </row>
        <row r="1585">
          <cell r="B1585" t="str">
            <v>sHOHAG</v>
          </cell>
          <cell r="C1585">
            <v>11</v>
          </cell>
          <cell r="D1585">
            <v>76</v>
          </cell>
          <cell r="E1585">
            <v>11</v>
          </cell>
          <cell r="F1585">
            <v>9</v>
          </cell>
          <cell r="G1585">
            <v>1</v>
          </cell>
          <cell r="H1585">
            <v>4</v>
          </cell>
          <cell r="I1585">
            <v>5</v>
          </cell>
          <cell r="J1585">
            <v>0</v>
          </cell>
          <cell r="K1585">
            <v>0</v>
          </cell>
          <cell r="L1585">
            <v>1</v>
          </cell>
          <cell r="M1585" t="str">
            <v>&gt;&gt;</v>
          </cell>
          <cell r="N1585" t="str">
            <v>Hetlar Shohag</v>
          </cell>
          <cell r="O1585" t="str">
            <v>FCL-4</v>
          </cell>
          <cell r="P1585" t="str">
            <v>FCL  SUPERHEROES</v>
          </cell>
          <cell r="Q1585">
            <v>1</v>
          </cell>
          <cell r="R1585">
            <v>265</v>
          </cell>
          <cell r="U1585">
            <v>44374</v>
          </cell>
        </row>
        <row r="1586">
          <cell r="B1586" t="str">
            <v>TOWKIR</v>
          </cell>
          <cell r="C1586">
            <v>11</v>
          </cell>
          <cell r="D1586">
            <v>58</v>
          </cell>
          <cell r="E1586">
            <v>12</v>
          </cell>
          <cell r="F1586">
            <v>10</v>
          </cell>
          <cell r="G1586">
            <v>1</v>
          </cell>
          <cell r="H1586">
            <v>4</v>
          </cell>
          <cell r="I1586">
            <v>4</v>
          </cell>
          <cell r="J1586">
            <v>1</v>
          </cell>
          <cell r="K1586">
            <v>1</v>
          </cell>
          <cell r="L1586">
            <v>0</v>
          </cell>
          <cell r="M1586" t="str">
            <v>&gt;&gt;</v>
          </cell>
          <cell r="N1586" t="str">
            <v>Towkir Ahmed Siddique</v>
          </cell>
          <cell r="O1586" t="str">
            <v>FCL-4</v>
          </cell>
          <cell r="P1586" t="str">
            <v>FCL  SUPERHEROES</v>
          </cell>
          <cell r="Q1586">
            <v>1</v>
          </cell>
          <cell r="R1586">
            <v>265</v>
          </cell>
          <cell r="U1586">
            <v>44374</v>
          </cell>
        </row>
        <row r="1587">
          <cell r="B1587" t="str">
            <v>SHISHIR</v>
          </cell>
          <cell r="C1587">
            <v>11</v>
          </cell>
          <cell r="D1587">
            <v>90</v>
          </cell>
          <cell r="E1587">
            <v>11</v>
          </cell>
          <cell r="F1587">
            <v>12</v>
          </cell>
          <cell r="G1587">
            <v>0</v>
          </cell>
          <cell r="H1587">
            <v>7</v>
          </cell>
          <cell r="I1587">
            <v>5</v>
          </cell>
          <cell r="J1587">
            <v>0</v>
          </cell>
          <cell r="K1587">
            <v>0</v>
          </cell>
          <cell r="L1587">
            <v>1</v>
          </cell>
          <cell r="M1587" t="str">
            <v>&gt;&gt;</v>
          </cell>
          <cell r="N1587" t="str">
            <v>ShiShir Hossain</v>
          </cell>
          <cell r="O1587" t="str">
            <v>FCL-4</v>
          </cell>
          <cell r="P1587" t="str">
            <v>FCL  SUPERHEROES</v>
          </cell>
          <cell r="Q1587">
            <v>1</v>
          </cell>
          <cell r="R1587">
            <v>265</v>
          </cell>
          <cell r="U1587">
            <v>44374</v>
          </cell>
        </row>
        <row r="1588">
          <cell r="B1588" t="str">
            <v>TUHIN</v>
          </cell>
          <cell r="C1588">
            <v>11</v>
          </cell>
          <cell r="D1588">
            <v>173</v>
          </cell>
          <cell r="E1588">
            <v>10</v>
          </cell>
          <cell r="F1588">
            <v>13</v>
          </cell>
          <cell r="G1588">
            <v>0</v>
          </cell>
          <cell r="H1588">
            <v>10</v>
          </cell>
          <cell r="I1588">
            <v>10</v>
          </cell>
          <cell r="J1588">
            <v>0</v>
          </cell>
          <cell r="K1588">
            <v>2</v>
          </cell>
          <cell r="L1588">
            <v>0</v>
          </cell>
          <cell r="M1588" t="str">
            <v>&gt;&gt;</v>
          </cell>
          <cell r="N1588" t="str">
            <v>Nasir Ahmed Tuhin</v>
          </cell>
          <cell r="O1588" t="str">
            <v>FCL-4</v>
          </cell>
          <cell r="P1588" t="str">
            <v>FCL  SUPERHEROES</v>
          </cell>
          <cell r="Q1588">
            <v>1</v>
          </cell>
          <cell r="R1588">
            <v>265</v>
          </cell>
          <cell r="U1588">
            <v>44374</v>
          </cell>
        </row>
        <row r="1589">
          <cell r="B1589" t="str">
            <v>FCL        FIGHTERS</v>
          </cell>
          <cell r="M1589" t="str">
            <v>&gt;&gt;</v>
          </cell>
          <cell r="N1589" t="str">
            <v/>
          </cell>
          <cell r="O1589" t="str">
            <v>FCL-4</v>
          </cell>
          <cell r="P1589" t="str">
            <v>FCL        FIGHTERS</v>
          </cell>
          <cell r="Q1589">
            <v>1</v>
          </cell>
          <cell r="R1589">
            <v>266</v>
          </cell>
          <cell r="U1589">
            <v>44374</v>
          </cell>
        </row>
        <row r="1590">
          <cell r="B1590" t="str">
            <v>ZAHEED</v>
          </cell>
          <cell r="C1590">
            <v>11</v>
          </cell>
          <cell r="D1590">
            <v>182</v>
          </cell>
          <cell r="E1590">
            <v>27</v>
          </cell>
          <cell r="F1590">
            <v>15</v>
          </cell>
          <cell r="G1590">
            <v>2</v>
          </cell>
          <cell r="H1590">
            <v>13</v>
          </cell>
          <cell r="I1590">
            <v>9</v>
          </cell>
          <cell r="J1590">
            <v>0</v>
          </cell>
          <cell r="K1590">
            <v>1</v>
          </cell>
          <cell r="L1590">
            <v>1.5</v>
          </cell>
          <cell r="M1590" t="str">
            <v>&gt;&gt;</v>
          </cell>
          <cell r="N1590" t="str">
            <v>Zaheed Hasan</v>
          </cell>
          <cell r="O1590" t="str">
            <v>FCL-4</v>
          </cell>
          <cell r="P1590" t="str">
            <v>FCL        FIGHTERS</v>
          </cell>
          <cell r="Q1590">
            <v>1</v>
          </cell>
          <cell r="R1590">
            <v>266</v>
          </cell>
          <cell r="U1590">
            <v>44374</v>
          </cell>
          <cell r="W1590">
            <v>1</v>
          </cell>
        </row>
        <row r="1591">
          <cell r="B1591" t="str">
            <v>TUTUL</v>
          </cell>
          <cell r="C1591">
            <v>11</v>
          </cell>
          <cell r="D1591">
            <v>165</v>
          </cell>
          <cell r="E1591">
            <v>14</v>
          </cell>
          <cell r="F1591">
            <v>15</v>
          </cell>
          <cell r="G1591">
            <v>1</v>
          </cell>
          <cell r="H1591">
            <v>17</v>
          </cell>
          <cell r="I1591">
            <v>7</v>
          </cell>
          <cell r="J1591">
            <v>1</v>
          </cell>
          <cell r="K1591">
            <v>1</v>
          </cell>
          <cell r="L1591">
            <v>0</v>
          </cell>
          <cell r="M1591" t="str">
            <v>&gt;&gt;</v>
          </cell>
          <cell r="N1591" t="str">
            <v>Kamrul Hasan Tutul</v>
          </cell>
          <cell r="O1591" t="str">
            <v>FCL-4</v>
          </cell>
          <cell r="P1591" t="str">
            <v>FCL        FIGHTERS</v>
          </cell>
          <cell r="Q1591">
            <v>1</v>
          </cell>
          <cell r="R1591">
            <v>266</v>
          </cell>
          <cell r="U1591">
            <v>44374</v>
          </cell>
        </row>
        <row r="1592">
          <cell r="B1592" t="str">
            <v>MD. ASIF</v>
          </cell>
          <cell r="C1592">
            <v>8</v>
          </cell>
          <cell r="D1592">
            <v>117</v>
          </cell>
          <cell r="E1592">
            <v>6</v>
          </cell>
          <cell r="F1592">
            <v>10</v>
          </cell>
          <cell r="G1592">
            <v>0</v>
          </cell>
          <cell r="H1592">
            <v>11</v>
          </cell>
          <cell r="I1592">
            <v>4</v>
          </cell>
          <cell r="J1592">
            <v>0</v>
          </cell>
          <cell r="K1592">
            <v>0</v>
          </cell>
          <cell r="L1592">
            <v>1</v>
          </cell>
          <cell r="M1592" t="str">
            <v>&gt;&gt;</v>
          </cell>
          <cell r="N1592" t="str">
            <v>Mohammad Asif</v>
          </cell>
          <cell r="O1592" t="str">
            <v>FCL-4</v>
          </cell>
          <cell r="P1592" t="str">
            <v>FCL        FIGHTERS</v>
          </cell>
          <cell r="Q1592">
            <v>1</v>
          </cell>
          <cell r="R1592">
            <v>266</v>
          </cell>
          <cell r="U1592">
            <v>44374</v>
          </cell>
        </row>
        <row r="1593">
          <cell r="B1593" t="str">
            <v>YARO</v>
          </cell>
          <cell r="C1593">
            <v>11</v>
          </cell>
          <cell r="D1593">
            <v>196</v>
          </cell>
          <cell r="E1593">
            <v>17</v>
          </cell>
          <cell r="F1593">
            <v>18</v>
          </cell>
          <cell r="G1593">
            <v>0</v>
          </cell>
          <cell r="H1593">
            <v>15</v>
          </cell>
          <cell r="I1593">
            <v>11</v>
          </cell>
          <cell r="J1593">
            <v>0</v>
          </cell>
          <cell r="K1593">
            <v>2</v>
          </cell>
          <cell r="L1593">
            <v>0.5</v>
          </cell>
          <cell r="M1593" t="str">
            <v>&gt;&gt;</v>
          </cell>
          <cell r="N1593" t="str">
            <v>Abu Mohammad Yaro</v>
          </cell>
          <cell r="O1593" t="str">
            <v>FCL-4</v>
          </cell>
          <cell r="P1593" t="str">
            <v>FCL        FIGHTERS</v>
          </cell>
          <cell r="Q1593">
            <v>1</v>
          </cell>
          <cell r="R1593">
            <v>266</v>
          </cell>
          <cell r="U1593">
            <v>44374</v>
          </cell>
        </row>
        <row r="1594">
          <cell r="B1594" t="str">
            <v>JOY</v>
          </cell>
          <cell r="C1594">
            <v>9</v>
          </cell>
          <cell r="D1594">
            <v>122</v>
          </cell>
          <cell r="E1594">
            <v>6</v>
          </cell>
          <cell r="F1594">
            <v>10</v>
          </cell>
          <cell r="G1594">
            <v>0</v>
          </cell>
          <cell r="H1594">
            <v>10</v>
          </cell>
          <cell r="I1594">
            <v>8</v>
          </cell>
          <cell r="J1594">
            <v>0</v>
          </cell>
          <cell r="K1594">
            <v>1</v>
          </cell>
          <cell r="L1594">
            <v>1</v>
          </cell>
          <cell r="M1594" t="str">
            <v>&gt;&gt;</v>
          </cell>
          <cell r="N1594" t="str">
            <v>Mehedi Hasan Joy</v>
          </cell>
          <cell r="O1594" t="str">
            <v>FCL-4</v>
          </cell>
          <cell r="P1594" t="str">
            <v>FCL        FIGHTERS</v>
          </cell>
          <cell r="Q1594">
            <v>1</v>
          </cell>
          <cell r="R1594">
            <v>266</v>
          </cell>
          <cell r="U1594">
            <v>44374</v>
          </cell>
        </row>
        <row r="1595">
          <cell r="B1595" t="str">
            <v>Masud</v>
          </cell>
          <cell r="C1595">
            <v>4</v>
          </cell>
          <cell r="D1595">
            <v>54</v>
          </cell>
          <cell r="E1595">
            <v>4</v>
          </cell>
          <cell r="F1595">
            <v>4</v>
          </cell>
          <cell r="G1595">
            <v>2</v>
          </cell>
          <cell r="H1595">
            <v>5</v>
          </cell>
          <cell r="I1595">
            <v>4</v>
          </cell>
          <cell r="J1595">
            <v>0</v>
          </cell>
          <cell r="K1595">
            <v>1</v>
          </cell>
          <cell r="L1595">
            <v>1</v>
          </cell>
          <cell r="M1595" t="str">
            <v>&gt;&gt;</v>
          </cell>
          <cell r="N1595" t="str">
            <v>MASUD KARIM</v>
          </cell>
          <cell r="O1595" t="str">
            <v>FCL-4</v>
          </cell>
          <cell r="P1595" t="str">
            <v>FCL        FIGHTERS</v>
          </cell>
          <cell r="Q1595">
            <v>1</v>
          </cell>
          <cell r="R1595">
            <v>266</v>
          </cell>
          <cell r="U1595">
            <v>44374</v>
          </cell>
        </row>
        <row r="1596">
          <cell r="B1596" t="str">
            <v>INFINITY RIDERS</v>
          </cell>
          <cell r="M1596" t="str">
            <v>&gt;&gt;</v>
          </cell>
          <cell r="N1596" t="str">
            <v/>
          </cell>
          <cell r="O1596" t="str">
            <v>FCL-4</v>
          </cell>
          <cell r="P1596" t="str">
            <v>INFINITY RIDERS</v>
          </cell>
          <cell r="Q1596">
            <v>1</v>
          </cell>
          <cell r="R1596">
            <v>267</v>
          </cell>
          <cell r="T1596" t="str">
            <v>RU</v>
          </cell>
          <cell r="U1596">
            <v>44374</v>
          </cell>
        </row>
        <row r="1597">
          <cell r="B1597" t="str">
            <v>TANVIR</v>
          </cell>
          <cell r="C1597">
            <v>13</v>
          </cell>
          <cell r="D1597">
            <v>169</v>
          </cell>
          <cell r="E1597">
            <v>14</v>
          </cell>
          <cell r="F1597">
            <v>19</v>
          </cell>
          <cell r="G1597">
            <v>1</v>
          </cell>
          <cell r="H1597">
            <v>18</v>
          </cell>
          <cell r="I1597">
            <v>9</v>
          </cell>
          <cell r="J1597">
            <v>1</v>
          </cell>
          <cell r="K1597">
            <v>0</v>
          </cell>
          <cell r="L1597">
            <v>2.5</v>
          </cell>
          <cell r="M1597" t="str">
            <v>&gt;&gt;</v>
          </cell>
          <cell r="N1597" t="str">
            <v>Tanvir Shakib</v>
          </cell>
          <cell r="O1597" t="str">
            <v>FCL-4</v>
          </cell>
          <cell r="P1597" t="str">
            <v>INFINITY RIDERS</v>
          </cell>
          <cell r="Q1597">
            <v>1</v>
          </cell>
          <cell r="R1597">
            <v>267</v>
          </cell>
          <cell r="T1597" t="str">
            <v>RU</v>
          </cell>
          <cell r="U1597">
            <v>44374</v>
          </cell>
        </row>
        <row r="1598">
          <cell r="B1598" t="str">
            <v>JAHIN</v>
          </cell>
          <cell r="C1598">
            <v>13</v>
          </cell>
          <cell r="D1598">
            <v>135</v>
          </cell>
          <cell r="E1598">
            <v>16</v>
          </cell>
          <cell r="F1598">
            <v>15</v>
          </cell>
          <cell r="G1598">
            <v>1</v>
          </cell>
          <cell r="H1598">
            <v>7</v>
          </cell>
          <cell r="I1598">
            <v>9</v>
          </cell>
          <cell r="J1598">
            <v>1</v>
          </cell>
          <cell r="K1598">
            <v>2</v>
          </cell>
          <cell r="L1598">
            <v>2</v>
          </cell>
          <cell r="M1598" t="str">
            <v>&gt;&gt;</v>
          </cell>
          <cell r="N1598" t="str">
            <v>Jahin Shahriar Chowdhury</v>
          </cell>
          <cell r="O1598" t="str">
            <v>FCL-4</v>
          </cell>
          <cell r="P1598" t="str">
            <v>INFINITY RIDERS</v>
          </cell>
          <cell r="Q1598">
            <v>1</v>
          </cell>
          <cell r="R1598">
            <v>267</v>
          </cell>
          <cell r="T1598" t="str">
            <v>RU</v>
          </cell>
          <cell r="U1598">
            <v>44374</v>
          </cell>
        </row>
        <row r="1599">
          <cell r="B1599" t="str">
            <v>MUNNA</v>
          </cell>
          <cell r="C1599">
            <v>13</v>
          </cell>
          <cell r="D1599">
            <v>140</v>
          </cell>
          <cell r="E1599">
            <v>20</v>
          </cell>
          <cell r="F1599">
            <v>14</v>
          </cell>
          <cell r="G1599">
            <v>0</v>
          </cell>
          <cell r="H1599">
            <v>16</v>
          </cell>
          <cell r="I1599">
            <v>6</v>
          </cell>
          <cell r="J1599">
            <v>1</v>
          </cell>
          <cell r="K1599">
            <v>0</v>
          </cell>
          <cell r="L1599">
            <v>1.5</v>
          </cell>
          <cell r="M1599" t="str">
            <v>&gt;&gt;</v>
          </cell>
          <cell r="N1599" t="str">
            <v>Monowar Hossain Munna</v>
          </cell>
          <cell r="O1599" t="str">
            <v>FCL-4</v>
          </cell>
          <cell r="P1599" t="str">
            <v>INFINITY RIDERS</v>
          </cell>
          <cell r="Q1599">
            <v>1</v>
          </cell>
          <cell r="R1599">
            <v>267</v>
          </cell>
          <cell r="T1599" t="str">
            <v>RU</v>
          </cell>
          <cell r="U1599">
            <v>44374</v>
          </cell>
        </row>
        <row r="1600">
          <cell r="B1600" t="str">
            <v>SAJID</v>
          </cell>
          <cell r="C1600">
            <v>10</v>
          </cell>
          <cell r="D1600">
            <v>56</v>
          </cell>
          <cell r="E1600">
            <v>10</v>
          </cell>
          <cell r="F1600">
            <v>7</v>
          </cell>
          <cell r="G1600">
            <v>0</v>
          </cell>
          <cell r="H1600">
            <v>4</v>
          </cell>
          <cell r="I1600">
            <v>2</v>
          </cell>
          <cell r="J1600">
            <v>0</v>
          </cell>
          <cell r="K1600">
            <v>0</v>
          </cell>
          <cell r="L1600">
            <v>0</v>
          </cell>
          <cell r="M1600" t="str">
            <v>&gt;&gt;</v>
          </cell>
          <cell r="N1600" t="str">
            <v>Ahmad Sajid Abdullah</v>
          </cell>
          <cell r="O1600" t="str">
            <v>FCL-4</v>
          </cell>
          <cell r="P1600" t="str">
            <v>INFINITY RIDERS</v>
          </cell>
          <cell r="Q1600">
            <v>1</v>
          </cell>
          <cell r="R1600">
            <v>267</v>
          </cell>
          <cell r="T1600" t="str">
            <v>RU</v>
          </cell>
          <cell r="U1600">
            <v>44374</v>
          </cell>
        </row>
        <row r="1601">
          <cell r="B1601" t="str">
            <v>RAKIBUL</v>
          </cell>
          <cell r="C1601">
            <v>13</v>
          </cell>
          <cell r="D1601">
            <v>347</v>
          </cell>
          <cell r="E1601">
            <v>20</v>
          </cell>
          <cell r="F1601">
            <v>21</v>
          </cell>
          <cell r="G1601">
            <v>1</v>
          </cell>
          <cell r="H1601">
            <v>27</v>
          </cell>
          <cell r="I1601">
            <v>28</v>
          </cell>
          <cell r="J1601">
            <v>1</v>
          </cell>
          <cell r="K1601">
            <v>6</v>
          </cell>
          <cell r="L1601">
            <v>1</v>
          </cell>
          <cell r="M1601" t="str">
            <v>&gt;&gt;</v>
          </cell>
          <cell r="N1601" t="str">
            <v>Rakibul Islam</v>
          </cell>
          <cell r="O1601" t="str">
            <v>FCL-4</v>
          </cell>
          <cell r="P1601" t="str">
            <v>INFINITY RIDERS</v>
          </cell>
          <cell r="Q1601">
            <v>1</v>
          </cell>
          <cell r="R1601">
            <v>267</v>
          </cell>
          <cell r="T1601" t="str">
            <v>RU</v>
          </cell>
          <cell r="U1601">
            <v>44374</v>
          </cell>
          <cell r="V1601">
            <v>1</v>
          </cell>
        </row>
        <row r="1602">
          <cell r="B1602" t="str">
            <v>MRIDUL</v>
          </cell>
          <cell r="C1602">
            <v>13</v>
          </cell>
          <cell r="D1602">
            <v>158</v>
          </cell>
          <cell r="E1602">
            <v>19</v>
          </cell>
          <cell r="F1602">
            <v>16</v>
          </cell>
          <cell r="G1602">
            <v>2</v>
          </cell>
          <cell r="H1602">
            <v>10</v>
          </cell>
          <cell r="I1602">
            <v>9</v>
          </cell>
          <cell r="J1602">
            <v>0</v>
          </cell>
          <cell r="K1602">
            <v>1</v>
          </cell>
          <cell r="L1602">
            <v>1</v>
          </cell>
          <cell r="M1602" t="str">
            <v>&gt;&gt;</v>
          </cell>
          <cell r="N1602" t="str">
            <v>Mridul Haque</v>
          </cell>
          <cell r="O1602" t="str">
            <v>FCL-4</v>
          </cell>
          <cell r="P1602" t="str">
            <v>INFINITY RIDERS</v>
          </cell>
          <cell r="Q1602">
            <v>1</v>
          </cell>
          <cell r="R1602">
            <v>267</v>
          </cell>
          <cell r="T1602" t="str">
            <v>RU</v>
          </cell>
          <cell r="U1602">
            <v>44374</v>
          </cell>
        </row>
        <row r="1603">
          <cell r="B1603" t="str">
            <v>TEAM   XTREAM</v>
          </cell>
          <cell r="M1603" t="str">
            <v>&gt;&gt;</v>
          </cell>
          <cell r="N1603" t="str">
            <v/>
          </cell>
          <cell r="O1603" t="str">
            <v>FCL-4</v>
          </cell>
          <cell r="P1603" t="str">
            <v xml:space="preserve">   XTREAM</v>
          </cell>
          <cell r="Q1603">
            <v>1</v>
          </cell>
          <cell r="R1603">
            <v>268</v>
          </cell>
          <cell r="U1603">
            <v>44374</v>
          </cell>
        </row>
        <row r="1604">
          <cell r="B1604" t="str">
            <v>TONMOY</v>
          </cell>
          <cell r="C1604">
            <v>11</v>
          </cell>
          <cell r="D1604">
            <v>126</v>
          </cell>
          <cell r="E1604">
            <v>17</v>
          </cell>
          <cell r="F1604">
            <v>19</v>
          </cell>
          <cell r="G1604">
            <v>1</v>
          </cell>
          <cell r="H1604">
            <v>7</v>
          </cell>
          <cell r="I1604">
            <v>7</v>
          </cell>
          <cell r="J1604">
            <v>1</v>
          </cell>
          <cell r="K1604">
            <v>0</v>
          </cell>
          <cell r="L1604">
            <v>1.5</v>
          </cell>
          <cell r="M1604" t="str">
            <v>&gt;&gt;</v>
          </cell>
          <cell r="N1604" t="str">
            <v>Asik Hassan Tonmoy</v>
          </cell>
          <cell r="O1604" t="str">
            <v>FCL-4</v>
          </cell>
          <cell r="P1604" t="str">
            <v xml:space="preserve">   XTREAM</v>
          </cell>
          <cell r="Q1604">
            <v>1</v>
          </cell>
          <cell r="R1604">
            <v>268</v>
          </cell>
          <cell r="U1604">
            <v>44374</v>
          </cell>
        </row>
        <row r="1605">
          <cell r="B1605" t="str">
            <v>MANIK</v>
          </cell>
          <cell r="C1605">
            <v>11</v>
          </cell>
          <cell r="D1605">
            <v>206</v>
          </cell>
          <cell r="E1605">
            <v>12</v>
          </cell>
          <cell r="F1605">
            <v>17</v>
          </cell>
          <cell r="G1605">
            <v>1</v>
          </cell>
          <cell r="H1605">
            <v>7</v>
          </cell>
          <cell r="I1605">
            <v>18</v>
          </cell>
          <cell r="J1605">
            <v>0</v>
          </cell>
          <cell r="K1605">
            <v>0.5</v>
          </cell>
          <cell r="L1605">
            <v>0.5</v>
          </cell>
          <cell r="M1605" t="str">
            <v>&gt;&gt;</v>
          </cell>
          <cell r="N1605" t="str">
            <v>GM Manik</v>
          </cell>
          <cell r="O1605" t="str">
            <v>FCL-4</v>
          </cell>
          <cell r="P1605" t="str">
            <v xml:space="preserve">   XTREAM</v>
          </cell>
          <cell r="Q1605">
            <v>1</v>
          </cell>
          <cell r="R1605">
            <v>268</v>
          </cell>
          <cell r="U1605">
            <v>44374</v>
          </cell>
        </row>
        <row r="1606">
          <cell r="B1606" t="str">
            <v>TAREK</v>
          </cell>
          <cell r="C1606">
            <v>11</v>
          </cell>
          <cell r="D1606">
            <v>202</v>
          </cell>
          <cell r="E1606">
            <v>9</v>
          </cell>
          <cell r="F1606">
            <v>16</v>
          </cell>
          <cell r="G1606">
            <v>0</v>
          </cell>
          <cell r="H1606">
            <v>9</v>
          </cell>
          <cell r="I1606">
            <v>14</v>
          </cell>
          <cell r="J1606">
            <v>0</v>
          </cell>
          <cell r="K1606">
            <v>2</v>
          </cell>
          <cell r="L1606">
            <v>2</v>
          </cell>
          <cell r="M1606" t="str">
            <v>&gt;&gt;</v>
          </cell>
          <cell r="N1606" t="str">
            <v>Prince Tarek</v>
          </cell>
          <cell r="O1606" t="str">
            <v>FCL-4</v>
          </cell>
          <cell r="P1606" t="str">
            <v xml:space="preserve">   XTREAM</v>
          </cell>
          <cell r="Q1606">
            <v>1</v>
          </cell>
          <cell r="R1606">
            <v>268</v>
          </cell>
          <cell r="U1606">
            <v>44374</v>
          </cell>
        </row>
        <row r="1607">
          <cell r="B1607" t="str">
            <v>ADOR</v>
          </cell>
          <cell r="C1607">
            <v>10</v>
          </cell>
          <cell r="D1607">
            <v>162</v>
          </cell>
          <cell r="E1607">
            <v>9</v>
          </cell>
          <cell r="F1607">
            <v>16</v>
          </cell>
          <cell r="G1607">
            <v>0</v>
          </cell>
          <cell r="H1607">
            <v>9</v>
          </cell>
          <cell r="I1607">
            <v>13</v>
          </cell>
          <cell r="J1607">
            <v>0</v>
          </cell>
          <cell r="K1607">
            <v>0</v>
          </cell>
          <cell r="L1607">
            <v>1</v>
          </cell>
          <cell r="M1607" t="str">
            <v>&gt;&gt;</v>
          </cell>
          <cell r="N1607" t="str">
            <v>Ador Hasan</v>
          </cell>
          <cell r="O1607" t="str">
            <v>FCL-4</v>
          </cell>
          <cell r="P1607" t="str">
            <v xml:space="preserve">   XTREAM</v>
          </cell>
          <cell r="Q1607">
            <v>1</v>
          </cell>
          <cell r="R1607">
            <v>268</v>
          </cell>
          <cell r="U1607">
            <v>44374</v>
          </cell>
        </row>
        <row r="1608">
          <cell r="B1608" t="str">
            <v>AYAN</v>
          </cell>
          <cell r="C1608">
            <v>6</v>
          </cell>
          <cell r="D1608">
            <v>72</v>
          </cell>
          <cell r="E1608">
            <v>9</v>
          </cell>
          <cell r="F1608">
            <v>7</v>
          </cell>
          <cell r="G1608">
            <v>1</v>
          </cell>
          <cell r="H1608">
            <v>5</v>
          </cell>
          <cell r="I1608">
            <v>3</v>
          </cell>
          <cell r="J1608">
            <v>1</v>
          </cell>
          <cell r="K1608">
            <v>2</v>
          </cell>
          <cell r="L1608">
            <v>1</v>
          </cell>
          <cell r="M1608" t="str">
            <v>&gt;&gt;</v>
          </cell>
          <cell r="N1608" t="str">
            <v>Md. Tanveer Mahmud Ayan</v>
          </cell>
          <cell r="O1608" t="str">
            <v>FCL-4</v>
          </cell>
          <cell r="P1608" t="str">
            <v xml:space="preserve">   XTREAM</v>
          </cell>
          <cell r="Q1608">
            <v>1</v>
          </cell>
          <cell r="R1608">
            <v>268</v>
          </cell>
          <cell r="U1608">
            <v>44374</v>
          </cell>
        </row>
        <row r="1609">
          <cell r="B1609" t="str">
            <v>WASIQ</v>
          </cell>
          <cell r="C1609">
            <v>8</v>
          </cell>
          <cell r="D1609">
            <v>47</v>
          </cell>
          <cell r="E1609">
            <v>7</v>
          </cell>
          <cell r="F1609">
            <v>7</v>
          </cell>
          <cell r="G1609">
            <v>0</v>
          </cell>
          <cell r="H1609">
            <v>5</v>
          </cell>
          <cell r="I1609">
            <v>1</v>
          </cell>
          <cell r="J1609">
            <v>0</v>
          </cell>
          <cell r="K1609">
            <v>0</v>
          </cell>
          <cell r="L1609">
            <v>0</v>
          </cell>
          <cell r="M1609" t="str">
            <v>&gt;&gt;</v>
          </cell>
          <cell r="N1609" t="str">
            <v>Wasiq Rahman</v>
          </cell>
          <cell r="O1609" t="str">
            <v>FCL-4</v>
          </cell>
          <cell r="P1609" t="str">
            <v xml:space="preserve">   XTREAM</v>
          </cell>
          <cell r="Q1609">
            <v>1</v>
          </cell>
          <cell r="R1609">
            <v>268</v>
          </cell>
          <cell r="U1609">
            <v>44374</v>
          </cell>
        </row>
        <row r="1610">
          <cell r="B1610" t="str">
            <v>BOOM BOOM BASHERS</v>
          </cell>
          <cell r="M1610" t="str">
            <v>&gt;&gt;</v>
          </cell>
          <cell r="N1610" t="str">
            <v/>
          </cell>
          <cell r="O1610" t="str">
            <v>FCL-4</v>
          </cell>
          <cell r="P1610" t="str">
            <v>BOOM BOOM BASHERS</v>
          </cell>
          <cell r="Q1610">
            <v>1</v>
          </cell>
          <cell r="R1610">
            <v>269</v>
          </cell>
          <cell r="U1610">
            <v>44374</v>
          </cell>
        </row>
        <row r="1611">
          <cell r="B1611" t="str">
            <v>SHAKIL</v>
          </cell>
          <cell r="C1611">
            <v>11</v>
          </cell>
          <cell r="D1611">
            <v>100</v>
          </cell>
          <cell r="E1611">
            <v>14</v>
          </cell>
          <cell r="F1611">
            <v>11</v>
          </cell>
          <cell r="G1611">
            <v>1</v>
          </cell>
          <cell r="H1611">
            <v>8</v>
          </cell>
          <cell r="I1611">
            <v>8</v>
          </cell>
          <cell r="J1611">
            <v>0</v>
          </cell>
          <cell r="K1611">
            <v>0</v>
          </cell>
          <cell r="L1611">
            <v>1.5</v>
          </cell>
          <cell r="M1611" t="str">
            <v>&gt;&gt;</v>
          </cell>
          <cell r="N1611" t="str">
            <v>M R Shakil</v>
          </cell>
          <cell r="O1611" t="str">
            <v>FCL-4</v>
          </cell>
          <cell r="P1611" t="str">
            <v>BOOM BOOM BASHERS</v>
          </cell>
          <cell r="Q1611">
            <v>1</v>
          </cell>
          <cell r="R1611">
            <v>269</v>
          </cell>
          <cell r="U1611">
            <v>44374</v>
          </cell>
        </row>
        <row r="1612">
          <cell r="B1612" t="str">
            <v>Rakib Jr.</v>
          </cell>
          <cell r="C1612">
            <v>11</v>
          </cell>
          <cell r="D1612">
            <v>120</v>
          </cell>
          <cell r="E1612">
            <v>9</v>
          </cell>
          <cell r="F1612">
            <v>12</v>
          </cell>
          <cell r="G1612">
            <v>0</v>
          </cell>
          <cell r="H1612">
            <v>7</v>
          </cell>
          <cell r="I1612">
            <v>6</v>
          </cell>
          <cell r="J1612">
            <v>0</v>
          </cell>
          <cell r="K1612">
            <v>0</v>
          </cell>
          <cell r="L1612">
            <v>0</v>
          </cell>
          <cell r="M1612" t="str">
            <v>&gt;&gt;</v>
          </cell>
          <cell r="N1612" t="str">
            <v>Rakib Hossain</v>
          </cell>
          <cell r="O1612" t="str">
            <v>FCL-4</v>
          </cell>
          <cell r="P1612" t="str">
            <v>BOOM BOOM BASHERS</v>
          </cell>
          <cell r="Q1612">
            <v>1</v>
          </cell>
          <cell r="R1612">
            <v>269</v>
          </cell>
          <cell r="U1612">
            <v>44374</v>
          </cell>
        </row>
        <row r="1613">
          <cell r="B1613" t="str">
            <v>SAAJ</v>
          </cell>
          <cell r="C1613">
            <v>10</v>
          </cell>
          <cell r="D1613">
            <v>283</v>
          </cell>
          <cell r="E1613">
            <v>12</v>
          </cell>
          <cell r="F1613">
            <v>20</v>
          </cell>
          <cell r="G1613">
            <v>0</v>
          </cell>
          <cell r="H1613">
            <v>25</v>
          </cell>
          <cell r="I1613">
            <v>19</v>
          </cell>
          <cell r="J1613">
            <v>0</v>
          </cell>
          <cell r="K1613">
            <v>0</v>
          </cell>
          <cell r="L1613">
            <v>2.5</v>
          </cell>
          <cell r="M1613" t="str">
            <v>&gt;&gt;</v>
          </cell>
          <cell r="N1613" t="str">
            <v>AB Saaj</v>
          </cell>
          <cell r="O1613" t="str">
            <v>FCL-4</v>
          </cell>
          <cell r="P1613" t="str">
            <v>BOOM BOOM BASHERS</v>
          </cell>
          <cell r="Q1613">
            <v>1</v>
          </cell>
          <cell r="R1613">
            <v>269</v>
          </cell>
          <cell r="U1613">
            <v>44374</v>
          </cell>
        </row>
        <row r="1614">
          <cell r="B1614" t="str">
            <v>Mh Nayem</v>
          </cell>
          <cell r="C1614">
            <v>11</v>
          </cell>
          <cell r="D1614">
            <v>225</v>
          </cell>
          <cell r="E1614">
            <v>17</v>
          </cell>
          <cell r="F1614">
            <v>18</v>
          </cell>
          <cell r="G1614">
            <v>2</v>
          </cell>
          <cell r="H1614">
            <v>18</v>
          </cell>
          <cell r="I1614">
            <v>9</v>
          </cell>
          <cell r="J1614">
            <v>2</v>
          </cell>
          <cell r="K1614">
            <v>3</v>
          </cell>
          <cell r="L1614">
            <v>1</v>
          </cell>
          <cell r="M1614" t="str">
            <v>&gt;&gt;</v>
          </cell>
          <cell r="N1614" t="str">
            <v>মাহমুদুল হক নাইম</v>
          </cell>
          <cell r="O1614" t="str">
            <v>FCL-4</v>
          </cell>
          <cell r="P1614" t="str">
            <v>BOOM BOOM BASHERS</v>
          </cell>
          <cell r="Q1614">
            <v>1</v>
          </cell>
          <cell r="R1614">
            <v>269</v>
          </cell>
          <cell r="U1614">
            <v>44374</v>
          </cell>
        </row>
        <row r="1615">
          <cell r="B1615" t="str">
            <v>SAGAR</v>
          </cell>
          <cell r="C1615">
            <v>11</v>
          </cell>
          <cell r="D1615">
            <v>131</v>
          </cell>
          <cell r="E1615">
            <v>9</v>
          </cell>
          <cell r="F1615">
            <v>11</v>
          </cell>
          <cell r="G1615">
            <v>1</v>
          </cell>
          <cell r="H1615">
            <v>8</v>
          </cell>
          <cell r="I1615">
            <v>7</v>
          </cell>
          <cell r="J1615">
            <v>0</v>
          </cell>
          <cell r="K1615">
            <v>1</v>
          </cell>
          <cell r="L1615">
            <v>0</v>
          </cell>
          <cell r="M1615" t="str">
            <v>&gt;&gt;</v>
          </cell>
          <cell r="N1615" t="str">
            <v>Sajjadul Haque Sagar</v>
          </cell>
          <cell r="O1615" t="str">
            <v>FCL-4</v>
          </cell>
          <cell r="P1615" t="str">
            <v>BOOM BOOM BASHERS</v>
          </cell>
          <cell r="Q1615">
            <v>1</v>
          </cell>
          <cell r="R1615">
            <v>269</v>
          </cell>
          <cell r="U1615">
            <v>44374</v>
          </cell>
        </row>
        <row r="1616">
          <cell r="B1616" t="str">
            <v>Mahin</v>
          </cell>
          <cell r="C1616">
            <v>11</v>
          </cell>
          <cell r="D1616">
            <v>157</v>
          </cell>
          <cell r="E1616">
            <v>13</v>
          </cell>
          <cell r="F1616">
            <v>13</v>
          </cell>
          <cell r="G1616">
            <v>1</v>
          </cell>
          <cell r="H1616">
            <v>12</v>
          </cell>
          <cell r="I1616">
            <v>9</v>
          </cell>
          <cell r="J1616">
            <v>0</v>
          </cell>
          <cell r="K1616">
            <v>1</v>
          </cell>
          <cell r="L1616">
            <v>0</v>
          </cell>
          <cell r="M1616" t="str">
            <v>&gt;&gt;</v>
          </cell>
          <cell r="N1616" t="str">
            <v>Mahin Rahman</v>
          </cell>
          <cell r="O1616" t="str">
            <v>FCL-4</v>
          </cell>
          <cell r="P1616" t="str">
            <v>BOOM BOOM BASHERS</v>
          </cell>
          <cell r="Q1616">
            <v>1</v>
          </cell>
          <cell r="R1616">
            <v>269</v>
          </cell>
          <cell r="U1616">
            <v>44374</v>
          </cell>
        </row>
        <row r="1617">
          <cell r="B1617" t="str">
            <v>FCL     HUNTERS</v>
          </cell>
          <cell r="M1617" t="str">
            <v>&gt;&gt;</v>
          </cell>
          <cell r="N1617" t="str">
            <v/>
          </cell>
          <cell r="O1617" t="str">
            <v>FCL-4</v>
          </cell>
          <cell r="P1617" t="str">
            <v>FCL     HUNTERS</v>
          </cell>
          <cell r="Q1617">
            <v>1</v>
          </cell>
          <cell r="R1617">
            <v>270</v>
          </cell>
          <cell r="U1617">
            <v>44374</v>
          </cell>
        </row>
        <row r="1618">
          <cell r="B1618" t="str">
            <v>ARIFUL</v>
          </cell>
          <cell r="C1618">
            <v>11</v>
          </cell>
          <cell r="D1618">
            <v>188</v>
          </cell>
          <cell r="E1618">
            <v>26</v>
          </cell>
          <cell r="F1618">
            <v>15</v>
          </cell>
          <cell r="G1618">
            <v>2</v>
          </cell>
          <cell r="H1618">
            <v>14</v>
          </cell>
          <cell r="I1618">
            <v>13</v>
          </cell>
          <cell r="J1618">
            <v>0</v>
          </cell>
          <cell r="K1618">
            <v>2</v>
          </cell>
          <cell r="L1618">
            <v>1</v>
          </cell>
          <cell r="M1618" t="str">
            <v>&gt;&gt;</v>
          </cell>
          <cell r="N1618" t="str">
            <v>Ahammed Ariful Haq</v>
          </cell>
          <cell r="O1618" t="str">
            <v>FCL-4</v>
          </cell>
          <cell r="P1618" t="str">
            <v>FCL     HUNTERS</v>
          </cell>
          <cell r="Q1618">
            <v>1</v>
          </cell>
          <cell r="R1618">
            <v>270</v>
          </cell>
          <cell r="U1618">
            <v>44374</v>
          </cell>
        </row>
        <row r="1619">
          <cell r="B1619" t="str">
            <v>HELAL</v>
          </cell>
          <cell r="C1619">
            <v>11</v>
          </cell>
          <cell r="D1619">
            <v>256</v>
          </cell>
          <cell r="E1619">
            <v>14</v>
          </cell>
          <cell r="F1619">
            <v>18</v>
          </cell>
          <cell r="G1619">
            <v>1</v>
          </cell>
          <cell r="H1619">
            <v>18</v>
          </cell>
          <cell r="I1619">
            <v>15</v>
          </cell>
          <cell r="J1619">
            <v>1</v>
          </cell>
          <cell r="K1619">
            <v>2</v>
          </cell>
          <cell r="L1619">
            <v>0</v>
          </cell>
          <cell r="M1619" t="str">
            <v>&gt;&gt;</v>
          </cell>
          <cell r="N1619" t="str">
            <v>Sheik Helal Ahmed</v>
          </cell>
          <cell r="O1619" t="str">
            <v>FCL-4</v>
          </cell>
          <cell r="P1619" t="str">
            <v>FCL     HUNTERS</v>
          </cell>
          <cell r="Q1619">
            <v>1</v>
          </cell>
          <cell r="R1619">
            <v>270</v>
          </cell>
          <cell r="U1619">
            <v>44374</v>
          </cell>
        </row>
        <row r="1620">
          <cell r="B1620" t="str">
            <v>Hridoy</v>
          </cell>
          <cell r="C1620">
            <v>11</v>
          </cell>
          <cell r="D1620">
            <v>207</v>
          </cell>
          <cell r="E1620">
            <v>10</v>
          </cell>
          <cell r="F1620">
            <v>19</v>
          </cell>
          <cell r="G1620">
            <v>2</v>
          </cell>
          <cell r="H1620">
            <v>15</v>
          </cell>
          <cell r="I1620">
            <v>12</v>
          </cell>
          <cell r="J1620">
            <v>0</v>
          </cell>
          <cell r="K1620">
            <v>0</v>
          </cell>
          <cell r="L1620">
            <v>2</v>
          </cell>
          <cell r="M1620" t="str">
            <v>&gt;&gt;</v>
          </cell>
          <cell r="N1620" t="str">
            <v>Kamrul Hasan Hridoy</v>
          </cell>
          <cell r="O1620" t="str">
            <v>FCL-4</v>
          </cell>
          <cell r="P1620" t="str">
            <v>FCL     HUNTERS</v>
          </cell>
          <cell r="Q1620">
            <v>1</v>
          </cell>
          <cell r="R1620">
            <v>270</v>
          </cell>
          <cell r="U1620">
            <v>44374</v>
          </cell>
        </row>
        <row r="1621">
          <cell r="B1621" t="str">
            <v>Sakib Jr.</v>
          </cell>
          <cell r="C1621">
            <v>11</v>
          </cell>
          <cell r="D1621">
            <v>136</v>
          </cell>
          <cell r="E1621">
            <v>12</v>
          </cell>
          <cell r="F1621">
            <v>16</v>
          </cell>
          <cell r="G1621">
            <v>1</v>
          </cell>
          <cell r="H1621">
            <v>13</v>
          </cell>
          <cell r="I1621">
            <v>8</v>
          </cell>
          <cell r="J1621">
            <v>0</v>
          </cell>
          <cell r="K1621">
            <v>0</v>
          </cell>
          <cell r="L1621">
            <v>1</v>
          </cell>
          <cell r="M1621" t="str">
            <v>&gt;&gt;</v>
          </cell>
          <cell r="N1621" t="str">
            <v>Sakib Ahmed</v>
          </cell>
          <cell r="O1621" t="str">
            <v>FCL-4</v>
          </cell>
          <cell r="P1621" t="str">
            <v>FCL     HUNTERS</v>
          </cell>
          <cell r="Q1621">
            <v>1</v>
          </cell>
          <cell r="R1621">
            <v>270</v>
          </cell>
          <cell r="U1621">
            <v>44374</v>
          </cell>
        </row>
        <row r="1622">
          <cell r="B1622" t="str">
            <v>Sahed</v>
          </cell>
          <cell r="C1622">
            <v>5</v>
          </cell>
          <cell r="D1622">
            <v>76</v>
          </cell>
          <cell r="E1622">
            <v>1</v>
          </cell>
          <cell r="F1622">
            <v>6</v>
          </cell>
          <cell r="G1622">
            <v>0</v>
          </cell>
          <cell r="H1622">
            <v>7</v>
          </cell>
          <cell r="I1622">
            <v>5</v>
          </cell>
          <cell r="J1622">
            <v>0</v>
          </cell>
          <cell r="K1622">
            <v>0</v>
          </cell>
          <cell r="L1622">
            <v>1</v>
          </cell>
          <cell r="M1622" t="str">
            <v>&gt;&gt;</v>
          </cell>
          <cell r="N1622" t="str">
            <v>Sahed Hossain Masum</v>
          </cell>
          <cell r="O1622" t="str">
            <v>FCL-4</v>
          </cell>
          <cell r="P1622" t="str">
            <v>FCL     HUNTERS</v>
          </cell>
          <cell r="Q1622">
            <v>1</v>
          </cell>
          <cell r="R1622">
            <v>270</v>
          </cell>
          <cell r="U1622">
            <v>44374</v>
          </cell>
        </row>
        <row r="1623">
          <cell r="B1623" t="str">
            <v>Noman</v>
          </cell>
          <cell r="C1623">
            <v>7</v>
          </cell>
          <cell r="D1623">
            <v>37</v>
          </cell>
          <cell r="E1623">
            <v>0</v>
          </cell>
          <cell r="F1623">
            <v>4</v>
          </cell>
          <cell r="G1623">
            <v>0</v>
          </cell>
          <cell r="H1623">
            <v>3</v>
          </cell>
          <cell r="I1623">
            <v>2</v>
          </cell>
          <cell r="J1623">
            <v>0</v>
          </cell>
          <cell r="K1623">
            <v>0</v>
          </cell>
          <cell r="L1623">
            <v>0</v>
          </cell>
          <cell r="M1623" t="str">
            <v>&gt;&gt;</v>
          </cell>
          <cell r="N1623" t="str">
            <v>Noman Rafy</v>
          </cell>
          <cell r="O1623" t="str">
            <v>FCL-4</v>
          </cell>
          <cell r="P1623" t="str">
            <v>FCL     HUNTERS</v>
          </cell>
          <cell r="Q1623">
            <v>1</v>
          </cell>
          <cell r="R1623">
            <v>270</v>
          </cell>
          <cell r="U1623">
            <v>44374</v>
          </cell>
        </row>
        <row r="1624">
          <cell r="B1624" t="str">
            <v>SILENT   KILLERS</v>
          </cell>
          <cell r="M1624" t="str">
            <v>&gt;&gt;</v>
          </cell>
          <cell r="N1624" t="str">
            <v/>
          </cell>
          <cell r="O1624" t="str">
            <v>FCL-4</v>
          </cell>
          <cell r="P1624" t="str">
            <v>SILENT   KILLERS</v>
          </cell>
          <cell r="Q1624">
            <v>1</v>
          </cell>
          <cell r="R1624">
            <v>271</v>
          </cell>
          <cell r="T1624" t="str">
            <v>4TH</v>
          </cell>
          <cell r="U1624">
            <v>44374</v>
          </cell>
        </row>
        <row r="1625">
          <cell r="B1625" t="str">
            <v>Arif</v>
          </cell>
          <cell r="C1625">
            <v>12</v>
          </cell>
          <cell r="D1625">
            <v>253</v>
          </cell>
          <cell r="E1625">
            <v>17</v>
          </cell>
          <cell r="F1625">
            <v>20</v>
          </cell>
          <cell r="G1625">
            <v>2</v>
          </cell>
          <cell r="H1625">
            <v>26</v>
          </cell>
          <cell r="I1625">
            <v>14</v>
          </cell>
          <cell r="J1625">
            <v>0</v>
          </cell>
          <cell r="K1625">
            <v>2</v>
          </cell>
          <cell r="L1625">
            <v>2</v>
          </cell>
          <cell r="M1625" t="str">
            <v>&gt;&gt;</v>
          </cell>
          <cell r="N1625" t="str">
            <v>Arif Ziad</v>
          </cell>
          <cell r="O1625" t="str">
            <v>FCL-4</v>
          </cell>
          <cell r="P1625" t="str">
            <v>SILENT   KILLERS</v>
          </cell>
          <cell r="Q1625">
            <v>1</v>
          </cell>
          <cell r="R1625">
            <v>271</v>
          </cell>
          <cell r="T1625" t="str">
            <v>4TH</v>
          </cell>
          <cell r="U1625">
            <v>44374</v>
          </cell>
        </row>
        <row r="1626">
          <cell r="B1626" t="str">
            <v>SH SHANTO</v>
          </cell>
          <cell r="C1626">
            <v>12</v>
          </cell>
          <cell r="D1626">
            <v>91</v>
          </cell>
          <cell r="E1626">
            <v>12</v>
          </cell>
          <cell r="F1626">
            <v>12</v>
          </cell>
          <cell r="G1626">
            <v>0</v>
          </cell>
          <cell r="H1626">
            <v>6</v>
          </cell>
          <cell r="I1626">
            <v>6</v>
          </cell>
          <cell r="J1626">
            <v>0</v>
          </cell>
          <cell r="K1626">
            <v>0</v>
          </cell>
          <cell r="L1626">
            <v>0</v>
          </cell>
          <cell r="M1626" t="str">
            <v>&gt;&gt;</v>
          </cell>
          <cell r="N1626" t="str">
            <v>Sakhawat Hossain Shanto</v>
          </cell>
          <cell r="O1626" t="str">
            <v>FCL-4</v>
          </cell>
          <cell r="P1626" t="str">
            <v>SILENT   KILLERS</v>
          </cell>
          <cell r="Q1626">
            <v>1</v>
          </cell>
          <cell r="R1626">
            <v>271</v>
          </cell>
          <cell r="T1626" t="str">
            <v>4TH</v>
          </cell>
          <cell r="U1626">
            <v>44374</v>
          </cell>
        </row>
        <row r="1627">
          <cell r="B1627" t="str">
            <v>RASHED</v>
          </cell>
          <cell r="C1627">
            <v>12</v>
          </cell>
          <cell r="D1627">
            <v>230</v>
          </cell>
          <cell r="E1627">
            <v>18</v>
          </cell>
          <cell r="F1627">
            <v>16</v>
          </cell>
          <cell r="G1627">
            <v>3</v>
          </cell>
          <cell r="H1627">
            <v>17</v>
          </cell>
          <cell r="I1627">
            <v>17</v>
          </cell>
          <cell r="J1627">
            <v>0</v>
          </cell>
          <cell r="K1627">
            <v>2</v>
          </cell>
          <cell r="L1627">
            <v>1.5</v>
          </cell>
          <cell r="M1627" t="str">
            <v>&gt;&gt;</v>
          </cell>
          <cell r="N1627" t="str">
            <v>KM Rashedul Islam Rashed</v>
          </cell>
          <cell r="O1627" t="str">
            <v>FCL-4</v>
          </cell>
          <cell r="P1627" t="str">
            <v>SILENT   KILLERS</v>
          </cell>
          <cell r="Q1627">
            <v>1</v>
          </cell>
          <cell r="R1627">
            <v>271</v>
          </cell>
          <cell r="T1627" t="str">
            <v>4TH</v>
          </cell>
          <cell r="U1627">
            <v>44374</v>
          </cell>
        </row>
        <row r="1628">
          <cell r="B1628" t="str">
            <v>SA SHANTO</v>
          </cell>
          <cell r="C1628">
            <v>12</v>
          </cell>
          <cell r="D1628">
            <v>140</v>
          </cell>
          <cell r="E1628">
            <v>13</v>
          </cell>
          <cell r="F1628">
            <v>14</v>
          </cell>
          <cell r="G1628">
            <v>0</v>
          </cell>
          <cell r="H1628">
            <v>11</v>
          </cell>
          <cell r="I1628">
            <v>7</v>
          </cell>
          <cell r="J1628">
            <v>0</v>
          </cell>
          <cell r="K1628">
            <v>1</v>
          </cell>
          <cell r="L1628">
            <v>0.5</v>
          </cell>
          <cell r="M1628" t="str">
            <v>&gt;&gt;</v>
          </cell>
          <cell r="N1628" t="str">
            <v>Sayed Anowar Shanto</v>
          </cell>
          <cell r="O1628" t="str">
            <v>FCL-4</v>
          </cell>
          <cell r="P1628" t="str">
            <v>SILENT   KILLERS</v>
          </cell>
          <cell r="Q1628">
            <v>1</v>
          </cell>
          <cell r="R1628">
            <v>271</v>
          </cell>
          <cell r="T1628" t="str">
            <v>4TH</v>
          </cell>
          <cell r="U1628">
            <v>44374</v>
          </cell>
        </row>
        <row r="1629">
          <cell r="B1629" t="str">
            <v>WASHIM</v>
          </cell>
          <cell r="C1629">
            <v>12</v>
          </cell>
          <cell r="D1629">
            <v>187</v>
          </cell>
          <cell r="E1629">
            <v>11</v>
          </cell>
          <cell r="F1629">
            <v>14</v>
          </cell>
          <cell r="G1629">
            <v>1</v>
          </cell>
          <cell r="H1629">
            <v>4</v>
          </cell>
          <cell r="I1629">
            <v>14</v>
          </cell>
          <cell r="J1629">
            <v>0</v>
          </cell>
          <cell r="K1629">
            <v>0</v>
          </cell>
          <cell r="L1629">
            <v>1</v>
          </cell>
          <cell r="M1629" t="str">
            <v>&gt;&gt;</v>
          </cell>
          <cell r="N1629" t="str">
            <v>Akram Husan (Washim)</v>
          </cell>
          <cell r="O1629" t="str">
            <v>FCL-4</v>
          </cell>
          <cell r="P1629" t="str">
            <v>SILENT   KILLERS</v>
          </cell>
          <cell r="Q1629">
            <v>1</v>
          </cell>
          <cell r="R1629">
            <v>271</v>
          </cell>
          <cell r="T1629" t="str">
            <v>4TH</v>
          </cell>
          <cell r="U1629">
            <v>44374</v>
          </cell>
        </row>
        <row r="1630">
          <cell r="B1630" t="str">
            <v>NURUZZAMAN</v>
          </cell>
          <cell r="C1630">
            <v>9</v>
          </cell>
          <cell r="D1630">
            <v>53</v>
          </cell>
          <cell r="E1630">
            <v>11</v>
          </cell>
          <cell r="F1630">
            <v>8</v>
          </cell>
          <cell r="G1630">
            <v>0</v>
          </cell>
          <cell r="H1630">
            <v>7</v>
          </cell>
          <cell r="I1630">
            <v>1</v>
          </cell>
          <cell r="J1630">
            <v>0</v>
          </cell>
          <cell r="K1630">
            <v>1</v>
          </cell>
          <cell r="L1630">
            <v>0</v>
          </cell>
          <cell r="M1630" t="str">
            <v>&gt;&gt;</v>
          </cell>
          <cell r="N1630" t="str">
            <v>Md Nuruzzaman Ahmed</v>
          </cell>
          <cell r="O1630" t="str">
            <v>FCL-4</v>
          </cell>
          <cell r="P1630" t="str">
            <v>SILENT   KILLERS</v>
          </cell>
          <cell r="Q1630">
            <v>1</v>
          </cell>
          <cell r="R1630">
            <v>271</v>
          </cell>
          <cell r="T1630" t="str">
            <v>4TH</v>
          </cell>
          <cell r="U1630">
            <v>44374</v>
          </cell>
        </row>
        <row r="1631">
          <cell r="B1631" t="str">
            <v>BANGALI  BLASTERS</v>
          </cell>
          <cell r="M1631" t="str">
            <v>&gt;&gt;</v>
          </cell>
          <cell r="N1631" t="str">
            <v/>
          </cell>
          <cell r="O1631" t="str">
            <v>FCL-4</v>
          </cell>
          <cell r="P1631" t="str">
            <v>BANGALI  BLASTERS</v>
          </cell>
          <cell r="Q1631">
            <v>1</v>
          </cell>
          <cell r="R1631">
            <v>272</v>
          </cell>
          <cell r="T1631" t="str">
            <v>3RD</v>
          </cell>
          <cell r="U1631">
            <v>44374</v>
          </cell>
        </row>
        <row r="1632">
          <cell r="B1632" t="str">
            <v>KAMAL</v>
          </cell>
          <cell r="C1632">
            <v>13</v>
          </cell>
          <cell r="D1632">
            <v>314</v>
          </cell>
          <cell r="E1632">
            <v>22</v>
          </cell>
          <cell r="F1632">
            <v>19</v>
          </cell>
          <cell r="G1632">
            <v>3</v>
          </cell>
          <cell r="H1632">
            <v>36</v>
          </cell>
          <cell r="I1632">
            <v>13</v>
          </cell>
          <cell r="J1632">
            <v>0</v>
          </cell>
          <cell r="K1632">
            <v>3</v>
          </cell>
          <cell r="L1632">
            <v>3</v>
          </cell>
          <cell r="M1632" t="str">
            <v>&gt;&gt;</v>
          </cell>
          <cell r="N1632" t="str">
            <v>MD Kamal Hossain Kamal</v>
          </cell>
          <cell r="O1632" t="str">
            <v>FCL-4</v>
          </cell>
          <cell r="P1632" t="str">
            <v>BANGALI  BLASTERS</v>
          </cell>
          <cell r="Q1632">
            <v>1</v>
          </cell>
          <cell r="R1632">
            <v>272</v>
          </cell>
          <cell r="T1632" t="str">
            <v>3RD</v>
          </cell>
          <cell r="U1632">
            <v>44374</v>
          </cell>
        </row>
        <row r="1633">
          <cell r="B1633" t="str">
            <v>KHOKON</v>
          </cell>
          <cell r="C1633">
            <v>13</v>
          </cell>
          <cell r="D1633">
            <v>274</v>
          </cell>
          <cell r="E1633">
            <v>15</v>
          </cell>
          <cell r="F1633">
            <v>22</v>
          </cell>
          <cell r="G1633">
            <v>2</v>
          </cell>
          <cell r="H1633">
            <v>24</v>
          </cell>
          <cell r="I1633">
            <v>15</v>
          </cell>
          <cell r="J1633">
            <v>1</v>
          </cell>
          <cell r="K1633">
            <v>0.5</v>
          </cell>
          <cell r="L1633">
            <v>2</v>
          </cell>
          <cell r="M1633" t="str">
            <v>&gt;&gt;</v>
          </cell>
          <cell r="N1633" t="str">
            <v>Shahriar Khokon</v>
          </cell>
          <cell r="O1633" t="str">
            <v>FCL-4</v>
          </cell>
          <cell r="P1633" t="str">
            <v>BANGALI  BLASTERS</v>
          </cell>
          <cell r="Q1633">
            <v>1</v>
          </cell>
          <cell r="R1633">
            <v>272</v>
          </cell>
          <cell r="T1633" t="str">
            <v>3RD</v>
          </cell>
          <cell r="U1633">
            <v>44374</v>
          </cell>
        </row>
        <row r="1634">
          <cell r="B1634" t="str">
            <v>Sakib Sr.</v>
          </cell>
          <cell r="C1634">
            <v>13</v>
          </cell>
          <cell r="D1634">
            <v>141</v>
          </cell>
          <cell r="E1634">
            <v>23</v>
          </cell>
          <cell r="F1634">
            <v>15</v>
          </cell>
          <cell r="G1634">
            <v>1</v>
          </cell>
          <cell r="H1634">
            <v>9</v>
          </cell>
          <cell r="I1634">
            <v>10</v>
          </cell>
          <cell r="J1634">
            <v>0</v>
          </cell>
          <cell r="K1634">
            <v>0</v>
          </cell>
          <cell r="L1634">
            <v>1.5</v>
          </cell>
          <cell r="M1634" t="str">
            <v>&gt;&gt;</v>
          </cell>
          <cell r="N1634" t="str">
            <v>Ahmad Sakib Abdullah</v>
          </cell>
          <cell r="O1634" t="str">
            <v>FCL-4</v>
          </cell>
          <cell r="P1634" t="str">
            <v>BANGALI  BLASTERS</v>
          </cell>
          <cell r="Q1634">
            <v>1</v>
          </cell>
          <cell r="R1634">
            <v>272</v>
          </cell>
          <cell r="T1634" t="str">
            <v>3RD</v>
          </cell>
          <cell r="U1634">
            <v>44374</v>
          </cell>
        </row>
        <row r="1635">
          <cell r="B1635" t="str">
            <v>KAMIL</v>
          </cell>
          <cell r="C1635">
            <v>12</v>
          </cell>
          <cell r="D1635">
            <v>226</v>
          </cell>
          <cell r="E1635">
            <v>14</v>
          </cell>
          <cell r="F1635">
            <v>14</v>
          </cell>
          <cell r="G1635">
            <v>1</v>
          </cell>
          <cell r="H1635">
            <v>19</v>
          </cell>
          <cell r="I1635">
            <v>16</v>
          </cell>
          <cell r="J1635">
            <v>1</v>
          </cell>
          <cell r="K1635">
            <v>3</v>
          </cell>
          <cell r="L1635">
            <v>0</v>
          </cell>
          <cell r="M1635" t="str">
            <v>&gt;&gt;</v>
          </cell>
          <cell r="N1635" t="str">
            <v>Kamil Ahmed</v>
          </cell>
          <cell r="O1635" t="str">
            <v>FCL-4</v>
          </cell>
          <cell r="P1635" t="str">
            <v>BANGALI  BLASTERS</v>
          </cell>
          <cell r="Q1635">
            <v>1</v>
          </cell>
          <cell r="R1635">
            <v>272</v>
          </cell>
          <cell r="T1635" t="str">
            <v>3RD</v>
          </cell>
          <cell r="U1635">
            <v>44374</v>
          </cell>
        </row>
        <row r="1636">
          <cell r="B1636" t="str">
            <v>RAYHAN</v>
          </cell>
          <cell r="C1636">
            <v>3</v>
          </cell>
          <cell r="D1636">
            <v>23</v>
          </cell>
          <cell r="E1636">
            <v>1</v>
          </cell>
          <cell r="F1636">
            <v>3</v>
          </cell>
          <cell r="G1636">
            <v>0</v>
          </cell>
          <cell r="H1636">
            <v>3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 t="str">
            <v>&gt;&gt;</v>
          </cell>
          <cell r="N1636" t="str">
            <v>Rayhan Rahman</v>
          </cell>
          <cell r="O1636" t="str">
            <v>FCL-4</v>
          </cell>
          <cell r="P1636" t="str">
            <v>BANGALI  BLASTERS</v>
          </cell>
          <cell r="Q1636">
            <v>1</v>
          </cell>
          <cell r="R1636">
            <v>272</v>
          </cell>
          <cell r="T1636" t="str">
            <v>3RD</v>
          </cell>
          <cell r="U1636">
            <v>44374</v>
          </cell>
        </row>
        <row r="1637">
          <cell r="B1637" t="str">
            <v>SOBUZ</v>
          </cell>
          <cell r="C1637">
            <v>10</v>
          </cell>
          <cell r="D1637">
            <v>207</v>
          </cell>
          <cell r="E1637">
            <v>10</v>
          </cell>
          <cell r="F1637">
            <v>11</v>
          </cell>
          <cell r="G1637">
            <v>1</v>
          </cell>
          <cell r="H1637">
            <v>13</v>
          </cell>
          <cell r="I1637">
            <v>11</v>
          </cell>
          <cell r="J1637">
            <v>0</v>
          </cell>
          <cell r="K1637">
            <v>0</v>
          </cell>
          <cell r="L1637">
            <v>1</v>
          </cell>
          <cell r="M1637" t="str">
            <v>&gt;&gt;</v>
          </cell>
          <cell r="N1637" t="str">
            <v>Sobuz Al Setu</v>
          </cell>
          <cell r="O1637" t="str">
            <v>FCL-4</v>
          </cell>
          <cell r="P1637" t="str">
            <v>BANGALI  BLASTERS</v>
          </cell>
          <cell r="Q1637">
            <v>1</v>
          </cell>
          <cell r="R1637">
            <v>272</v>
          </cell>
          <cell r="T1637" t="str">
            <v>3RD</v>
          </cell>
          <cell r="U1637">
            <v>44374</v>
          </cell>
        </row>
        <row r="1638">
          <cell r="B1638" t="str">
            <v>NETA    EXPRESS</v>
          </cell>
          <cell r="M1638" t="str">
            <v>&gt;&gt;</v>
          </cell>
          <cell r="N1638" t="str">
            <v/>
          </cell>
          <cell r="O1638" t="str">
            <v>FCL-4</v>
          </cell>
          <cell r="P1638" t="str">
            <v>NETA    EXPRESS</v>
          </cell>
          <cell r="Q1638">
            <v>1</v>
          </cell>
          <cell r="R1638">
            <v>273</v>
          </cell>
          <cell r="U1638">
            <v>44374</v>
          </cell>
        </row>
        <row r="1639">
          <cell r="B1639" t="str">
            <v>JHONY</v>
          </cell>
          <cell r="C1639">
            <v>11</v>
          </cell>
          <cell r="D1639">
            <v>123</v>
          </cell>
          <cell r="E1639">
            <v>27</v>
          </cell>
          <cell r="F1639">
            <v>12</v>
          </cell>
          <cell r="G1639">
            <v>0</v>
          </cell>
          <cell r="H1639">
            <v>9</v>
          </cell>
          <cell r="I1639">
            <v>8</v>
          </cell>
          <cell r="J1639">
            <v>2</v>
          </cell>
          <cell r="K1639">
            <v>1</v>
          </cell>
          <cell r="L1639">
            <v>3</v>
          </cell>
          <cell r="M1639" t="str">
            <v>&gt;&gt;</v>
          </cell>
          <cell r="N1639" t="str">
            <v>Faisal Ahmed Jhony</v>
          </cell>
          <cell r="O1639" t="str">
            <v>FCL-4</v>
          </cell>
          <cell r="P1639" t="str">
            <v>NETA EXPRESS</v>
          </cell>
          <cell r="Q1639">
            <v>1</v>
          </cell>
          <cell r="R1639">
            <v>273</v>
          </cell>
          <cell r="U1639">
            <v>44374</v>
          </cell>
          <cell r="W1639">
            <v>1</v>
          </cell>
        </row>
        <row r="1640">
          <cell r="B1640" t="str">
            <v>NIAMUL</v>
          </cell>
          <cell r="C1640">
            <v>11</v>
          </cell>
          <cell r="D1640">
            <v>270</v>
          </cell>
          <cell r="E1640">
            <v>19</v>
          </cell>
          <cell r="F1640">
            <v>18</v>
          </cell>
          <cell r="G1640">
            <v>3</v>
          </cell>
          <cell r="H1640">
            <v>29</v>
          </cell>
          <cell r="I1640">
            <v>15</v>
          </cell>
          <cell r="J1640">
            <v>0</v>
          </cell>
          <cell r="K1640">
            <v>4</v>
          </cell>
          <cell r="L1640">
            <v>1</v>
          </cell>
          <cell r="M1640" t="str">
            <v>&gt;&gt;</v>
          </cell>
          <cell r="N1640" t="str">
            <v>Niamul Habib Setu</v>
          </cell>
          <cell r="O1640" t="str">
            <v>FCL-4</v>
          </cell>
          <cell r="P1640" t="str">
            <v>NETA    EXPRESS</v>
          </cell>
          <cell r="Q1640">
            <v>1</v>
          </cell>
          <cell r="R1640">
            <v>273</v>
          </cell>
          <cell r="U1640">
            <v>44374</v>
          </cell>
        </row>
        <row r="1641">
          <cell r="B1641" t="str">
            <v>Rubel</v>
          </cell>
          <cell r="C1641">
            <v>11</v>
          </cell>
          <cell r="D1641">
            <v>120</v>
          </cell>
          <cell r="E1641">
            <v>14</v>
          </cell>
          <cell r="F1641">
            <v>15</v>
          </cell>
          <cell r="G1641">
            <v>2</v>
          </cell>
          <cell r="H1641">
            <v>9</v>
          </cell>
          <cell r="I1641">
            <v>7</v>
          </cell>
          <cell r="J1641">
            <v>0</v>
          </cell>
          <cell r="K1641">
            <v>0</v>
          </cell>
          <cell r="L1641">
            <v>1.5</v>
          </cell>
          <cell r="M1641" t="str">
            <v>&gt;&gt;</v>
          </cell>
          <cell r="N1641" t="str">
            <v>Anisur Islam (Rubel Hossain)</v>
          </cell>
          <cell r="O1641" t="str">
            <v>FCL-4</v>
          </cell>
          <cell r="P1641" t="str">
            <v>NETA    EXPRESS</v>
          </cell>
          <cell r="Q1641">
            <v>1</v>
          </cell>
          <cell r="R1641">
            <v>273</v>
          </cell>
          <cell r="U1641">
            <v>44374</v>
          </cell>
        </row>
        <row r="1642">
          <cell r="B1642" t="str">
            <v>MEER</v>
          </cell>
          <cell r="C1642">
            <v>8</v>
          </cell>
          <cell r="D1642">
            <v>56</v>
          </cell>
          <cell r="E1642">
            <v>5</v>
          </cell>
          <cell r="F1642">
            <v>10</v>
          </cell>
          <cell r="G1642">
            <v>0</v>
          </cell>
          <cell r="H1642">
            <v>4</v>
          </cell>
          <cell r="I1642">
            <v>1</v>
          </cell>
          <cell r="J1642">
            <v>0</v>
          </cell>
          <cell r="K1642">
            <v>0</v>
          </cell>
          <cell r="L1642">
            <v>0</v>
          </cell>
          <cell r="M1642" t="str">
            <v>&gt;&gt;</v>
          </cell>
          <cell r="N1642" t="str">
            <v>Meer Sher Ali</v>
          </cell>
          <cell r="O1642" t="str">
            <v>FCL-4</v>
          </cell>
          <cell r="P1642" t="str">
            <v>NETA    EXPRESS</v>
          </cell>
          <cell r="Q1642">
            <v>1</v>
          </cell>
          <cell r="R1642">
            <v>273</v>
          </cell>
          <cell r="U1642">
            <v>44374</v>
          </cell>
        </row>
        <row r="1643">
          <cell r="B1643" t="str">
            <v>AL MAMUN</v>
          </cell>
          <cell r="C1643">
            <v>11</v>
          </cell>
          <cell r="D1643">
            <v>164</v>
          </cell>
          <cell r="E1643">
            <v>9</v>
          </cell>
          <cell r="F1643">
            <v>16</v>
          </cell>
          <cell r="G1643">
            <v>0</v>
          </cell>
          <cell r="H1643">
            <v>15</v>
          </cell>
          <cell r="I1643">
            <v>7</v>
          </cell>
          <cell r="J1643">
            <v>0</v>
          </cell>
          <cell r="K1643">
            <v>1</v>
          </cell>
          <cell r="L1643">
            <v>1</v>
          </cell>
          <cell r="M1643" t="str">
            <v>&gt;&gt;</v>
          </cell>
          <cell r="N1643" t="str">
            <v>Mohammed Al Mamun</v>
          </cell>
          <cell r="O1643" t="str">
            <v>FCL-4</v>
          </cell>
          <cell r="P1643" t="str">
            <v>NETA    EXPRESS</v>
          </cell>
          <cell r="Q1643">
            <v>1</v>
          </cell>
          <cell r="R1643">
            <v>273</v>
          </cell>
          <cell r="U1643">
            <v>44374</v>
          </cell>
        </row>
        <row r="1644">
          <cell r="B1644" t="str">
            <v>MONSUR</v>
          </cell>
          <cell r="C1644">
            <v>6</v>
          </cell>
          <cell r="D1644">
            <v>75</v>
          </cell>
          <cell r="E1644">
            <v>3</v>
          </cell>
          <cell r="F1644">
            <v>5</v>
          </cell>
          <cell r="G1644">
            <v>0</v>
          </cell>
          <cell r="H1644">
            <v>4</v>
          </cell>
          <cell r="I1644">
            <v>5</v>
          </cell>
          <cell r="J1644">
            <v>0</v>
          </cell>
          <cell r="K1644">
            <v>0</v>
          </cell>
          <cell r="L1644">
            <v>0</v>
          </cell>
          <cell r="M1644" t="str">
            <v>&gt;&gt;</v>
          </cell>
          <cell r="N1644" t="str">
            <v>Monsur Rahman</v>
          </cell>
          <cell r="O1644" t="str">
            <v>FCL-4</v>
          </cell>
          <cell r="P1644" t="str">
            <v>NETA    EXPRESS</v>
          </cell>
          <cell r="Q1644">
            <v>1</v>
          </cell>
          <cell r="R1644">
            <v>273</v>
          </cell>
          <cell r="U1644">
            <v>44374</v>
          </cell>
        </row>
        <row r="1645">
          <cell r="B1645" t="str">
            <v>EMPEROR SCORPION</v>
          </cell>
          <cell r="M1645" t="str">
            <v>&gt;&gt;</v>
          </cell>
          <cell r="N1645" t="str">
            <v/>
          </cell>
          <cell r="O1645" t="str">
            <v>FCL-4</v>
          </cell>
          <cell r="P1645" t="str">
            <v>EMPEROR SCORPION</v>
          </cell>
          <cell r="Q1645">
            <v>1</v>
          </cell>
          <cell r="R1645">
            <v>274</v>
          </cell>
          <cell r="U1645">
            <v>44374</v>
          </cell>
        </row>
        <row r="1646">
          <cell r="B1646" t="str">
            <v>SHOVON</v>
          </cell>
          <cell r="C1646">
            <v>11</v>
          </cell>
          <cell r="D1646">
            <v>164</v>
          </cell>
          <cell r="E1646">
            <v>15</v>
          </cell>
          <cell r="F1646">
            <v>16</v>
          </cell>
          <cell r="G1646">
            <v>2</v>
          </cell>
          <cell r="H1646">
            <v>16</v>
          </cell>
          <cell r="I1646">
            <v>8</v>
          </cell>
          <cell r="J1646">
            <v>1</v>
          </cell>
          <cell r="K1646">
            <v>1</v>
          </cell>
          <cell r="L1646">
            <v>2</v>
          </cell>
          <cell r="M1646" t="str">
            <v>&gt;&gt;</v>
          </cell>
          <cell r="N1646" t="str">
            <v>Shahriar Khan Shovon</v>
          </cell>
          <cell r="O1646" t="str">
            <v>FCL-4</v>
          </cell>
          <cell r="P1646" t="str">
            <v>EMPEROR SCORPION</v>
          </cell>
          <cell r="Q1646">
            <v>1</v>
          </cell>
          <cell r="R1646">
            <v>274</v>
          </cell>
          <cell r="U1646">
            <v>44374</v>
          </cell>
        </row>
        <row r="1647">
          <cell r="B1647" t="str">
            <v>LAISUL</v>
          </cell>
          <cell r="C1647">
            <v>11</v>
          </cell>
          <cell r="D1647">
            <v>143</v>
          </cell>
          <cell r="E1647">
            <v>20</v>
          </cell>
          <cell r="F1647">
            <v>15</v>
          </cell>
          <cell r="G1647">
            <v>0</v>
          </cell>
          <cell r="H1647">
            <v>12</v>
          </cell>
          <cell r="I1647">
            <v>9</v>
          </cell>
          <cell r="J1647">
            <v>0</v>
          </cell>
          <cell r="K1647">
            <v>2</v>
          </cell>
          <cell r="L1647">
            <v>0</v>
          </cell>
          <cell r="M1647" t="str">
            <v>&gt;&gt;</v>
          </cell>
          <cell r="N1647" t="str">
            <v>Laisul Morshed</v>
          </cell>
          <cell r="O1647" t="str">
            <v>FCL-4</v>
          </cell>
          <cell r="P1647" t="str">
            <v>EMPEROR SCORPION</v>
          </cell>
          <cell r="Q1647">
            <v>1</v>
          </cell>
          <cell r="R1647">
            <v>274</v>
          </cell>
          <cell r="U1647">
            <v>44374</v>
          </cell>
        </row>
        <row r="1648">
          <cell r="B1648" t="str">
            <v>SHAFIQUL</v>
          </cell>
          <cell r="C1648">
            <v>11</v>
          </cell>
          <cell r="D1648">
            <v>72</v>
          </cell>
          <cell r="E1648">
            <v>9</v>
          </cell>
          <cell r="F1648">
            <v>9</v>
          </cell>
          <cell r="G1648">
            <v>2</v>
          </cell>
          <cell r="H1648">
            <v>4</v>
          </cell>
          <cell r="I1648">
            <v>4</v>
          </cell>
          <cell r="J1648">
            <v>0</v>
          </cell>
          <cell r="K1648">
            <v>1</v>
          </cell>
          <cell r="L1648">
            <v>0</v>
          </cell>
          <cell r="M1648" t="str">
            <v>&gt;&gt;</v>
          </cell>
          <cell r="N1648" t="str">
            <v>Shafiqul Islam</v>
          </cell>
          <cell r="O1648" t="str">
            <v>FCL-4</v>
          </cell>
          <cell r="P1648" t="str">
            <v>EMPEROR SCORPION</v>
          </cell>
          <cell r="Q1648">
            <v>1</v>
          </cell>
          <cell r="R1648">
            <v>274</v>
          </cell>
          <cell r="U1648">
            <v>44374</v>
          </cell>
        </row>
        <row r="1649">
          <cell r="B1649" t="str">
            <v>MEYAZ</v>
          </cell>
          <cell r="C1649">
            <v>8</v>
          </cell>
          <cell r="D1649">
            <v>166</v>
          </cell>
          <cell r="E1649">
            <v>6</v>
          </cell>
          <cell r="F1649">
            <v>13</v>
          </cell>
          <cell r="G1649">
            <v>1</v>
          </cell>
          <cell r="H1649">
            <v>14</v>
          </cell>
          <cell r="I1649">
            <v>12</v>
          </cell>
          <cell r="J1649">
            <v>0</v>
          </cell>
          <cell r="K1649">
            <v>1</v>
          </cell>
          <cell r="L1649">
            <v>1</v>
          </cell>
          <cell r="M1649" t="str">
            <v>&gt;&gt;</v>
          </cell>
          <cell r="N1649" t="str">
            <v>Meyaz Al Emon</v>
          </cell>
          <cell r="O1649" t="str">
            <v>FCL-4</v>
          </cell>
          <cell r="P1649" t="str">
            <v>EMPEROR SCORPION</v>
          </cell>
          <cell r="Q1649">
            <v>1</v>
          </cell>
          <cell r="R1649">
            <v>274</v>
          </cell>
          <cell r="U1649">
            <v>44374</v>
          </cell>
        </row>
        <row r="1650">
          <cell r="B1650" t="str">
            <v>DURJOY</v>
          </cell>
          <cell r="C1650">
            <v>10</v>
          </cell>
          <cell r="D1650">
            <v>88</v>
          </cell>
          <cell r="E1650">
            <v>6</v>
          </cell>
          <cell r="F1650">
            <v>9</v>
          </cell>
          <cell r="G1650">
            <v>0</v>
          </cell>
          <cell r="H1650">
            <v>3</v>
          </cell>
          <cell r="I1650">
            <v>7</v>
          </cell>
          <cell r="J1650">
            <v>0</v>
          </cell>
          <cell r="K1650">
            <v>0</v>
          </cell>
          <cell r="L1650">
            <v>0</v>
          </cell>
          <cell r="M1650" t="str">
            <v>&gt;&gt;</v>
          </cell>
          <cell r="N1650" t="str">
            <v>Naieem Islam Durjoy</v>
          </cell>
          <cell r="O1650" t="str">
            <v>FCL-4</v>
          </cell>
          <cell r="P1650" t="str">
            <v>EMPEROR SCORPION</v>
          </cell>
          <cell r="Q1650">
            <v>1</v>
          </cell>
          <cell r="R1650">
            <v>274</v>
          </cell>
          <cell r="U1650">
            <v>44374</v>
          </cell>
        </row>
        <row r="1651">
          <cell r="B1651" t="str">
            <v>RIDOY</v>
          </cell>
          <cell r="C1651">
            <v>9</v>
          </cell>
          <cell r="D1651">
            <v>177</v>
          </cell>
          <cell r="E1651">
            <v>13</v>
          </cell>
          <cell r="F1651">
            <v>11</v>
          </cell>
          <cell r="G1651">
            <v>1</v>
          </cell>
          <cell r="H1651">
            <v>13</v>
          </cell>
          <cell r="I1651">
            <v>11</v>
          </cell>
          <cell r="J1651">
            <v>2</v>
          </cell>
          <cell r="K1651">
            <v>1</v>
          </cell>
          <cell r="L1651">
            <v>2</v>
          </cell>
          <cell r="M1651" t="str">
            <v>&gt;&gt;</v>
          </cell>
          <cell r="N1651" t="str">
            <v>Md Ridoy AR</v>
          </cell>
          <cell r="O1651" t="str">
            <v>FCL-4</v>
          </cell>
          <cell r="P1651" t="str">
            <v>EMPEROR SCORPION</v>
          </cell>
          <cell r="Q1651">
            <v>1</v>
          </cell>
          <cell r="R1651">
            <v>274</v>
          </cell>
          <cell r="U1651">
            <v>44374</v>
          </cell>
        </row>
        <row r="1652">
          <cell r="B1652" t="str">
            <v>STAR      BOYS</v>
          </cell>
          <cell r="M1652" t="str">
            <v>&gt;&gt;</v>
          </cell>
          <cell r="N1652" t="str">
            <v/>
          </cell>
          <cell r="O1652" t="str">
            <v>FCL-4</v>
          </cell>
          <cell r="P1652" t="str">
            <v>STAR      BOYS</v>
          </cell>
          <cell r="Q1652">
            <v>1</v>
          </cell>
          <cell r="R1652">
            <v>275</v>
          </cell>
          <cell r="U1652">
            <v>44374</v>
          </cell>
        </row>
        <row r="1653">
          <cell r="B1653" t="str">
            <v>TOFAYEL</v>
          </cell>
          <cell r="C1653">
            <v>11</v>
          </cell>
          <cell r="D1653">
            <v>169</v>
          </cell>
          <cell r="E1653">
            <v>20</v>
          </cell>
          <cell r="F1653">
            <v>19</v>
          </cell>
          <cell r="G1653">
            <v>2</v>
          </cell>
          <cell r="H1653">
            <v>13</v>
          </cell>
          <cell r="I1653">
            <v>11</v>
          </cell>
          <cell r="J1653">
            <v>0</v>
          </cell>
          <cell r="K1653">
            <v>2</v>
          </cell>
          <cell r="L1653">
            <v>1</v>
          </cell>
          <cell r="M1653" t="str">
            <v>&gt;&gt;</v>
          </cell>
          <cell r="N1653" t="str">
            <v>MD Tofayel Ahmed</v>
          </cell>
          <cell r="O1653" t="str">
            <v>FCL-4</v>
          </cell>
          <cell r="P1653" t="str">
            <v>STAR      BOYS</v>
          </cell>
          <cell r="Q1653">
            <v>1</v>
          </cell>
          <cell r="R1653">
            <v>275</v>
          </cell>
          <cell r="U1653">
            <v>44374</v>
          </cell>
        </row>
        <row r="1654">
          <cell r="B1654" t="str">
            <v>AKASH</v>
          </cell>
          <cell r="C1654">
            <v>11</v>
          </cell>
          <cell r="D1654">
            <v>198</v>
          </cell>
          <cell r="E1654">
            <v>15</v>
          </cell>
          <cell r="F1654">
            <v>19</v>
          </cell>
          <cell r="G1654">
            <v>0</v>
          </cell>
          <cell r="H1654">
            <v>17</v>
          </cell>
          <cell r="I1654">
            <v>7</v>
          </cell>
          <cell r="J1654">
            <v>1</v>
          </cell>
          <cell r="K1654">
            <v>1</v>
          </cell>
          <cell r="L1654">
            <v>2</v>
          </cell>
          <cell r="M1654" t="str">
            <v>&gt;&gt;</v>
          </cell>
          <cell r="N1654" t="str">
            <v>Mahbubur Rahman Akash</v>
          </cell>
          <cell r="O1654" t="str">
            <v>FCL-4</v>
          </cell>
          <cell r="P1654" t="str">
            <v>STAR      BOYS</v>
          </cell>
          <cell r="Q1654">
            <v>1</v>
          </cell>
          <cell r="R1654">
            <v>275</v>
          </cell>
          <cell r="U1654">
            <v>44374</v>
          </cell>
        </row>
        <row r="1655">
          <cell r="B1655" t="str">
            <v>ARAFAT</v>
          </cell>
          <cell r="C1655">
            <v>1</v>
          </cell>
          <cell r="D1655">
            <v>0</v>
          </cell>
          <cell r="E1655">
            <v>0</v>
          </cell>
          <cell r="F1655">
            <v>2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 t="str">
            <v>&gt;&gt;</v>
          </cell>
          <cell r="N1655" t="str">
            <v>Sakib Arafat</v>
          </cell>
          <cell r="O1655" t="str">
            <v>FCL-4</v>
          </cell>
          <cell r="P1655" t="str">
            <v>STAR      BOYS</v>
          </cell>
          <cell r="Q1655">
            <v>1</v>
          </cell>
          <cell r="R1655">
            <v>275</v>
          </cell>
          <cell r="U1655">
            <v>44374</v>
          </cell>
        </row>
        <row r="1656">
          <cell r="B1656" t="str">
            <v>FARUQUE</v>
          </cell>
          <cell r="C1656">
            <v>8</v>
          </cell>
          <cell r="D1656">
            <v>106</v>
          </cell>
          <cell r="E1656">
            <v>9</v>
          </cell>
          <cell r="F1656">
            <v>11</v>
          </cell>
          <cell r="G1656">
            <v>0</v>
          </cell>
          <cell r="H1656">
            <v>4</v>
          </cell>
          <cell r="I1656">
            <v>7</v>
          </cell>
          <cell r="J1656">
            <v>0</v>
          </cell>
          <cell r="K1656">
            <v>0</v>
          </cell>
          <cell r="L1656">
            <v>0</v>
          </cell>
          <cell r="M1656" t="str">
            <v>&gt;&gt;</v>
          </cell>
          <cell r="N1656" t="str">
            <v>Mohammad Faruque</v>
          </cell>
          <cell r="O1656" t="str">
            <v>FCL-4</v>
          </cell>
          <cell r="P1656" t="str">
            <v>STAR      BOYS</v>
          </cell>
          <cell r="Q1656">
            <v>1</v>
          </cell>
          <cell r="R1656">
            <v>275</v>
          </cell>
          <cell r="U1656">
            <v>44374</v>
          </cell>
        </row>
        <row r="1657">
          <cell r="B1657" t="str">
            <v>Akram Himal</v>
          </cell>
          <cell r="C1657">
            <v>9</v>
          </cell>
          <cell r="D1657">
            <v>146</v>
          </cell>
          <cell r="E1657">
            <v>10</v>
          </cell>
          <cell r="F1657">
            <v>14</v>
          </cell>
          <cell r="G1657">
            <v>0</v>
          </cell>
          <cell r="H1657">
            <v>11</v>
          </cell>
          <cell r="I1657">
            <v>8</v>
          </cell>
          <cell r="J1657">
            <v>0</v>
          </cell>
          <cell r="K1657">
            <v>0</v>
          </cell>
          <cell r="L1657">
            <v>0</v>
          </cell>
          <cell r="M1657" t="str">
            <v>&gt;&gt;</v>
          </cell>
          <cell r="N1657" t="str">
            <v>Akram Hosen Himal</v>
          </cell>
          <cell r="O1657" t="str">
            <v>FCL-4</v>
          </cell>
          <cell r="P1657" t="str">
            <v>STAR      BOYS</v>
          </cell>
          <cell r="Q1657">
            <v>1</v>
          </cell>
          <cell r="R1657">
            <v>275</v>
          </cell>
          <cell r="U1657">
            <v>44374</v>
          </cell>
        </row>
        <row r="1658">
          <cell r="B1658" t="str">
            <v>RANA</v>
          </cell>
          <cell r="C1658">
            <v>10</v>
          </cell>
          <cell r="D1658">
            <v>186</v>
          </cell>
          <cell r="E1658">
            <v>11</v>
          </cell>
          <cell r="F1658">
            <v>19</v>
          </cell>
          <cell r="G1658">
            <v>1</v>
          </cell>
          <cell r="H1658">
            <v>13</v>
          </cell>
          <cell r="I1658">
            <v>11</v>
          </cell>
          <cell r="J1658">
            <v>1</v>
          </cell>
          <cell r="K1658">
            <v>1</v>
          </cell>
          <cell r="L1658">
            <v>1</v>
          </cell>
          <cell r="M1658" t="str">
            <v>&gt;&gt;</v>
          </cell>
          <cell r="N1658" t="str">
            <v>Rana Md Masud</v>
          </cell>
          <cell r="O1658" t="str">
            <v>FCL-4</v>
          </cell>
          <cell r="P1658" t="str">
            <v>STAR      BOYS</v>
          </cell>
          <cell r="Q1658">
            <v>1</v>
          </cell>
          <cell r="R1658">
            <v>275</v>
          </cell>
          <cell r="U1658">
            <v>44374</v>
          </cell>
        </row>
        <row r="1659">
          <cell r="B1659" t="str">
            <v>RAGING     BULLS</v>
          </cell>
          <cell r="M1659" t="str">
            <v>&gt;&gt;</v>
          </cell>
          <cell r="N1659" t="str">
            <v/>
          </cell>
          <cell r="O1659" t="str">
            <v>FCL-4</v>
          </cell>
          <cell r="P1659" t="str">
            <v>RAGING     BULLS</v>
          </cell>
          <cell r="Q1659">
            <v>1</v>
          </cell>
          <cell r="R1659">
            <v>276</v>
          </cell>
          <cell r="T1659" t="str">
            <v>Champ</v>
          </cell>
          <cell r="U1659">
            <v>44374</v>
          </cell>
        </row>
        <row r="1660">
          <cell r="B1660" t="str">
            <v>ASIF</v>
          </cell>
          <cell r="C1660">
            <v>14</v>
          </cell>
          <cell r="D1660">
            <v>221</v>
          </cell>
          <cell r="E1660">
            <v>16</v>
          </cell>
          <cell r="F1660">
            <v>14</v>
          </cell>
          <cell r="G1660">
            <v>2</v>
          </cell>
          <cell r="H1660">
            <v>13</v>
          </cell>
          <cell r="I1660">
            <v>19</v>
          </cell>
          <cell r="J1660">
            <v>0</v>
          </cell>
          <cell r="K1660">
            <v>2</v>
          </cell>
          <cell r="L1660">
            <v>2</v>
          </cell>
          <cell r="M1660" t="str">
            <v>&gt;&gt;</v>
          </cell>
          <cell r="N1660" t="str">
            <v>Asif Iqbal Khan</v>
          </cell>
          <cell r="O1660" t="str">
            <v>FCL-4</v>
          </cell>
          <cell r="P1660" t="str">
            <v>RAGING     BULLS</v>
          </cell>
          <cell r="Q1660">
            <v>1</v>
          </cell>
          <cell r="R1660">
            <v>276</v>
          </cell>
          <cell r="T1660" t="str">
            <v>Champ</v>
          </cell>
          <cell r="U1660">
            <v>44374</v>
          </cell>
        </row>
        <row r="1661">
          <cell r="B1661" t="str">
            <v>NAHID</v>
          </cell>
          <cell r="C1661">
            <v>14</v>
          </cell>
          <cell r="D1661">
            <v>222</v>
          </cell>
          <cell r="E1661">
            <v>27</v>
          </cell>
          <cell r="F1661">
            <v>21</v>
          </cell>
          <cell r="G1661">
            <v>1</v>
          </cell>
          <cell r="H1661">
            <v>22</v>
          </cell>
          <cell r="I1661">
            <v>10</v>
          </cell>
          <cell r="J1661">
            <v>0</v>
          </cell>
          <cell r="K1661">
            <v>2</v>
          </cell>
          <cell r="L1661">
            <v>1.5</v>
          </cell>
          <cell r="M1661" t="str">
            <v>&gt;&gt;</v>
          </cell>
          <cell r="N1661" t="str">
            <v>Nahid Saifullah</v>
          </cell>
          <cell r="O1661" t="str">
            <v>FCL-4</v>
          </cell>
          <cell r="P1661" t="str">
            <v>RAGING BULLS</v>
          </cell>
          <cell r="Q1661">
            <v>1</v>
          </cell>
          <cell r="R1661">
            <v>276</v>
          </cell>
          <cell r="T1661" t="str">
            <v>Champ</v>
          </cell>
          <cell r="U1661">
            <v>44374</v>
          </cell>
          <cell r="W1661">
            <v>1</v>
          </cell>
        </row>
        <row r="1662">
          <cell r="B1662" t="str">
            <v>SABBIR</v>
          </cell>
          <cell r="C1662">
            <v>14</v>
          </cell>
          <cell r="D1662">
            <v>288</v>
          </cell>
          <cell r="E1662">
            <v>23</v>
          </cell>
          <cell r="F1662">
            <v>23</v>
          </cell>
          <cell r="G1662">
            <v>5</v>
          </cell>
          <cell r="H1662">
            <v>24</v>
          </cell>
          <cell r="I1662">
            <v>15</v>
          </cell>
          <cell r="J1662">
            <v>0</v>
          </cell>
          <cell r="K1662">
            <v>2</v>
          </cell>
          <cell r="L1662">
            <v>1.5</v>
          </cell>
          <cell r="M1662" t="str">
            <v>&gt;&gt;</v>
          </cell>
          <cell r="N1662" t="str">
            <v>Sabbir Ahmed</v>
          </cell>
          <cell r="O1662" t="str">
            <v>FCL-4</v>
          </cell>
          <cell r="P1662" t="str">
            <v>RAGING     BULLS</v>
          </cell>
          <cell r="Q1662">
            <v>1</v>
          </cell>
          <cell r="R1662">
            <v>276</v>
          </cell>
          <cell r="T1662" t="str">
            <v>Champ</v>
          </cell>
          <cell r="U1662">
            <v>44374</v>
          </cell>
        </row>
        <row r="1663">
          <cell r="B1663" t="str">
            <v>SHUVRO</v>
          </cell>
          <cell r="C1663">
            <v>12</v>
          </cell>
          <cell r="D1663">
            <v>209</v>
          </cell>
          <cell r="E1663">
            <v>10</v>
          </cell>
          <cell r="F1663">
            <v>14</v>
          </cell>
          <cell r="G1663">
            <v>0</v>
          </cell>
          <cell r="H1663">
            <v>16</v>
          </cell>
          <cell r="I1663">
            <v>11</v>
          </cell>
          <cell r="J1663">
            <v>1</v>
          </cell>
          <cell r="K1663">
            <v>1</v>
          </cell>
          <cell r="L1663">
            <v>2</v>
          </cell>
          <cell r="M1663" t="str">
            <v>&gt;&gt;</v>
          </cell>
          <cell r="N1663" t="str">
            <v>Shahriar Shuvro</v>
          </cell>
          <cell r="O1663" t="str">
            <v>FCL-4</v>
          </cell>
          <cell r="P1663" t="str">
            <v>RAGING     BULLS</v>
          </cell>
          <cell r="Q1663">
            <v>1</v>
          </cell>
          <cell r="R1663">
            <v>276</v>
          </cell>
          <cell r="T1663" t="str">
            <v>Champ</v>
          </cell>
          <cell r="U1663">
            <v>44374</v>
          </cell>
        </row>
        <row r="1664">
          <cell r="B1664" t="str">
            <v>PRITOM</v>
          </cell>
          <cell r="C1664">
            <v>10</v>
          </cell>
          <cell r="D1664">
            <v>81</v>
          </cell>
          <cell r="E1664">
            <v>4</v>
          </cell>
          <cell r="F1664">
            <v>10</v>
          </cell>
          <cell r="G1664">
            <v>1</v>
          </cell>
          <cell r="H1664">
            <v>9</v>
          </cell>
          <cell r="I1664">
            <v>2</v>
          </cell>
          <cell r="J1664">
            <v>0</v>
          </cell>
          <cell r="K1664">
            <v>0</v>
          </cell>
          <cell r="L1664">
            <v>0</v>
          </cell>
          <cell r="M1664" t="str">
            <v>&gt;&gt;</v>
          </cell>
          <cell r="N1664" t="str">
            <v>Sanju Pritom</v>
          </cell>
          <cell r="O1664" t="str">
            <v>FCL-4</v>
          </cell>
          <cell r="P1664" t="str">
            <v>RAGING     BULLS</v>
          </cell>
          <cell r="Q1664">
            <v>1</v>
          </cell>
          <cell r="R1664">
            <v>276</v>
          </cell>
          <cell r="T1664" t="str">
            <v>Champ</v>
          </cell>
          <cell r="U1664">
            <v>44374</v>
          </cell>
        </row>
        <row r="1665">
          <cell r="B1665" t="str">
            <v>Siyam Islam</v>
          </cell>
          <cell r="C1665">
            <v>14</v>
          </cell>
          <cell r="D1665">
            <v>170</v>
          </cell>
          <cell r="E1665">
            <v>17</v>
          </cell>
          <cell r="F1665">
            <v>15</v>
          </cell>
          <cell r="G1665">
            <v>0</v>
          </cell>
          <cell r="H1665">
            <v>16</v>
          </cell>
          <cell r="I1665">
            <v>7</v>
          </cell>
          <cell r="J1665">
            <v>0</v>
          </cell>
          <cell r="K1665">
            <v>1</v>
          </cell>
          <cell r="L1665">
            <v>1</v>
          </cell>
          <cell r="M1665" t="str">
            <v>&gt;&gt;</v>
          </cell>
          <cell r="N1665" t="str">
            <v>Md Siyam Islam</v>
          </cell>
          <cell r="O1665" t="str">
            <v>FCL-4</v>
          </cell>
          <cell r="P1665" t="str">
            <v>RAGING     BULLS</v>
          </cell>
          <cell r="Q1665">
            <v>1</v>
          </cell>
          <cell r="R1665">
            <v>276</v>
          </cell>
          <cell r="T1665" t="str">
            <v>Champ</v>
          </cell>
          <cell r="U1665">
            <v>44374</v>
          </cell>
        </row>
        <row r="1666">
          <cell r="B1666" t="str">
            <v>REAL DOMINATORS</v>
          </cell>
          <cell r="N1666" t="str">
            <v/>
          </cell>
          <cell r="O1666" t="str">
            <v>FCC-2</v>
          </cell>
          <cell r="P1666" t="str">
            <v>REAL DOMINATORS</v>
          </cell>
          <cell r="Q1666">
            <v>1</v>
          </cell>
          <cell r="R1666">
            <v>277</v>
          </cell>
          <cell r="U1666">
            <v>44949</v>
          </cell>
        </row>
        <row r="1667">
          <cell r="B1667" t="str">
            <v>NIAMUL</v>
          </cell>
          <cell r="C1667">
            <v>4</v>
          </cell>
          <cell r="D1667">
            <v>70</v>
          </cell>
          <cell r="E1667">
            <v>6</v>
          </cell>
          <cell r="F1667">
            <v>6</v>
          </cell>
          <cell r="G1667">
            <v>1</v>
          </cell>
          <cell r="H1667">
            <v>4</v>
          </cell>
          <cell r="I1667">
            <v>8</v>
          </cell>
          <cell r="J1667">
            <v>1</v>
          </cell>
          <cell r="K1667">
            <v>1</v>
          </cell>
          <cell r="L1667">
            <v>1</v>
          </cell>
          <cell r="M1667" t="str">
            <v>&gt;&gt;</v>
          </cell>
          <cell r="N1667" t="str">
            <v>Niamul Habib Setu</v>
          </cell>
          <cell r="O1667" t="str">
            <v>FCC-2</v>
          </cell>
          <cell r="P1667" t="str">
            <v>REAL DOMINATORS</v>
          </cell>
          <cell r="Q1667">
            <v>1</v>
          </cell>
          <cell r="R1667">
            <v>277</v>
          </cell>
          <cell r="U1667">
            <v>44949</v>
          </cell>
        </row>
        <row r="1668">
          <cell r="B1668" t="str">
            <v>SA SHANTO</v>
          </cell>
          <cell r="C1668">
            <v>4</v>
          </cell>
          <cell r="D1668">
            <v>51</v>
          </cell>
          <cell r="E1668">
            <v>2</v>
          </cell>
          <cell r="F1668">
            <v>4</v>
          </cell>
          <cell r="G1668">
            <v>1</v>
          </cell>
          <cell r="H1668">
            <v>6</v>
          </cell>
          <cell r="I1668">
            <v>4</v>
          </cell>
          <cell r="J1668">
            <v>0</v>
          </cell>
          <cell r="K1668">
            <v>1</v>
          </cell>
          <cell r="L1668">
            <v>0</v>
          </cell>
          <cell r="M1668" t="str">
            <v>&gt;&gt;</v>
          </cell>
          <cell r="N1668" t="str">
            <v>Sayed Anowar Shanto</v>
          </cell>
          <cell r="O1668" t="str">
            <v>FCC-2</v>
          </cell>
          <cell r="P1668" t="str">
            <v>REAL DOMINATORS</v>
          </cell>
          <cell r="Q1668">
            <v>1</v>
          </cell>
          <cell r="R1668">
            <v>277</v>
          </cell>
          <cell r="U1668">
            <v>44949</v>
          </cell>
        </row>
        <row r="1669">
          <cell r="B1669" t="str">
            <v>NAEEM</v>
          </cell>
          <cell r="C1669">
            <v>3</v>
          </cell>
          <cell r="D1669">
            <v>28</v>
          </cell>
          <cell r="E1669">
            <v>0</v>
          </cell>
          <cell r="F1669">
            <v>3</v>
          </cell>
          <cell r="G1669">
            <v>0</v>
          </cell>
          <cell r="H1669">
            <v>1</v>
          </cell>
          <cell r="I1669">
            <v>2</v>
          </cell>
          <cell r="J1669">
            <v>0</v>
          </cell>
          <cell r="K1669">
            <v>0</v>
          </cell>
          <cell r="L1669">
            <v>0</v>
          </cell>
          <cell r="M1669" t="str">
            <v>&gt;&gt;</v>
          </cell>
          <cell r="N1669" t="str">
            <v>Md Naeem</v>
          </cell>
          <cell r="O1669" t="str">
            <v>FCC-2</v>
          </cell>
          <cell r="P1669" t="str">
            <v>REAL DOMINATORS</v>
          </cell>
          <cell r="Q1669">
            <v>1</v>
          </cell>
          <cell r="R1669">
            <v>277</v>
          </cell>
          <cell r="U1669">
            <v>44949</v>
          </cell>
        </row>
        <row r="1670">
          <cell r="B1670" t="str">
            <v>SADRUL</v>
          </cell>
          <cell r="C1670">
            <v>4</v>
          </cell>
          <cell r="D1670">
            <v>22</v>
          </cell>
          <cell r="E1670">
            <v>7</v>
          </cell>
          <cell r="F1670">
            <v>4</v>
          </cell>
          <cell r="G1670">
            <v>0</v>
          </cell>
          <cell r="H1670">
            <v>1</v>
          </cell>
          <cell r="I1670">
            <v>2</v>
          </cell>
          <cell r="J1670">
            <v>0</v>
          </cell>
          <cell r="K1670">
            <v>0</v>
          </cell>
          <cell r="L1670">
            <v>0</v>
          </cell>
          <cell r="M1670" t="str">
            <v>&gt;&gt;</v>
          </cell>
          <cell r="N1670" t="str">
            <v>Sadrul Anam</v>
          </cell>
          <cell r="O1670" t="str">
            <v>FCC-2</v>
          </cell>
          <cell r="P1670" t="str">
            <v>REAL DOMINATORS</v>
          </cell>
          <cell r="Q1670">
            <v>1</v>
          </cell>
          <cell r="R1670">
            <v>277</v>
          </cell>
          <cell r="U1670">
            <v>44949</v>
          </cell>
        </row>
        <row r="1671">
          <cell r="B1671" t="str">
            <v>SILENT WARRIORS</v>
          </cell>
          <cell r="N1671" t="str">
            <v/>
          </cell>
          <cell r="O1671" t="str">
            <v>FCC-2</v>
          </cell>
          <cell r="P1671" t="str">
            <v>SILENT WARRIORS</v>
          </cell>
          <cell r="Q1671">
            <v>1</v>
          </cell>
          <cell r="R1671">
            <v>278</v>
          </cell>
          <cell r="T1671" t="str">
            <v>Champ</v>
          </cell>
          <cell r="U1671">
            <v>44949</v>
          </cell>
        </row>
        <row r="1672">
          <cell r="B1672" t="str">
            <v>MAHIN</v>
          </cell>
          <cell r="C1672">
            <v>5</v>
          </cell>
          <cell r="D1672">
            <v>77</v>
          </cell>
          <cell r="E1672">
            <v>3</v>
          </cell>
          <cell r="F1672">
            <v>6</v>
          </cell>
          <cell r="G1672">
            <v>1</v>
          </cell>
          <cell r="H1672">
            <v>1</v>
          </cell>
          <cell r="I1672">
            <v>8</v>
          </cell>
          <cell r="J1672">
            <v>1</v>
          </cell>
          <cell r="K1672">
            <v>1</v>
          </cell>
          <cell r="L1672">
            <v>0</v>
          </cell>
          <cell r="M1672" t="str">
            <v>&gt;&gt;</v>
          </cell>
          <cell r="N1672" t="str">
            <v>Mahin Rahman</v>
          </cell>
          <cell r="O1672" t="str">
            <v>FCC-2</v>
          </cell>
          <cell r="P1672" t="str">
            <v>SILENT WARRIORS</v>
          </cell>
          <cell r="Q1672">
            <v>1</v>
          </cell>
          <cell r="R1672">
            <v>278</v>
          </cell>
          <cell r="T1672" t="str">
            <v>Champ</v>
          </cell>
          <cell r="U1672">
            <v>44949</v>
          </cell>
        </row>
        <row r="1673">
          <cell r="B1673" t="str">
            <v>RAKIB</v>
          </cell>
          <cell r="C1673">
            <v>5</v>
          </cell>
          <cell r="D1673">
            <v>36</v>
          </cell>
          <cell r="E1673">
            <v>6</v>
          </cell>
          <cell r="F1673">
            <v>3</v>
          </cell>
          <cell r="G1673">
            <v>0</v>
          </cell>
          <cell r="H1673">
            <v>1</v>
          </cell>
          <cell r="I1673">
            <v>3</v>
          </cell>
          <cell r="J1673">
            <v>1</v>
          </cell>
          <cell r="K1673">
            <v>1</v>
          </cell>
          <cell r="L1673">
            <v>0</v>
          </cell>
          <cell r="M1673" t="str">
            <v>&gt;&gt;</v>
          </cell>
          <cell r="N1673" t="str">
            <v>Rakib Hasan</v>
          </cell>
          <cell r="O1673" t="str">
            <v>FCC-2</v>
          </cell>
          <cell r="P1673" t="str">
            <v>SILENT WARRIORS</v>
          </cell>
          <cell r="Q1673">
            <v>1</v>
          </cell>
          <cell r="R1673">
            <v>278</v>
          </cell>
          <cell r="T1673" t="str">
            <v>Champ</v>
          </cell>
          <cell r="U1673">
            <v>44949</v>
          </cell>
        </row>
        <row r="1674">
          <cell r="B1674" t="str">
            <v>SHISHIR</v>
          </cell>
          <cell r="C1674">
            <v>5</v>
          </cell>
          <cell r="D1674">
            <v>34</v>
          </cell>
          <cell r="E1674">
            <v>8</v>
          </cell>
          <cell r="F1674">
            <v>4</v>
          </cell>
          <cell r="G1674">
            <v>1</v>
          </cell>
          <cell r="H1674">
            <v>1</v>
          </cell>
          <cell r="I1674">
            <v>5</v>
          </cell>
          <cell r="J1674">
            <v>0</v>
          </cell>
          <cell r="K1674">
            <v>0</v>
          </cell>
          <cell r="L1674">
            <v>0</v>
          </cell>
          <cell r="M1674" t="str">
            <v>&gt;&gt;</v>
          </cell>
          <cell r="N1674" t="str">
            <v>ShiShir Hossain</v>
          </cell>
          <cell r="O1674" t="str">
            <v>FCC-2</v>
          </cell>
          <cell r="P1674" t="str">
            <v>SILENT WARRIORS</v>
          </cell>
          <cell r="Q1674">
            <v>1</v>
          </cell>
          <cell r="R1674">
            <v>278</v>
          </cell>
          <cell r="T1674" t="str">
            <v>Champ</v>
          </cell>
          <cell r="U1674">
            <v>44949</v>
          </cell>
        </row>
        <row r="1675">
          <cell r="B1675" t="str">
            <v>Arif</v>
          </cell>
          <cell r="C1675">
            <v>5</v>
          </cell>
          <cell r="D1675">
            <v>71</v>
          </cell>
          <cell r="E1675">
            <v>5</v>
          </cell>
          <cell r="F1675">
            <v>6</v>
          </cell>
          <cell r="G1675">
            <v>2</v>
          </cell>
          <cell r="H1675">
            <v>4</v>
          </cell>
          <cell r="I1675">
            <v>6</v>
          </cell>
          <cell r="J1675">
            <v>0</v>
          </cell>
          <cell r="K1675">
            <v>1</v>
          </cell>
          <cell r="L1675">
            <v>2</v>
          </cell>
          <cell r="M1675" t="str">
            <v>&gt;&gt;</v>
          </cell>
          <cell r="N1675" t="str">
            <v>Arif Ziad</v>
          </cell>
          <cell r="O1675" t="str">
            <v>FCC-2</v>
          </cell>
          <cell r="P1675" t="str">
            <v>SILENT WARRIORS</v>
          </cell>
          <cell r="Q1675">
            <v>1</v>
          </cell>
          <cell r="R1675">
            <v>278</v>
          </cell>
          <cell r="S1675" t="str">
            <v>CPOT</v>
          </cell>
          <cell r="T1675" t="str">
            <v>Champ</v>
          </cell>
          <cell r="U1675">
            <v>44949</v>
          </cell>
        </row>
        <row r="1676">
          <cell r="B1676" t="str">
            <v>KILLER KING</v>
          </cell>
          <cell r="N1676" t="str">
            <v/>
          </cell>
          <cell r="O1676" t="str">
            <v>FCC-2</v>
          </cell>
          <cell r="P1676" t="str">
            <v>KILLER KING</v>
          </cell>
          <cell r="Q1676">
            <v>1</v>
          </cell>
          <cell r="R1676">
            <v>279</v>
          </cell>
          <cell r="U1676">
            <v>44949</v>
          </cell>
        </row>
        <row r="1677">
          <cell r="B1677" t="str">
            <v>Arafat</v>
          </cell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 t="str">
            <v>&gt;&gt;</v>
          </cell>
          <cell r="N1677" t="str">
            <v>Sakib Arafat</v>
          </cell>
          <cell r="O1677" t="str">
            <v>FCC-2</v>
          </cell>
          <cell r="P1677" t="str">
            <v>KILLER KING</v>
          </cell>
          <cell r="Q1677">
            <v>1</v>
          </cell>
          <cell r="R1677">
            <v>279</v>
          </cell>
          <cell r="U1677">
            <v>44949</v>
          </cell>
        </row>
        <row r="1678">
          <cell r="B1678" t="str">
            <v>MUNNA</v>
          </cell>
          <cell r="C1678">
            <v>2</v>
          </cell>
          <cell r="D1678">
            <v>29</v>
          </cell>
          <cell r="E1678">
            <v>0</v>
          </cell>
          <cell r="F1678">
            <v>3</v>
          </cell>
          <cell r="G1678">
            <v>0</v>
          </cell>
          <cell r="H1678">
            <v>1</v>
          </cell>
          <cell r="I1678">
            <v>1</v>
          </cell>
          <cell r="J1678">
            <v>0</v>
          </cell>
          <cell r="K1678">
            <v>0</v>
          </cell>
          <cell r="L1678">
            <v>0</v>
          </cell>
          <cell r="M1678" t="str">
            <v>&gt;&gt;</v>
          </cell>
          <cell r="N1678" t="str">
            <v>Monowar Hossain Munna</v>
          </cell>
          <cell r="O1678" t="str">
            <v>FCC-2</v>
          </cell>
          <cell r="P1678" t="str">
            <v>KILLER KING</v>
          </cell>
          <cell r="Q1678">
            <v>1</v>
          </cell>
          <cell r="R1678">
            <v>279</v>
          </cell>
          <cell r="U1678">
            <v>44949</v>
          </cell>
        </row>
        <row r="1679">
          <cell r="B1679" t="str">
            <v>KHOKON</v>
          </cell>
          <cell r="C1679">
            <v>3</v>
          </cell>
          <cell r="D1679">
            <v>25</v>
          </cell>
          <cell r="E1679">
            <v>6</v>
          </cell>
          <cell r="F1679">
            <v>5</v>
          </cell>
          <cell r="G1679">
            <v>0</v>
          </cell>
          <cell r="H1679">
            <v>1</v>
          </cell>
          <cell r="I1679">
            <v>3</v>
          </cell>
          <cell r="J1679">
            <v>1</v>
          </cell>
          <cell r="K1679">
            <v>1</v>
          </cell>
          <cell r="L1679">
            <v>0</v>
          </cell>
          <cell r="M1679" t="str">
            <v>&gt;&gt;</v>
          </cell>
          <cell r="N1679" t="str">
            <v>Shahriar Khokon</v>
          </cell>
          <cell r="O1679" t="str">
            <v>FCC-2</v>
          </cell>
          <cell r="P1679" t="str">
            <v>KILLER KING</v>
          </cell>
          <cell r="Q1679">
            <v>1</v>
          </cell>
          <cell r="R1679">
            <v>279</v>
          </cell>
          <cell r="U1679">
            <v>44949</v>
          </cell>
        </row>
        <row r="1680">
          <cell r="B1680" t="str">
            <v>ASIF</v>
          </cell>
          <cell r="C1680">
            <v>3</v>
          </cell>
          <cell r="D1680">
            <v>63</v>
          </cell>
          <cell r="E1680">
            <v>1</v>
          </cell>
          <cell r="F1680">
            <v>7</v>
          </cell>
          <cell r="G1680">
            <v>1</v>
          </cell>
          <cell r="H1680">
            <v>8</v>
          </cell>
          <cell r="I1680">
            <v>3</v>
          </cell>
          <cell r="J1680">
            <v>0</v>
          </cell>
          <cell r="K1680">
            <v>0</v>
          </cell>
          <cell r="L1680">
            <v>1</v>
          </cell>
          <cell r="M1680" t="str">
            <v>&gt;&gt;</v>
          </cell>
          <cell r="N1680" t="str">
            <v>Asif Iqbal Khan</v>
          </cell>
          <cell r="O1680" t="str">
            <v>FCC-2</v>
          </cell>
          <cell r="P1680" t="str">
            <v>KILLER KING</v>
          </cell>
          <cell r="Q1680">
            <v>1</v>
          </cell>
          <cell r="R1680">
            <v>279</v>
          </cell>
          <cell r="U1680">
            <v>44949</v>
          </cell>
        </row>
        <row r="1681">
          <cell r="B1681" t="str">
            <v>KNIGHT HUNTERS</v>
          </cell>
          <cell r="N1681" t="str">
            <v/>
          </cell>
          <cell r="O1681" t="str">
            <v>FCC-2</v>
          </cell>
          <cell r="P1681" t="str">
            <v>KNIGHT HUNTERS</v>
          </cell>
          <cell r="Q1681">
            <v>1</v>
          </cell>
          <cell r="R1681">
            <v>280</v>
          </cell>
          <cell r="U1681">
            <v>44949</v>
          </cell>
        </row>
        <row r="1682">
          <cell r="B1682" t="str">
            <v>Mithu</v>
          </cell>
          <cell r="C1682">
            <v>2</v>
          </cell>
          <cell r="D1682">
            <v>2</v>
          </cell>
          <cell r="E1682">
            <v>0</v>
          </cell>
          <cell r="F1682">
            <v>1</v>
          </cell>
          <cell r="G1682">
            <v>0</v>
          </cell>
          <cell r="H1682">
            <v>0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 t="str">
            <v>&gt;&gt;</v>
          </cell>
          <cell r="N1682" t="str">
            <v>Mostafizur Rahman Mithu</v>
          </cell>
          <cell r="O1682" t="str">
            <v>FCC-2</v>
          </cell>
          <cell r="P1682" t="str">
            <v>KNIGHT HUNTERS</v>
          </cell>
          <cell r="Q1682">
            <v>1</v>
          </cell>
          <cell r="R1682">
            <v>280</v>
          </cell>
          <cell r="U1682">
            <v>44949</v>
          </cell>
        </row>
        <row r="1683">
          <cell r="B1683" t="str">
            <v>RAKIBUL</v>
          </cell>
          <cell r="C1683">
            <v>3</v>
          </cell>
          <cell r="D1683">
            <v>52</v>
          </cell>
          <cell r="E1683">
            <v>2</v>
          </cell>
          <cell r="F1683">
            <v>5</v>
          </cell>
          <cell r="G1683">
            <v>0</v>
          </cell>
          <cell r="H1683">
            <v>3</v>
          </cell>
          <cell r="I1683">
            <v>6</v>
          </cell>
          <cell r="J1683">
            <v>0</v>
          </cell>
          <cell r="K1683">
            <v>0</v>
          </cell>
          <cell r="L1683">
            <v>0</v>
          </cell>
          <cell r="M1683" t="str">
            <v>&gt;&gt;</v>
          </cell>
          <cell r="N1683" t="str">
            <v>Rakibul Islam</v>
          </cell>
          <cell r="O1683" t="str">
            <v>FCC-2</v>
          </cell>
          <cell r="P1683" t="str">
            <v>KNIGHT HUNTERS</v>
          </cell>
          <cell r="Q1683">
            <v>1</v>
          </cell>
          <cell r="R1683">
            <v>280</v>
          </cell>
          <cell r="U1683">
            <v>44949</v>
          </cell>
        </row>
        <row r="1684">
          <cell r="B1684" t="str">
            <v>ARIFUL</v>
          </cell>
          <cell r="C1684">
            <v>3</v>
          </cell>
          <cell r="D1684">
            <v>41</v>
          </cell>
          <cell r="E1684">
            <v>6</v>
          </cell>
          <cell r="F1684">
            <v>4</v>
          </cell>
          <cell r="G1684">
            <v>1</v>
          </cell>
          <cell r="H1684">
            <v>4</v>
          </cell>
          <cell r="I1684">
            <v>2</v>
          </cell>
          <cell r="J1684">
            <v>1</v>
          </cell>
          <cell r="K1684">
            <v>1</v>
          </cell>
          <cell r="L1684">
            <v>1</v>
          </cell>
          <cell r="M1684" t="str">
            <v>&gt;&gt;</v>
          </cell>
          <cell r="N1684" t="str">
            <v>Ahammed Ariful Haq</v>
          </cell>
          <cell r="O1684" t="str">
            <v>FCC-2</v>
          </cell>
          <cell r="P1684" t="str">
            <v>KNIGHT HUNTERS</v>
          </cell>
          <cell r="Q1684">
            <v>1</v>
          </cell>
          <cell r="R1684">
            <v>280</v>
          </cell>
          <cell r="U1684">
            <v>44949</v>
          </cell>
        </row>
        <row r="1685">
          <cell r="B1685" t="str">
            <v>NAHID</v>
          </cell>
          <cell r="C1685">
            <v>3</v>
          </cell>
          <cell r="D1685">
            <v>23</v>
          </cell>
          <cell r="E1685">
            <v>4</v>
          </cell>
          <cell r="F1685">
            <v>5</v>
          </cell>
          <cell r="G1685">
            <v>0</v>
          </cell>
          <cell r="H1685">
            <v>3</v>
          </cell>
          <cell r="I1685">
            <v>1</v>
          </cell>
          <cell r="J1685">
            <v>0</v>
          </cell>
          <cell r="K1685">
            <v>0</v>
          </cell>
          <cell r="L1685">
            <v>1</v>
          </cell>
          <cell r="M1685" t="str">
            <v>&gt;&gt;</v>
          </cell>
          <cell r="N1685" t="str">
            <v>Nahid Saifullah</v>
          </cell>
          <cell r="O1685" t="str">
            <v>FCC-2</v>
          </cell>
          <cell r="P1685" t="str">
            <v>KNIGHT HUNTERS</v>
          </cell>
          <cell r="Q1685">
            <v>1</v>
          </cell>
          <cell r="R1685">
            <v>280</v>
          </cell>
          <cell r="U1685">
            <v>44949</v>
          </cell>
        </row>
        <row r="1686">
          <cell r="B1686" t="str">
            <v>NETA EXPRESS</v>
          </cell>
          <cell r="N1686" t="str">
            <v/>
          </cell>
          <cell r="O1686" t="str">
            <v>FCC-2</v>
          </cell>
          <cell r="P1686" t="str">
            <v>NETA EXPRESS</v>
          </cell>
          <cell r="Q1686">
            <v>1</v>
          </cell>
          <cell r="R1686">
            <v>281</v>
          </cell>
          <cell r="T1686" t="str">
            <v>RU</v>
          </cell>
          <cell r="U1686">
            <v>44949</v>
          </cell>
        </row>
        <row r="1687">
          <cell r="B1687" t="str">
            <v>DURJOY</v>
          </cell>
          <cell r="C1687">
            <v>4</v>
          </cell>
          <cell r="D1687">
            <v>48</v>
          </cell>
          <cell r="E1687">
            <v>2</v>
          </cell>
          <cell r="F1687">
            <v>4</v>
          </cell>
          <cell r="G1687">
            <v>1</v>
          </cell>
          <cell r="H1687">
            <v>3</v>
          </cell>
          <cell r="I1687">
            <v>5</v>
          </cell>
          <cell r="J1687">
            <v>0</v>
          </cell>
          <cell r="K1687">
            <v>0</v>
          </cell>
          <cell r="L1687">
            <v>2</v>
          </cell>
          <cell r="M1687" t="str">
            <v>&gt;&gt;</v>
          </cell>
          <cell r="N1687" t="str">
            <v>Naieem Islam Durjoy</v>
          </cell>
          <cell r="O1687" t="str">
            <v>FCC-2</v>
          </cell>
          <cell r="P1687" t="str">
            <v>NETA EXPRESS</v>
          </cell>
          <cell r="Q1687">
            <v>1</v>
          </cell>
          <cell r="R1687">
            <v>281</v>
          </cell>
          <cell r="T1687" t="str">
            <v>RU</v>
          </cell>
          <cell r="U1687">
            <v>44949</v>
          </cell>
        </row>
        <row r="1688">
          <cell r="B1688" t="str">
            <v>KAMIL</v>
          </cell>
          <cell r="C1688">
            <v>5</v>
          </cell>
          <cell r="D1688">
            <v>114</v>
          </cell>
          <cell r="E1688">
            <v>5</v>
          </cell>
          <cell r="F1688">
            <v>5</v>
          </cell>
          <cell r="G1688">
            <v>0</v>
          </cell>
          <cell r="H1688">
            <v>11</v>
          </cell>
          <cell r="I1688">
            <v>10</v>
          </cell>
          <cell r="J1688">
            <v>0</v>
          </cell>
          <cell r="K1688">
            <v>1</v>
          </cell>
          <cell r="L1688">
            <v>1</v>
          </cell>
          <cell r="M1688" t="str">
            <v>&gt;&gt;</v>
          </cell>
          <cell r="N1688" t="str">
            <v>Kamil Ahmed</v>
          </cell>
          <cell r="O1688" t="str">
            <v>FCC-2</v>
          </cell>
          <cell r="P1688" t="str">
            <v>NETA EXPRESS</v>
          </cell>
          <cell r="Q1688">
            <v>1</v>
          </cell>
          <cell r="R1688">
            <v>281</v>
          </cell>
          <cell r="T1688" t="str">
            <v>RU</v>
          </cell>
          <cell r="U1688">
            <v>44949</v>
          </cell>
          <cell r="V1688">
            <v>1</v>
          </cell>
        </row>
        <row r="1689">
          <cell r="B1689" t="str">
            <v>ZAHEED</v>
          </cell>
          <cell r="C1689">
            <v>5</v>
          </cell>
          <cell r="D1689">
            <v>104</v>
          </cell>
          <cell r="E1689">
            <v>9</v>
          </cell>
          <cell r="F1689">
            <v>8</v>
          </cell>
          <cell r="G1689">
            <v>0</v>
          </cell>
          <cell r="H1689">
            <v>12</v>
          </cell>
          <cell r="I1689">
            <v>7</v>
          </cell>
          <cell r="J1689">
            <v>0</v>
          </cell>
          <cell r="K1689">
            <v>2</v>
          </cell>
          <cell r="L1689">
            <v>1</v>
          </cell>
          <cell r="M1689" t="str">
            <v>&gt;&gt;</v>
          </cell>
          <cell r="N1689" t="str">
            <v>Zaheed Hasan</v>
          </cell>
          <cell r="O1689" t="str">
            <v>FCC-2</v>
          </cell>
          <cell r="P1689" t="str">
            <v>NETA EXPRESS</v>
          </cell>
          <cell r="Q1689">
            <v>1</v>
          </cell>
          <cell r="R1689">
            <v>281</v>
          </cell>
          <cell r="S1689" t="str">
            <v>MOT</v>
          </cell>
          <cell r="T1689" t="str">
            <v>RU</v>
          </cell>
          <cell r="U1689">
            <v>44949</v>
          </cell>
          <cell r="W1689">
            <v>1</v>
          </cell>
        </row>
        <row r="1690">
          <cell r="B1690" t="str">
            <v>JHONY</v>
          </cell>
          <cell r="C1690">
            <v>3</v>
          </cell>
          <cell r="D1690">
            <v>38</v>
          </cell>
          <cell r="E1690">
            <v>5</v>
          </cell>
          <cell r="F1690">
            <v>4</v>
          </cell>
          <cell r="G1690">
            <v>1</v>
          </cell>
          <cell r="H1690">
            <v>6</v>
          </cell>
          <cell r="I1690">
            <v>1</v>
          </cell>
          <cell r="J1690">
            <v>0</v>
          </cell>
          <cell r="K1690">
            <v>0</v>
          </cell>
          <cell r="L1690">
            <v>0</v>
          </cell>
          <cell r="M1690" t="str">
            <v>&gt;&gt;</v>
          </cell>
          <cell r="N1690" t="str">
            <v>Faisal Ahmed Jhony</v>
          </cell>
          <cell r="O1690" t="str">
            <v>FCC-2</v>
          </cell>
          <cell r="P1690" t="str">
            <v>NETA EXPRESS</v>
          </cell>
          <cell r="Q1690">
            <v>1</v>
          </cell>
          <cell r="R1690">
            <v>281</v>
          </cell>
          <cell r="T1690" t="str">
            <v>RU</v>
          </cell>
          <cell r="U1690">
            <v>44949</v>
          </cell>
        </row>
        <row r="1691">
          <cell r="B1691" t="str">
            <v>GOLDEN TROPHY</v>
          </cell>
          <cell r="N1691" t="str">
            <v/>
          </cell>
          <cell r="O1691" t="str">
            <v>FCC-2</v>
          </cell>
          <cell r="P1691" t="str">
            <v>GOLDEN TROPHY</v>
          </cell>
          <cell r="Q1691">
            <v>1</v>
          </cell>
          <cell r="R1691">
            <v>282</v>
          </cell>
          <cell r="U1691">
            <v>44949</v>
          </cell>
        </row>
        <row r="1692">
          <cell r="B1692" t="str">
            <v>RIDOY</v>
          </cell>
          <cell r="C1692">
            <v>3</v>
          </cell>
          <cell r="D1692">
            <v>21</v>
          </cell>
          <cell r="E1692">
            <v>2</v>
          </cell>
          <cell r="F1692">
            <v>3</v>
          </cell>
          <cell r="G1692">
            <v>0</v>
          </cell>
          <cell r="H1692">
            <v>3</v>
          </cell>
          <cell r="I1692">
            <v>1</v>
          </cell>
          <cell r="J1692">
            <v>0</v>
          </cell>
          <cell r="K1692">
            <v>0</v>
          </cell>
          <cell r="L1692">
            <v>0</v>
          </cell>
          <cell r="M1692" t="str">
            <v>&gt;&gt;</v>
          </cell>
          <cell r="N1692" t="str">
            <v>Md Ridoy AR</v>
          </cell>
          <cell r="O1692" t="str">
            <v>FCC-2</v>
          </cell>
          <cell r="P1692" t="str">
            <v>GOLDEN TROPHY</v>
          </cell>
          <cell r="Q1692">
            <v>1</v>
          </cell>
          <cell r="R1692">
            <v>282</v>
          </cell>
          <cell r="U1692">
            <v>44949</v>
          </cell>
        </row>
        <row r="1693">
          <cell r="B1693" t="str">
            <v>JOY</v>
          </cell>
          <cell r="C1693">
            <v>3</v>
          </cell>
          <cell r="D1693">
            <v>54</v>
          </cell>
          <cell r="E1693">
            <v>1</v>
          </cell>
          <cell r="F1693">
            <v>3</v>
          </cell>
          <cell r="G1693">
            <v>0</v>
          </cell>
          <cell r="H1693">
            <v>4</v>
          </cell>
          <cell r="I1693">
            <v>4</v>
          </cell>
          <cell r="J1693">
            <v>0</v>
          </cell>
          <cell r="K1693">
            <v>1</v>
          </cell>
          <cell r="L1693">
            <v>0</v>
          </cell>
          <cell r="M1693" t="str">
            <v>&gt;&gt;</v>
          </cell>
          <cell r="N1693" t="str">
            <v>Mehedi Hasan Joy</v>
          </cell>
          <cell r="O1693" t="str">
            <v>FCC-2</v>
          </cell>
          <cell r="P1693" t="str">
            <v>GOLDEN TROPHY</v>
          </cell>
          <cell r="Q1693">
            <v>1</v>
          </cell>
          <cell r="R1693">
            <v>282</v>
          </cell>
          <cell r="U1693">
            <v>44949</v>
          </cell>
        </row>
        <row r="1694">
          <cell r="B1694" t="str">
            <v>TANVIR</v>
          </cell>
          <cell r="C1694">
            <v>3</v>
          </cell>
          <cell r="D1694">
            <v>55</v>
          </cell>
          <cell r="E1694">
            <v>3</v>
          </cell>
          <cell r="F1694">
            <v>4</v>
          </cell>
          <cell r="G1694">
            <v>0</v>
          </cell>
          <cell r="H1694">
            <v>5</v>
          </cell>
          <cell r="I1694">
            <v>5</v>
          </cell>
          <cell r="J1694">
            <v>0</v>
          </cell>
          <cell r="K1694">
            <v>0</v>
          </cell>
          <cell r="L1694">
            <v>0</v>
          </cell>
          <cell r="M1694" t="str">
            <v>&gt;&gt;</v>
          </cell>
          <cell r="N1694" t="str">
            <v>Tanvir Shakib</v>
          </cell>
          <cell r="O1694" t="str">
            <v>FCC-2</v>
          </cell>
          <cell r="P1694" t="str">
            <v>GOLDEN TROPHY</v>
          </cell>
          <cell r="Q1694">
            <v>1</v>
          </cell>
          <cell r="R1694">
            <v>282</v>
          </cell>
          <cell r="U1694">
            <v>44949</v>
          </cell>
        </row>
        <row r="1695">
          <cell r="B1695" t="str">
            <v>NUR</v>
          </cell>
          <cell r="C1695">
            <v>3</v>
          </cell>
          <cell r="D1695">
            <v>56</v>
          </cell>
          <cell r="E1695">
            <v>4</v>
          </cell>
          <cell r="F1695">
            <v>2</v>
          </cell>
          <cell r="G1695">
            <v>1</v>
          </cell>
          <cell r="H1695">
            <v>11</v>
          </cell>
          <cell r="I1695">
            <v>2</v>
          </cell>
          <cell r="J1695">
            <v>0</v>
          </cell>
          <cell r="K1695">
            <v>1</v>
          </cell>
          <cell r="L1695">
            <v>0</v>
          </cell>
          <cell r="M1695" t="str">
            <v>&gt;&gt;</v>
          </cell>
          <cell r="N1695" t="str">
            <v>Nur Muhammad</v>
          </cell>
          <cell r="O1695" t="str">
            <v>FCC-2</v>
          </cell>
          <cell r="P1695" t="str">
            <v>GOLDEN TROPHY</v>
          </cell>
          <cell r="Q1695">
            <v>1</v>
          </cell>
          <cell r="R1695">
            <v>282</v>
          </cell>
          <cell r="U1695">
            <v>44949</v>
          </cell>
        </row>
        <row r="1696">
          <cell r="B1696" t="str">
            <v>SKY WALKER</v>
          </cell>
          <cell r="O1696" t="str">
            <v>FCC-2</v>
          </cell>
          <cell r="P1696" t="str">
            <v>SKY WALKER</v>
          </cell>
          <cell r="Q1696">
            <v>1</v>
          </cell>
          <cell r="R1696">
            <v>283</v>
          </cell>
          <cell r="U1696">
            <v>44949</v>
          </cell>
        </row>
        <row r="1697">
          <cell r="B1697" t="str">
            <v>Siyam Islam</v>
          </cell>
          <cell r="C1697">
            <v>3</v>
          </cell>
          <cell r="D1697">
            <v>66</v>
          </cell>
          <cell r="E1697">
            <v>7</v>
          </cell>
          <cell r="F1697">
            <v>5</v>
          </cell>
          <cell r="G1697">
            <v>1</v>
          </cell>
          <cell r="H1697">
            <v>10</v>
          </cell>
          <cell r="I1697">
            <v>2</v>
          </cell>
          <cell r="J1697">
            <v>1</v>
          </cell>
          <cell r="K1697">
            <v>0</v>
          </cell>
          <cell r="L1697">
            <v>0</v>
          </cell>
          <cell r="M1697" t="str">
            <v>&gt;&gt;</v>
          </cell>
          <cell r="N1697" t="str">
            <v>Md Siyam Islam</v>
          </cell>
          <cell r="O1697" t="str">
            <v>FCC-2</v>
          </cell>
          <cell r="P1697" t="str">
            <v>SKY WALKER</v>
          </cell>
          <cell r="Q1697">
            <v>1</v>
          </cell>
          <cell r="R1697">
            <v>283</v>
          </cell>
          <cell r="U1697">
            <v>44949</v>
          </cell>
        </row>
        <row r="1698">
          <cell r="B1698" t="str">
            <v>AKASH</v>
          </cell>
          <cell r="C1698">
            <v>2</v>
          </cell>
          <cell r="D1698">
            <v>20</v>
          </cell>
          <cell r="E1698">
            <v>0</v>
          </cell>
          <cell r="F1698">
            <v>2</v>
          </cell>
          <cell r="G1698">
            <v>0</v>
          </cell>
          <cell r="H1698">
            <v>3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 t="str">
            <v>&gt;&gt;</v>
          </cell>
          <cell r="N1698" t="str">
            <v>Mahbubur Rahman Akash</v>
          </cell>
          <cell r="O1698" t="str">
            <v>FCC-2</v>
          </cell>
          <cell r="P1698" t="str">
            <v>SKY WALKER</v>
          </cell>
          <cell r="Q1698">
            <v>1</v>
          </cell>
          <cell r="R1698">
            <v>283</v>
          </cell>
          <cell r="U1698">
            <v>44949</v>
          </cell>
        </row>
        <row r="1699">
          <cell r="B1699" t="str">
            <v>AL MAMUN</v>
          </cell>
          <cell r="C1699">
            <v>3</v>
          </cell>
          <cell r="D1699">
            <v>18</v>
          </cell>
          <cell r="E1699">
            <v>2</v>
          </cell>
          <cell r="F1699">
            <v>5</v>
          </cell>
          <cell r="G1699">
            <v>0</v>
          </cell>
          <cell r="H1699">
            <v>4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 t="str">
            <v>&gt;&gt;</v>
          </cell>
          <cell r="N1699" t="str">
            <v>Mohammed Al Mamun</v>
          </cell>
          <cell r="O1699" t="str">
            <v>FCC-2</v>
          </cell>
          <cell r="P1699" t="str">
            <v>SKY WALKER</v>
          </cell>
          <cell r="Q1699">
            <v>1</v>
          </cell>
          <cell r="R1699">
            <v>283</v>
          </cell>
          <cell r="U1699">
            <v>44949</v>
          </cell>
        </row>
        <row r="1700">
          <cell r="B1700" t="str">
            <v>PAUL</v>
          </cell>
          <cell r="C1700">
            <v>3</v>
          </cell>
          <cell r="D1700">
            <v>38</v>
          </cell>
          <cell r="E1700">
            <v>4</v>
          </cell>
          <cell r="F1700">
            <v>3</v>
          </cell>
          <cell r="G1700">
            <v>0</v>
          </cell>
          <cell r="H1700">
            <v>5</v>
          </cell>
          <cell r="I1700">
            <v>3</v>
          </cell>
          <cell r="J1700">
            <v>0</v>
          </cell>
          <cell r="K1700">
            <v>0</v>
          </cell>
          <cell r="L1700">
            <v>2</v>
          </cell>
          <cell r="M1700" t="str">
            <v>&gt;&gt;</v>
          </cell>
          <cell r="N1700" t="str">
            <v>Susmoy Paul</v>
          </cell>
          <cell r="O1700" t="str">
            <v>FCC-2</v>
          </cell>
          <cell r="P1700" t="str">
            <v>SKY WALKER</v>
          </cell>
          <cell r="Q1700">
            <v>1</v>
          </cell>
          <cell r="R1700">
            <v>283</v>
          </cell>
          <cell r="U1700">
            <v>44949</v>
          </cell>
        </row>
        <row r="1701">
          <cell r="B1701" t="str">
            <v>FANTASTIC BOYZ</v>
          </cell>
          <cell r="N1701" t="str">
            <v/>
          </cell>
          <cell r="O1701" t="str">
            <v>FCC-2</v>
          </cell>
          <cell r="P1701" t="str">
            <v>FANTASTIC BOYZ</v>
          </cell>
          <cell r="Q1701">
            <v>1</v>
          </cell>
          <cell r="R1701">
            <v>284</v>
          </cell>
          <cell r="U1701">
            <v>44949</v>
          </cell>
        </row>
        <row r="1702">
          <cell r="B1702" t="str">
            <v>HIMEL</v>
          </cell>
          <cell r="C1702">
            <v>4</v>
          </cell>
          <cell r="D1702">
            <v>23</v>
          </cell>
          <cell r="E1702">
            <v>6</v>
          </cell>
          <cell r="F1702">
            <v>4</v>
          </cell>
          <cell r="G1702">
            <v>0</v>
          </cell>
          <cell r="H1702">
            <v>3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 t="str">
            <v>&gt;&gt;</v>
          </cell>
          <cell r="N1702" t="str">
            <v>Hj Himel</v>
          </cell>
          <cell r="O1702" t="str">
            <v>FCC-2</v>
          </cell>
          <cell r="P1702" t="str">
            <v>FANTASTIC BOYZ</v>
          </cell>
          <cell r="Q1702">
            <v>1</v>
          </cell>
          <cell r="R1702">
            <v>284</v>
          </cell>
          <cell r="U1702">
            <v>44949</v>
          </cell>
        </row>
        <row r="1703">
          <cell r="B1703" t="str">
            <v>TONMOY</v>
          </cell>
          <cell r="C1703">
            <v>4</v>
          </cell>
          <cell r="D1703">
            <v>14</v>
          </cell>
          <cell r="E1703">
            <v>4</v>
          </cell>
          <cell r="F1703">
            <v>4</v>
          </cell>
          <cell r="G1703">
            <v>0</v>
          </cell>
          <cell r="H1703">
            <v>2</v>
          </cell>
          <cell r="I1703">
            <v>1</v>
          </cell>
          <cell r="J1703">
            <v>0</v>
          </cell>
          <cell r="K1703">
            <v>1</v>
          </cell>
          <cell r="L1703">
            <v>0</v>
          </cell>
          <cell r="M1703" t="str">
            <v>&gt;&gt;</v>
          </cell>
          <cell r="N1703" t="str">
            <v>Asik Hassan Tonmoy</v>
          </cell>
          <cell r="O1703" t="str">
            <v>FCC-2</v>
          </cell>
          <cell r="P1703" t="str">
            <v>FANTASTIC BOYZ</v>
          </cell>
          <cell r="Q1703">
            <v>1</v>
          </cell>
          <cell r="R1703">
            <v>284</v>
          </cell>
          <cell r="U1703">
            <v>44949</v>
          </cell>
        </row>
        <row r="1704">
          <cell r="B1704" t="str">
            <v>RUBEL</v>
          </cell>
          <cell r="C1704">
            <v>3</v>
          </cell>
          <cell r="D1704">
            <v>80</v>
          </cell>
          <cell r="E1704">
            <v>3</v>
          </cell>
          <cell r="F1704">
            <v>4</v>
          </cell>
          <cell r="G1704">
            <v>1</v>
          </cell>
          <cell r="H1704">
            <v>12</v>
          </cell>
          <cell r="I1704">
            <v>4</v>
          </cell>
          <cell r="J1704">
            <v>0</v>
          </cell>
          <cell r="K1704">
            <v>1</v>
          </cell>
          <cell r="L1704">
            <v>0</v>
          </cell>
          <cell r="M1704" t="str">
            <v>&gt;&gt;</v>
          </cell>
          <cell r="N1704" t="str">
            <v>Anisur Islam (Rubel Hossain)</v>
          </cell>
          <cell r="O1704" t="str">
            <v>FCC-2</v>
          </cell>
          <cell r="P1704" t="str">
            <v>FANTASTIC BOYZ</v>
          </cell>
          <cell r="Q1704">
            <v>1</v>
          </cell>
          <cell r="R1704">
            <v>284</v>
          </cell>
          <cell r="U1704">
            <v>44949</v>
          </cell>
        </row>
        <row r="1705">
          <cell r="B1705" t="str">
            <v>KAMAL</v>
          </cell>
          <cell r="C1705">
            <v>4</v>
          </cell>
          <cell r="D1705">
            <v>98</v>
          </cell>
          <cell r="E1705">
            <v>4</v>
          </cell>
          <cell r="F1705">
            <v>6</v>
          </cell>
          <cell r="G1705">
            <v>2</v>
          </cell>
          <cell r="H1705">
            <v>9</v>
          </cell>
          <cell r="I1705">
            <v>6</v>
          </cell>
          <cell r="J1705">
            <v>0</v>
          </cell>
          <cell r="K1705">
            <v>1</v>
          </cell>
          <cell r="L1705">
            <v>2</v>
          </cell>
          <cell r="M1705" t="str">
            <v>&gt;&gt;</v>
          </cell>
          <cell r="N1705" t="str">
            <v>MD Kamal Hossain Kamal</v>
          </cell>
          <cell r="O1705" t="str">
            <v>FCC-2</v>
          </cell>
          <cell r="P1705" t="str">
            <v>FANTASTIC BOYZ</v>
          </cell>
          <cell r="Q1705">
            <v>1</v>
          </cell>
          <cell r="R1705">
            <v>284</v>
          </cell>
          <cell r="U1705">
            <v>44949</v>
          </cell>
        </row>
        <row r="1706">
          <cell r="B1706" t="str">
            <v>Al Mamun</v>
          </cell>
          <cell r="C1706">
            <v>3</v>
          </cell>
          <cell r="D1706">
            <v>32</v>
          </cell>
          <cell r="E1706">
            <v>3</v>
          </cell>
          <cell r="F1706">
            <v>4</v>
          </cell>
          <cell r="G1706">
            <v>0</v>
          </cell>
          <cell r="H1706">
            <v>3</v>
          </cell>
          <cell r="I1706">
            <v>3</v>
          </cell>
          <cell r="J1706">
            <v>0</v>
          </cell>
          <cell r="K1706">
            <v>0</v>
          </cell>
          <cell r="L1706">
            <v>0</v>
          </cell>
          <cell r="M1706" t="str">
            <v>&gt;&gt;</v>
          </cell>
          <cell r="N1706" t="str">
            <v>Mohammed Al Mamun</v>
          </cell>
          <cell r="O1706" t="str">
            <v>FRS-3</v>
          </cell>
          <cell r="P1706" t="str">
            <v>Ballastic Bouncers</v>
          </cell>
          <cell r="Q1706">
            <v>1</v>
          </cell>
          <cell r="R1706">
            <v>285</v>
          </cell>
          <cell r="U1706">
            <v>45925</v>
          </cell>
        </row>
        <row r="1707">
          <cell r="B1707" t="str">
            <v>Jumon</v>
          </cell>
          <cell r="C1707">
            <v>3</v>
          </cell>
          <cell r="D1707">
            <v>25</v>
          </cell>
          <cell r="E1707">
            <v>3</v>
          </cell>
          <cell r="F1707">
            <v>3</v>
          </cell>
          <cell r="G1707">
            <v>0</v>
          </cell>
          <cell r="H1707">
            <v>2</v>
          </cell>
          <cell r="I1707">
            <v>2</v>
          </cell>
          <cell r="J1707">
            <v>0</v>
          </cell>
          <cell r="K1707">
            <v>1</v>
          </cell>
          <cell r="L1707">
            <v>0</v>
          </cell>
          <cell r="M1707" t="str">
            <v>&gt;&gt;</v>
          </cell>
          <cell r="N1707" t="str">
            <v>Foysal Ahmed Jumon</v>
          </cell>
          <cell r="O1707" t="str">
            <v>FRS-3</v>
          </cell>
          <cell r="P1707" t="str">
            <v>Ballastic Bouncers</v>
          </cell>
          <cell r="Q1707">
            <v>1</v>
          </cell>
          <cell r="R1707">
            <v>285</v>
          </cell>
          <cell r="U1707">
            <v>45925</v>
          </cell>
        </row>
        <row r="1708">
          <cell r="B1708" t="str">
            <v>Ariful</v>
          </cell>
          <cell r="C1708">
            <v>3</v>
          </cell>
          <cell r="D1708">
            <v>64</v>
          </cell>
          <cell r="E1708">
            <v>3</v>
          </cell>
          <cell r="F1708">
            <v>5</v>
          </cell>
          <cell r="G1708">
            <v>2</v>
          </cell>
          <cell r="H1708">
            <v>2</v>
          </cell>
          <cell r="I1708">
            <v>6</v>
          </cell>
          <cell r="J1708">
            <v>0</v>
          </cell>
          <cell r="K1708">
            <v>0</v>
          </cell>
          <cell r="L1708">
            <v>1</v>
          </cell>
          <cell r="M1708" t="str">
            <v>&gt;&gt;</v>
          </cell>
          <cell r="N1708" t="str">
            <v>Ahammed Ariful Haq</v>
          </cell>
          <cell r="O1708" t="str">
            <v>FRS-3</v>
          </cell>
          <cell r="P1708" t="str">
            <v>Ballastic Bouncers</v>
          </cell>
          <cell r="Q1708">
            <v>1</v>
          </cell>
          <cell r="R1708">
            <v>285</v>
          </cell>
          <cell r="U1708">
            <v>45925</v>
          </cell>
        </row>
        <row r="1709">
          <cell r="B1709" t="str">
            <v>Rakib</v>
          </cell>
          <cell r="C1709">
            <v>3</v>
          </cell>
          <cell r="D1709">
            <v>44</v>
          </cell>
          <cell r="E1709">
            <v>2</v>
          </cell>
          <cell r="F1709">
            <v>4</v>
          </cell>
          <cell r="G1709">
            <v>0</v>
          </cell>
          <cell r="H1709">
            <v>1</v>
          </cell>
          <cell r="I1709">
            <v>6</v>
          </cell>
          <cell r="J1709">
            <v>0</v>
          </cell>
          <cell r="K1709">
            <v>0</v>
          </cell>
          <cell r="L1709">
            <v>0</v>
          </cell>
          <cell r="M1709" t="str">
            <v>&gt;&gt;</v>
          </cell>
          <cell r="N1709" t="str">
            <v>Rakib Hasan</v>
          </cell>
          <cell r="O1709" t="str">
            <v>FRS-3</v>
          </cell>
          <cell r="P1709" t="str">
            <v>Ballastic Bouncers</v>
          </cell>
          <cell r="Q1709">
            <v>1</v>
          </cell>
          <cell r="R1709">
            <v>285</v>
          </cell>
          <cell r="U1709">
            <v>45925</v>
          </cell>
        </row>
        <row r="1710">
          <cell r="B1710" t="str">
            <v>Sumon</v>
          </cell>
          <cell r="C1710">
            <v>5</v>
          </cell>
          <cell r="D1710">
            <v>49</v>
          </cell>
          <cell r="E1710">
            <v>13</v>
          </cell>
          <cell r="F1710">
            <v>6</v>
          </cell>
          <cell r="G1710">
            <v>0</v>
          </cell>
          <cell r="H1710">
            <v>5</v>
          </cell>
          <cell r="I1710">
            <v>4</v>
          </cell>
          <cell r="J1710">
            <v>2</v>
          </cell>
          <cell r="K1710">
            <v>2</v>
          </cell>
          <cell r="L1710">
            <v>1</v>
          </cell>
          <cell r="M1710" t="str">
            <v>&gt;&gt;</v>
          </cell>
          <cell r="N1710" t="str">
            <v>Sumon Ab</v>
          </cell>
          <cell r="O1710" t="str">
            <v>FRS-3</v>
          </cell>
          <cell r="P1710" t="str">
            <v>Crown Swingers</v>
          </cell>
          <cell r="Q1710">
            <v>1</v>
          </cell>
          <cell r="R1710">
            <v>286</v>
          </cell>
          <cell r="T1710" t="str">
            <v>4TH</v>
          </cell>
          <cell r="U1710">
            <v>45925</v>
          </cell>
          <cell r="W1710">
            <v>1</v>
          </cell>
        </row>
        <row r="1711">
          <cell r="B1711" t="str">
            <v>Shishir</v>
          </cell>
          <cell r="C1711">
            <v>5</v>
          </cell>
          <cell r="D1711">
            <v>65</v>
          </cell>
          <cell r="E1711">
            <v>5</v>
          </cell>
          <cell r="F1711">
            <v>5</v>
          </cell>
          <cell r="G1711">
            <v>1</v>
          </cell>
          <cell r="H1711">
            <v>5</v>
          </cell>
          <cell r="I1711">
            <v>3</v>
          </cell>
          <cell r="J1711">
            <v>0</v>
          </cell>
          <cell r="K1711">
            <v>0</v>
          </cell>
          <cell r="L1711">
            <v>1</v>
          </cell>
          <cell r="M1711" t="str">
            <v>&gt;&gt;</v>
          </cell>
          <cell r="N1711" t="str">
            <v>ShiShir Hossain</v>
          </cell>
          <cell r="O1711" t="str">
            <v>FRS-3</v>
          </cell>
          <cell r="P1711" t="str">
            <v>Crown Swingers</v>
          </cell>
          <cell r="Q1711">
            <v>1</v>
          </cell>
          <cell r="R1711">
            <v>286</v>
          </cell>
          <cell r="T1711" t="str">
            <v>4TH</v>
          </cell>
          <cell r="U1711">
            <v>45925</v>
          </cell>
        </row>
        <row r="1712">
          <cell r="B1712" t="str">
            <v>Khokon</v>
          </cell>
          <cell r="C1712">
            <v>5</v>
          </cell>
          <cell r="D1712">
            <v>65</v>
          </cell>
          <cell r="E1712">
            <v>6</v>
          </cell>
          <cell r="F1712">
            <v>5</v>
          </cell>
          <cell r="G1712">
            <v>0</v>
          </cell>
          <cell r="H1712">
            <v>5</v>
          </cell>
          <cell r="I1712">
            <v>6</v>
          </cell>
          <cell r="J1712">
            <v>0</v>
          </cell>
          <cell r="K1712">
            <v>0</v>
          </cell>
          <cell r="L1712">
            <v>1</v>
          </cell>
          <cell r="M1712" t="str">
            <v>&gt;&gt;</v>
          </cell>
          <cell r="N1712" t="str">
            <v>Shahriar Khokon</v>
          </cell>
          <cell r="O1712" t="str">
            <v>FRS-3</v>
          </cell>
          <cell r="P1712" t="str">
            <v>Crown Swingers</v>
          </cell>
          <cell r="Q1712">
            <v>1</v>
          </cell>
          <cell r="R1712">
            <v>286</v>
          </cell>
          <cell r="T1712" t="str">
            <v>4TH</v>
          </cell>
          <cell r="U1712">
            <v>45925</v>
          </cell>
        </row>
        <row r="1713">
          <cell r="B1713" t="str">
            <v>Rashed</v>
          </cell>
          <cell r="C1713">
            <v>5</v>
          </cell>
          <cell r="D1713">
            <v>48</v>
          </cell>
          <cell r="E1713">
            <v>3</v>
          </cell>
          <cell r="F1713">
            <v>5</v>
          </cell>
          <cell r="G1713">
            <v>1</v>
          </cell>
          <cell r="H1713">
            <v>4</v>
          </cell>
          <cell r="I1713">
            <v>4</v>
          </cell>
          <cell r="J1713">
            <v>0</v>
          </cell>
          <cell r="K1713">
            <v>0</v>
          </cell>
          <cell r="L1713">
            <v>1</v>
          </cell>
          <cell r="M1713" t="str">
            <v>&gt;&gt;</v>
          </cell>
          <cell r="N1713" t="str">
            <v>KM Rashedul Islam Rashed</v>
          </cell>
          <cell r="O1713" t="str">
            <v>FRS-3</v>
          </cell>
          <cell r="P1713" t="str">
            <v>Crown Swingers</v>
          </cell>
          <cell r="Q1713">
            <v>1</v>
          </cell>
          <cell r="R1713">
            <v>286</v>
          </cell>
          <cell r="T1713" t="str">
            <v>4TH</v>
          </cell>
          <cell r="U1713">
            <v>45925</v>
          </cell>
        </row>
        <row r="1714">
          <cell r="B1714" t="str">
            <v>Rakibul</v>
          </cell>
          <cell r="C1714">
            <v>3</v>
          </cell>
          <cell r="D1714">
            <v>4</v>
          </cell>
          <cell r="E1714">
            <v>4</v>
          </cell>
          <cell r="F1714">
            <v>4</v>
          </cell>
          <cell r="G1714">
            <v>0</v>
          </cell>
          <cell r="H1714">
            <v>1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 t="str">
            <v>&gt;&gt;</v>
          </cell>
          <cell r="N1714" t="str">
            <v>Rakibul Islam</v>
          </cell>
          <cell r="O1714" t="str">
            <v>FRS-3</v>
          </cell>
          <cell r="P1714" t="str">
            <v>The Invicibles</v>
          </cell>
          <cell r="Q1714">
            <v>1</v>
          </cell>
          <cell r="R1714">
            <v>287</v>
          </cell>
          <cell r="U1714">
            <v>45925</v>
          </cell>
        </row>
        <row r="1715">
          <cell r="B1715" t="str">
            <v>Tanvir</v>
          </cell>
          <cell r="C1715">
            <v>3</v>
          </cell>
          <cell r="D1715">
            <v>138</v>
          </cell>
          <cell r="E1715">
            <v>3</v>
          </cell>
          <cell r="F1715">
            <v>6</v>
          </cell>
          <cell r="G1715">
            <v>0</v>
          </cell>
          <cell r="H1715">
            <v>15</v>
          </cell>
          <cell r="I1715">
            <v>10</v>
          </cell>
          <cell r="J1715">
            <v>0</v>
          </cell>
          <cell r="K1715">
            <v>0</v>
          </cell>
          <cell r="L1715">
            <v>2</v>
          </cell>
          <cell r="M1715" t="str">
            <v>&gt;&gt;</v>
          </cell>
          <cell r="N1715" t="str">
            <v>Tanvir Shakib</v>
          </cell>
          <cell r="O1715" t="str">
            <v>FRS-3</v>
          </cell>
          <cell r="P1715" t="str">
            <v>The Invicibles</v>
          </cell>
          <cell r="Q1715">
            <v>1</v>
          </cell>
          <cell r="R1715">
            <v>287</v>
          </cell>
          <cell r="U1715">
            <v>45925</v>
          </cell>
        </row>
        <row r="1716">
          <cell r="B1716" t="str">
            <v>Nur</v>
          </cell>
          <cell r="C1716">
            <v>3</v>
          </cell>
          <cell r="D1716">
            <v>46</v>
          </cell>
          <cell r="E1716">
            <v>2</v>
          </cell>
          <cell r="F1716">
            <v>4</v>
          </cell>
          <cell r="G1716">
            <v>0</v>
          </cell>
          <cell r="H1716">
            <v>5</v>
          </cell>
          <cell r="I1716">
            <v>3</v>
          </cell>
          <cell r="J1716">
            <v>0</v>
          </cell>
          <cell r="K1716">
            <v>0</v>
          </cell>
          <cell r="L1716">
            <v>0</v>
          </cell>
          <cell r="M1716" t="str">
            <v>&gt;&gt;</v>
          </cell>
          <cell r="N1716" t="str">
            <v>Nur Muhammad</v>
          </cell>
          <cell r="O1716" t="str">
            <v>FRS-3</v>
          </cell>
          <cell r="P1716" t="str">
            <v>The Invicibles</v>
          </cell>
          <cell r="Q1716">
            <v>1</v>
          </cell>
          <cell r="R1716">
            <v>287</v>
          </cell>
          <cell r="U1716">
            <v>45925</v>
          </cell>
        </row>
        <row r="1717">
          <cell r="B1717" t="str">
            <v>Munna</v>
          </cell>
          <cell r="C1717">
            <v>3</v>
          </cell>
          <cell r="D1717">
            <v>14</v>
          </cell>
          <cell r="E1717">
            <v>4</v>
          </cell>
          <cell r="F1717">
            <v>4</v>
          </cell>
          <cell r="G1717">
            <v>0</v>
          </cell>
          <cell r="H1717">
            <v>2</v>
          </cell>
          <cell r="I1717">
            <v>1</v>
          </cell>
          <cell r="J1717">
            <v>0</v>
          </cell>
          <cell r="K1717">
            <v>0</v>
          </cell>
          <cell r="L1717">
            <v>0</v>
          </cell>
          <cell r="M1717" t="str">
            <v>&gt;&gt;</v>
          </cell>
          <cell r="N1717" t="str">
            <v>Monowar Hossain Munna</v>
          </cell>
          <cell r="O1717" t="str">
            <v>FRS-3</v>
          </cell>
          <cell r="P1717" t="str">
            <v>The Invicibles</v>
          </cell>
          <cell r="Q1717">
            <v>1</v>
          </cell>
          <cell r="R1717">
            <v>287</v>
          </cell>
          <cell r="U1717">
            <v>45925</v>
          </cell>
        </row>
        <row r="1718">
          <cell r="B1718" t="str">
            <v>Arif</v>
          </cell>
          <cell r="C1718">
            <v>5</v>
          </cell>
          <cell r="D1718">
            <v>123</v>
          </cell>
          <cell r="E1718">
            <v>4</v>
          </cell>
          <cell r="F1718">
            <v>9</v>
          </cell>
          <cell r="G1718">
            <v>1</v>
          </cell>
          <cell r="H1718">
            <v>10</v>
          </cell>
          <cell r="I1718">
            <v>6</v>
          </cell>
          <cell r="J1718">
            <v>1</v>
          </cell>
          <cell r="K1718">
            <v>2</v>
          </cell>
          <cell r="L1718">
            <v>0</v>
          </cell>
          <cell r="M1718" t="str">
            <v>&gt;&gt;</v>
          </cell>
          <cell r="N1718" t="str">
            <v>Arif Ziad</v>
          </cell>
          <cell r="O1718" t="str">
            <v>FRS-3</v>
          </cell>
          <cell r="P1718" t="str">
            <v>Indomitable Cyclopeans</v>
          </cell>
          <cell r="Q1718">
            <v>1</v>
          </cell>
          <cell r="R1718">
            <v>288</v>
          </cell>
          <cell r="T1718" t="str">
            <v>3RD</v>
          </cell>
          <cell r="U1718">
            <v>45925</v>
          </cell>
        </row>
        <row r="1719">
          <cell r="B1719" t="str">
            <v>Mashuk</v>
          </cell>
          <cell r="C1719">
            <v>5</v>
          </cell>
          <cell r="D1719">
            <v>40</v>
          </cell>
          <cell r="E1719">
            <v>5</v>
          </cell>
          <cell r="F1719">
            <v>4</v>
          </cell>
          <cell r="G1719">
            <v>0</v>
          </cell>
          <cell r="H1719">
            <v>4</v>
          </cell>
          <cell r="I1719">
            <v>2</v>
          </cell>
          <cell r="J1719">
            <v>0</v>
          </cell>
          <cell r="K1719">
            <v>0</v>
          </cell>
          <cell r="L1719">
            <v>1</v>
          </cell>
          <cell r="M1719" t="str">
            <v>&gt;&gt;</v>
          </cell>
          <cell r="N1719" t="str">
            <v>Mustofa Muddassir Mahmud Mashuk</v>
          </cell>
          <cell r="O1719" t="str">
            <v>FRS-3</v>
          </cell>
          <cell r="P1719" t="str">
            <v>Indomitable Cyclopeans</v>
          </cell>
          <cell r="Q1719">
            <v>1</v>
          </cell>
          <cell r="R1719">
            <v>288</v>
          </cell>
          <cell r="T1719" t="str">
            <v>3RD</v>
          </cell>
          <cell r="U1719">
            <v>45925</v>
          </cell>
        </row>
        <row r="1720">
          <cell r="B1720" t="str">
            <v>Manik</v>
          </cell>
          <cell r="C1720">
            <v>5</v>
          </cell>
          <cell r="D1720">
            <v>26</v>
          </cell>
          <cell r="E1720">
            <v>7</v>
          </cell>
          <cell r="F1720">
            <v>8</v>
          </cell>
          <cell r="G1720">
            <v>1</v>
          </cell>
          <cell r="H1720">
            <v>3</v>
          </cell>
          <cell r="I1720">
            <v>2</v>
          </cell>
          <cell r="J1720">
            <v>1</v>
          </cell>
          <cell r="K1720">
            <v>0</v>
          </cell>
          <cell r="L1720">
            <v>0</v>
          </cell>
          <cell r="M1720" t="str">
            <v>&gt;&gt;</v>
          </cell>
          <cell r="N1720" t="str">
            <v>GM Manik</v>
          </cell>
          <cell r="O1720" t="str">
            <v>FRS-3</v>
          </cell>
          <cell r="P1720" t="str">
            <v>Indomitable Cyclopeans</v>
          </cell>
          <cell r="Q1720">
            <v>1</v>
          </cell>
          <cell r="R1720">
            <v>288</v>
          </cell>
          <cell r="T1720" t="str">
            <v>3RD</v>
          </cell>
          <cell r="U1720">
            <v>45925</v>
          </cell>
        </row>
        <row r="1721">
          <cell r="B1721" t="str">
            <v>Shohag</v>
          </cell>
          <cell r="C1721">
            <v>5</v>
          </cell>
          <cell r="D1721">
            <v>78</v>
          </cell>
          <cell r="E1721">
            <v>4</v>
          </cell>
          <cell r="F1721">
            <v>8</v>
          </cell>
          <cell r="G1721">
            <v>0</v>
          </cell>
          <cell r="H1721">
            <v>3</v>
          </cell>
          <cell r="I1721">
            <v>7</v>
          </cell>
          <cell r="J1721">
            <v>0</v>
          </cell>
          <cell r="K1721">
            <v>1</v>
          </cell>
          <cell r="L1721">
            <v>0</v>
          </cell>
          <cell r="M1721" t="str">
            <v>&gt;&gt;</v>
          </cell>
          <cell r="N1721" t="str">
            <v>Hetlar Shohag</v>
          </cell>
          <cell r="O1721" t="str">
            <v>FRS-3</v>
          </cell>
          <cell r="P1721" t="str">
            <v>Indomitable Cyclopeans</v>
          </cell>
          <cell r="Q1721">
            <v>1</v>
          </cell>
          <cell r="R1721">
            <v>288</v>
          </cell>
          <cell r="T1721" t="str">
            <v>3RD</v>
          </cell>
          <cell r="U1721">
            <v>45925</v>
          </cell>
        </row>
        <row r="1722">
          <cell r="B1722" t="str">
            <v>Sadrul</v>
          </cell>
          <cell r="C1722">
            <v>3</v>
          </cell>
          <cell r="D1722">
            <v>40</v>
          </cell>
          <cell r="E1722">
            <v>4</v>
          </cell>
          <cell r="F1722">
            <v>3</v>
          </cell>
          <cell r="G1722">
            <v>1</v>
          </cell>
          <cell r="H1722">
            <v>2</v>
          </cell>
          <cell r="I1722">
            <v>5</v>
          </cell>
          <cell r="J1722">
            <v>0</v>
          </cell>
          <cell r="K1722">
            <v>1</v>
          </cell>
          <cell r="L1722">
            <v>0</v>
          </cell>
          <cell r="M1722" t="str">
            <v>&gt;&gt;</v>
          </cell>
          <cell r="N1722" t="str">
            <v>Sadrul Anam</v>
          </cell>
          <cell r="O1722" t="str">
            <v>FRS-3</v>
          </cell>
          <cell r="P1722" t="str">
            <v>Four Fighters</v>
          </cell>
          <cell r="Q1722">
            <v>1</v>
          </cell>
          <cell r="R1722">
            <v>289</v>
          </cell>
          <cell r="U1722">
            <v>45925</v>
          </cell>
        </row>
        <row r="1723">
          <cell r="B1723" t="str">
            <v>Niamul</v>
          </cell>
          <cell r="C1723">
            <v>3</v>
          </cell>
          <cell r="D1723">
            <v>87</v>
          </cell>
          <cell r="E1723">
            <v>4</v>
          </cell>
          <cell r="F1723">
            <v>6</v>
          </cell>
          <cell r="G1723">
            <v>1</v>
          </cell>
          <cell r="H1723">
            <v>9</v>
          </cell>
          <cell r="I1723">
            <v>6</v>
          </cell>
          <cell r="J1723">
            <v>0</v>
          </cell>
          <cell r="K1723">
            <v>1</v>
          </cell>
          <cell r="L1723">
            <v>0</v>
          </cell>
          <cell r="M1723" t="str">
            <v>&gt;&gt;</v>
          </cell>
          <cell r="N1723" t="str">
            <v>Niamul Habib Setu</v>
          </cell>
          <cell r="O1723" t="str">
            <v>FRS-3</v>
          </cell>
          <cell r="P1723" t="str">
            <v>Four Fighters</v>
          </cell>
          <cell r="Q1723">
            <v>1</v>
          </cell>
          <cell r="R1723">
            <v>289</v>
          </cell>
          <cell r="U1723">
            <v>45925</v>
          </cell>
        </row>
        <row r="1724">
          <cell r="B1724" t="str">
            <v>Kamal</v>
          </cell>
          <cell r="C1724">
            <v>3</v>
          </cell>
          <cell r="D1724">
            <v>28</v>
          </cell>
          <cell r="E1724">
            <v>5</v>
          </cell>
          <cell r="F1724">
            <v>4</v>
          </cell>
          <cell r="G1724">
            <v>0</v>
          </cell>
          <cell r="H1724">
            <v>1</v>
          </cell>
          <cell r="I1724">
            <v>1</v>
          </cell>
          <cell r="J1724">
            <v>0</v>
          </cell>
          <cell r="K1724">
            <v>0</v>
          </cell>
          <cell r="L1724">
            <v>0</v>
          </cell>
          <cell r="M1724" t="str">
            <v>&gt;&gt;</v>
          </cell>
          <cell r="N1724" t="str">
            <v>MD Kamal Hossain Kamal</v>
          </cell>
          <cell r="O1724" t="str">
            <v>FRS-3</v>
          </cell>
          <cell r="P1724" t="str">
            <v>Four Fighters</v>
          </cell>
          <cell r="Q1724">
            <v>1</v>
          </cell>
          <cell r="R1724">
            <v>289</v>
          </cell>
          <cell r="U1724">
            <v>45925</v>
          </cell>
        </row>
        <row r="1725">
          <cell r="B1725" t="str">
            <v>Saaj</v>
          </cell>
          <cell r="C1725">
            <v>3</v>
          </cell>
          <cell r="D1725">
            <v>14</v>
          </cell>
          <cell r="E1725">
            <v>3</v>
          </cell>
          <cell r="F1725">
            <v>3</v>
          </cell>
          <cell r="G1725">
            <v>0</v>
          </cell>
          <cell r="H1725">
            <v>2</v>
          </cell>
          <cell r="I1725">
            <v>1</v>
          </cell>
          <cell r="J1725">
            <v>0</v>
          </cell>
          <cell r="K1725">
            <v>0</v>
          </cell>
          <cell r="L1725">
            <v>0</v>
          </cell>
          <cell r="M1725" t="str">
            <v>&gt;&gt;</v>
          </cell>
          <cell r="N1725" t="str">
            <v>AB Saaj</v>
          </cell>
          <cell r="O1725" t="str">
            <v>FRS-3</v>
          </cell>
          <cell r="P1725" t="str">
            <v>Four Fighters</v>
          </cell>
          <cell r="Q1725">
            <v>1</v>
          </cell>
          <cell r="R1725">
            <v>289</v>
          </cell>
          <cell r="U1725">
            <v>45925</v>
          </cell>
        </row>
        <row r="1726">
          <cell r="B1726" t="str">
            <v>Ridoy</v>
          </cell>
          <cell r="C1726">
            <v>3</v>
          </cell>
          <cell r="D1726">
            <v>25</v>
          </cell>
          <cell r="E1726">
            <v>5</v>
          </cell>
          <cell r="F1726">
            <v>5</v>
          </cell>
          <cell r="G1726">
            <v>0</v>
          </cell>
          <cell r="H1726">
            <v>3</v>
          </cell>
          <cell r="I1726">
            <v>1</v>
          </cell>
          <cell r="J1726">
            <v>0</v>
          </cell>
          <cell r="K1726">
            <v>0</v>
          </cell>
          <cell r="L1726">
            <v>1</v>
          </cell>
          <cell r="M1726" t="str">
            <v>&gt;&gt;</v>
          </cell>
          <cell r="N1726" t="str">
            <v>Md Ridoy AR</v>
          </cell>
          <cell r="O1726" t="str">
            <v>FRS-3</v>
          </cell>
          <cell r="P1726" t="str">
            <v>Leading Challengers</v>
          </cell>
          <cell r="Q1726">
            <v>1</v>
          </cell>
          <cell r="R1726">
            <v>290</v>
          </cell>
          <cell r="U1726">
            <v>45925</v>
          </cell>
        </row>
        <row r="1727">
          <cell r="B1727" t="str">
            <v>Tofayel</v>
          </cell>
          <cell r="C1727">
            <v>3</v>
          </cell>
          <cell r="D1727">
            <v>26</v>
          </cell>
          <cell r="E1727">
            <v>3</v>
          </cell>
          <cell r="F1727">
            <v>3</v>
          </cell>
          <cell r="G1727">
            <v>0</v>
          </cell>
          <cell r="H1727">
            <v>2</v>
          </cell>
          <cell r="I1727">
            <v>2</v>
          </cell>
          <cell r="J1727">
            <v>0</v>
          </cell>
          <cell r="K1727">
            <v>0</v>
          </cell>
          <cell r="L1727">
            <v>0</v>
          </cell>
          <cell r="M1727" t="str">
            <v>&gt;&gt;</v>
          </cell>
          <cell r="N1727" t="str">
            <v>MD Tofayel Ahmed</v>
          </cell>
          <cell r="O1727" t="str">
            <v>FRS-3</v>
          </cell>
          <cell r="P1727" t="str">
            <v>Leading Challengers</v>
          </cell>
          <cell r="Q1727">
            <v>1</v>
          </cell>
          <cell r="R1727">
            <v>290</v>
          </cell>
          <cell r="U1727">
            <v>45925</v>
          </cell>
        </row>
        <row r="1728">
          <cell r="B1728" t="str">
            <v>Zaheed</v>
          </cell>
          <cell r="C1728">
            <v>3</v>
          </cell>
          <cell r="D1728">
            <v>71</v>
          </cell>
          <cell r="E1728">
            <v>4</v>
          </cell>
          <cell r="F1728">
            <v>5</v>
          </cell>
          <cell r="G1728">
            <v>1</v>
          </cell>
          <cell r="H1728">
            <v>5</v>
          </cell>
          <cell r="I1728">
            <v>6</v>
          </cell>
          <cell r="J1728">
            <v>0</v>
          </cell>
          <cell r="K1728">
            <v>1</v>
          </cell>
          <cell r="L1728">
            <v>0</v>
          </cell>
          <cell r="M1728" t="str">
            <v>&gt;&gt;</v>
          </cell>
          <cell r="N1728" t="str">
            <v>Zaheed Hasan</v>
          </cell>
          <cell r="O1728" t="str">
            <v>FRS-3</v>
          </cell>
          <cell r="P1728" t="str">
            <v>Leading Challengers</v>
          </cell>
          <cell r="Q1728">
            <v>1</v>
          </cell>
          <cell r="R1728">
            <v>290</v>
          </cell>
          <cell r="U1728">
            <v>45925</v>
          </cell>
        </row>
        <row r="1729">
          <cell r="B1729" t="str">
            <v>Rubel</v>
          </cell>
          <cell r="C1729">
            <v>3</v>
          </cell>
          <cell r="D1729">
            <v>43</v>
          </cell>
          <cell r="E1729">
            <v>4</v>
          </cell>
          <cell r="F1729">
            <v>4</v>
          </cell>
          <cell r="G1729">
            <v>0</v>
          </cell>
          <cell r="H1729">
            <v>5</v>
          </cell>
          <cell r="I1729">
            <v>2</v>
          </cell>
          <cell r="J1729">
            <v>0</v>
          </cell>
          <cell r="K1729">
            <v>0</v>
          </cell>
          <cell r="L1729">
            <v>1</v>
          </cell>
          <cell r="M1729" t="str">
            <v>&gt;&gt;</v>
          </cell>
          <cell r="N1729" t="str">
            <v>Anisur Islam (Rubel Hossain)</v>
          </cell>
          <cell r="O1729" t="str">
            <v>FRS-3</v>
          </cell>
          <cell r="P1729" t="str">
            <v>Leading Challengers</v>
          </cell>
          <cell r="Q1729">
            <v>1</v>
          </cell>
          <cell r="R1729">
            <v>290</v>
          </cell>
          <cell r="U1729">
            <v>45925</v>
          </cell>
        </row>
        <row r="1730">
          <cell r="B1730" t="str">
            <v>Nahid</v>
          </cell>
          <cell r="C1730">
            <v>5</v>
          </cell>
          <cell r="D1730">
            <v>62</v>
          </cell>
          <cell r="E1730">
            <v>5</v>
          </cell>
          <cell r="F1730">
            <v>6</v>
          </cell>
          <cell r="G1730">
            <v>1</v>
          </cell>
          <cell r="H1730">
            <v>10</v>
          </cell>
          <cell r="I1730">
            <v>3</v>
          </cell>
          <cell r="J1730">
            <v>0</v>
          </cell>
          <cell r="K1730">
            <v>1</v>
          </cell>
          <cell r="L1730">
            <v>0</v>
          </cell>
          <cell r="M1730" t="str">
            <v>&gt;&gt;</v>
          </cell>
          <cell r="N1730" t="str">
            <v>Nahid Saifullah</v>
          </cell>
          <cell r="O1730" t="str">
            <v>FRS-3</v>
          </cell>
          <cell r="P1730" t="str">
            <v>Lion King</v>
          </cell>
          <cell r="Q1730">
            <v>1</v>
          </cell>
          <cell r="R1730">
            <v>291</v>
          </cell>
          <cell r="T1730" t="str">
            <v>CHAMP</v>
          </cell>
          <cell r="U1730">
            <v>45925</v>
          </cell>
        </row>
        <row r="1731">
          <cell r="B1731" t="str">
            <v>Siyam Islam</v>
          </cell>
          <cell r="C1731">
            <v>5</v>
          </cell>
          <cell r="D1731">
            <v>80</v>
          </cell>
          <cell r="E1731">
            <v>12</v>
          </cell>
          <cell r="F1731">
            <v>7</v>
          </cell>
          <cell r="G1731">
            <v>0</v>
          </cell>
          <cell r="H1731">
            <v>11</v>
          </cell>
          <cell r="I1731">
            <v>3</v>
          </cell>
          <cell r="J1731">
            <v>1</v>
          </cell>
          <cell r="K1731">
            <v>1</v>
          </cell>
          <cell r="L1731">
            <v>2</v>
          </cell>
          <cell r="M1731" t="str">
            <v>&gt;&gt;</v>
          </cell>
          <cell r="N1731" t="str">
            <v>Md Siyam Islam</v>
          </cell>
          <cell r="O1731" t="str">
            <v>FRS-3</v>
          </cell>
          <cell r="P1731" t="str">
            <v>Lion King</v>
          </cell>
          <cell r="Q1731">
            <v>1</v>
          </cell>
          <cell r="R1731">
            <v>291</v>
          </cell>
          <cell r="T1731" t="str">
            <v>CHAMP</v>
          </cell>
          <cell r="U1731">
            <v>45925</v>
          </cell>
        </row>
        <row r="1732">
          <cell r="B1732" t="str">
            <v>SA Shanto</v>
          </cell>
          <cell r="C1732">
            <v>4</v>
          </cell>
          <cell r="D1732">
            <v>37</v>
          </cell>
          <cell r="E1732">
            <v>7</v>
          </cell>
          <cell r="F1732">
            <v>5</v>
          </cell>
          <cell r="G1732">
            <v>1</v>
          </cell>
          <cell r="H1732">
            <v>4</v>
          </cell>
          <cell r="I1732">
            <v>2</v>
          </cell>
          <cell r="J1732">
            <v>1</v>
          </cell>
          <cell r="K1732">
            <v>1</v>
          </cell>
          <cell r="L1732">
            <v>0</v>
          </cell>
          <cell r="M1732" t="str">
            <v>&gt;&gt;</v>
          </cell>
          <cell r="N1732" t="str">
            <v>Sayed Anowar Shanto</v>
          </cell>
          <cell r="O1732" t="str">
            <v>FRS-3</v>
          </cell>
          <cell r="P1732" t="str">
            <v>Lion King</v>
          </cell>
          <cell r="Q1732">
            <v>1</v>
          </cell>
          <cell r="R1732">
            <v>291</v>
          </cell>
          <cell r="T1732" t="str">
            <v>CHAMP</v>
          </cell>
          <cell r="U1732">
            <v>45925</v>
          </cell>
        </row>
        <row r="1733">
          <cell r="B1733" t="str">
            <v>Joy</v>
          </cell>
          <cell r="C1733">
            <v>5</v>
          </cell>
          <cell r="D1733">
            <v>189</v>
          </cell>
          <cell r="E1733">
            <v>4</v>
          </cell>
          <cell r="F1733">
            <v>7</v>
          </cell>
          <cell r="G1733">
            <v>2</v>
          </cell>
          <cell r="H1733">
            <v>16</v>
          </cell>
          <cell r="I1733">
            <v>13</v>
          </cell>
          <cell r="J1733">
            <v>0</v>
          </cell>
          <cell r="K1733">
            <v>1</v>
          </cell>
          <cell r="L1733">
            <v>2</v>
          </cell>
          <cell r="M1733" t="str">
            <v>&gt;&gt;</v>
          </cell>
          <cell r="N1733" t="str">
            <v>Mehedi Hasan Joy</v>
          </cell>
          <cell r="O1733" t="str">
            <v>FRS-3</v>
          </cell>
          <cell r="P1733" t="str">
            <v>Lion King</v>
          </cell>
          <cell r="Q1733">
            <v>1</v>
          </cell>
          <cell r="R1733">
            <v>291</v>
          </cell>
          <cell r="S1733" t="str">
            <v>MOT</v>
          </cell>
          <cell r="T1733" t="str">
            <v>CHAMP</v>
          </cell>
          <cell r="U1733">
            <v>45925</v>
          </cell>
          <cell r="V1733">
            <v>1</v>
          </cell>
        </row>
        <row r="1734">
          <cell r="B1734" t="str">
            <v>Asif</v>
          </cell>
          <cell r="C1734">
            <v>5</v>
          </cell>
          <cell r="D1734">
            <v>74</v>
          </cell>
          <cell r="E1734">
            <v>6</v>
          </cell>
          <cell r="F1734">
            <v>7</v>
          </cell>
          <cell r="G1734">
            <v>0</v>
          </cell>
          <cell r="H1734">
            <v>8</v>
          </cell>
          <cell r="I1734">
            <v>6</v>
          </cell>
          <cell r="J1734">
            <v>0</v>
          </cell>
          <cell r="K1734">
            <v>2</v>
          </cell>
          <cell r="L1734">
            <v>0</v>
          </cell>
          <cell r="M1734" t="str">
            <v>&gt;&gt;</v>
          </cell>
          <cell r="N1734" t="str">
            <v>Asif Iqbal Khan</v>
          </cell>
          <cell r="O1734" t="str">
            <v>FRS-3</v>
          </cell>
          <cell r="P1734" t="str">
            <v>Frozen Wolves</v>
          </cell>
          <cell r="Q1734">
            <v>1</v>
          </cell>
          <cell r="R1734">
            <v>292</v>
          </cell>
          <cell r="T1734" t="str">
            <v>RU</v>
          </cell>
          <cell r="U1734">
            <v>45925</v>
          </cell>
        </row>
        <row r="1735">
          <cell r="B1735" t="str">
            <v>Shovon</v>
          </cell>
          <cell r="C1735">
            <v>5</v>
          </cell>
          <cell r="D1735">
            <v>52</v>
          </cell>
          <cell r="E1735">
            <v>12</v>
          </cell>
          <cell r="F1735">
            <v>10</v>
          </cell>
          <cell r="G1735">
            <v>0</v>
          </cell>
          <cell r="H1735">
            <v>3</v>
          </cell>
          <cell r="I1735">
            <v>3</v>
          </cell>
          <cell r="J1735">
            <v>1</v>
          </cell>
          <cell r="K1735">
            <v>0</v>
          </cell>
          <cell r="L1735">
            <v>1</v>
          </cell>
          <cell r="M1735" t="str">
            <v>&gt;&gt;</v>
          </cell>
          <cell r="N1735" t="str">
            <v>Shahriar Khan Shovon</v>
          </cell>
          <cell r="O1735" t="str">
            <v>FRS-3</v>
          </cell>
          <cell r="P1735" t="str">
            <v>Frozen Wolves</v>
          </cell>
          <cell r="Q1735">
            <v>1</v>
          </cell>
          <cell r="R1735">
            <v>292</v>
          </cell>
          <cell r="T1735" t="str">
            <v>RU</v>
          </cell>
          <cell r="U1735">
            <v>45925</v>
          </cell>
        </row>
        <row r="1736">
          <cell r="B1736" t="str">
            <v>Tarek</v>
          </cell>
          <cell r="C1736">
            <v>3</v>
          </cell>
          <cell r="D1736">
            <v>0</v>
          </cell>
          <cell r="E1736">
            <v>1</v>
          </cell>
          <cell r="F1736">
            <v>2</v>
          </cell>
          <cell r="G1736">
            <v>0</v>
          </cell>
          <cell r="H1736">
            <v>0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 t="str">
            <v>&gt;&gt;</v>
          </cell>
          <cell r="N1736" t="str">
            <v>Prince Tarek</v>
          </cell>
          <cell r="O1736" t="str">
            <v>FRS-3</v>
          </cell>
          <cell r="P1736" t="str">
            <v>Frozen Wolves</v>
          </cell>
          <cell r="Q1736">
            <v>1</v>
          </cell>
          <cell r="R1736">
            <v>292</v>
          </cell>
          <cell r="T1736" t="str">
            <v>RU</v>
          </cell>
          <cell r="U1736">
            <v>45925</v>
          </cell>
        </row>
        <row r="1737">
          <cell r="B1737" t="str">
            <v>Tonmoy</v>
          </cell>
          <cell r="C1737">
            <v>5</v>
          </cell>
          <cell r="D1737">
            <v>183</v>
          </cell>
          <cell r="E1737">
            <v>6</v>
          </cell>
          <cell r="F1737">
            <v>10</v>
          </cell>
          <cell r="G1737">
            <v>2</v>
          </cell>
          <cell r="H1737">
            <v>17</v>
          </cell>
          <cell r="I1737">
            <v>11</v>
          </cell>
          <cell r="J1737">
            <v>1</v>
          </cell>
          <cell r="K1737">
            <v>1</v>
          </cell>
          <cell r="L1737">
            <v>1</v>
          </cell>
          <cell r="M1737" t="str">
            <v>&gt;&gt;</v>
          </cell>
          <cell r="N1737" t="str">
            <v>Asik Hassan Tonmoy</v>
          </cell>
          <cell r="O1737" t="str">
            <v>FRS-3</v>
          </cell>
          <cell r="P1737" t="str">
            <v>Frozen Wolves</v>
          </cell>
          <cell r="Q1737">
            <v>1</v>
          </cell>
          <cell r="R1737">
            <v>292</v>
          </cell>
          <cell r="S1737" t="str">
            <v>CPOT</v>
          </cell>
          <cell r="T1737" t="str">
            <v>RU</v>
          </cell>
          <cell r="U1737">
            <v>45925</v>
          </cell>
        </row>
        <row r="1738">
          <cell r="B1738" t="str">
            <v>Arif</v>
          </cell>
          <cell r="C1738">
            <v>5</v>
          </cell>
          <cell r="D1738">
            <v>66</v>
          </cell>
          <cell r="E1738">
            <v>5</v>
          </cell>
          <cell r="F1738">
            <v>8</v>
          </cell>
          <cell r="G1738">
            <v>1</v>
          </cell>
          <cell r="H1738">
            <v>4</v>
          </cell>
          <cell r="I1738">
            <v>3</v>
          </cell>
          <cell r="J1738">
            <v>0</v>
          </cell>
          <cell r="K1738">
            <v>1</v>
          </cell>
          <cell r="M1738" t="str">
            <v>&gt;&gt;</v>
          </cell>
          <cell r="N1738" t="str">
            <v>Arif Ziad</v>
          </cell>
          <cell r="O1738" t="str">
            <v>CNHM-4</v>
          </cell>
          <cell r="P1738" t="str">
            <v>Silent Thunderlords</v>
          </cell>
          <cell r="Q1738">
            <v>1</v>
          </cell>
          <cell r="R1738">
            <v>293</v>
          </cell>
          <cell r="U1738">
            <v>46023</v>
          </cell>
        </row>
        <row r="1739">
          <cell r="B1739" t="str">
            <v>Hridoy</v>
          </cell>
          <cell r="C1739">
            <v>4</v>
          </cell>
          <cell r="D1739">
            <v>43</v>
          </cell>
          <cell r="E1739">
            <v>5</v>
          </cell>
          <cell r="F1739">
            <v>3</v>
          </cell>
          <cell r="G1739">
            <v>0</v>
          </cell>
          <cell r="H1739">
            <v>2</v>
          </cell>
          <cell r="I1739">
            <v>4</v>
          </cell>
          <cell r="J1739">
            <v>0</v>
          </cell>
          <cell r="M1739" t="str">
            <v>&gt;&gt;</v>
          </cell>
          <cell r="N1739" t="str">
            <v>Kamrul Hasan Hridoy</v>
          </cell>
          <cell r="O1739" t="str">
            <v>CNHM-4</v>
          </cell>
          <cell r="P1739" t="str">
            <v>Silent Thunderlords</v>
          </cell>
          <cell r="Q1739">
            <v>1</v>
          </cell>
          <cell r="R1739">
            <v>293</v>
          </cell>
          <cell r="U1739">
            <v>46023</v>
          </cell>
        </row>
        <row r="1740">
          <cell r="B1740" t="str">
            <v>Shohag</v>
          </cell>
          <cell r="C1740">
            <v>3</v>
          </cell>
          <cell r="D1740">
            <v>6</v>
          </cell>
          <cell r="E1740">
            <v>3</v>
          </cell>
          <cell r="F1740">
            <v>2</v>
          </cell>
          <cell r="G1740">
            <v>0</v>
          </cell>
          <cell r="H1740">
            <v>1</v>
          </cell>
          <cell r="I1740">
            <v>0</v>
          </cell>
          <cell r="J1740">
            <v>0</v>
          </cell>
          <cell r="M1740" t="str">
            <v>&gt;&gt;</v>
          </cell>
          <cell r="N1740" t="str">
            <v>Hetlar Shohag</v>
          </cell>
          <cell r="O1740" t="str">
            <v>CNHM-4</v>
          </cell>
          <cell r="P1740" t="str">
            <v>Silent Thunderlords</v>
          </cell>
          <cell r="Q1740">
            <v>1</v>
          </cell>
          <cell r="R1740">
            <v>293</v>
          </cell>
          <cell r="U1740">
            <v>46023</v>
          </cell>
        </row>
        <row r="1741">
          <cell r="B1741" t="str">
            <v>Kamal</v>
          </cell>
          <cell r="C1741">
            <v>5</v>
          </cell>
          <cell r="D1741">
            <v>168</v>
          </cell>
          <cell r="E1741">
            <v>10</v>
          </cell>
          <cell r="F1741">
            <v>10</v>
          </cell>
          <cell r="G1741">
            <v>2</v>
          </cell>
          <cell r="H1741">
            <v>15</v>
          </cell>
          <cell r="I1741">
            <v>13</v>
          </cell>
          <cell r="J1741">
            <v>0</v>
          </cell>
          <cell r="K1741">
            <v>1</v>
          </cell>
          <cell r="L1741">
            <v>3</v>
          </cell>
          <cell r="M1741" t="str">
            <v>&gt;&gt;</v>
          </cell>
          <cell r="N1741" t="str">
            <v>MD Kamal Hossain Kamal</v>
          </cell>
          <cell r="O1741" t="str">
            <v>CNHM-4</v>
          </cell>
          <cell r="P1741" t="str">
            <v>Silent Thunderlords</v>
          </cell>
          <cell r="Q1741">
            <v>1</v>
          </cell>
          <cell r="R1741">
            <v>293</v>
          </cell>
          <cell r="S1741" t="str">
            <v>MOT</v>
          </cell>
          <cell r="U1741">
            <v>46023</v>
          </cell>
          <cell r="V1741">
            <v>1</v>
          </cell>
        </row>
        <row r="1742">
          <cell r="B1742" t="str">
            <v>Nur</v>
          </cell>
          <cell r="C1742">
            <v>5</v>
          </cell>
          <cell r="D1742">
            <v>53</v>
          </cell>
          <cell r="E1742">
            <v>9</v>
          </cell>
          <cell r="F1742">
            <v>9</v>
          </cell>
          <cell r="G1742">
            <v>0</v>
          </cell>
          <cell r="H1742">
            <v>4</v>
          </cell>
          <cell r="I1742">
            <v>2</v>
          </cell>
          <cell r="J1742">
            <v>0</v>
          </cell>
          <cell r="M1742" t="str">
            <v>&gt;&gt;</v>
          </cell>
          <cell r="N1742" t="str">
            <v>Nur Muhammad</v>
          </cell>
          <cell r="O1742" t="str">
            <v>CNHM-4</v>
          </cell>
          <cell r="P1742" t="str">
            <v>Silent Thunderlords</v>
          </cell>
          <cell r="Q1742">
            <v>1</v>
          </cell>
          <cell r="R1742">
            <v>293</v>
          </cell>
          <cell r="U1742">
            <v>46023</v>
          </cell>
        </row>
        <row r="1743">
          <cell r="B1743" t="str">
            <v>Tonmoy</v>
          </cell>
          <cell r="C1743">
            <v>6</v>
          </cell>
          <cell r="D1743">
            <v>85</v>
          </cell>
          <cell r="E1743">
            <v>9</v>
          </cell>
          <cell r="F1743">
            <v>11</v>
          </cell>
          <cell r="G1743">
            <v>1</v>
          </cell>
          <cell r="H1743">
            <v>9</v>
          </cell>
          <cell r="I1743">
            <v>5</v>
          </cell>
          <cell r="J1743">
            <v>0</v>
          </cell>
          <cell r="K1743">
            <v>1</v>
          </cell>
          <cell r="L1743">
            <v>0.5</v>
          </cell>
          <cell r="M1743" t="str">
            <v>&gt;&gt;</v>
          </cell>
          <cell r="N1743" t="str">
            <v>Asik Hassan Tonmoy</v>
          </cell>
          <cell r="O1743" t="str">
            <v>CNHM-4</v>
          </cell>
          <cell r="P1743" t="str">
            <v>Snow Leopards</v>
          </cell>
          <cell r="Q1743">
            <v>1</v>
          </cell>
          <cell r="R1743">
            <v>294</v>
          </cell>
          <cell r="T1743" t="str">
            <v>RU</v>
          </cell>
          <cell r="U1743">
            <v>46023</v>
          </cell>
        </row>
        <row r="1744">
          <cell r="B1744" t="str">
            <v>Washim</v>
          </cell>
          <cell r="C1744">
            <v>6</v>
          </cell>
          <cell r="D1744">
            <v>148</v>
          </cell>
          <cell r="E1744">
            <v>6</v>
          </cell>
          <cell r="F1744">
            <v>11</v>
          </cell>
          <cell r="G1744">
            <v>1</v>
          </cell>
          <cell r="H1744">
            <v>11</v>
          </cell>
          <cell r="I1744">
            <v>11</v>
          </cell>
          <cell r="J1744">
            <v>0</v>
          </cell>
          <cell r="K1744">
            <v>1</v>
          </cell>
          <cell r="L1744">
            <v>1</v>
          </cell>
          <cell r="M1744" t="str">
            <v>&gt;&gt;</v>
          </cell>
          <cell r="N1744" t="str">
            <v>Akram Husan (Washim)</v>
          </cell>
          <cell r="O1744" t="str">
            <v>CNHM-4</v>
          </cell>
          <cell r="P1744" t="str">
            <v>Snow Leopards</v>
          </cell>
          <cell r="Q1744">
            <v>1</v>
          </cell>
          <cell r="R1744">
            <v>294</v>
          </cell>
          <cell r="T1744" t="str">
            <v>RU</v>
          </cell>
          <cell r="U1744">
            <v>46023</v>
          </cell>
        </row>
        <row r="1745">
          <cell r="B1745" t="str">
            <v>Durjoy</v>
          </cell>
          <cell r="C1745">
            <v>6</v>
          </cell>
          <cell r="D1745">
            <v>53</v>
          </cell>
          <cell r="E1745">
            <v>8</v>
          </cell>
          <cell r="F1745">
            <v>5</v>
          </cell>
          <cell r="G1745">
            <v>0</v>
          </cell>
          <cell r="H1745">
            <v>2</v>
          </cell>
          <cell r="I1745">
            <v>3</v>
          </cell>
          <cell r="J1745">
            <v>0</v>
          </cell>
          <cell r="K1745">
            <v>1</v>
          </cell>
          <cell r="M1745" t="str">
            <v>&gt;&gt;</v>
          </cell>
          <cell r="N1745" t="str">
            <v>Naieem Islam Durjoy</v>
          </cell>
          <cell r="O1745" t="str">
            <v>CNHM-4</v>
          </cell>
          <cell r="P1745" t="str">
            <v>Snow Leopards</v>
          </cell>
          <cell r="Q1745">
            <v>1</v>
          </cell>
          <cell r="R1745">
            <v>294</v>
          </cell>
          <cell r="T1745" t="str">
            <v>RU</v>
          </cell>
          <cell r="U1745">
            <v>46023</v>
          </cell>
        </row>
        <row r="1746">
          <cell r="B1746" t="str">
            <v>Ridoy</v>
          </cell>
          <cell r="C1746">
            <v>6</v>
          </cell>
          <cell r="D1746">
            <v>75</v>
          </cell>
          <cell r="E1746">
            <v>7</v>
          </cell>
          <cell r="F1746">
            <v>5</v>
          </cell>
          <cell r="G1746">
            <v>1</v>
          </cell>
          <cell r="H1746">
            <v>6</v>
          </cell>
          <cell r="I1746">
            <v>5</v>
          </cell>
          <cell r="J1746">
            <v>1</v>
          </cell>
          <cell r="K1746">
            <v>1</v>
          </cell>
          <cell r="M1746" t="str">
            <v>&gt;&gt;</v>
          </cell>
          <cell r="N1746" t="str">
            <v>Md Ridoy AR</v>
          </cell>
          <cell r="O1746" t="str">
            <v>CNHM-4</v>
          </cell>
          <cell r="P1746" t="str">
            <v>Snow Leopards</v>
          </cell>
          <cell r="Q1746">
            <v>1</v>
          </cell>
          <cell r="R1746">
            <v>294</v>
          </cell>
          <cell r="T1746" t="str">
            <v>RU</v>
          </cell>
          <cell r="U1746">
            <v>46023</v>
          </cell>
        </row>
        <row r="1747">
          <cell r="B1747" t="str">
            <v>Sadrul</v>
          </cell>
          <cell r="C1747">
            <v>6</v>
          </cell>
          <cell r="D1747">
            <v>70</v>
          </cell>
          <cell r="E1747">
            <v>7</v>
          </cell>
          <cell r="F1747">
            <v>7</v>
          </cell>
          <cell r="G1747">
            <v>0</v>
          </cell>
          <cell r="H1747">
            <v>6</v>
          </cell>
          <cell r="I1747">
            <v>4</v>
          </cell>
          <cell r="J1747">
            <v>0</v>
          </cell>
          <cell r="K1747">
            <v>1</v>
          </cell>
          <cell r="M1747" t="str">
            <v>&gt;&gt;</v>
          </cell>
          <cell r="N1747" t="str">
            <v>Sadrul Anam</v>
          </cell>
          <cell r="O1747" t="str">
            <v>CNHM-4</v>
          </cell>
          <cell r="P1747" t="str">
            <v>Snow Leopards</v>
          </cell>
          <cell r="Q1747">
            <v>1</v>
          </cell>
          <cell r="R1747">
            <v>294</v>
          </cell>
          <cell r="T1747" t="str">
            <v>RU</v>
          </cell>
          <cell r="U1747">
            <v>46023</v>
          </cell>
        </row>
        <row r="1748">
          <cell r="B1748" t="str">
            <v>Akash</v>
          </cell>
          <cell r="C1748">
            <v>4</v>
          </cell>
          <cell r="D1748">
            <v>111</v>
          </cell>
          <cell r="E1748">
            <v>7</v>
          </cell>
          <cell r="F1748">
            <v>6</v>
          </cell>
          <cell r="G1748">
            <v>0</v>
          </cell>
          <cell r="H1748">
            <v>9</v>
          </cell>
          <cell r="I1748">
            <v>9</v>
          </cell>
          <cell r="J1748">
            <v>0</v>
          </cell>
          <cell r="K1748">
            <v>1</v>
          </cell>
          <cell r="L1748">
            <v>1</v>
          </cell>
          <cell r="M1748" t="str">
            <v>&gt;&gt;</v>
          </cell>
          <cell r="N1748" t="str">
            <v>Mahbubur Rahman Akash</v>
          </cell>
          <cell r="O1748" t="str">
            <v>CNHM-4</v>
          </cell>
          <cell r="P1748" t="str">
            <v>The Gunners</v>
          </cell>
          <cell r="Q1748">
            <v>1</v>
          </cell>
          <cell r="R1748">
            <v>295</v>
          </cell>
          <cell r="U1748">
            <v>46023</v>
          </cell>
        </row>
        <row r="1749">
          <cell r="B1749" t="str">
            <v>Sajid</v>
          </cell>
          <cell r="C1749">
            <v>3</v>
          </cell>
          <cell r="D1749">
            <v>41</v>
          </cell>
          <cell r="E1749">
            <v>6</v>
          </cell>
          <cell r="F1749">
            <v>4</v>
          </cell>
          <cell r="G1749">
            <v>0</v>
          </cell>
          <cell r="H1749">
            <v>3</v>
          </cell>
          <cell r="I1749">
            <v>4</v>
          </cell>
          <cell r="J1749">
            <v>0</v>
          </cell>
          <cell r="M1749" t="str">
            <v>&gt;&gt;</v>
          </cell>
          <cell r="N1749" t="str">
            <v>Ahmad Sajid Abdullah</v>
          </cell>
          <cell r="O1749" t="str">
            <v>CNHM-4</v>
          </cell>
          <cell r="P1749" t="str">
            <v>The Gunners</v>
          </cell>
          <cell r="Q1749">
            <v>1</v>
          </cell>
          <cell r="R1749">
            <v>295</v>
          </cell>
          <cell r="U1749">
            <v>46023</v>
          </cell>
        </row>
        <row r="1750">
          <cell r="B1750" t="str">
            <v>Rinkon</v>
          </cell>
          <cell r="C1750">
            <v>3</v>
          </cell>
          <cell r="D1750">
            <v>36</v>
          </cell>
          <cell r="E1750">
            <v>1</v>
          </cell>
          <cell r="F1750">
            <v>3</v>
          </cell>
          <cell r="G1750">
            <v>1</v>
          </cell>
          <cell r="H1750">
            <v>3</v>
          </cell>
          <cell r="I1750">
            <v>2</v>
          </cell>
          <cell r="J1750">
            <v>0</v>
          </cell>
          <cell r="L1750">
            <v>1</v>
          </cell>
          <cell r="M1750" t="str">
            <v>&gt;&gt;</v>
          </cell>
          <cell r="N1750" t="str">
            <v>Rinkon Khan</v>
          </cell>
          <cell r="O1750" t="str">
            <v>CNHM-4</v>
          </cell>
          <cell r="P1750" t="str">
            <v>The Gunners</v>
          </cell>
          <cell r="Q1750">
            <v>1</v>
          </cell>
          <cell r="R1750">
            <v>295</v>
          </cell>
          <cell r="U1750">
            <v>46023</v>
          </cell>
        </row>
        <row r="1751">
          <cell r="B1751" t="str">
            <v>Mashuk</v>
          </cell>
          <cell r="C1751">
            <v>3</v>
          </cell>
          <cell r="D1751">
            <v>8</v>
          </cell>
          <cell r="E1751">
            <v>3</v>
          </cell>
          <cell r="F1751">
            <v>3</v>
          </cell>
          <cell r="G1751">
            <v>0</v>
          </cell>
          <cell r="H1751">
            <v>1</v>
          </cell>
          <cell r="I1751">
            <v>0</v>
          </cell>
          <cell r="J1751">
            <v>0</v>
          </cell>
          <cell r="L1751">
            <v>1</v>
          </cell>
          <cell r="M1751" t="str">
            <v>&gt;&gt;</v>
          </cell>
          <cell r="N1751" t="str">
            <v>Mustofa Muddassir Mahmud Mashuk</v>
          </cell>
          <cell r="O1751" t="str">
            <v>CNHM-4</v>
          </cell>
          <cell r="P1751" t="str">
            <v>The Gunners</v>
          </cell>
          <cell r="Q1751">
            <v>1</v>
          </cell>
          <cell r="R1751">
            <v>295</v>
          </cell>
          <cell r="U1751">
            <v>46023</v>
          </cell>
        </row>
        <row r="1752">
          <cell r="B1752" t="str">
            <v>Rakib</v>
          </cell>
          <cell r="C1752">
            <v>4</v>
          </cell>
          <cell r="D1752">
            <v>56</v>
          </cell>
          <cell r="E1752">
            <v>4</v>
          </cell>
          <cell r="F1752">
            <v>5</v>
          </cell>
          <cell r="G1752">
            <v>1</v>
          </cell>
          <cell r="H1752">
            <v>1</v>
          </cell>
          <cell r="I1752">
            <v>4</v>
          </cell>
          <cell r="J1752">
            <v>0</v>
          </cell>
          <cell r="M1752" t="str">
            <v>&gt;&gt;</v>
          </cell>
          <cell r="N1752" t="str">
            <v>Rakib Hasan</v>
          </cell>
          <cell r="O1752" t="str">
            <v>CNHM-4</v>
          </cell>
          <cell r="P1752" t="str">
            <v>The Gunners</v>
          </cell>
          <cell r="Q1752">
            <v>1</v>
          </cell>
          <cell r="R1752">
            <v>295</v>
          </cell>
          <cell r="U1752">
            <v>46023</v>
          </cell>
        </row>
        <row r="1753">
          <cell r="B1753" t="str">
            <v>Al Mamun</v>
          </cell>
          <cell r="C1753">
            <v>4</v>
          </cell>
          <cell r="D1753">
            <v>57</v>
          </cell>
          <cell r="E1753">
            <v>2</v>
          </cell>
          <cell r="F1753">
            <v>5</v>
          </cell>
          <cell r="G1753">
            <v>0</v>
          </cell>
          <cell r="H1753">
            <v>7</v>
          </cell>
          <cell r="I1753">
            <v>3</v>
          </cell>
          <cell r="J1753">
            <v>0</v>
          </cell>
          <cell r="M1753" t="str">
            <v>&gt;&gt;</v>
          </cell>
          <cell r="N1753" t="str">
            <v>Mohammed Al Mamun</v>
          </cell>
          <cell r="O1753" t="str">
            <v>CNHM-4</v>
          </cell>
          <cell r="P1753" t="str">
            <v>The Gunners</v>
          </cell>
          <cell r="Q1753">
            <v>1</v>
          </cell>
          <cell r="R1753">
            <v>295</v>
          </cell>
          <cell r="U1753">
            <v>46023</v>
          </cell>
        </row>
        <row r="1754">
          <cell r="B1754" t="str">
            <v>Zaheed</v>
          </cell>
          <cell r="C1754">
            <v>4</v>
          </cell>
          <cell r="D1754">
            <v>55</v>
          </cell>
          <cell r="E1754">
            <v>5</v>
          </cell>
          <cell r="F1754">
            <v>4</v>
          </cell>
          <cell r="G1754">
            <v>0</v>
          </cell>
          <cell r="H1754">
            <v>4</v>
          </cell>
          <cell r="I1754">
            <v>3</v>
          </cell>
          <cell r="J1754">
            <v>0</v>
          </cell>
          <cell r="L1754">
            <v>1</v>
          </cell>
          <cell r="M1754" t="str">
            <v>&gt;&gt;</v>
          </cell>
          <cell r="N1754" t="str">
            <v>Zaheed Hasan</v>
          </cell>
          <cell r="O1754" t="str">
            <v>CNHM-4</v>
          </cell>
          <cell r="P1754" t="str">
            <v>Thunder Titans</v>
          </cell>
          <cell r="Q1754">
            <v>1</v>
          </cell>
          <cell r="R1754">
            <v>296</v>
          </cell>
          <cell r="U1754">
            <v>46023</v>
          </cell>
        </row>
        <row r="1755">
          <cell r="B1755" t="str">
            <v>Sahed</v>
          </cell>
          <cell r="C1755">
            <v>4</v>
          </cell>
          <cell r="D1755">
            <v>34</v>
          </cell>
          <cell r="E1755">
            <v>3</v>
          </cell>
          <cell r="F1755">
            <v>3</v>
          </cell>
          <cell r="G1755">
            <v>0</v>
          </cell>
          <cell r="H1755">
            <v>2</v>
          </cell>
          <cell r="I1755">
            <v>3</v>
          </cell>
          <cell r="J1755">
            <v>0</v>
          </cell>
          <cell r="M1755" t="str">
            <v>&gt;&gt;</v>
          </cell>
          <cell r="N1755" t="str">
            <v>Sahed Hossain Masum</v>
          </cell>
          <cell r="O1755" t="str">
            <v>CNHM-4</v>
          </cell>
          <cell r="P1755" t="str">
            <v>Thunder Titans</v>
          </cell>
          <cell r="Q1755">
            <v>1</v>
          </cell>
          <cell r="R1755">
            <v>296</v>
          </cell>
          <cell r="U1755">
            <v>46023</v>
          </cell>
        </row>
        <row r="1756">
          <cell r="B1756" t="str">
            <v>Mijan</v>
          </cell>
          <cell r="C1756">
            <v>4</v>
          </cell>
          <cell r="D1756">
            <v>29</v>
          </cell>
          <cell r="E1756">
            <v>5</v>
          </cell>
          <cell r="F1756">
            <v>5</v>
          </cell>
          <cell r="G1756">
            <v>0</v>
          </cell>
          <cell r="H1756">
            <v>1</v>
          </cell>
          <cell r="I1756">
            <v>2</v>
          </cell>
          <cell r="J1756">
            <v>0</v>
          </cell>
          <cell r="M1756" t="str">
            <v>&gt;&gt;</v>
          </cell>
          <cell r="N1756" t="str">
            <v>Noushed Mijan</v>
          </cell>
          <cell r="O1756" t="str">
            <v>CNHM-4</v>
          </cell>
          <cell r="P1756" t="str">
            <v>Thunder Titans</v>
          </cell>
          <cell r="Q1756">
            <v>1</v>
          </cell>
          <cell r="R1756">
            <v>296</v>
          </cell>
          <cell r="U1756">
            <v>46023</v>
          </cell>
        </row>
        <row r="1757">
          <cell r="B1757" t="str">
            <v>Jumon</v>
          </cell>
          <cell r="C1757">
            <v>4</v>
          </cell>
          <cell r="D1757">
            <v>107</v>
          </cell>
          <cell r="E1757">
            <v>3</v>
          </cell>
          <cell r="F1757">
            <v>8</v>
          </cell>
          <cell r="G1757">
            <v>1</v>
          </cell>
          <cell r="H1757">
            <v>10</v>
          </cell>
          <cell r="I1757">
            <v>4</v>
          </cell>
          <cell r="J1757">
            <v>0</v>
          </cell>
          <cell r="L1757">
            <v>1</v>
          </cell>
          <cell r="M1757" t="str">
            <v>&gt;&gt;</v>
          </cell>
          <cell r="N1757" t="str">
            <v>Foysal Ahmed Jumon</v>
          </cell>
          <cell r="O1757" t="str">
            <v>CNHM-4</v>
          </cell>
          <cell r="P1757" t="str">
            <v>Thunder Titans</v>
          </cell>
          <cell r="Q1757">
            <v>1</v>
          </cell>
          <cell r="R1757">
            <v>296</v>
          </cell>
          <cell r="U1757">
            <v>46023</v>
          </cell>
        </row>
        <row r="1758">
          <cell r="B1758" t="str">
            <v>Jabir</v>
          </cell>
          <cell r="C1758">
            <v>4</v>
          </cell>
          <cell r="D1758">
            <v>64</v>
          </cell>
          <cell r="E1758">
            <v>4</v>
          </cell>
          <cell r="F1758">
            <v>8</v>
          </cell>
          <cell r="G1758">
            <v>0</v>
          </cell>
          <cell r="H1758">
            <v>4</v>
          </cell>
          <cell r="I1758">
            <v>7</v>
          </cell>
          <cell r="J1758">
            <v>0</v>
          </cell>
          <cell r="K1758">
            <v>1</v>
          </cell>
          <cell r="M1758" t="str">
            <v>&gt;&gt;</v>
          </cell>
          <cell r="N1758" t="str">
            <v>Raian Jabir</v>
          </cell>
          <cell r="O1758" t="str">
            <v>CNHM-4</v>
          </cell>
          <cell r="P1758" t="str">
            <v>Thunder Titans</v>
          </cell>
          <cell r="Q1758">
            <v>1</v>
          </cell>
          <cell r="R1758">
            <v>296</v>
          </cell>
          <cell r="U1758">
            <v>46023</v>
          </cell>
        </row>
        <row r="1759">
          <cell r="B1759" t="str">
            <v>Sumon</v>
          </cell>
          <cell r="C1759">
            <v>4</v>
          </cell>
          <cell r="D1759">
            <v>59</v>
          </cell>
          <cell r="E1759">
            <v>9</v>
          </cell>
          <cell r="F1759">
            <v>6</v>
          </cell>
          <cell r="G1759">
            <v>0</v>
          </cell>
          <cell r="H1759">
            <v>5</v>
          </cell>
          <cell r="I1759">
            <v>5</v>
          </cell>
          <cell r="J1759">
            <v>1</v>
          </cell>
          <cell r="K1759">
            <v>1</v>
          </cell>
          <cell r="M1759" t="str">
            <v>&gt;&gt;</v>
          </cell>
          <cell r="N1759" t="str">
            <v>Sumon Ab</v>
          </cell>
          <cell r="O1759" t="str">
            <v>CNHM-4</v>
          </cell>
          <cell r="P1759" t="str">
            <v>Desert Tigers</v>
          </cell>
          <cell r="Q1759">
            <v>1</v>
          </cell>
          <cell r="R1759">
            <v>297</v>
          </cell>
          <cell r="U1759">
            <v>46023</v>
          </cell>
        </row>
        <row r="1760">
          <cell r="B1760" t="str">
            <v>Sakib Sr.</v>
          </cell>
          <cell r="C1760">
            <v>4</v>
          </cell>
          <cell r="D1760">
            <v>89</v>
          </cell>
          <cell r="E1760">
            <v>5</v>
          </cell>
          <cell r="F1760">
            <v>6</v>
          </cell>
          <cell r="G1760">
            <v>0</v>
          </cell>
          <cell r="H1760">
            <v>10</v>
          </cell>
          <cell r="I1760">
            <v>3</v>
          </cell>
          <cell r="J1760">
            <v>0</v>
          </cell>
          <cell r="L1760">
            <v>1</v>
          </cell>
          <cell r="M1760" t="str">
            <v>&gt;&gt;</v>
          </cell>
          <cell r="N1760" t="str">
            <v>Ahmad Sakib Abdullah</v>
          </cell>
          <cell r="O1760" t="str">
            <v>CNHM-4</v>
          </cell>
          <cell r="P1760" t="str">
            <v>Desert Tigers</v>
          </cell>
          <cell r="Q1760">
            <v>1</v>
          </cell>
          <cell r="R1760">
            <v>297</v>
          </cell>
          <cell r="U1760">
            <v>46023</v>
          </cell>
        </row>
        <row r="1761">
          <cell r="B1761" t="str">
            <v>Khokon</v>
          </cell>
          <cell r="C1761">
            <v>4</v>
          </cell>
          <cell r="D1761">
            <v>79</v>
          </cell>
          <cell r="E1761">
            <v>4</v>
          </cell>
          <cell r="F1761">
            <v>5</v>
          </cell>
          <cell r="G1761">
            <v>1</v>
          </cell>
          <cell r="H1761">
            <v>6</v>
          </cell>
          <cell r="I1761">
            <v>5</v>
          </cell>
          <cell r="J1761">
            <v>0</v>
          </cell>
          <cell r="K1761">
            <v>1</v>
          </cell>
          <cell r="M1761" t="str">
            <v>&gt;&gt;</v>
          </cell>
          <cell r="N1761" t="str">
            <v>Shahriar Khokon</v>
          </cell>
          <cell r="O1761" t="str">
            <v>CNHM-4</v>
          </cell>
          <cell r="P1761" t="str">
            <v>Desert Tigers</v>
          </cell>
          <cell r="Q1761">
            <v>1</v>
          </cell>
          <cell r="R1761">
            <v>297</v>
          </cell>
          <cell r="U1761">
            <v>46023</v>
          </cell>
        </row>
        <row r="1762">
          <cell r="B1762" t="str">
            <v>Shishir</v>
          </cell>
          <cell r="C1762">
            <v>3</v>
          </cell>
          <cell r="D1762">
            <v>15</v>
          </cell>
          <cell r="E1762">
            <v>3</v>
          </cell>
          <cell r="F1762">
            <v>4</v>
          </cell>
          <cell r="G1762">
            <v>0</v>
          </cell>
          <cell r="H1762">
            <v>0</v>
          </cell>
          <cell r="I1762">
            <v>2</v>
          </cell>
          <cell r="J1762">
            <v>0</v>
          </cell>
          <cell r="M1762" t="str">
            <v>&gt;&gt;</v>
          </cell>
          <cell r="N1762" t="str">
            <v>ShiShir Hossain</v>
          </cell>
          <cell r="O1762" t="str">
            <v>CNHM-4</v>
          </cell>
          <cell r="P1762" t="str">
            <v>Desert Tigers</v>
          </cell>
          <cell r="Q1762">
            <v>1</v>
          </cell>
          <cell r="R1762">
            <v>297</v>
          </cell>
          <cell r="U1762">
            <v>46023</v>
          </cell>
        </row>
        <row r="1763">
          <cell r="B1763" t="str">
            <v>Siyam Islam</v>
          </cell>
          <cell r="C1763">
            <v>4</v>
          </cell>
          <cell r="D1763">
            <v>49</v>
          </cell>
          <cell r="E1763">
            <v>2</v>
          </cell>
          <cell r="F1763">
            <v>5</v>
          </cell>
          <cell r="G1763">
            <v>1</v>
          </cell>
          <cell r="H1763">
            <v>4</v>
          </cell>
          <cell r="I1763">
            <v>3</v>
          </cell>
          <cell r="J1763">
            <v>0</v>
          </cell>
          <cell r="M1763" t="str">
            <v>&gt;&gt;</v>
          </cell>
          <cell r="N1763" t="str">
            <v>Md Siyam Islam</v>
          </cell>
          <cell r="O1763" t="str">
            <v>CNHM-4</v>
          </cell>
          <cell r="P1763" t="str">
            <v>Desert Tigers</v>
          </cell>
          <cell r="Q1763">
            <v>1</v>
          </cell>
          <cell r="R1763">
            <v>297</v>
          </cell>
          <cell r="U1763">
            <v>46023</v>
          </cell>
        </row>
        <row r="1764">
          <cell r="B1764" t="str">
            <v>Nahid</v>
          </cell>
          <cell r="C1764">
            <v>5</v>
          </cell>
          <cell r="D1764">
            <v>51</v>
          </cell>
          <cell r="E1764">
            <v>12</v>
          </cell>
          <cell r="F1764">
            <v>6</v>
          </cell>
          <cell r="G1764">
            <v>0</v>
          </cell>
          <cell r="H1764">
            <v>4</v>
          </cell>
          <cell r="I1764">
            <v>4</v>
          </cell>
          <cell r="J1764">
            <v>0</v>
          </cell>
          <cell r="L1764">
            <v>1.5</v>
          </cell>
          <cell r="M1764" t="str">
            <v>&gt;&gt;</v>
          </cell>
          <cell r="N1764" t="str">
            <v>Nahid Saifullah</v>
          </cell>
          <cell r="O1764" t="str">
            <v>CNHM-4</v>
          </cell>
          <cell r="P1764" t="str">
            <v>Royal Phoenix</v>
          </cell>
          <cell r="Q1764">
            <v>1</v>
          </cell>
          <cell r="R1764">
            <v>298</v>
          </cell>
          <cell r="U1764">
            <v>46023</v>
          </cell>
          <cell r="W1764">
            <v>1</v>
          </cell>
        </row>
        <row r="1765">
          <cell r="B1765" t="str">
            <v>Sabbir</v>
          </cell>
          <cell r="C1765">
            <v>5</v>
          </cell>
          <cell r="D1765">
            <v>21</v>
          </cell>
          <cell r="E1765">
            <v>5</v>
          </cell>
          <cell r="F1765">
            <v>4</v>
          </cell>
          <cell r="G1765">
            <v>1</v>
          </cell>
          <cell r="H1765">
            <v>0</v>
          </cell>
          <cell r="I1765">
            <v>1</v>
          </cell>
          <cell r="J1765">
            <v>0</v>
          </cell>
          <cell r="M1765" t="str">
            <v>&gt;&gt;</v>
          </cell>
          <cell r="N1765" t="str">
            <v>Sabbir Ahmed</v>
          </cell>
          <cell r="O1765" t="str">
            <v>CNHM-4</v>
          </cell>
          <cell r="P1765" t="str">
            <v>Royal Phoenix</v>
          </cell>
          <cell r="Q1765">
            <v>1</v>
          </cell>
          <cell r="R1765">
            <v>298</v>
          </cell>
          <cell r="U1765">
            <v>46023</v>
          </cell>
        </row>
        <row r="1766">
          <cell r="B1766" t="str">
            <v>Mahin</v>
          </cell>
          <cell r="C1766">
            <v>5</v>
          </cell>
          <cell r="D1766">
            <v>76</v>
          </cell>
          <cell r="E1766">
            <v>9</v>
          </cell>
          <cell r="F1766">
            <v>6</v>
          </cell>
          <cell r="G1766">
            <v>1</v>
          </cell>
          <cell r="H1766">
            <v>8</v>
          </cell>
          <cell r="I1766">
            <v>4</v>
          </cell>
          <cell r="J1766">
            <v>0</v>
          </cell>
          <cell r="K1766">
            <v>1</v>
          </cell>
          <cell r="M1766" t="str">
            <v>&gt;&gt;</v>
          </cell>
          <cell r="N1766" t="str">
            <v>Mahin Rahman</v>
          </cell>
          <cell r="O1766" t="str">
            <v>CNHM-4</v>
          </cell>
          <cell r="P1766" t="str">
            <v>Royal Phoenix</v>
          </cell>
          <cell r="Q1766">
            <v>1</v>
          </cell>
          <cell r="R1766">
            <v>298</v>
          </cell>
          <cell r="U1766">
            <v>46023</v>
          </cell>
        </row>
        <row r="1767">
          <cell r="B1767" t="str">
            <v>Tarek</v>
          </cell>
          <cell r="C1767">
            <v>2</v>
          </cell>
          <cell r="D1767">
            <v>42</v>
          </cell>
          <cell r="E1767">
            <v>1</v>
          </cell>
          <cell r="F1767">
            <v>2</v>
          </cell>
          <cell r="G1767">
            <v>1</v>
          </cell>
          <cell r="H1767">
            <v>2</v>
          </cell>
          <cell r="I1767">
            <v>4</v>
          </cell>
          <cell r="J1767">
            <v>0</v>
          </cell>
          <cell r="K1767">
            <v>1</v>
          </cell>
          <cell r="M1767" t="str">
            <v>&gt;&gt;</v>
          </cell>
          <cell r="N1767" t="str">
            <v>Prince Tarek</v>
          </cell>
          <cell r="O1767" t="str">
            <v>CNHM-4</v>
          </cell>
          <cell r="P1767" t="str">
            <v>Royal Phoenix</v>
          </cell>
          <cell r="Q1767">
            <v>1</v>
          </cell>
          <cell r="R1767">
            <v>298</v>
          </cell>
          <cell r="U1767">
            <v>46023</v>
          </cell>
        </row>
        <row r="1768">
          <cell r="B1768" t="str">
            <v>Asif</v>
          </cell>
          <cell r="C1768">
            <v>5</v>
          </cell>
          <cell r="D1768">
            <v>105</v>
          </cell>
          <cell r="E1768">
            <v>7</v>
          </cell>
          <cell r="F1768">
            <v>9</v>
          </cell>
          <cell r="G1768">
            <v>0</v>
          </cell>
          <cell r="H1768">
            <v>11</v>
          </cell>
          <cell r="I1768">
            <v>7</v>
          </cell>
          <cell r="J1768">
            <v>0</v>
          </cell>
          <cell r="L1768">
            <v>1</v>
          </cell>
          <cell r="M1768" t="str">
            <v>&gt;&gt;</v>
          </cell>
          <cell r="N1768" t="str">
            <v>Asif Iqbal Khan</v>
          </cell>
          <cell r="O1768" t="str">
            <v>CNHM-4</v>
          </cell>
          <cell r="P1768" t="str">
            <v>Royal Phoenix</v>
          </cell>
          <cell r="Q1768">
            <v>1</v>
          </cell>
          <cell r="R1768">
            <v>298</v>
          </cell>
          <cell r="U1768">
            <v>46023</v>
          </cell>
        </row>
        <row r="1769">
          <cell r="B1769" t="str">
            <v>Saaj</v>
          </cell>
          <cell r="C1769">
            <v>6</v>
          </cell>
          <cell r="D1769">
            <v>84</v>
          </cell>
          <cell r="E1769">
            <v>7</v>
          </cell>
          <cell r="F1769">
            <v>7</v>
          </cell>
          <cell r="G1769">
            <v>0</v>
          </cell>
          <cell r="H1769">
            <v>6</v>
          </cell>
          <cell r="I1769">
            <v>6</v>
          </cell>
          <cell r="J1769">
            <v>0</v>
          </cell>
          <cell r="L1769">
            <v>2</v>
          </cell>
          <cell r="M1769" t="str">
            <v>&gt;&gt;</v>
          </cell>
          <cell r="N1769" t="str">
            <v>AB Saaj</v>
          </cell>
          <cell r="O1769" t="str">
            <v>CNHM-4</v>
          </cell>
          <cell r="P1769" t="str">
            <v>Capricorn Chargers</v>
          </cell>
          <cell r="Q1769">
            <v>1</v>
          </cell>
          <cell r="R1769">
            <v>299</v>
          </cell>
          <cell r="T1769" t="str">
            <v>Champ</v>
          </cell>
          <cell r="U1769">
            <v>46023</v>
          </cell>
        </row>
        <row r="1770">
          <cell r="B1770" t="str">
            <v>Mullah</v>
          </cell>
          <cell r="C1770">
            <v>6</v>
          </cell>
          <cell r="D1770">
            <v>104</v>
          </cell>
          <cell r="E1770">
            <v>3</v>
          </cell>
          <cell r="F1770">
            <v>6</v>
          </cell>
          <cell r="G1770">
            <v>1</v>
          </cell>
          <cell r="H1770">
            <v>12</v>
          </cell>
          <cell r="I1770">
            <v>4</v>
          </cell>
          <cell r="J1770">
            <v>0</v>
          </cell>
          <cell r="K1770">
            <v>1</v>
          </cell>
          <cell r="L1770">
            <v>1</v>
          </cell>
          <cell r="M1770" t="str">
            <v>&gt;&gt;</v>
          </cell>
          <cell r="N1770" t="str">
            <v>Mohammad Haris Mullah</v>
          </cell>
          <cell r="O1770" t="str">
            <v>CNHM-4</v>
          </cell>
          <cell r="P1770" t="str">
            <v>Capricorn Chargers</v>
          </cell>
          <cell r="Q1770">
            <v>1</v>
          </cell>
          <cell r="R1770">
            <v>299</v>
          </cell>
          <cell r="T1770" t="str">
            <v>Champ</v>
          </cell>
          <cell r="U1770">
            <v>46023</v>
          </cell>
        </row>
        <row r="1771">
          <cell r="B1771" t="str">
            <v>Sagar</v>
          </cell>
          <cell r="C1771">
            <v>5</v>
          </cell>
          <cell r="D1771">
            <v>86</v>
          </cell>
          <cell r="E1771">
            <v>4</v>
          </cell>
          <cell r="F1771">
            <v>6</v>
          </cell>
          <cell r="G1771">
            <v>0</v>
          </cell>
          <cell r="H1771">
            <v>6</v>
          </cell>
          <cell r="I1771">
            <v>6</v>
          </cell>
          <cell r="J1771">
            <v>0</v>
          </cell>
          <cell r="K1771">
            <v>1</v>
          </cell>
          <cell r="M1771" t="str">
            <v>&gt;&gt;</v>
          </cell>
          <cell r="N1771" t="str">
            <v>Sajjadul Haque Sagar</v>
          </cell>
          <cell r="O1771" t="str">
            <v>CNHM-4</v>
          </cell>
          <cell r="P1771" t="str">
            <v>Capricorn Chargers</v>
          </cell>
          <cell r="Q1771">
            <v>1</v>
          </cell>
          <cell r="R1771">
            <v>299</v>
          </cell>
          <cell r="T1771" t="str">
            <v>Champ</v>
          </cell>
          <cell r="U1771">
            <v>46023</v>
          </cell>
        </row>
        <row r="1772">
          <cell r="B1772" t="str">
            <v>Joy</v>
          </cell>
          <cell r="C1772">
            <v>6</v>
          </cell>
          <cell r="D1772">
            <v>99</v>
          </cell>
          <cell r="E1772">
            <v>11</v>
          </cell>
          <cell r="F1772">
            <v>8</v>
          </cell>
          <cell r="G1772">
            <v>0</v>
          </cell>
          <cell r="H1772">
            <v>4</v>
          </cell>
          <cell r="I1772">
            <v>9</v>
          </cell>
          <cell r="J1772">
            <v>0</v>
          </cell>
          <cell r="K1772">
            <v>1.5</v>
          </cell>
          <cell r="L1772">
            <v>1</v>
          </cell>
          <cell r="M1772" t="str">
            <v>&gt;&gt;</v>
          </cell>
          <cell r="N1772" t="str">
            <v>Mehedi Hasan Joy</v>
          </cell>
          <cell r="O1772" t="str">
            <v>CNHM-4</v>
          </cell>
          <cell r="P1772" t="str">
            <v>Capricorn Chargers</v>
          </cell>
          <cell r="Q1772">
            <v>1</v>
          </cell>
          <cell r="R1772">
            <v>299</v>
          </cell>
          <cell r="S1772" t="str">
            <v>CPOT</v>
          </cell>
          <cell r="T1772" t="str">
            <v>Champ</v>
          </cell>
          <cell r="U1772">
            <v>46023</v>
          </cell>
        </row>
        <row r="1773">
          <cell r="B1773" t="str">
            <v>Rakibul</v>
          </cell>
          <cell r="C1773">
            <v>6</v>
          </cell>
          <cell r="D1773">
            <v>88</v>
          </cell>
          <cell r="E1773">
            <v>11</v>
          </cell>
          <cell r="F1773">
            <v>8</v>
          </cell>
          <cell r="G1773">
            <v>3</v>
          </cell>
          <cell r="H1773">
            <v>7</v>
          </cell>
          <cell r="I1773">
            <v>6</v>
          </cell>
          <cell r="J1773">
            <v>0</v>
          </cell>
          <cell r="K1773">
            <v>1.5</v>
          </cell>
          <cell r="L1773">
            <v>1</v>
          </cell>
          <cell r="M1773" t="str">
            <v>&gt;&gt;</v>
          </cell>
          <cell r="N1773" t="str">
            <v>Rakibul Islam</v>
          </cell>
          <cell r="O1773" t="str">
            <v>CNHM-4</v>
          </cell>
          <cell r="P1773" t="str">
            <v>Capricorn Chargers</v>
          </cell>
          <cell r="Q1773">
            <v>1</v>
          </cell>
          <cell r="R1773">
            <v>299</v>
          </cell>
          <cell r="T1773" t="str">
            <v>Champ</v>
          </cell>
          <cell r="U1773">
            <v>46023</v>
          </cell>
        </row>
        <row r="1774">
          <cell r="B1774" t="str">
            <v>Shovon</v>
          </cell>
          <cell r="C1774">
            <v>4</v>
          </cell>
          <cell r="D1774">
            <v>65</v>
          </cell>
          <cell r="E1774">
            <v>9</v>
          </cell>
          <cell r="F1774">
            <v>5</v>
          </cell>
          <cell r="G1774">
            <v>0</v>
          </cell>
          <cell r="H1774">
            <v>3</v>
          </cell>
          <cell r="I1774">
            <v>4</v>
          </cell>
          <cell r="J1774">
            <v>0</v>
          </cell>
          <cell r="K1774">
            <v>2</v>
          </cell>
          <cell r="M1774" t="str">
            <v>&gt;&gt;</v>
          </cell>
          <cell r="N1774" t="str">
            <v>Shahriar Khan Shovon</v>
          </cell>
          <cell r="O1774" t="str">
            <v>CNHM-4</v>
          </cell>
          <cell r="P1774" t="str">
            <v>Mighty Mavericks</v>
          </cell>
          <cell r="Q1774">
            <v>1</v>
          </cell>
          <cell r="R1774">
            <v>300</v>
          </cell>
          <cell r="U1774">
            <v>46023</v>
          </cell>
        </row>
        <row r="1775">
          <cell r="B1775" t="str">
            <v>Shakil</v>
          </cell>
          <cell r="C1775">
            <v>2</v>
          </cell>
          <cell r="D1775">
            <v>12</v>
          </cell>
          <cell r="E1775">
            <v>3</v>
          </cell>
          <cell r="F1775">
            <v>2</v>
          </cell>
          <cell r="G1775">
            <v>0</v>
          </cell>
          <cell r="H1775">
            <v>0</v>
          </cell>
          <cell r="I1775">
            <v>2</v>
          </cell>
          <cell r="J1775">
            <v>0</v>
          </cell>
          <cell r="M1775" t="str">
            <v>&gt;&gt;</v>
          </cell>
          <cell r="N1775" t="str">
            <v>M R Shakil</v>
          </cell>
          <cell r="O1775" t="str">
            <v>CNHM-4</v>
          </cell>
          <cell r="P1775" t="str">
            <v>Mighty Mavericks</v>
          </cell>
          <cell r="Q1775">
            <v>1</v>
          </cell>
          <cell r="R1775">
            <v>300</v>
          </cell>
          <cell r="U1775">
            <v>46023</v>
          </cell>
        </row>
        <row r="1776">
          <cell r="B1776" t="str">
            <v>Shafiqul</v>
          </cell>
          <cell r="C1776">
            <v>4</v>
          </cell>
          <cell r="D1776">
            <v>71</v>
          </cell>
          <cell r="E1776">
            <v>1</v>
          </cell>
          <cell r="F1776">
            <v>5</v>
          </cell>
          <cell r="G1776">
            <v>1</v>
          </cell>
          <cell r="H1776">
            <v>3</v>
          </cell>
          <cell r="I1776">
            <v>5</v>
          </cell>
          <cell r="J1776">
            <v>0</v>
          </cell>
          <cell r="M1776" t="str">
            <v>&gt;&gt;</v>
          </cell>
          <cell r="N1776" t="str">
            <v>Shafiqul Islam</v>
          </cell>
          <cell r="O1776" t="str">
            <v>CNHM-4</v>
          </cell>
          <cell r="P1776" t="str">
            <v>Mighty Mavericks</v>
          </cell>
          <cell r="Q1776">
            <v>1</v>
          </cell>
          <cell r="R1776">
            <v>300</v>
          </cell>
          <cell r="U1776">
            <v>46023</v>
          </cell>
        </row>
        <row r="1777">
          <cell r="B1777" t="str">
            <v>Rubel</v>
          </cell>
          <cell r="C1777">
            <v>4</v>
          </cell>
          <cell r="D1777">
            <v>51</v>
          </cell>
          <cell r="E1777">
            <v>3</v>
          </cell>
          <cell r="F1777">
            <v>6</v>
          </cell>
          <cell r="G1777">
            <v>0</v>
          </cell>
          <cell r="H1777">
            <v>6</v>
          </cell>
          <cell r="I1777">
            <v>1</v>
          </cell>
          <cell r="J1777">
            <v>0</v>
          </cell>
          <cell r="M1777" t="str">
            <v>&gt;&gt;</v>
          </cell>
          <cell r="N1777" t="str">
            <v>Anisur Islam (Rubel Hossain)</v>
          </cell>
          <cell r="O1777" t="str">
            <v>CNHM-4</v>
          </cell>
          <cell r="P1777" t="str">
            <v>Mighty Mavericks</v>
          </cell>
          <cell r="Q1777">
            <v>1</v>
          </cell>
          <cell r="R1777">
            <v>300</v>
          </cell>
          <cell r="U1777">
            <v>46023</v>
          </cell>
        </row>
        <row r="1778">
          <cell r="B1778" t="str">
            <v>Tofayel</v>
          </cell>
          <cell r="C1778">
            <v>4</v>
          </cell>
          <cell r="D1778">
            <v>100</v>
          </cell>
          <cell r="E1778">
            <v>9</v>
          </cell>
          <cell r="F1778">
            <v>5</v>
          </cell>
          <cell r="G1778">
            <v>1</v>
          </cell>
          <cell r="H1778">
            <v>10</v>
          </cell>
          <cell r="I1778">
            <v>7</v>
          </cell>
          <cell r="J1778">
            <v>0</v>
          </cell>
          <cell r="L1778">
            <v>2</v>
          </cell>
          <cell r="M1778" t="str">
            <v>&gt;&gt;</v>
          </cell>
          <cell r="N1778" t="str">
            <v>MD Tofayel Ahmed</v>
          </cell>
          <cell r="O1778" t="str">
            <v>CNHM-4</v>
          </cell>
          <cell r="P1778" t="str">
            <v>Mighty Mavericks</v>
          </cell>
          <cell r="Q1778">
            <v>1</v>
          </cell>
          <cell r="R1778">
            <v>300</v>
          </cell>
          <cell r="U1778">
            <v>46023</v>
          </cell>
        </row>
        <row r="1779">
          <cell r="B1779" t="str">
            <v>Tanvir</v>
          </cell>
          <cell r="C1779">
            <v>4</v>
          </cell>
          <cell r="D1779">
            <v>98</v>
          </cell>
          <cell r="E1779">
            <v>4</v>
          </cell>
          <cell r="F1779">
            <v>7</v>
          </cell>
          <cell r="G1779">
            <v>0</v>
          </cell>
          <cell r="H1779">
            <v>12</v>
          </cell>
          <cell r="I1779">
            <v>3</v>
          </cell>
          <cell r="J1779">
            <v>0</v>
          </cell>
          <cell r="L1779">
            <v>1</v>
          </cell>
          <cell r="M1779" t="str">
            <v>&gt;&gt;</v>
          </cell>
          <cell r="N1779" t="str">
            <v>Tanvir Shakib</v>
          </cell>
          <cell r="O1779" t="str">
            <v>CNHM-4</v>
          </cell>
          <cell r="P1779" t="str">
            <v>Furious Falcons</v>
          </cell>
          <cell r="Q1779">
            <v>1</v>
          </cell>
          <cell r="R1779">
            <v>301</v>
          </cell>
          <cell r="U1779">
            <v>46023</v>
          </cell>
        </row>
        <row r="1780">
          <cell r="B1780" t="str">
            <v>Jahin</v>
          </cell>
          <cell r="C1780">
            <v>4</v>
          </cell>
          <cell r="D1780">
            <v>99</v>
          </cell>
          <cell r="E1780">
            <v>1</v>
          </cell>
          <cell r="F1780">
            <v>7</v>
          </cell>
          <cell r="G1780">
            <v>0</v>
          </cell>
          <cell r="H1780">
            <v>7</v>
          </cell>
          <cell r="I1780">
            <v>6</v>
          </cell>
          <cell r="J1780">
            <v>0</v>
          </cell>
          <cell r="M1780" t="str">
            <v>&gt;&gt;</v>
          </cell>
          <cell r="N1780" t="str">
            <v>Jahin Shahriar Chowdhury</v>
          </cell>
          <cell r="O1780" t="str">
            <v>CNHM-4</v>
          </cell>
          <cell r="P1780" t="str">
            <v>Furious Falcons</v>
          </cell>
          <cell r="Q1780">
            <v>1</v>
          </cell>
          <cell r="R1780">
            <v>301</v>
          </cell>
          <cell r="U1780">
            <v>46023</v>
          </cell>
        </row>
        <row r="1781">
          <cell r="B1781" t="str">
            <v>Mridul</v>
          </cell>
          <cell r="C1781">
            <v>4</v>
          </cell>
          <cell r="D1781">
            <v>32</v>
          </cell>
          <cell r="E1781">
            <v>7</v>
          </cell>
          <cell r="F1781">
            <v>3</v>
          </cell>
          <cell r="G1781">
            <v>0</v>
          </cell>
          <cell r="H1781">
            <v>3</v>
          </cell>
          <cell r="I1781">
            <v>2</v>
          </cell>
          <cell r="J1781">
            <v>0</v>
          </cell>
          <cell r="M1781" t="str">
            <v>&gt;&gt;</v>
          </cell>
          <cell r="N1781" t="str">
            <v>Mridul Haque</v>
          </cell>
          <cell r="O1781" t="str">
            <v>CNHM-4</v>
          </cell>
          <cell r="P1781" t="str">
            <v>Furious Falcons</v>
          </cell>
          <cell r="Q1781">
            <v>1</v>
          </cell>
          <cell r="R1781">
            <v>301</v>
          </cell>
          <cell r="U1781">
            <v>46023</v>
          </cell>
        </row>
        <row r="1782">
          <cell r="B1782" t="str">
            <v>Munna</v>
          </cell>
          <cell r="C1782">
            <v>4</v>
          </cell>
          <cell r="D1782">
            <v>46</v>
          </cell>
          <cell r="E1782">
            <v>4</v>
          </cell>
          <cell r="F1782">
            <v>4</v>
          </cell>
          <cell r="G1782">
            <v>0</v>
          </cell>
          <cell r="H1782">
            <v>2</v>
          </cell>
          <cell r="I1782">
            <v>4</v>
          </cell>
          <cell r="J1782">
            <v>0</v>
          </cell>
          <cell r="K1782">
            <v>1</v>
          </cell>
          <cell r="M1782" t="str">
            <v>&gt;&gt;</v>
          </cell>
          <cell r="N1782" t="str">
            <v>Monowar Hossain Munna</v>
          </cell>
          <cell r="O1782" t="str">
            <v>CNHM-4</v>
          </cell>
          <cell r="P1782" t="str">
            <v>Furious Falcons</v>
          </cell>
          <cell r="Q1782">
            <v>1</v>
          </cell>
          <cell r="R1782">
            <v>301</v>
          </cell>
          <cell r="U1782">
            <v>46023</v>
          </cell>
        </row>
        <row r="1783">
          <cell r="B1783" t="str">
            <v>Ariful</v>
          </cell>
          <cell r="C1783">
            <v>4</v>
          </cell>
          <cell r="D1783">
            <v>16</v>
          </cell>
          <cell r="E1783">
            <v>7</v>
          </cell>
          <cell r="F1783">
            <v>5</v>
          </cell>
          <cell r="G1783">
            <v>1</v>
          </cell>
          <cell r="H1783">
            <v>1</v>
          </cell>
          <cell r="I1783">
            <v>1</v>
          </cell>
          <cell r="J1783">
            <v>1</v>
          </cell>
          <cell r="K1783">
            <v>1</v>
          </cell>
          <cell r="M1783" t="str">
            <v>&gt;&gt;</v>
          </cell>
          <cell r="N1783" t="str">
            <v>Ahammed Ariful Haq</v>
          </cell>
          <cell r="O1783" t="str">
            <v>CNHM-4</v>
          </cell>
          <cell r="P1783" t="str">
            <v>Furious Falcons</v>
          </cell>
          <cell r="Q1783">
            <v>1</v>
          </cell>
          <cell r="R1783">
            <v>301</v>
          </cell>
          <cell r="U1783">
            <v>46023</v>
          </cell>
        </row>
        <row r="1784">
          <cell r="B1784" t="str">
            <v>Paul</v>
          </cell>
          <cell r="C1784">
            <v>4</v>
          </cell>
          <cell r="D1784">
            <v>59</v>
          </cell>
          <cell r="E1784">
            <v>2</v>
          </cell>
          <cell r="F1784">
            <v>7</v>
          </cell>
          <cell r="G1784">
            <v>0</v>
          </cell>
          <cell r="H1784">
            <v>7</v>
          </cell>
          <cell r="I1784">
            <v>3</v>
          </cell>
          <cell r="J1784">
            <v>0</v>
          </cell>
          <cell r="M1784" t="str">
            <v>&gt;&gt;</v>
          </cell>
          <cell r="N1784" t="str">
            <v>Susmoy Paul</v>
          </cell>
          <cell r="O1784" t="str">
            <v>CNHM-4</v>
          </cell>
          <cell r="P1784" t="str">
            <v>Crown Warriors</v>
          </cell>
          <cell r="Q1784">
            <v>1</v>
          </cell>
          <cell r="R1784">
            <v>302</v>
          </cell>
          <cell r="U1784">
            <v>46023</v>
          </cell>
        </row>
        <row r="1785">
          <cell r="B1785" t="str">
            <v>Md. Asif</v>
          </cell>
          <cell r="C1785">
            <v>2</v>
          </cell>
          <cell r="D1785">
            <v>30</v>
          </cell>
          <cell r="E1785">
            <v>1</v>
          </cell>
          <cell r="F1785">
            <v>2</v>
          </cell>
          <cell r="G1785">
            <v>0</v>
          </cell>
          <cell r="H1785">
            <v>1</v>
          </cell>
          <cell r="I1785">
            <v>2</v>
          </cell>
          <cell r="J1785">
            <v>0</v>
          </cell>
          <cell r="M1785" t="str">
            <v>&gt;&gt;</v>
          </cell>
          <cell r="N1785" t="str">
            <v>Mohammad Asif</v>
          </cell>
          <cell r="O1785" t="str">
            <v>CNHM-4</v>
          </cell>
          <cell r="P1785" t="str">
            <v>Crown Warriors</v>
          </cell>
          <cell r="Q1785">
            <v>1</v>
          </cell>
          <cell r="R1785">
            <v>302</v>
          </cell>
          <cell r="U1785">
            <v>46023</v>
          </cell>
        </row>
        <row r="1786">
          <cell r="B1786" t="str">
            <v>Niamul</v>
          </cell>
          <cell r="C1786">
            <v>4</v>
          </cell>
          <cell r="D1786">
            <v>39</v>
          </cell>
          <cell r="E1786">
            <v>1</v>
          </cell>
          <cell r="F1786">
            <v>4</v>
          </cell>
          <cell r="G1786">
            <v>0</v>
          </cell>
          <cell r="H1786">
            <v>3</v>
          </cell>
          <cell r="I1786">
            <v>1</v>
          </cell>
          <cell r="J1786">
            <v>0</v>
          </cell>
          <cell r="M1786" t="str">
            <v>&gt;&gt;</v>
          </cell>
          <cell r="N1786" t="str">
            <v>Niamul Habib Setu</v>
          </cell>
          <cell r="O1786" t="str">
            <v>CNHM-4</v>
          </cell>
          <cell r="P1786" t="str">
            <v>Crown Warriors</v>
          </cell>
          <cell r="Q1786">
            <v>1</v>
          </cell>
          <cell r="R1786">
            <v>302</v>
          </cell>
          <cell r="U1786">
            <v>46023</v>
          </cell>
        </row>
        <row r="1787">
          <cell r="B1787" t="str">
            <v>Kamil</v>
          </cell>
          <cell r="C1787">
            <v>4</v>
          </cell>
          <cell r="D1787">
            <v>28</v>
          </cell>
          <cell r="E1787">
            <v>5</v>
          </cell>
          <cell r="F1787">
            <v>7</v>
          </cell>
          <cell r="G1787">
            <v>0</v>
          </cell>
          <cell r="H1787">
            <v>2</v>
          </cell>
          <cell r="I1787">
            <v>0</v>
          </cell>
          <cell r="J1787">
            <v>0</v>
          </cell>
          <cell r="M1787" t="str">
            <v>&gt;&gt;</v>
          </cell>
          <cell r="N1787" t="str">
            <v>Kamil Ahmed</v>
          </cell>
          <cell r="O1787" t="str">
            <v>CNHM-4</v>
          </cell>
          <cell r="P1787" t="str">
            <v>Crown Warriors</v>
          </cell>
          <cell r="Q1787">
            <v>1</v>
          </cell>
          <cell r="R1787">
            <v>302</v>
          </cell>
          <cell r="U1787">
            <v>46023</v>
          </cell>
        </row>
        <row r="1788">
          <cell r="B1788" t="str">
            <v>Rashed</v>
          </cell>
          <cell r="C1788">
            <v>4</v>
          </cell>
          <cell r="D1788">
            <v>113</v>
          </cell>
          <cell r="E1788">
            <v>5</v>
          </cell>
          <cell r="F1788">
            <v>8</v>
          </cell>
          <cell r="G1788">
            <v>1</v>
          </cell>
          <cell r="H1788">
            <v>12</v>
          </cell>
          <cell r="I1788">
            <v>9</v>
          </cell>
          <cell r="J1788">
            <v>0</v>
          </cell>
          <cell r="K1788">
            <v>1</v>
          </cell>
          <cell r="L1788">
            <v>2</v>
          </cell>
          <cell r="M1788" t="str">
            <v>&gt;&gt;</v>
          </cell>
          <cell r="N1788" t="str">
            <v>KM Rashedul Islam Rashed</v>
          </cell>
          <cell r="O1788" t="str">
            <v>CNHM-4</v>
          </cell>
          <cell r="P1788" t="str">
            <v>Crown Warriors</v>
          </cell>
          <cell r="Q1788">
            <v>1</v>
          </cell>
          <cell r="R1788">
            <v>302</v>
          </cell>
          <cell r="U1788">
            <v>46023</v>
          </cell>
        </row>
        <row r="1789">
          <cell r="M1789" t="str">
            <v>&gt;&gt;</v>
          </cell>
          <cell r="N1789" t="str">
            <v/>
          </cell>
          <cell r="Q1789" t="str">
            <v/>
          </cell>
        </row>
        <row r="1790">
          <cell r="M1790" t="str">
            <v>&gt;&gt;</v>
          </cell>
          <cell r="N1790" t="str">
            <v/>
          </cell>
          <cell r="Q1790" t="str">
            <v/>
          </cell>
        </row>
        <row r="1791">
          <cell r="M1791" t="str">
            <v>&gt;&gt;</v>
          </cell>
          <cell r="N1791" t="str">
            <v/>
          </cell>
          <cell r="Q1791" t="str">
            <v/>
          </cell>
        </row>
        <row r="1792">
          <cell r="M1792" t="str">
            <v>&gt;&gt;</v>
          </cell>
          <cell r="N1792" t="str">
            <v/>
          </cell>
          <cell r="Q1792" t="str">
            <v/>
          </cell>
        </row>
        <row r="1793">
          <cell r="M1793" t="str">
            <v>&gt;&gt;</v>
          </cell>
          <cell r="N1793" t="str">
            <v/>
          </cell>
          <cell r="Q1793" t="str">
            <v/>
          </cell>
        </row>
        <row r="1794">
          <cell r="M1794" t="str">
            <v>&gt;&gt;</v>
          </cell>
          <cell r="N1794" t="str">
            <v/>
          </cell>
          <cell r="Q1794" t="str">
            <v/>
          </cell>
        </row>
        <row r="1795">
          <cell r="M1795" t="str">
            <v>&gt;&gt;</v>
          </cell>
          <cell r="N1795" t="str">
            <v/>
          </cell>
          <cell r="Q1795" t="str">
            <v/>
          </cell>
        </row>
        <row r="1796">
          <cell r="M1796" t="str">
            <v>&gt;&gt;</v>
          </cell>
          <cell r="N1796" t="str">
            <v/>
          </cell>
          <cell r="Q1796" t="str">
            <v/>
          </cell>
        </row>
        <row r="1797">
          <cell r="M1797" t="str">
            <v>&gt;&gt;</v>
          </cell>
          <cell r="N1797" t="str">
            <v/>
          </cell>
          <cell r="Q1797" t="str">
            <v/>
          </cell>
        </row>
        <row r="1798">
          <cell r="M1798" t="str">
            <v>&gt;&gt;</v>
          </cell>
          <cell r="N1798" t="str">
            <v/>
          </cell>
          <cell r="Q1798" t="str">
            <v/>
          </cell>
        </row>
        <row r="1799">
          <cell r="M1799" t="str">
            <v>&gt;&gt;</v>
          </cell>
          <cell r="N1799" t="str">
            <v/>
          </cell>
          <cell r="Q1799" t="str">
            <v/>
          </cell>
        </row>
        <row r="1800">
          <cell r="M1800" t="str">
            <v>&gt;&gt;</v>
          </cell>
          <cell r="N1800" t="str">
            <v/>
          </cell>
          <cell r="Q1800" t="str">
            <v/>
          </cell>
        </row>
        <row r="1801">
          <cell r="M1801" t="str">
            <v>&gt;&gt;</v>
          </cell>
          <cell r="N1801" t="str">
            <v/>
          </cell>
          <cell r="Q1801" t="str">
            <v/>
          </cell>
        </row>
        <row r="1802">
          <cell r="M1802" t="str">
            <v>&gt;&gt;</v>
          </cell>
          <cell r="N1802" t="str">
            <v/>
          </cell>
          <cell r="Q1802" t="str">
            <v/>
          </cell>
        </row>
        <row r="1803">
          <cell r="M1803" t="str">
            <v>&gt;&gt;</v>
          </cell>
          <cell r="N1803" t="str">
            <v/>
          </cell>
          <cell r="Q1803" t="str">
            <v/>
          </cell>
        </row>
        <row r="1804">
          <cell r="M1804" t="str">
            <v>&gt;&gt;</v>
          </cell>
          <cell r="N1804" t="str">
            <v/>
          </cell>
          <cell r="Q1804" t="str">
            <v/>
          </cell>
        </row>
        <row r="1805">
          <cell r="M1805" t="str">
            <v>&gt;&gt;</v>
          </cell>
          <cell r="N1805" t="str">
            <v/>
          </cell>
          <cell r="Q1805" t="str">
            <v/>
          </cell>
        </row>
        <row r="1806">
          <cell r="M1806" t="str">
            <v>&gt;&gt;</v>
          </cell>
          <cell r="N1806" t="str">
            <v/>
          </cell>
          <cell r="Q1806" t="str">
            <v/>
          </cell>
        </row>
        <row r="1807">
          <cell r="M1807" t="str">
            <v>&gt;&gt;</v>
          </cell>
          <cell r="N1807" t="str">
            <v/>
          </cell>
          <cell r="Q1807" t="str">
            <v/>
          </cell>
        </row>
        <row r="1808">
          <cell r="M1808" t="str">
            <v>&gt;&gt;</v>
          </cell>
          <cell r="N1808" t="str">
            <v/>
          </cell>
          <cell r="Q1808" t="str">
            <v/>
          </cell>
        </row>
        <row r="1809">
          <cell r="M1809" t="str">
            <v>&gt;&gt;</v>
          </cell>
          <cell r="N1809" t="str">
            <v/>
          </cell>
          <cell r="Q1809" t="str">
            <v/>
          </cell>
        </row>
        <row r="1810">
          <cell r="M1810" t="str">
            <v>&gt;&gt;</v>
          </cell>
          <cell r="N1810" t="str">
            <v/>
          </cell>
          <cell r="Q1810" t="str">
            <v/>
          </cell>
        </row>
        <row r="1811">
          <cell r="M1811" t="str">
            <v>&gt;&gt;</v>
          </cell>
          <cell r="N1811" t="str">
            <v/>
          </cell>
          <cell r="Q1811" t="str">
            <v/>
          </cell>
        </row>
        <row r="1812">
          <cell r="M1812" t="str">
            <v>&gt;&gt;</v>
          </cell>
          <cell r="N1812" t="str">
            <v/>
          </cell>
          <cell r="Q1812" t="str">
            <v/>
          </cell>
        </row>
        <row r="1813">
          <cell r="M1813" t="str">
            <v>&gt;&gt;</v>
          </cell>
          <cell r="N1813" t="str">
            <v/>
          </cell>
          <cell r="Q1813" t="str">
            <v/>
          </cell>
        </row>
        <row r="1814">
          <cell r="Q1814" t="str">
            <v/>
          </cell>
        </row>
        <row r="1815">
          <cell r="Q1815" t="str">
            <v/>
          </cell>
        </row>
        <row r="1816">
          <cell r="Q1816" t="str">
            <v/>
          </cell>
        </row>
        <row r="1817">
          <cell r="Q1817" t="str">
            <v/>
          </cell>
        </row>
        <row r="1818">
          <cell r="Q1818" t="str">
            <v/>
          </cell>
        </row>
        <row r="1819">
          <cell r="Q1819" t="str">
            <v/>
          </cell>
        </row>
        <row r="1820">
          <cell r="Q1820" t="str">
            <v/>
          </cell>
        </row>
        <row r="1821">
          <cell r="Q1821" t="str">
            <v/>
          </cell>
        </row>
        <row r="1822">
          <cell r="Q1822" t="str">
            <v/>
          </cell>
        </row>
        <row r="1823">
          <cell r="Q1823" t="str">
            <v/>
          </cell>
        </row>
        <row r="1824">
          <cell r="Q1824" t="str">
            <v/>
          </cell>
        </row>
        <row r="1825">
          <cell r="Q1825" t="str">
            <v/>
          </cell>
        </row>
        <row r="1826">
          <cell r="Q1826" t="str">
            <v/>
          </cell>
        </row>
        <row r="1827">
          <cell r="Q1827" t="str">
            <v/>
          </cell>
        </row>
        <row r="1828">
          <cell r="Q1828" t="str">
            <v/>
          </cell>
        </row>
        <row r="1829">
          <cell r="Q1829" t="str">
            <v/>
          </cell>
        </row>
        <row r="1830">
          <cell r="Q1830" t="str">
            <v/>
          </cell>
        </row>
        <row r="1831">
          <cell r="Q1831" t="str">
            <v/>
          </cell>
        </row>
        <row r="1832">
          <cell r="Q1832" t="str">
            <v/>
          </cell>
        </row>
        <row r="1833">
          <cell r="Q1833" t="str">
            <v/>
          </cell>
        </row>
        <row r="1834">
          <cell r="Q1834" t="str">
            <v/>
          </cell>
        </row>
        <row r="1835">
          <cell r="Q1835" t="str">
            <v/>
          </cell>
        </row>
        <row r="1836">
          <cell r="Q1836" t="str">
            <v/>
          </cell>
        </row>
        <row r="1837">
          <cell r="Q1837" t="str">
            <v/>
          </cell>
        </row>
        <row r="1838">
          <cell r="Q1838" t="str">
            <v/>
          </cell>
        </row>
        <row r="1839">
          <cell r="Q1839" t="str">
            <v/>
          </cell>
        </row>
        <row r="1840">
          <cell r="Q1840" t="str">
            <v/>
          </cell>
        </row>
        <row r="1841">
          <cell r="Q1841" t="str">
            <v/>
          </cell>
        </row>
        <row r="1842">
          <cell r="Q1842" t="str">
            <v/>
          </cell>
        </row>
        <row r="1843">
          <cell r="Q1843" t="str">
            <v/>
          </cell>
        </row>
        <row r="1844">
          <cell r="Q1844" t="str">
            <v/>
          </cell>
        </row>
        <row r="1845">
          <cell r="Q1845" t="str">
            <v/>
          </cell>
        </row>
        <row r="1846">
          <cell r="Q1846" t="str">
            <v/>
          </cell>
        </row>
        <row r="1847">
          <cell r="Q1847" t="str">
            <v/>
          </cell>
        </row>
        <row r="1848">
          <cell r="Q1848" t="str">
            <v/>
          </cell>
        </row>
        <row r="1849">
          <cell r="Q1849" t="str">
            <v/>
          </cell>
        </row>
        <row r="1850">
          <cell r="Q1850" t="str">
            <v/>
          </cell>
        </row>
        <row r="1851">
          <cell r="Q1851" t="str">
            <v/>
          </cell>
        </row>
        <row r="1852">
          <cell r="Q1852" t="str">
            <v/>
          </cell>
        </row>
        <row r="1853">
          <cell r="Q1853" t="str">
            <v/>
          </cell>
        </row>
        <row r="1854">
          <cell r="Q1854" t="str">
            <v/>
          </cell>
        </row>
        <row r="1855">
          <cell r="Q1855" t="str">
            <v/>
          </cell>
        </row>
        <row r="1856">
          <cell r="Q1856" t="str">
            <v/>
          </cell>
        </row>
        <row r="1857">
          <cell r="Q1857" t="str">
            <v/>
          </cell>
        </row>
        <row r="1858">
          <cell r="Q1858" t="str">
            <v/>
          </cell>
        </row>
        <row r="1859">
          <cell r="Q1859" t="str">
            <v/>
          </cell>
        </row>
        <row r="1860">
          <cell r="Q1860" t="str">
            <v/>
          </cell>
        </row>
        <row r="1861">
          <cell r="Q1861" t="str">
            <v/>
          </cell>
        </row>
        <row r="1862">
          <cell r="Q1862" t="str">
            <v/>
          </cell>
        </row>
        <row r="1863">
          <cell r="Q1863" t="str">
            <v/>
          </cell>
        </row>
        <row r="1864">
          <cell r="Q1864" t="str">
            <v/>
          </cell>
        </row>
        <row r="1865">
          <cell r="Q1865" t="str">
            <v/>
          </cell>
        </row>
        <row r="1866">
          <cell r="Q1866" t="str">
            <v/>
          </cell>
        </row>
        <row r="1867">
          <cell r="Q1867" t="str">
            <v/>
          </cell>
        </row>
        <row r="1868">
          <cell r="Q1868" t="str">
            <v/>
          </cell>
        </row>
        <row r="1869">
          <cell r="Q1869" t="str">
            <v/>
          </cell>
        </row>
        <row r="1870">
          <cell r="Q1870" t="str">
            <v/>
          </cell>
        </row>
        <row r="1871">
          <cell r="Q1871" t="str">
            <v/>
          </cell>
        </row>
        <row r="1872">
          <cell r="Q1872" t="str">
            <v/>
          </cell>
        </row>
        <row r="1873">
          <cell r="Q1873" t="str">
            <v/>
          </cell>
        </row>
        <row r="1874">
          <cell r="Q1874" t="str">
            <v/>
          </cell>
        </row>
        <row r="1875">
          <cell r="Q1875" t="str">
            <v/>
          </cell>
        </row>
        <row r="1876">
          <cell r="Q1876" t="str">
            <v/>
          </cell>
        </row>
        <row r="1877">
          <cell r="Q1877" t="str">
            <v/>
          </cell>
        </row>
        <row r="1878">
          <cell r="Q1878" t="str">
            <v/>
          </cell>
        </row>
        <row r="1879">
          <cell r="Q1879" t="str">
            <v/>
          </cell>
        </row>
        <row r="1880">
          <cell r="Q1880" t="str">
            <v/>
          </cell>
        </row>
        <row r="1881">
          <cell r="Q1881" t="str">
            <v/>
          </cell>
        </row>
        <row r="1882">
          <cell r="Q1882" t="str">
            <v/>
          </cell>
        </row>
        <row r="1883">
          <cell r="Q1883" t="str">
            <v/>
          </cell>
        </row>
        <row r="1884">
          <cell r="Q1884" t="str">
            <v/>
          </cell>
        </row>
        <row r="1885">
          <cell r="Q1885" t="str">
            <v/>
          </cell>
        </row>
        <row r="1886">
          <cell r="Q1886" t="str">
            <v/>
          </cell>
        </row>
        <row r="1887">
          <cell r="Q1887" t="str">
            <v/>
          </cell>
        </row>
        <row r="1888">
          <cell r="Q1888" t="str">
            <v/>
          </cell>
        </row>
        <row r="1889">
          <cell r="Q1889" t="str">
            <v/>
          </cell>
        </row>
        <row r="1890">
          <cell r="Q1890" t="str">
            <v/>
          </cell>
        </row>
        <row r="1891">
          <cell r="Q1891" t="str">
            <v/>
          </cell>
        </row>
        <row r="1892">
          <cell r="Q1892" t="str">
            <v/>
          </cell>
        </row>
        <row r="1893">
          <cell r="Q1893" t="str">
            <v/>
          </cell>
        </row>
        <row r="1894">
          <cell r="Q1894" t="str">
            <v/>
          </cell>
        </row>
        <row r="1895">
          <cell r="Q1895" t="str">
            <v/>
          </cell>
        </row>
        <row r="1896">
          <cell r="Q1896" t="str">
            <v/>
          </cell>
        </row>
        <row r="1897">
          <cell r="Q1897" t="str">
            <v/>
          </cell>
        </row>
        <row r="1898">
          <cell r="Q1898" t="str">
            <v/>
          </cell>
        </row>
        <row r="1899">
          <cell r="Q1899" t="str">
            <v/>
          </cell>
        </row>
        <row r="1900">
          <cell r="Q1900" t="str">
            <v/>
          </cell>
        </row>
        <row r="1901">
          <cell r="Q1901" t="str">
            <v/>
          </cell>
        </row>
        <row r="1902">
          <cell r="Q1902" t="str">
            <v/>
          </cell>
        </row>
        <row r="1903">
          <cell r="Q1903" t="str">
            <v/>
          </cell>
        </row>
        <row r="1904">
          <cell r="Q1904" t="str">
            <v/>
          </cell>
        </row>
        <row r="1905">
          <cell r="Q1905" t="str">
            <v/>
          </cell>
        </row>
        <row r="1906">
          <cell r="Q1906" t="str">
            <v/>
          </cell>
        </row>
        <row r="1907">
          <cell r="Q1907" t="str">
            <v/>
          </cell>
        </row>
        <row r="1908">
          <cell r="Q1908" t="str">
            <v/>
          </cell>
        </row>
        <row r="1909">
          <cell r="Q1909" t="str">
            <v/>
          </cell>
        </row>
        <row r="1910">
          <cell r="Q1910" t="str">
            <v/>
          </cell>
        </row>
        <row r="1911">
          <cell r="Q1911" t="str">
            <v/>
          </cell>
        </row>
        <row r="1912">
          <cell r="Q1912" t="str">
            <v/>
          </cell>
        </row>
        <row r="1913">
          <cell r="Q1913" t="str">
            <v/>
          </cell>
        </row>
        <row r="1914">
          <cell r="Q1914" t="str">
            <v/>
          </cell>
        </row>
        <row r="1915">
          <cell r="Q1915" t="str">
            <v/>
          </cell>
        </row>
        <row r="1916">
          <cell r="Q1916" t="str">
            <v/>
          </cell>
        </row>
        <row r="1917">
          <cell r="Q1917" t="str">
            <v/>
          </cell>
        </row>
        <row r="1918">
          <cell r="Q1918" t="str">
            <v/>
          </cell>
        </row>
        <row r="1919">
          <cell r="Q1919" t="str">
            <v/>
          </cell>
        </row>
        <row r="1920">
          <cell r="Q1920" t="str">
            <v/>
          </cell>
        </row>
        <row r="1921">
          <cell r="Q1921" t="str">
            <v/>
          </cell>
        </row>
        <row r="1922">
          <cell r="Q1922" t="str">
            <v/>
          </cell>
        </row>
        <row r="1923">
          <cell r="Q1923" t="str">
            <v/>
          </cell>
        </row>
        <row r="1924">
          <cell r="Q1924" t="str">
            <v/>
          </cell>
        </row>
        <row r="1925">
          <cell r="Q1925" t="str">
            <v/>
          </cell>
        </row>
        <row r="1926">
          <cell r="Q1926" t="str">
            <v/>
          </cell>
        </row>
        <row r="1927">
          <cell r="Q1927" t="str">
            <v/>
          </cell>
        </row>
        <row r="1928">
          <cell r="Q1928" t="str">
            <v/>
          </cell>
        </row>
        <row r="1929">
          <cell r="Q1929" t="str">
            <v/>
          </cell>
        </row>
        <row r="1930">
          <cell r="Q1930" t="str">
            <v/>
          </cell>
        </row>
        <row r="1931">
          <cell r="Q1931" t="str">
            <v/>
          </cell>
        </row>
        <row r="1932">
          <cell r="Q1932" t="str">
            <v/>
          </cell>
        </row>
        <row r="1933">
          <cell r="Q1933" t="str">
            <v/>
          </cell>
        </row>
        <row r="1934">
          <cell r="Q1934" t="str">
            <v/>
          </cell>
        </row>
        <row r="1935">
          <cell r="Q1935" t="str">
            <v/>
          </cell>
        </row>
        <row r="1936">
          <cell r="Q1936" t="str">
            <v/>
          </cell>
        </row>
        <row r="1937">
          <cell r="Q1937" t="str">
            <v/>
          </cell>
        </row>
        <row r="1938">
          <cell r="Q1938" t="str">
            <v/>
          </cell>
        </row>
        <row r="1939">
          <cell r="Q1939" t="str">
            <v/>
          </cell>
        </row>
        <row r="1940">
          <cell r="Q1940" t="str">
            <v/>
          </cell>
        </row>
        <row r="1941">
          <cell r="Q1941" t="str">
            <v/>
          </cell>
        </row>
        <row r="1942">
          <cell r="Q1942" t="str">
            <v/>
          </cell>
        </row>
        <row r="1943">
          <cell r="Q1943" t="str">
            <v/>
          </cell>
        </row>
        <row r="1944">
          <cell r="Q1944" t="str">
            <v/>
          </cell>
        </row>
        <row r="1945">
          <cell r="Q1945" t="str">
            <v/>
          </cell>
        </row>
        <row r="1946">
          <cell r="Q1946" t="str">
            <v/>
          </cell>
        </row>
        <row r="1947">
          <cell r="Q1947" t="str">
            <v/>
          </cell>
        </row>
        <row r="1948">
          <cell r="Q1948" t="str">
            <v/>
          </cell>
        </row>
        <row r="1949">
          <cell r="Q1949" t="str">
            <v/>
          </cell>
        </row>
        <row r="1950">
          <cell r="Q1950" t="str">
            <v/>
          </cell>
        </row>
        <row r="1951">
          <cell r="Q1951" t="str">
            <v/>
          </cell>
        </row>
        <row r="1952">
          <cell r="Q1952" t="str">
            <v/>
          </cell>
        </row>
        <row r="1953">
          <cell r="Q1953" t="str">
            <v/>
          </cell>
        </row>
        <row r="1954">
          <cell r="Q1954" t="str">
            <v/>
          </cell>
        </row>
        <row r="1955">
          <cell r="Q1955" t="str">
            <v/>
          </cell>
        </row>
        <row r="1956">
          <cell r="Q1956" t="str">
            <v/>
          </cell>
        </row>
        <row r="1957">
          <cell r="Q1957" t="str">
            <v/>
          </cell>
        </row>
        <row r="1958">
          <cell r="Q1958" t="str">
            <v/>
          </cell>
        </row>
        <row r="1959">
          <cell r="Q1959" t="str">
            <v/>
          </cell>
        </row>
        <row r="1960">
          <cell r="Q1960" t="str">
            <v/>
          </cell>
        </row>
        <row r="1961">
          <cell r="Q1961" t="str">
            <v/>
          </cell>
        </row>
        <row r="1962">
          <cell r="Q1962" t="str">
            <v/>
          </cell>
        </row>
        <row r="1963">
          <cell r="Q1963" t="str">
            <v/>
          </cell>
        </row>
        <row r="1964">
          <cell r="Q1964" t="str">
            <v/>
          </cell>
        </row>
        <row r="1965">
          <cell r="Q1965" t="str">
            <v/>
          </cell>
        </row>
        <row r="1966">
          <cell r="Q1966" t="str">
            <v/>
          </cell>
        </row>
        <row r="1967">
          <cell r="Q1967" t="str">
            <v/>
          </cell>
        </row>
        <row r="1968">
          <cell r="Q1968" t="str">
            <v/>
          </cell>
        </row>
        <row r="1969">
          <cell r="Q1969" t="str">
            <v/>
          </cell>
        </row>
        <row r="1970">
          <cell r="Q1970" t="str">
            <v/>
          </cell>
        </row>
        <row r="1971">
          <cell r="Q1971" t="str">
            <v/>
          </cell>
        </row>
        <row r="1972">
          <cell r="Q1972" t="str">
            <v/>
          </cell>
        </row>
        <row r="1973">
          <cell r="Q1973" t="str">
            <v/>
          </cell>
        </row>
        <row r="1974">
          <cell r="Q1974" t="str">
            <v/>
          </cell>
        </row>
        <row r="1975">
          <cell r="Q1975" t="str">
            <v/>
          </cell>
        </row>
        <row r="1976">
          <cell r="Q1976" t="str">
            <v/>
          </cell>
        </row>
        <row r="1977">
          <cell r="Q1977" t="str">
            <v/>
          </cell>
        </row>
        <row r="1978">
          <cell r="Q1978" t="str">
            <v/>
          </cell>
        </row>
        <row r="1979">
          <cell r="Q1979" t="str">
            <v/>
          </cell>
        </row>
        <row r="1980">
          <cell r="Q1980" t="str">
            <v/>
          </cell>
        </row>
        <row r="1981">
          <cell r="Q1981" t="str">
            <v/>
          </cell>
        </row>
        <row r="1982">
          <cell r="Q1982" t="str">
            <v/>
          </cell>
        </row>
        <row r="1983">
          <cell r="Q1983" t="str">
            <v/>
          </cell>
        </row>
        <row r="1984">
          <cell r="Q1984" t="str">
            <v/>
          </cell>
        </row>
        <row r="1985">
          <cell r="Q1985" t="str">
            <v/>
          </cell>
        </row>
        <row r="1986">
          <cell r="Q1986" t="str">
            <v/>
          </cell>
        </row>
        <row r="1987">
          <cell r="Q1987" t="str">
            <v/>
          </cell>
        </row>
        <row r="1988">
          <cell r="Q1988" t="str">
            <v/>
          </cell>
        </row>
        <row r="1989">
          <cell r="Q1989" t="str">
            <v/>
          </cell>
        </row>
        <row r="1990">
          <cell r="Q1990" t="str">
            <v/>
          </cell>
        </row>
        <row r="1991">
          <cell r="Q1991" t="str">
            <v/>
          </cell>
        </row>
        <row r="1992">
          <cell r="Q1992" t="str">
            <v/>
          </cell>
        </row>
        <row r="1993">
          <cell r="Q1993" t="str">
            <v/>
          </cell>
        </row>
        <row r="1994">
          <cell r="Q1994" t="str">
            <v/>
          </cell>
        </row>
        <row r="1995">
          <cell r="Q1995" t="str">
            <v/>
          </cell>
        </row>
        <row r="1996">
          <cell r="Q1996" t="str">
            <v/>
          </cell>
        </row>
        <row r="1997">
          <cell r="Q1997" t="str">
            <v/>
          </cell>
        </row>
        <row r="1998">
          <cell r="Q1998" t="str">
            <v/>
          </cell>
        </row>
        <row r="1999">
          <cell r="Q1999" t="str">
            <v/>
          </cell>
        </row>
        <row r="2000">
          <cell r="Q2000" t="str">
            <v/>
          </cell>
        </row>
        <row r="2001">
          <cell r="Q2001" t="str">
            <v/>
          </cell>
        </row>
        <row r="2002">
          <cell r="Q2002" t="str">
            <v/>
          </cell>
        </row>
        <row r="2003">
          <cell r="Q2003" t="str">
            <v/>
          </cell>
        </row>
        <row r="2004">
          <cell r="Q2004" t="str">
            <v/>
          </cell>
        </row>
        <row r="2005">
          <cell r="Q2005" t="str">
            <v/>
          </cell>
        </row>
        <row r="2006">
          <cell r="Q2006" t="str">
            <v/>
          </cell>
        </row>
        <row r="2007">
          <cell r="Q2007" t="str">
            <v/>
          </cell>
        </row>
        <row r="2008">
          <cell r="Q2008" t="str">
            <v/>
          </cell>
        </row>
        <row r="2009">
          <cell r="Q2009" t="str">
            <v/>
          </cell>
        </row>
        <row r="2010">
          <cell r="Q2010" t="str">
            <v/>
          </cell>
        </row>
        <row r="2011">
          <cell r="Q2011" t="str">
            <v/>
          </cell>
        </row>
        <row r="2012">
          <cell r="Q2012" t="str">
            <v/>
          </cell>
        </row>
        <row r="2013">
          <cell r="Q2013" t="str">
            <v/>
          </cell>
        </row>
        <row r="2014">
          <cell r="Q2014" t="str">
            <v/>
          </cell>
        </row>
        <row r="2015">
          <cell r="Q2015" t="str">
            <v/>
          </cell>
        </row>
        <row r="2016">
          <cell r="Q2016" t="str">
            <v/>
          </cell>
        </row>
        <row r="2017">
          <cell r="Q2017" t="str">
            <v/>
          </cell>
        </row>
        <row r="2018">
          <cell r="Q2018" t="str">
            <v/>
          </cell>
        </row>
        <row r="2019">
          <cell r="Q2019" t="str">
            <v/>
          </cell>
        </row>
        <row r="2020">
          <cell r="Q2020" t="str">
            <v/>
          </cell>
        </row>
        <row r="2021">
          <cell r="Q2021" t="str">
            <v/>
          </cell>
        </row>
        <row r="2022">
          <cell r="Q2022" t="str">
            <v/>
          </cell>
        </row>
        <row r="2023">
          <cell r="Q2023" t="str">
            <v/>
          </cell>
        </row>
        <row r="2024">
          <cell r="Q2024" t="str">
            <v/>
          </cell>
        </row>
        <row r="2025">
          <cell r="Q2025" t="str">
            <v/>
          </cell>
        </row>
        <row r="2026">
          <cell r="Q2026" t="str">
            <v/>
          </cell>
        </row>
        <row r="2027">
          <cell r="Q2027" t="str">
            <v/>
          </cell>
        </row>
        <row r="2028">
          <cell r="Q2028" t="str">
            <v/>
          </cell>
        </row>
        <row r="2029">
          <cell r="Q2029" t="str">
            <v/>
          </cell>
        </row>
        <row r="2030">
          <cell r="Q2030" t="str">
            <v/>
          </cell>
        </row>
        <row r="2031">
          <cell r="Q2031" t="str">
            <v/>
          </cell>
        </row>
        <row r="2032">
          <cell r="Q2032" t="str">
            <v/>
          </cell>
        </row>
        <row r="2033">
          <cell r="Q2033" t="str">
            <v/>
          </cell>
        </row>
        <row r="2034">
          <cell r="Q2034" t="str">
            <v/>
          </cell>
        </row>
        <row r="2035">
          <cell r="Q2035" t="str">
            <v/>
          </cell>
        </row>
        <row r="2036">
          <cell r="Q2036" t="str">
            <v/>
          </cell>
        </row>
        <row r="2037">
          <cell r="Q2037" t="str">
            <v/>
          </cell>
        </row>
        <row r="2038">
          <cell r="Q2038" t="str">
            <v/>
          </cell>
        </row>
        <row r="2039">
          <cell r="Q2039" t="str">
            <v/>
          </cell>
        </row>
        <row r="2040">
          <cell r="Q2040" t="str">
            <v/>
          </cell>
        </row>
        <row r="2041">
          <cell r="Q2041" t="str">
            <v/>
          </cell>
        </row>
        <row r="2042">
          <cell r="Q2042" t="str">
            <v/>
          </cell>
        </row>
        <row r="2043">
          <cell r="Q2043" t="str">
            <v/>
          </cell>
        </row>
        <row r="2044">
          <cell r="Q2044" t="str">
            <v/>
          </cell>
        </row>
        <row r="2045">
          <cell r="Q2045" t="str">
            <v/>
          </cell>
        </row>
        <row r="2046">
          <cell r="Q2046" t="str">
            <v/>
          </cell>
        </row>
        <row r="2047">
          <cell r="Q2047" t="str">
            <v/>
          </cell>
        </row>
        <row r="2048">
          <cell r="Q2048" t="str">
            <v/>
          </cell>
        </row>
        <row r="2049">
          <cell r="Q2049" t="str">
            <v/>
          </cell>
        </row>
        <row r="2050">
          <cell r="Q2050" t="str">
            <v/>
          </cell>
        </row>
        <row r="2051">
          <cell r="Q2051" t="str">
            <v/>
          </cell>
        </row>
        <row r="2052">
          <cell r="Q2052" t="str">
            <v/>
          </cell>
        </row>
        <row r="2053">
          <cell r="Q2053" t="str">
            <v/>
          </cell>
        </row>
        <row r="2054">
          <cell r="Q2054" t="str">
            <v/>
          </cell>
        </row>
        <row r="2055">
          <cell r="Q2055" t="str">
            <v/>
          </cell>
        </row>
        <row r="2056">
          <cell r="Q2056" t="str">
            <v/>
          </cell>
        </row>
        <row r="2057">
          <cell r="Q2057" t="str">
            <v/>
          </cell>
        </row>
        <row r="2058">
          <cell r="Q2058" t="str">
            <v/>
          </cell>
        </row>
        <row r="2059">
          <cell r="Q2059" t="str">
            <v/>
          </cell>
        </row>
        <row r="2060">
          <cell r="Q2060" t="str">
            <v/>
          </cell>
        </row>
        <row r="2061">
          <cell r="Q2061" t="str">
            <v/>
          </cell>
        </row>
        <row r="2062">
          <cell r="Q2062" t="str">
            <v/>
          </cell>
        </row>
        <row r="2063">
          <cell r="Q2063" t="str">
            <v/>
          </cell>
        </row>
        <row r="2064">
          <cell r="Q2064" t="str">
            <v/>
          </cell>
        </row>
        <row r="2065">
          <cell r="Q2065" t="str">
            <v/>
          </cell>
        </row>
        <row r="2066">
          <cell r="Q2066" t="str">
            <v/>
          </cell>
        </row>
        <row r="2067">
          <cell r="Q2067" t="str">
            <v/>
          </cell>
        </row>
        <row r="2068">
          <cell r="Q2068" t="str">
            <v/>
          </cell>
        </row>
        <row r="2069">
          <cell r="Q2069" t="str">
            <v/>
          </cell>
        </row>
        <row r="2070">
          <cell r="Q2070" t="str">
            <v/>
          </cell>
        </row>
        <row r="2071">
          <cell r="Q2071" t="str">
            <v/>
          </cell>
        </row>
        <row r="2072">
          <cell r="Q2072" t="str">
            <v/>
          </cell>
        </row>
        <row r="2073">
          <cell r="Q2073" t="str">
            <v/>
          </cell>
        </row>
        <row r="2074">
          <cell r="Q2074" t="str">
            <v/>
          </cell>
        </row>
        <row r="2075">
          <cell r="Q2075" t="str">
            <v/>
          </cell>
        </row>
        <row r="2076">
          <cell r="Q2076" t="str">
            <v/>
          </cell>
        </row>
        <row r="2077">
          <cell r="Q2077" t="str">
            <v/>
          </cell>
        </row>
        <row r="2078">
          <cell r="Q2078" t="str">
            <v/>
          </cell>
        </row>
        <row r="2079">
          <cell r="Q2079" t="str">
            <v/>
          </cell>
        </row>
        <row r="2080">
          <cell r="Q2080" t="str">
            <v/>
          </cell>
        </row>
        <row r="2081">
          <cell r="Q2081" t="str">
            <v/>
          </cell>
        </row>
        <row r="2082">
          <cell r="Q2082" t="str">
            <v/>
          </cell>
        </row>
        <row r="2083">
          <cell r="Q2083" t="str">
            <v/>
          </cell>
        </row>
        <row r="2084">
          <cell r="Q2084" t="str">
            <v/>
          </cell>
        </row>
        <row r="2085">
          <cell r="Q2085" t="str">
            <v/>
          </cell>
        </row>
        <row r="2086">
          <cell r="Q2086" t="str">
            <v/>
          </cell>
        </row>
        <row r="2087">
          <cell r="Q2087" t="str">
            <v/>
          </cell>
        </row>
        <row r="2088">
          <cell r="Q2088" t="str">
            <v/>
          </cell>
        </row>
        <row r="2089">
          <cell r="Q2089" t="str">
            <v/>
          </cell>
        </row>
        <row r="2090">
          <cell r="Q2090" t="str">
            <v/>
          </cell>
        </row>
        <row r="2091">
          <cell r="Q2091" t="str">
            <v/>
          </cell>
        </row>
        <row r="2092">
          <cell r="Q2092" t="str">
            <v/>
          </cell>
        </row>
        <row r="2093">
          <cell r="Q2093" t="str">
            <v/>
          </cell>
        </row>
        <row r="2094">
          <cell r="Q2094" t="str">
            <v/>
          </cell>
        </row>
        <row r="2095">
          <cell r="Q2095" t="str">
            <v/>
          </cell>
        </row>
        <row r="2096">
          <cell r="Q2096" t="str">
            <v/>
          </cell>
        </row>
        <row r="2097">
          <cell r="Q2097" t="str">
            <v/>
          </cell>
        </row>
        <row r="2098">
          <cell r="Q2098" t="str">
            <v/>
          </cell>
        </row>
        <row r="2099">
          <cell r="Q2099" t="str">
            <v/>
          </cell>
        </row>
        <row r="2100">
          <cell r="Q2100" t="str">
            <v/>
          </cell>
        </row>
        <row r="2101">
          <cell r="Q2101" t="str">
            <v/>
          </cell>
        </row>
        <row r="2102">
          <cell r="Q2102" t="str">
            <v/>
          </cell>
        </row>
        <row r="2103">
          <cell r="Q2103" t="str">
            <v/>
          </cell>
        </row>
        <row r="2104">
          <cell r="Q2104" t="str">
            <v/>
          </cell>
        </row>
        <row r="2105">
          <cell r="Q2105" t="str">
            <v/>
          </cell>
        </row>
        <row r="2106">
          <cell r="Q2106" t="str">
            <v/>
          </cell>
        </row>
        <row r="2107">
          <cell r="Q2107" t="str">
            <v/>
          </cell>
        </row>
        <row r="2108">
          <cell r="Q2108" t="str">
            <v/>
          </cell>
        </row>
        <row r="2109">
          <cell r="Q2109" t="str">
            <v/>
          </cell>
        </row>
        <row r="2110">
          <cell r="Q2110" t="str">
            <v/>
          </cell>
        </row>
        <row r="2111">
          <cell r="Q2111" t="str">
            <v/>
          </cell>
        </row>
        <row r="2112">
          <cell r="Q2112" t="str">
            <v/>
          </cell>
        </row>
        <row r="2113">
          <cell r="Q2113" t="str">
            <v/>
          </cell>
        </row>
        <row r="2114">
          <cell r="Q2114" t="str">
            <v/>
          </cell>
        </row>
        <row r="2115">
          <cell r="Q2115" t="str">
            <v/>
          </cell>
        </row>
        <row r="2116">
          <cell r="Q2116" t="str">
            <v/>
          </cell>
        </row>
        <row r="2117">
          <cell r="Q2117" t="str">
            <v/>
          </cell>
        </row>
        <row r="2118">
          <cell r="Q2118" t="str">
            <v/>
          </cell>
        </row>
        <row r="2119">
          <cell r="Q2119" t="str">
            <v/>
          </cell>
        </row>
        <row r="2120">
          <cell r="Q2120" t="str">
            <v/>
          </cell>
        </row>
        <row r="2121">
          <cell r="Q2121" t="str">
            <v/>
          </cell>
        </row>
        <row r="2122">
          <cell r="Q2122" t="str">
            <v/>
          </cell>
        </row>
        <row r="2123">
          <cell r="Q2123" t="str">
            <v/>
          </cell>
        </row>
        <row r="2124">
          <cell r="Q2124" t="str">
            <v/>
          </cell>
        </row>
        <row r="2125">
          <cell r="Q2125" t="str">
            <v/>
          </cell>
        </row>
        <row r="2126">
          <cell r="Q2126" t="str">
            <v/>
          </cell>
        </row>
        <row r="2127">
          <cell r="Q2127" t="str">
            <v/>
          </cell>
        </row>
        <row r="2128">
          <cell r="Q2128" t="str">
            <v/>
          </cell>
        </row>
        <row r="2129">
          <cell r="Q2129" t="str">
            <v/>
          </cell>
        </row>
        <row r="2130">
          <cell r="Q2130" t="str">
            <v/>
          </cell>
        </row>
        <row r="2131">
          <cell r="Q2131" t="str">
            <v/>
          </cell>
        </row>
        <row r="2132">
          <cell r="Q2132" t="str">
            <v/>
          </cell>
        </row>
        <row r="2133">
          <cell r="Q2133" t="str">
            <v/>
          </cell>
        </row>
        <row r="2134">
          <cell r="Q2134" t="str">
            <v/>
          </cell>
        </row>
        <row r="2135">
          <cell r="Q2135" t="str">
            <v/>
          </cell>
        </row>
        <row r="2136">
          <cell r="Q2136" t="str">
            <v/>
          </cell>
        </row>
        <row r="2137">
          <cell r="Q2137" t="str">
            <v/>
          </cell>
        </row>
        <row r="2138">
          <cell r="Q2138" t="str">
            <v/>
          </cell>
        </row>
        <row r="2139">
          <cell r="Q2139" t="str">
            <v/>
          </cell>
        </row>
        <row r="2140">
          <cell r="Q2140" t="str">
            <v/>
          </cell>
        </row>
        <row r="2141">
          <cell r="Q2141" t="str">
            <v/>
          </cell>
        </row>
        <row r="2142">
          <cell r="Q2142" t="str">
            <v/>
          </cell>
        </row>
        <row r="2143">
          <cell r="Q2143" t="str">
            <v/>
          </cell>
        </row>
        <row r="2144">
          <cell r="Q2144" t="str">
            <v/>
          </cell>
        </row>
        <row r="2145">
          <cell r="Q2145" t="str">
            <v/>
          </cell>
        </row>
        <row r="2146">
          <cell r="Q2146" t="str">
            <v/>
          </cell>
        </row>
        <row r="2147">
          <cell r="Q2147" t="str">
            <v/>
          </cell>
        </row>
        <row r="2148">
          <cell r="Q2148" t="str">
            <v/>
          </cell>
        </row>
        <row r="2149">
          <cell r="Q2149" t="str">
            <v/>
          </cell>
        </row>
        <row r="2150">
          <cell r="Q2150" t="str">
            <v/>
          </cell>
        </row>
        <row r="2151">
          <cell r="Q2151" t="str">
            <v/>
          </cell>
        </row>
        <row r="2152">
          <cell r="Q2152" t="str">
            <v/>
          </cell>
        </row>
        <row r="2153">
          <cell r="Q2153" t="str">
            <v/>
          </cell>
        </row>
        <row r="2154">
          <cell r="Q2154" t="str">
            <v/>
          </cell>
        </row>
        <row r="2155">
          <cell r="Q2155" t="str">
            <v/>
          </cell>
        </row>
        <row r="2156">
          <cell r="Q2156" t="str">
            <v/>
          </cell>
        </row>
        <row r="2157">
          <cell r="Q2157" t="str">
            <v/>
          </cell>
        </row>
        <row r="2158">
          <cell r="Q2158" t="str">
            <v/>
          </cell>
        </row>
        <row r="2159">
          <cell r="Q2159" t="str">
            <v/>
          </cell>
        </row>
        <row r="2160">
          <cell r="Q2160" t="str">
            <v/>
          </cell>
        </row>
        <row r="2161">
          <cell r="Q2161" t="str">
            <v/>
          </cell>
        </row>
        <row r="2162">
          <cell r="Q2162" t="str">
            <v/>
          </cell>
        </row>
        <row r="2163">
          <cell r="Q2163" t="str">
            <v/>
          </cell>
        </row>
        <row r="2164">
          <cell r="Q2164" t="str">
            <v/>
          </cell>
        </row>
        <row r="2165">
          <cell r="Q2165" t="str">
            <v/>
          </cell>
        </row>
        <row r="2166">
          <cell r="Q2166" t="str">
            <v/>
          </cell>
        </row>
        <row r="2167">
          <cell r="Q2167" t="str">
            <v/>
          </cell>
        </row>
        <row r="2168">
          <cell r="Q2168" t="str">
            <v/>
          </cell>
        </row>
        <row r="2169">
          <cell r="Q2169" t="str">
            <v/>
          </cell>
        </row>
        <row r="2170">
          <cell r="Q2170" t="str">
            <v/>
          </cell>
        </row>
        <row r="2171">
          <cell r="Q2171" t="str">
            <v/>
          </cell>
        </row>
        <row r="2172">
          <cell r="Q2172" t="str">
            <v/>
          </cell>
        </row>
        <row r="2173">
          <cell r="Q2173" t="str">
            <v/>
          </cell>
        </row>
        <row r="2174">
          <cell r="Q2174" t="str">
            <v/>
          </cell>
        </row>
        <row r="2175">
          <cell r="Q2175" t="str">
            <v/>
          </cell>
        </row>
        <row r="2176">
          <cell r="Q2176" t="str">
            <v/>
          </cell>
        </row>
        <row r="2177">
          <cell r="Q2177" t="str">
            <v/>
          </cell>
        </row>
        <row r="2178">
          <cell r="Q2178" t="str">
            <v/>
          </cell>
        </row>
        <row r="2179">
          <cell r="Q2179" t="str">
            <v/>
          </cell>
        </row>
        <row r="2180">
          <cell r="Q2180" t="str">
            <v/>
          </cell>
        </row>
        <row r="2181">
          <cell r="Q2181" t="str">
            <v/>
          </cell>
        </row>
        <row r="2182">
          <cell r="Q2182" t="str">
            <v/>
          </cell>
        </row>
        <row r="2183">
          <cell r="Q2183" t="str">
            <v/>
          </cell>
        </row>
        <row r="2184">
          <cell r="Q2184" t="str">
            <v/>
          </cell>
        </row>
        <row r="2185">
          <cell r="Q2185" t="str">
            <v/>
          </cell>
        </row>
        <row r="2186">
          <cell r="Q2186" t="str">
            <v/>
          </cell>
        </row>
        <row r="2187">
          <cell r="Q2187" t="str">
            <v/>
          </cell>
        </row>
        <row r="2188">
          <cell r="Q2188" t="str">
            <v/>
          </cell>
        </row>
        <row r="2189">
          <cell r="Q2189" t="str">
            <v/>
          </cell>
        </row>
        <row r="2190">
          <cell r="Q2190" t="str">
            <v/>
          </cell>
        </row>
        <row r="2191">
          <cell r="Q2191" t="str">
            <v/>
          </cell>
        </row>
        <row r="2192">
          <cell r="Q2192" t="str">
            <v/>
          </cell>
        </row>
        <row r="2193">
          <cell r="Q2193" t="str">
            <v/>
          </cell>
        </row>
        <row r="2194">
          <cell r="Q2194" t="str">
            <v/>
          </cell>
        </row>
        <row r="2195">
          <cell r="Q2195" t="str">
            <v/>
          </cell>
        </row>
        <row r="2196">
          <cell r="Q2196" t="str">
            <v/>
          </cell>
        </row>
        <row r="2197">
          <cell r="Q2197" t="str">
            <v/>
          </cell>
        </row>
        <row r="2198">
          <cell r="Q2198" t="str">
            <v/>
          </cell>
        </row>
        <row r="2199">
          <cell r="Q2199" t="str">
            <v/>
          </cell>
        </row>
        <row r="2200">
          <cell r="Q2200" t="str">
            <v/>
          </cell>
        </row>
        <row r="2201">
          <cell r="Q2201" t="str">
            <v/>
          </cell>
        </row>
        <row r="2202">
          <cell r="Q2202" t="str">
            <v/>
          </cell>
        </row>
        <row r="2203">
          <cell r="Q2203" t="str">
            <v/>
          </cell>
        </row>
        <row r="2204">
          <cell r="Q2204" t="str">
            <v/>
          </cell>
        </row>
        <row r="2205">
          <cell r="Q2205" t="str">
            <v/>
          </cell>
        </row>
        <row r="2206">
          <cell r="Q2206" t="str">
            <v/>
          </cell>
        </row>
        <row r="2207">
          <cell r="Q2207" t="str">
            <v/>
          </cell>
        </row>
        <row r="2208">
          <cell r="Q2208" t="str">
            <v/>
          </cell>
        </row>
        <row r="2209">
          <cell r="Q2209" t="str">
            <v/>
          </cell>
        </row>
        <row r="2210">
          <cell r="Q2210" t="str">
            <v/>
          </cell>
        </row>
        <row r="2211">
          <cell r="Q2211" t="str">
            <v/>
          </cell>
        </row>
        <row r="2212">
          <cell r="Q2212" t="str">
            <v/>
          </cell>
        </row>
        <row r="2213">
          <cell r="Q2213" t="str">
            <v/>
          </cell>
        </row>
        <row r="2214">
          <cell r="Q2214" t="str">
            <v/>
          </cell>
        </row>
        <row r="2215">
          <cell r="Q2215" t="str">
            <v/>
          </cell>
        </row>
        <row r="2216">
          <cell r="Q2216" t="str">
            <v/>
          </cell>
        </row>
        <row r="2217">
          <cell r="Q2217" t="str">
            <v/>
          </cell>
        </row>
        <row r="2218">
          <cell r="Q2218" t="str">
            <v/>
          </cell>
        </row>
        <row r="2219">
          <cell r="Q2219" t="str">
            <v/>
          </cell>
        </row>
        <row r="2220">
          <cell r="Q2220" t="str">
            <v/>
          </cell>
        </row>
        <row r="2221">
          <cell r="Q2221" t="str">
            <v/>
          </cell>
        </row>
        <row r="2222">
          <cell r="Q2222" t="str">
            <v/>
          </cell>
        </row>
        <row r="2223">
          <cell r="Q2223" t="str">
            <v/>
          </cell>
        </row>
        <row r="2224">
          <cell r="Q2224" t="str">
            <v/>
          </cell>
        </row>
        <row r="2225">
          <cell r="Q2225" t="str">
            <v/>
          </cell>
        </row>
        <row r="2226">
          <cell r="Q2226" t="str">
            <v/>
          </cell>
        </row>
        <row r="2227">
          <cell r="Q2227" t="str">
            <v/>
          </cell>
        </row>
        <row r="2228">
          <cell r="Q2228" t="str">
            <v/>
          </cell>
        </row>
        <row r="2229">
          <cell r="Q2229" t="str">
            <v/>
          </cell>
        </row>
        <row r="2230">
          <cell r="Q2230" t="str">
            <v/>
          </cell>
        </row>
        <row r="2231">
          <cell r="Q2231" t="str">
            <v/>
          </cell>
        </row>
        <row r="2232">
          <cell r="Q2232" t="str">
            <v/>
          </cell>
        </row>
        <row r="2233">
          <cell r="Q2233" t="str">
            <v/>
          </cell>
        </row>
        <row r="2234">
          <cell r="Q2234" t="str">
            <v/>
          </cell>
        </row>
        <row r="2235">
          <cell r="Q2235" t="str">
            <v/>
          </cell>
        </row>
        <row r="2236">
          <cell r="Q2236" t="str">
            <v/>
          </cell>
        </row>
        <row r="2237">
          <cell r="Q2237" t="str">
            <v/>
          </cell>
        </row>
        <row r="2238">
          <cell r="Q2238" t="str">
            <v/>
          </cell>
        </row>
        <row r="2239">
          <cell r="Q2239" t="str">
            <v/>
          </cell>
        </row>
        <row r="2240">
          <cell r="Q2240" t="str">
            <v/>
          </cell>
        </row>
        <row r="2241">
          <cell r="Q2241" t="str">
            <v/>
          </cell>
        </row>
        <row r="2242">
          <cell r="Q2242" t="str">
            <v/>
          </cell>
        </row>
        <row r="2243">
          <cell r="Q2243" t="str">
            <v/>
          </cell>
        </row>
        <row r="2244">
          <cell r="Q2244" t="str">
            <v/>
          </cell>
        </row>
        <row r="2245">
          <cell r="Q2245" t="str">
            <v/>
          </cell>
        </row>
        <row r="2246">
          <cell r="Q2246" t="str">
            <v/>
          </cell>
        </row>
        <row r="2247">
          <cell r="Q2247" t="str">
            <v/>
          </cell>
        </row>
        <row r="2248">
          <cell r="Q2248" t="str">
            <v/>
          </cell>
        </row>
        <row r="2249">
          <cell r="Q2249" t="str">
            <v/>
          </cell>
        </row>
        <row r="2250">
          <cell r="Q2250" t="str">
            <v/>
          </cell>
        </row>
        <row r="2251">
          <cell r="Q2251" t="str">
            <v/>
          </cell>
        </row>
        <row r="2252">
          <cell r="Q2252" t="str">
            <v/>
          </cell>
        </row>
        <row r="2253">
          <cell r="Q2253" t="str">
            <v/>
          </cell>
        </row>
        <row r="2254">
          <cell r="Q2254" t="str">
            <v/>
          </cell>
        </row>
        <row r="2255">
          <cell r="Q2255" t="str">
            <v/>
          </cell>
        </row>
        <row r="2256">
          <cell r="Q2256" t="str">
            <v/>
          </cell>
        </row>
        <row r="2257">
          <cell r="Q2257" t="str">
            <v/>
          </cell>
        </row>
        <row r="2258">
          <cell r="Q2258" t="str">
            <v/>
          </cell>
        </row>
        <row r="2259">
          <cell r="Q2259" t="str">
            <v/>
          </cell>
        </row>
        <row r="2260">
          <cell r="Q2260" t="str">
            <v/>
          </cell>
        </row>
        <row r="2261">
          <cell r="Q2261" t="str">
            <v/>
          </cell>
        </row>
        <row r="2262">
          <cell r="Q2262" t="str">
            <v/>
          </cell>
        </row>
        <row r="2263">
          <cell r="Q2263" t="str">
            <v/>
          </cell>
        </row>
        <row r="2264">
          <cell r="Q2264" t="str">
            <v/>
          </cell>
        </row>
        <row r="2265">
          <cell r="Q2265" t="str">
            <v/>
          </cell>
        </row>
        <row r="2266">
          <cell r="Q2266" t="str">
            <v/>
          </cell>
        </row>
        <row r="2267">
          <cell r="Q2267" t="str">
            <v/>
          </cell>
        </row>
        <row r="2268">
          <cell r="Q2268" t="str">
            <v/>
          </cell>
        </row>
        <row r="2269">
          <cell r="Q2269" t="str">
            <v/>
          </cell>
        </row>
        <row r="2270">
          <cell r="Q2270" t="str">
            <v/>
          </cell>
        </row>
        <row r="2271">
          <cell r="Q2271" t="str">
            <v/>
          </cell>
        </row>
        <row r="2272">
          <cell r="Q2272" t="str">
            <v/>
          </cell>
        </row>
        <row r="2273">
          <cell r="Q2273" t="str">
            <v/>
          </cell>
        </row>
        <row r="2274">
          <cell r="Q2274" t="str">
            <v/>
          </cell>
        </row>
        <row r="2275">
          <cell r="Q2275" t="str">
            <v/>
          </cell>
        </row>
        <row r="2276">
          <cell r="Q2276" t="str">
            <v/>
          </cell>
        </row>
        <row r="2277">
          <cell r="Q2277" t="str">
            <v/>
          </cell>
        </row>
        <row r="2278">
          <cell r="Q2278" t="str">
            <v/>
          </cell>
        </row>
        <row r="2279">
          <cell r="Q2279" t="str">
            <v/>
          </cell>
        </row>
        <row r="2280">
          <cell r="Q2280" t="str">
            <v/>
          </cell>
        </row>
        <row r="2281">
          <cell r="Q2281" t="str">
            <v/>
          </cell>
        </row>
        <row r="2282">
          <cell r="Q2282" t="str">
            <v/>
          </cell>
        </row>
        <row r="2283">
          <cell r="Q2283" t="str">
            <v/>
          </cell>
        </row>
        <row r="2284">
          <cell r="Q2284" t="str">
            <v/>
          </cell>
        </row>
        <row r="2285">
          <cell r="Q2285" t="str">
            <v/>
          </cell>
        </row>
        <row r="2286">
          <cell r="Q2286" t="str">
            <v/>
          </cell>
        </row>
        <row r="2287">
          <cell r="Q2287" t="str">
            <v/>
          </cell>
        </row>
        <row r="2288">
          <cell r="Q2288" t="str">
            <v/>
          </cell>
        </row>
        <row r="2289">
          <cell r="Q2289" t="str">
            <v/>
          </cell>
        </row>
        <row r="2290">
          <cell r="Q2290" t="str">
            <v/>
          </cell>
        </row>
        <row r="2291">
          <cell r="Q2291" t="str">
            <v/>
          </cell>
        </row>
        <row r="2292">
          <cell r="Q2292" t="str">
            <v/>
          </cell>
        </row>
        <row r="2293">
          <cell r="Q2293" t="str">
            <v/>
          </cell>
        </row>
        <row r="2294">
          <cell r="Q2294" t="str">
            <v/>
          </cell>
        </row>
        <row r="2295">
          <cell r="Q2295" t="str">
            <v/>
          </cell>
        </row>
        <row r="2296">
          <cell r="Q2296" t="str">
            <v/>
          </cell>
        </row>
        <row r="2297">
          <cell r="Q2297" t="str">
            <v/>
          </cell>
        </row>
        <row r="2298">
          <cell r="Q2298" t="str">
            <v/>
          </cell>
        </row>
        <row r="2299">
          <cell r="Q2299" t="str">
            <v/>
          </cell>
        </row>
        <row r="2300">
          <cell r="Q2300" t="str">
            <v/>
          </cell>
        </row>
        <row r="2301">
          <cell r="Q2301" t="str">
            <v/>
          </cell>
        </row>
        <row r="2302">
          <cell r="Q2302" t="str">
            <v/>
          </cell>
        </row>
        <row r="2303">
          <cell r="Q2303" t="str">
            <v/>
          </cell>
        </row>
        <row r="2304">
          <cell r="Q2304" t="str">
            <v/>
          </cell>
        </row>
        <row r="2305">
          <cell r="Q2305" t="str">
            <v/>
          </cell>
        </row>
        <row r="2306">
          <cell r="Q2306" t="str">
            <v/>
          </cell>
        </row>
        <row r="2307">
          <cell r="Q2307" t="str">
            <v/>
          </cell>
        </row>
        <row r="2308">
          <cell r="Q2308" t="str">
            <v/>
          </cell>
        </row>
        <row r="2309">
          <cell r="Q2309" t="str">
            <v/>
          </cell>
        </row>
        <row r="2310">
          <cell r="Q2310" t="str">
            <v/>
          </cell>
        </row>
        <row r="2311">
          <cell r="Q2311" t="str">
            <v/>
          </cell>
        </row>
        <row r="2312">
          <cell r="Q2312" t="str">
            <v/>
          </cell>
        </row>
        <row r="2313">
          <cell r="Q2313" t="str">
            <v/>
          </cell>
        </row>
        <row r="2314">
          <cell r="Q2314" t="str">
            <v/>
          </cell>
        </row>
        <row r="2315">
          <cell r="Q2315" t="str">
            <v/>
          </cell>
        </row>
        <row r="2316">
          <cell r="Q2316" t="str">
            <v/>
          </cell>
        </row>
        <row r="2317">
          <cell r="Q2317" t="str">
            <v/>
          </cell>
        </row>
        <row r="2318">
          <cell r="Q2318" t="str">
            <v/>
          </cell>
        </row>
        <row r="2319">
          <cell r="Q2319" t="str">
            <v/>
          </cell>
        </row>
        <row r="2320">
          <cell r="Q2320" t="str">
            <v/>
          </cell>
        </row>
        <row r="2321">
          <cell r="Q2321" t="str">
            <v/>
          </cell>
        </row>
        <row r="2322">
          <cell r="Q2322" t="str">
            <v/>
          </cell>
        </row>
        <row r="2323">
          <cell r="Q2323" t="str">
            <v/>
          </cell>
        </row>
        <row r="2324">
          <cell r="Q2324" t="str">
            <v/>
          </cell>
        </row>
        <row r="2325">
          <cell r="Q2325" t="str">
            <v/>
          </cell>
        </row>
        <row r="2326">
          <cell r="Q2326" t="str">
            <v/>
          </cell>
        </row>
        <row r="2327">
          <cell r="Q2327" t="str">
            <v/>
          </cell>
        </row>
        <row r="2328">
          <cell r="Q2328" t="str">
            <v/>
          </cell>
        </row>
        <row r="2329">
          <cell r="Q2329" t="str">
            <v/>
          </cell>
        </row>
        <row r="2330">
          <cell r="Q2330" t="str">
            <v/>
          </cell>
        </row>
        <row r="2331">
          <cell r="Q2331" t="str">
            <v/>
          </cell>
        </row>
        <row r="2332">
          <cell r="Q2332" t="str">
            <v/>
          </cell>
        </row>
        <row r="2333">
          <cell r="Q2333" t="str">
            <v/>
          </cell>
        </row>
        <row r="2334">
          <cell r="Q2334" t="str">
            <v/>
          </cell>
        </row>
        <row r="2335">
          <cell r="Q2335" t="str">
            <v/>
          </cell>
        </row>
        <row r="2336">
          <cell r="Q2336" t="str">
            <v/>
          </cell>
        </row>
        <row r="2337">
          <cell r="Q2337" t="str">
            <v/>
          </cell>
        </row>
        <row r="2338">
          <cell r="Q2338" t="str">
            <v/>
          </cell>
        </row>
        <row r="2339">
          <cell r="Q2339" t="str">
            <v/>
          </cell>
        </row>
        <row r="2340">
          <cell r="Q2340" t="str">
            <v/>
          </cell>
        </row>
        <row r="2341">
          <cell r="Q2341" t="str">
            <v/>
          </cell>
        </row>
        <row r="2342">
          <cell r="Q2342" t="str">
            <v/>
          </cell>
        </row>
        <row r="2343">
          <cell r="Q2343" t="str">
            <v/>
          </cell>
        </row>
        <row r="2344">
          <cell r="Q2344" t="str">
            <v/>
          </cell>
        </row>
        <row r="2345">
          <cell r="Q2345" t="str">
            <v/>
          </cell>
        </row>
        <row r="2346">
          <cell r="Q2346" t="str">
            <v/>
          </cell>
        </row>
        <row r="2347">
          <cell r="Q2347" t="str">
            <v/>
          </cell>
        </row>
        <row r="2348">
          <cell r="Q2348" t="str">
            <v/>
          </cell>
        </row>
        <row r="2349">
          <cell r="Q2349" t="str">
            <v/>
          </cell>
        </row>
        <row r="2350">
          <cell r="Q2350" t="str">
            <v/>
          </cell>
        </row>
        <row r="2351">
          <cell r="Q2351" t="str">
            <v/>
          </cell>
        </row>
        <row r="2352">
          <cell r="Q2352" t="str">
            <v/>
          </cell>
        </row>
        <row r="2353">
          <cell r="Q2353" t="str">
            <v/>
          </cell>
        </row>
        <row r="2354">
          <cell r="Q2354" t="str">
            <v/>
          </cell>
        </row>
        <row r="2355">
          <cell r="Q2355" t="str">
            <v/>
          </cell>
        </row>
        <row r="2356">
          <cell r="Q2356" t="str">
            <v/>
          </cell>
        </row>
        <row r="2357">
          <cell r="Q2357" t="str">
            <v/>
          </cell>
        </row>
        <row r="2358">
          <cell r="Q2358" t="str">
            <v/>
          </cell>
        </row>
        <row r="2359">
          <cell r="Q2359" t="str">
            <v/>
          </cell>
        </row>
        <row r="2360">
          <cell r="Q2360" t="str">
            <v/>
          </cell>
        </row>
        <row r="2361">
          <cell r="Q2361" t="str">
            <v/>
          </cell>
        </row>
        <row r="2362">
          <cell r="Q2362" t="str">
            <v/>
          </cell>
        </row>
        <row r="2363">
          <cell r="Q2363" t="str">
            <v/>
          </cell>
        </row>
        <row r="2364">
          <cell r="Q2364" t="str">
            <v/>
          </cell>
        </row>
        <row r="2365">
          <cell r="Q2365" t="str">
            <v/>
          </cell>
        </row>
        <row r="2366">
          <cell r="Q2366" t="str">
            <v/>
          </cell>
        </row>
        <row r="2367">
          <cell r="Q2367" t="str">
            <v/>
          </cell>
        </row>
        <row r="2368">
          <cell r="Q2368" t="str">
            <v/>
          </cell>
        </row>
        <row r="2369">
          <cell r="Q2369" t="str">
            <v/>
          </cell>
        </row>
        <row r="2370">
          <cell r="Q2370" t="str">
            <v/>
          </cell>
        </row>
        <row r="2371">
          <cell r="Q2371" t="str">
            <v/>
          </cell>
        </row>
        <row r="2372">
          <cell r="Q2372" t="str">
            <v/>
          </cell>
        </row>
        <row r="2373">
          <cell r="Q2373" t="str">
            <v/>
          </cell>
        </row>
        <row r="2374">
          <cell r="Q2374" t="str">
            <v/>
          </cell>
        </row>
        <row r="2375">
          <cell r="Q2375" t="str">
            <v/>
          </cell>
        </row>
        <row r="2376">
          <cell r="Q2376" t="str">
            <v/>
          </cell>
        </row>
        <row r="2377">
          <cell r="Q2377" t="str">
            <v/>
          </cell>
        </row>
        <row r="2378">
          <cell r="Q2378" t="str">
            <v/>
          </cell>
        </row>
        <row r="2379">
          <cell r="Q2379" t="str">
            <v/>
          </cell>
        </row>
        <row r="2380">
          <cell r="Q2380" t="str">
            <v/>
          </cell>
        </row>
        <row r="2381">
          <cell r="Q2381" t="str">
            <v/>
          </cell>
        </row>
        <row r="2382">
          <cell r="Q2382" t="str">
            <v/>
          </cell>
        </row>
        <row r="2383">
          <cell r="Q2383" t="str">
            <v/>
          </cell>
        </row>
        <row r="2384">
          <cell r="Q2384" t="str">
            <v/>
          </cell>
        </row>
        <row r="2385">
          <cell r="Q2385" t="str">
            <v/>
          </cell>
        </row>
        <row r="2386">
          <cell r="Q2386" t="str">
            <v/>
          </cell>
        </row>
        <row r="2387">
          <cell r="Q2387" t="str">
            <v/>
          </cell>
        </row>
        <row r="2388">
          <cell r="Q2388" t="str">
            <v/>
          </cell>
        </row>
        <row r="2389">
          <cell r="Q2389" t="str">
            <v/>
          </cell>
        </row>
        <row r="2390">
          <cell r="Q2390" t="str">
            <v/>
          </cell>
        </row>
        <row r="2391">
          <cell r="Q2391" t="str">
            <v/>
          </cell>
        </row>
        <row r="2392">
          <cell r="Q2392" t="str">
            <v/>
          </cell>
        </row>
        <row r="2393">
          <cell r="Q2393" t="str">
            <v/>
          </cell>
        </row>
        <row r="2394">
          <cell r="Q2394" t="str">
            <v/>
          </cell>
        </row>
        <row r="2395">
          <cell r="Q2395" t="str">
            <v/>
          </cell>
        </row>
        <row r="2396">
          <cell r="Q2396" t="str">
            <v/>
          </cell>
        </row>
        <row r="2397">
          <cell r="Q2397" t="str">
            <v/>
          </cell>
        </row>
        <row r="2398">
          <cell r="Q2398" t="str">
            <v/>
          </cell>
        </row>
        <row r="2399">
          <cell r="Q2399" t="str">
            <v/>
          </cell>
        </row>
        <row r="2400">
          <cell r="Q2400" t="str">
            <v/>
          </cell>
        </row>
        <row r="2401">
          <cell r="Q2401" t="str">
            <v/>
          </cell>
        </row>
        <row r="2402">
          <cell r="Q2402" t="str">
            <v/>
          </cell>
        </row>
        <row r="2403">
          <cell r="Q2403" t="str">
            <v/>
          </cell>
        </row>
        <row r="2404">
          <cell r="Q2404" t="str">
            <v/>
          </cell>
        </row>
        <row r="2405">
          <cell r="Q2405" t="str">
            <v/>
          </cell>
        </row>
        <row r="2406">
          <cell r="Q2406" t="str">
            <v/>
          </cell>
        </row>
        <row r="2407">
          <cell r="Q2407" t="str">
            <v/>
          </cell>
        </row>
        <row r="2408">
          <cell r="Q2408" t="str">
            <v/>
          </cell>
        </row>
        <row r="2409">
          <cell r="Q2409" t="str">
            <v/>
          </cell>
        </row>
        <row r="2410">
          <cell r="Q2410" t="str">
            <v/>
          </cell>
        </row>
        <row r="2411">
          <cell r="Q2411" t="str">
            <v/>
          </cell>
        </row>
        <row r="2412">
          <cell r="Q2412" t="str">
            <v/>
          </cell>
        </row>
        <row r="2413">
          <cell r="Q2413" t="str">
            <v/>
          </cell>
        </row>
        <row r="2414">
          <cell r="Q2414" t="str">
            <v/>
          </cell>
        </row>
        <row r="2415">
          <cell r="Q2415" t="str">
            <v/>
          </cell>
        </row>
        <row r="2416">
          <cell r="Q2416" t="str">
            <v/>
          </cell>
        </row>
        <row r="2417">
          <cell r="Q2417" t="str">
            <v/>
          </cell>
        </row>
        <row r="2418">
          <cell r="Q2418" t="str">
            <v/>
          </cell>
        </row>
        <row r="2419">
          <cell r="Q2419" t="str">
            <v/>
          </cell>
        </row>
        <row r="2420">
          <cell r="Q2420" t="str">
            <v/>
          </cell>
        </row>
        <row r="2421">
          <cell r="Q2421" t="str">
            <v/>
          </cell>
        </row>
        <row r="2422">
          <cell r="Q2422" t="str">
            <v/>
          </cell>
        </row>
        <row r="2423">
          <cell r="Q2423" t="str">
            <v/>
          </cell>
        </row>
        <row r="2424">
          <cell r="Q2424" t="str">
            <v/>
          </cell>
        </row>
        <row r="2425">
          <cell r="Q2425" t="str">
            <v/>
          </cell>
        </row>
        <row r="2426">
          <cell r="Q2426" t="str">
            <v/>
          </cell>
        </row>
        <row r="2427">
          <cell r="Q2427" t="str">
            <v/>
          </cell>
        </row>
        <row r="2428">
          <cell r="Q2428" t="str">
            <v/>
          </cell>
        </row>
        <row r="2429">
          <cell r="Q2429" t="str">
            <v/>
          </cell>
        </row>
        <row r="2430">
          <cell r="Q2430" t="str">
            <v/>
          </cell>
        </row>
        <row r="2431">
          <cell r="Q2431" t="str">
            <v/>
          </cell>
        </row>
        <row r="2432">
          <cell r="Q2432" t="str">
            <v/>
          </cell>
        </row>
        <row r="2433">
          <cell r="Q2433" t="str">
            <v/>
          </cell>
        </row>
        <row r="2434">
          <cell r="Q2434" t="str">
            <v/>
          </cell>
        </row>
        <row r="2435">
          <cell r="Q2435" t="str">
            <v/>
          </cell>
        </row>
        <row r="2436">
          <cell r="Q2436" t="str">
            <v/>
          </cell>
        </row>
        <row r="2437">
          <cell r="Q2437" t="str">
            <v/>
          </cell>
        </row>
        <row r="2438">
          <cell r="Q2438" t="str">
            <v/>
          </cell>
        </row>
        <row r="2439">
          <cell r="Q2439" t="str">
            <v/>
          </cell>
        </row>
        <row r="2440">
          <cell r="Q2440" t="str">
            <v/>
          </cell>
        </row>
        <row r="2441">
          <cell r="Q2441" t="str">
            <v/>
          </cell>
        </row>
        <row r="2442">
          <cell r="Q2442" t="str">
            <v/>
          </cell>
        </row>
        <row r="2443">
          <cell r="Q2443" t="str">
            <v/>
          </cell>
        </row>
        <row r="2444">
          <cell r="Q2444" t="str">
            <v/>
          </cell>
        </row>
        <row r="2445">
          <cell r="Q2445" t="str">
            <v/>
          </cell>
        </row>
        <row r="2446">
          <cell r="Q2446" t="str">
            <v/>
          </cell>
        </row>
        <row r="2447">
          <cell r="Q2447" t="str">
            <v/>
          </cell>
        </row>
        <row r="2448">
          <cell r="Q2448" t="str">
            <v/>
          </cell>
        </row>
        <row r="2449">
          <cell r="Q2449" t="str">
            <v/>
          </cell>
        </row>
        <row r="2450">
          <cell r="Q2450" t="str">
            <v/>
          </cell>
        </row>
        <row r="2451">
          <cell r="Q2451" t="str">
            <v/>
          </cell>
        </row>
        <row r="2452">
          <cell r="Q2452" t="str">
            <v/>
          </cell>
        </row>
        <row r="2453">
          <cell r="Q2453" t="str">
            <v/>
          </cell>
        </row>
        <row r="2454">
          <cell r="Q2454" t="str">
            <v/>
          </cell>
        </row>
        <row r="2455">
          <cell r="Q2455" t="str">
            <v/>
          </cell>
        </row>
        <row r="2456">
          <cell r="Q2456" t="str">
            <v/>
          </cell>
        </row>
        <row r="2457">
          <cell r="Q2457" t="str">
            <v/>
          </cell>
        </row>
        <row r="2458">
          <cell r="Q2458" t="str">
            <v/>
          </cell>
        </row>
        <row r="2459">
          <cell r="Q2459" t="str">
            <v/>
          </cell>
        </row>
        <row r="2460">
          <cell r="Q2460" t="str">
            <v/>
          </cell>
        </row>
        <row r="2461">
          <cell r="Q2461" t="str">
            <v/>
          </cell>
        </row>
        <row r="2462">
          <cell r="Q2462" t="str">
            <v/>
          </cell>
        </row>
        <row r="2463">
          <cell r="Q2463" t="str">
            <v/>
          </cell>
        </row>
        <row r="2464">
          <cell r="Q2464" t="str">
            <v/>
          </cell>
        </row>
        <row r="2465">
          <cell r="Q2465" t="str">
            <v/>
          </cell>
        </row>
        <row r="2466">
          <cell r="Q2466" t="str">
            <v/>
          </cell>
        </row>
        <row r="2467">
          <cell r="Q2467" t="str">
            <v/>
          </cell>
        </row>
        <row r="2468">
          <cell r="Q2468" t="str">
            <v/>
          </cell>
        </row>
        <row r="2469">
          <cell r="Q2469" t="str">
            <v/>
          </cell>
        </row>
        <row r="2470">
          <cell r="Q2470" t="str">
            <v/>
          </cell>
        </row>
        <row r="2471">
          <cell r="Q2471" t="str">
            <v/>
          </cell>
        </row>
        <row r="2472">
          <cell r="Q2472" t="str">
            <v/>
          </cell>
        </row>
        <row r="2473">
          <cell r="Q2473" t="str">
            <v/>
          </cell>
        </row>
        <row r="2474">
          <cell r="Q2474" t="str">
            <v/>
          </cell>
        </row>
        <row r="2475">
          <cell r="Q2475" t="str">
            <v/>
          </cell>
        </row>
        <row r="2476">
          <cell r="Q2476" t="str">
            <v/>
          </cell>
        </row>
        <row r="2477">
          <cell r="Q2477" t="str">
            <v/>
          </cell>
        </row>
        <row r="2478">
          <cell r="Q2478" t="str">
            <v/>
          </cell>
        </row>
        <row r="2479">
          <cell r="Q2479" t="str">
            <v/>
          </cell>
        </row>
        <row r="2480">
          <cell r="Q2480" t="str">
            <v/>
          </cell>
        </row>
        <row r="2481">
          <cell r="Q2481" t="str">
            <v/>
          </cell>
        </row>
        <row r="2482">
          <cell r="Q2482" t="str">
            <v/>
          </cell>
        </row>
        <row r="2483">
          <cell r="Q2483" t="str">
            <v/>
          </cell>
        </row>
        <row r="2484">
          <cell r="Q2484" t="str">
            <v/>
          </cell>
        </row>
        <row r="2485">
          <cell r="Q2485" t="str">
            <v/>
          </cell>
        </row>
        <row r="2486">
          <cell r="Q2486" t="str">
            <v/>
          </cell>
        </row>
        <row r="2487">
          <cell r="Q2487" t="str">
            <v/>
          </cell>
        </row>
        <row r="2488">
          <cell r="Q2488" t="str">
            <v/>
          </cell>
        </row>
        <row r="2489">
          <cell r="Q2489" t="str">
            <v/>
          </cell>
        </row>
        <row r="2490">
          <cell r="Q2490" t="str">
            <v/>
          </cell>
        </row>
        <row r="2491">
          <cell r="Q2491" t="str">
            <v/>
          </cell>
        </row>
        <row r="2492">
          <cell r="Q2492" t="str">
            <v/>
          </cell>
        </row>
        <row r="2493">
          <cell r="Q2493" t="str">
            <v/>
          </cell>
        </row>
        <row r="2494">
          <cell r="Q2494" t="str">
            <v/>
          </cell>
        </row>
        <row r="2495">
          <cell r="Q2495" t="str">
            <v/>
          </cell>
        </row>
        <row r="2496">
          <cell r="Q2496" t="str">
            <v/>
          </cell>
        </row>
        <row r="2497">
          <cell r="Q2497" t="str">
            <v/>
          </cell>
        </row>
        <row r="2498">
          <cell r="Q2498" t="str">
            <v/>
          </cell>
        </row>
        <row r="2499">
          <cell r="Q2499" t="str">
            <v/>
          </cell>
        </row>
        <row r="2500">
          <cell r="Q2500" t="str">
            <v/>
          </cell>
        </row>
        <row r="2501">
          <cell r="Q2501" t="str">
            <v/>
          </cell>
        </row>
        <row r="2502">
          <cell r="Q2502" t="str">
            <v/>
          </cell>
        </row>
        <row r="2503">
          <cell r="Q2503" t="str">
            <v/>
          </cell>
        </row>
        <row r="2504">
          <cell r="Q2504" t="str">
            <v/>
          </cell>
        </row>
        <row r="2505">
          <cell r="Q2505" t="str">
            <v/>
          </cell>
        </row>
        <row r="2506">
          <cell r="Q2506" t="str">
            <v/>
          </cell>
        </row>
        <row r="2507">
          <cell r="Q2507" t="str">
            <v/>
          </cell>
        </row>
        <row r="2508">
          <cell r="Q2508" t="str">
            <v/>
          </cell>
        </row>
        <row r="2509">
          <cell r="Q2509" t="str">
            <v/>
          </cell>
        </row>
        <row r="2510">
          <cell r="Q2510" t="str">
            <v/>
          </cell>
        </row>
        <row r="2511">
          <cell r="Q2511" t="str">
            <v/>
          </cell>
        </row>
        <row r="2512">
          <cell r="Q2512" t="str">
            <v/>
          </cell>
        </row>
        <row r="2513">
          <cell r="Q2513" t="str">
            <v/>
          </cell>
        </row>
        <row r="2514">
          <cell r="Q2514" t="str">
            <v/>
          </cell>
        </row>
        <row r="2515">
          <cell r="Q2515" t="str">
            <v/>
          </cell>
        </row>
        <row r="2516">
          <cell r="Q2516" t="str">
            <v/>
          </cell>
        </row>
        <row r="2517">
          <cell r="Q2517" t="str">
            <v/>
          </cell>
        </row>
        <row r="2518">
          <cell r="Q2518" t="str">
            <v/>
          </cell>
        </row>
        <row r="2519">
          <cell r="Q2519" t="str">
            <v/>
          </cell>
        </row>
        <row r="2520">
          <cell r="Q2520" t="str">
            <v/>
          </cell>
        </row>
        <row r="2521">
          <cell r="Q2521" t="str">
            <v/>
          </cell>
        </row>
        <row r="2522">
          <cell r="Q2522" t="str">
            <v/>
          </cell>
        </row>
        <row r="2523">
          <cell r="Q2523" t="str">
            <v/>
          </cell>
        </row>
        <row r="2524">
          <cell r="Q2524" t="str">
            <v/>
          </cell>
        </row>
        <row r="2525">
          <cell r="Q2525" t="str">
            <v/>
          </cell>
        </row>
        <row r="2526">
          <cell r="Q2526" t="str">
            <v/>
          </cell>
        </row>
        <row r="2527">
          <cell r="Q2527" t="str">
            <v/>
          </cell>
        </row>
        <row r="2528">
          <cell r="Q2528" t="str">
            <v/>
          </cell>
        </row>
        <row r="2529">
          <cell r="Q2529" t="str">
            <v/>
          </cell>
        </row>
        <row r="2530">
          <cell r="Q2530" t="str">
            <v/>
          </cell>
        </row>
        <row r="2531">
          <cell r="Q2531" t="str">
            <v/>
          </cell>
        </row>
        <row r="2532">
          <cell r="Q2532" t="str">
            <v/>
          </cell>
        </row>
        <row r="2533">
          <cell r="Q2533" t="str">
            <v/>
          </cell>
        </row>
        <row r="2534">
          <cell r="Q2534" t="str">
            <v/>
          </cell>
        </row>
        <row r="2535">
          <cell r="Q2535" t="str">
            <v/>
          </cell>
        </row>
        <row r="2536">
          <cell r="Q2536" t="str">
            <v/>
          </cell>
        </row>
        <row r="2537">
          <cell r="Q2537" t="str">
            <v/>
          </cell>
        </row>
        <row r="2538">
          <cell r="Q2538" t="str">
            <v/>
          </cell>
        </row>
        <row r="2539">
          <cell r="Q2539" t="str">
            <v/>
          </cell>
        </row>
        <row r="2540">
          <cell r="Q2540" t="str">
            <v/>
          </cell>
        </row>
        <row r="2541">
          <cell r="Q2541" t="str">
            <v/>
          </cell>
        </row>
        <row r="2542">
          <cell r="Q2542" t="str">
            <v/>
          </cell>
        </row>
        <row r="2543">
          <cell r="Q2543" t="str">
            <v/>
          </cell>
        </row>
        <row r="2544">
          <cell r="Q2544" t="str">
            <v/>
          </cell>
        </row>
        <row r="2545">
          <cell r="Q2545" t="str">
            <v/>
          </cell>
        </row>
        <row r="2546">
          <cell r="Q2546" t="str">
            <v/>
          </cell>
        </row>
        <row r="2547">
          <cell r="Q2547" t="str">
            <v/>
          </cell>
        </row>
        <row r="2548">
          <cell r="Q2548" t="str">
            <v/>
          </cell>
        </row>
        <row r="2549">
          <cell r="Q2549" t="str">
            <v/>
          </cell>
        </row>
        <row r="2550">
          <cell r="Q2550" t="str">
            <v/>
          </cell>
        </row>
        <row r="2551">
          <cell r="Q2551" t="str">
            <v/>
          </cell>
        </row>
        <row r="2552">
          <cell r="Q2552" t="str">
            <v/>
          </cell>
        </row>
        <row r="2553">
          <cell r="Q2553" t="str">
            <v/>
          </cell>
        </row>
        <row r="2554">
          <cell r="Q2554" t="str">
            <v/>
          </cell>
        </row>
        <row r="2555">
          <cell r="Q2555" t="str">
            <v/>
          </cell>
        </row>
        <row r="2556">
          <cell r="Q2556" t="str">
            <v/>
          </cell>
        </row>
        <row r="2557">
          <cell r="Q2557" t="str">
            <v/>
          </cell>
        </row>
        <row r="2558">
          <cell r="Q2558" t="str">
            <v/>
          </cell>
        </row>
        <row r="2559">
          <cell r="Q2559" t="str">
            <v/>
          </cell>
        </row>
        <row r="2560">
          <cell r="Q2560" t="str">
            <v/>
          </cell>
        </row>
        <row r="2561">
          <cell r="Q2561" t="str">
            <v/>
          </cell>
        </row>
        <row r="2562">
          <cell r="Q2562" t="str">
            <v/>
          </cell>
        </row>
        <row r="2563">
          <cell r="Q2563" t="str">
            <v/>
          </cell>
        </row>
        <row r="2564">
          <cell r="Q2564" t="str">
            <v/>
          </cell>
        </row>
        <row r="2565">
          <cell r="Q2565" t="str">
            <v/>
          </cell>
        </row>
        <row r="2566">
          <cell r="Q2566" t="str">
            <v/>
          </cell>
        </row>
        <row r="2567">
          <cell r="Q2567" t="str">
            <v/>
          </cell>
        </row>
        <row r="2568">
          <cell r="Q2568" t="str">
            <v/>
          </cell>
        </row>
        <row r="2569">
          <cell r="Q2569" t="str">
            <v/>
          </cell>
        </row>
        <row r="2570">
          <cell r="Q2570" t="str">
            <v/>
          </cell>
        </row>
        <row r="2571">
          <cell r="Q2571" t="str">
            <v/>
          </cell>
        </row>
        <row r="2572">
          <cell r="Q2572" t="str">
            <v/>
          </cell>
        </row>
        <row r="2573">
          <cell r="Q2573" t="str">
            <v/>
          </cell>
        </row>
        <row r="2574">
          <cell r="Q2574" t="str">
            <v/>
          </cell>
        </row>
        <row r="2575">
          <cell r="Q2575" t="str">
            <v/>
          </cell>
        </row>
        <row r="2576">
          <cell r="Q2576" t="str">
            <v/>
          </cell>
        </row>
        <row r="2577">
          <cell r="Q2577" t="str">
            <v/>
          </cell>
        </row>
        <row r="2578">
          <cell r="Q2578" t="str">
            <v/>
          </cell>
        </row>
        <row r="2579">
          <cell r="Q2579" t="str">
            <v/>
          </cell>
        </row>
        <row r="2580">
          <cell r="Q2580" t="str">
            <v/>
          </cell>
        </row>
        <row r="2581">
          <cell r="Q2581" t="str">
            <v/>
          </cell>
        </row>
        <row r="2582">
          <cell r="Q2582" t="str">
            <v/>
          </cell>
        </row>
        <row r="2583">
          <cell r="Q2583" t="str">
            <v/>
          </cell>
        </row>
        <row r="2584">
          <cell r="Q2584" t="str">
            <v/>
          </cell>
        </row>
        <row r="2585">
          <cell r="Q2585" t="str">
            <v/>
          </cell>
        </row>
        <row r="2586">
          <cell r="Q2586" t="str">
            <v/>
          </cell>
        </row>
        <row r="2587">
          <cell r="Q2587" t="str">
            <v/>
          </cell>
        </row>
        <row r="2588">
          <cell r="Q2588" t="str">
            <v/>
          </cell>
        </row>
        <row r="2589">
          <cell r="Q2589" t="str">
            <v/>
          </cell>
        </row>
        <row r="2590">
          <cell r="Q2590" t="str">
            <v/>
          </cell>
        </row>
        <row r="2591">
          <cell r="Q2591" t="str">
            <v/>
          </cell>
        </row>
        <row r="2592">
          <cell r="Q2592" t="str">
            <v/>
          </cell>
        </row>
        <row r="2593">
          <cell r="Q2593" t="str">
            <v/>
          </cell>
        </row>
        <row r="2594">
          <cell r="Q2594" t="str">
            <v/>
          </cell>
        </row>
        <row r="2595">
          <cell r="Q2595" t="str">
            <v/>
          </cell>
        </row>
        <row r="2596">
          <cell r="Q2596" t="str">
            <v/>
          </cell>
        </row>
        <row r="2597">
          <cell r="Q2597" t="str">
            <v/>
          </cell>
        </row>
        <row r="2598">
          <cell r="Q2598" t="str">
            <v/>
          </cell>
        </row>
        <row r="2599">
          <cell r="Q2599" t="str">
            <v/>
          </cell>
        </row>
        <row r="2600">
          <cell r="Q2600" t="str">
            <v/>
          </cell>
        </row>
        <row r="2601">
          <cell r="Q2601" t="str">
            <v/>
          </cell>
        </row>
        <row r="2602">
          <cell r="Q2602" t="str">
            <v/>
          </cell>
        </row>
        <row r="2603">
          <cell r="Q2603" t="str">
            <v/>
          </cell>
        </row>
        <row r="2604">
          <cell r="Q2604" t="str">
            <v/>
          </cell>
        </row>
        <row r="2605">
          <cell r="Q2605" t="str">
            <v/>
          </cell>
        </row>
        <row r="2606">
          <cell r="Q2606" t="str">
            <v/>
          </cell>
        </row>
        <row r="2607">
          <cell r="Q2607" t="str">
            <v/>
          </cell>
        </row>
        <row r="2608">
          <cell r="Q2608" t="str">
            <v/>
          </cell>
        </row>
        <row r="2609">
          <cell r="Q2609" t="str">
            <v/>
          </cell>
        </row>
        <row r="2610">
          <cell r="Q2610" t="str">
            <v/>
          </cell>
        </row>
        <row r="2611">
          <cell r="Q2611" t="str">
            <v/>
          </cell>
        </row>
        <row r="2612">
          <cell r="Q2612" t="str">
            <v/>
          </cell>
        </row>
        <row r="2613">
          <cell r="Q2613" t="str">
            <v/>
          </cell>
        </row>
        <row r="2614">
          <cell r="Q2614" t="str">
            <v/>
          </cell>
        </row>
        <row r="2615">
          <cell r="Q2615" t="str">
            <v/>
          </cell>
        </row>
        <row r="2616">
          <cell r="Q2616" t="str">
            <v/>
          </cell>
        </row>
        <row r="2617">
          <cell r="Q2617" t="str">
            <v/>
          </cell>
        </row>
        <row r="2618">
          <cell r="Q2618" t="str">
            <v/>
          </cell>
        </row>
        <row r="2619">
          <cell r="Q2619" t="str">
            <v/>
          </cell>
        </row>
        <row r="2620">
          <cell r="Q2620" t="str">
            <v/>
          </cell>
        </row>
        <row r="2621">
          <cell r="Q2621" t="str">
            <v/>
          </cell>
        </row>
        <row r="2622">
          <cell r="Q2622" t="str">
            <v/>
          </cell>
        </row>
        <row r="2623">
          <cell r="Q2623" t="str">
            <v/>
          </cell>
        </row>
        <row r="2624">
          <cell r="Q2624" t="str">
            <v/>
          </cell>
        </row>
        <row r="2625">
          <cell r="Q2625" t="str">
            <v/>
          </cell>
        </row>
        <row r="2626">
          <cell r="Q2626" t="str">
            <v/>
          </cell>
        </row>
        <row r="2627">
          <cell r="Q2627" t="str">
            <v/>
          </cell>
        </row>
        <row r="2628">
          <cell r="Q2628" t="str">
            <v/>
          </cell>
        </row>
        <row r="2629">
          <cell r="Q2629" t="str">
            <v/>
          </cell>
        </row>
        <row r="2630">
          <cell r="Q2630" t="str">
            <v/>
          </cell>
        </row>
        <row r="2631">
          <cell r="Q2631" t="str">
            <v/>
          </cell>
        </row>
        <row r="2632">
          <cell r="Q2632" t="str">
            <v/>
          </cell>
        </row>
        <row r="2633">
          <cell r="Q2633" t="str">
            <v/>
          </cell>
        </row>
        <row r="2634">
          <cell r="Q2634" t="str">
            <v/>
          </cell>
        </row>
        <row r="2635">
          <cell r="Q2635" t="str">
            <v/>
          </cell>
        </row>
        <row r="2636">
          <cell r="Q2636" t="str">
            <v/>
          </cell>
        </row>
        <row r="2637">
          <cell r="Q2637" t="str">
            <v/>
          </cell>
        </row>
        <row r="2638">
          <cell r="Q2638" t="str">
            <v/>
          </cell>
        </row>
        <row r="2639">
          <cell r="Q2639" t="str">
            <v/>
          </cell>
        </row>
        <row r="2640">
          <cell r="Q2640" t="str">
            <v/>
          </cell>
        </row>
        <row r="2641">
          <cell r="Q2641" t="str">
            <v/>
          </cell>
        </row>
        <row r="2642">
          <cell r="Q2642" t="str">
            <v/>
          </cell>
        </row>
        <row r="2643">
          <cell r="Q2643" t="str">
            <v/>
          </cell>
        </row>
        <row r="2644">
          <cell r="Q2644" t="str">
            <v/>
          </cell>
        </row>
        <row r="2645">
          <cell r="Q2645" t="str">
            <v/>
          </cell>
        </row>
        <row r="2646">
          <cell r="Q2646" t="str">
            <v/>
          </cell>
        </row>
        <row r="2647">
          <cell r="Q2647" t="str">
            <v/>
          </cell>
        </row>
        <row r="2648">
          <cell r="Q2648" t="str">
            <v/>
          </cell>
        </row>
        <row r="2649">
          <cell r="Q2649" t="str">
            <v/>
          </cell>
        </row>
        <row r="2650">
          <cell r="Q2650" t="str">
            <v/>
          </cell>
        </row>
        <row r="2651">
          <cell r="Q2651" t="str">
            <v/>
          </cell>
        </row>
        <row r="2652">
          <cell r="Q2652" t="str">
            <v/>
          </cell>
        </row>
        <row r="2653">
          <cell r="Q2653" t="str">
            <v/>
          </cell>
        </row>
        <row r="2654">
          <cell r="Q2654" t="str">
            <v/>
          </cell>
        </row>
        <row r="2655">
          <cell r="Q2655" t="str">
            <v/>
          </cell>
        </row>
        <row r="2656">
          <cell r="Q2656" t="str">
            <v/>
          </cell>
        </row>
        <row r="2657">
          <cell r="Q2657" t="str">
            <v/>
          </cell>
        </row>
        <row r="2658">
          <cell r="Q2658" t="str">
            <v/>
          </cell>
        </row>
        <row r="2659">
          <cell r="Q2659" t="str">
            <v/>
          </cell>
        </row>
        <row r="2660">
          <cell r="Q2660" t="str">
            <v/>
          </cell>
        </row>
        <row r="2661">
          <cell r="Q2661" t="str">
            <v/>
          </cell>
        </row>
        <row r="2662">
          <cell r="Q2662" t="str">
            <v/>
          </cell>
        </row>
        <row r="2663">
          <cell r="Q2663" t="str">
            <v/>
          </cell>
        </row>
        <row r="2664">
          <cell r="Q2664" t="str">
            <v/>
          </cell>
        </row>
        <row r="2665">
          <cell r="Q2665" t="str">
            <v/>
          </cell>
        </row>
        <row r="2666">
          <cell r="Q2666" t="str">
            <v/>
          </cell>
        </row>
        <row r="2667">
          <cell r="Q2667" t="str">
            <v/>
          </cell>
        </row>
        <row r="2668">
          <cell r="Q2668" t="str">
            <v/>
          </cell>
        </row>
        <row r="2669">
          <cell r="Q2669" t="str">
            <v/>
          </cell>
        </row>
        <row r="2670">
          <cell r="Q2670" t="str">
            <v/>
          </cell>
        </row>
        <row r="2671">
          <cell r="Q2671" t="str">
            <v/>
          </cell>
        </row>
        <row r="2672">
          <cell r="Q2672" t="str">
            <v/>
          </cell>
        </row>
        <row r="2673">
          <cell r="Q2673" t="str">
            <v/>
          </cell>
        </row>
        <row r="2674">
          <cell r="Q2674" t="str">
            <v/>
          </cell>
        </row>
        <row r="2675">
          <cell r="Q2675" t="str">
            <v/>
          </cell>
        </row>
        <row r="2676">
          <cell r="Q2676" t="str">
            <v/>
          </cell>
        </row>
        <row r="2677">
          <cell r="Q2677" t="str">
            <v/>
          </cell>
        </row>
        <row r="2678">
          <cell r="Q2678" t="str">
            <v/>
          </cell>
        </row>
        <row r="2679">
          <cell r="Q2679" t="str">
            <v/>
          </cell>
        </row>
        <row r="2680">
          <cell r="Q2680" t="str">
            <v/>
          </cell>
        </row>
        <row r="2681">
          <cell r="Q2681" t="str">
            <v/>
          </cell>
        </row>
        <row r="2682">
          <cell r="Q2682" t="str">
            <v/>
          </cell>
        </row>
        <row r="2683">
          <cell r="Q2683" t="str">
            <v/>
          </cell>
        </row>
        <row r="2684">
          <cell r="Q2684" t="str">
            <v/>
          </cell>
        </row>
        <row r="2685">
          <cell r="Q2685" t="str">
            <v/>
          </cell>
        </row>
        <row r="2686">
          <cell r="Q2686" t="str">
            <v/>
          </cell>
        </row>
        <row r="2687">
          <cell r="Q2687" t="str">
            <v/>
          </cell>
        </row>
        <row r="2688">
          <cell r="Q2688" t="str">
            <v/>
          </cell>
        </row>
        <row r="2689">
          <cell r="Q2689" t="str">
            <v/>
          </cell>
        </row>
        <row r="2690">
          <cell r="Q2690" t="str">
            <v/>
          </cell>
        </row>
        <row r="2691">
          <cell r="Q2691" t="str">
            <v/>
          </cell>
        </row>
        <row r="2692">
          <cell r="Q2692" t="str">
            <v/>
          </cell>
        </row>
        <row r="2693">
          <cell r="Q2693" t="str">
            <v/>
          </cell>
        </row>
        <row r="2694">
          <cell r="Q2694" t="str">
            <v/>
          </cell>
        </row>
        <row r="2695">
          <cell r="Q2695" t="str">
            <v/>
          </cell>
        </row>
        <row r="2696">
          <cell r="Q2696" t="str">
            <v/>
          </cell>
        </row>
        <row r="2697">
          <cell r="Q2697" t="str">
            <v/>
          </cell>
        </row>
        <row r="2698">
          <cell r="Q2698" t="str">
            <v/>
          </cell>
        </row>
        <row r="2699">
          <cell r="Q2699" t="str">
            <v/>
          </cell>
        </row>
        <row r="2700">
          <cell r="Q2700" t="str">
            <v/>
          </cell>
        </row>
        <row r="2701">
          <cell r="Q2701" t="str">
            <v/>
          </cell>
        </row>
        <row r="2702">
          <cell r="Q2702" t="str">
            <v/>
          </cell>
        </row>
        <row r="2703">
          <cell r="Q2703" t="str">
            <v/>
          </cell>
        </row>
        <row r="2704">
          <cell r="Q2704" t="str">
            <v/>
          </cell>
        </row>
        <row r="2705">
          <cell r="Q2705" t="str">
            <v/>
          </cell>
        </row>
        <row r="2706">
          <cell r="Q2706" t="str">
            <v/>
          </cell>
        </row>
        <row r="2707">
          <cell r="Q2707" t="str">
            <v/>
          </cell>
        </row>
        <row r="2708">
          <cell r="Q2708" t="str">
            <v/>
          </cell>
        </row>
        <row r="2709">
          <cell r="Q2709" t="str">
            <v/>
          </cell>
        </row>
        <row r="2710">
          <cell r="Q2710" t="str">
            <v/>
          </cell>
        </row>
        <row r="2711">
          <cell r="Q2711" t="str">
            <v/>
          </cell>
        </row>
        <row r="2712">
          <cell r="Q2712" t="str">
            <v/>
          </cell>
        </row>
        <row r="2713">
          <cell r="Q2713" t="str">
            <v/>
          </cell>
        </row>
        <row r="2714">
          <cell r="Q2714" t="str">
            <v/>
          </cell>
        </row>
        <row r="2715">
          <cell r="Q2715" t="str">
            <v/>
          </cell>
        </row>
        <row r="2716">
          <cell r="Q2716" t="str">
            <v/>
          </cell>
        </row>
        <row r="2717">
          <cell r="Q2717" t="str">
            <v/>
          </cell>
        </row>
        <row r="2718">
          <cell r="Q2718" t="str">
            <v/>
          </cell>
        </row>
        <row r="2719">
          <cell r="Q2719" t="str">
            <v/>
          </cell>
        </row>
        <row r="2720">
          <cell r="Q2720" t="str">
            <v/>
          </cell>
        </row>
        <row r="2721">
          <cell r="Q2721" t="str">
            <v/>
          </cell>
        </row>
        <row r="2722">
          <cell r="Q2722" t="str">
            <v/>
          </cell>
        </row>
        <row r="2723">
          <cell r="Q2723" t="str">
            <v/>
          </cell>
        </row>
        <row r="2724">
          <cell r="Q2724" t="str">
            <v/>
          </cell>
        </row>
        <row r="2725">
          <cell r="Q2725" t="str">
            <v/>
          </cell>
        </row>
        <row r="2726">
          <cell r="Q2726" t="str">
            <v/>
          </cell>
        </row>
        <row r="2727">
          <cell r="Q2727" t="str">
            <v/>
          </cell>
        </row>
        <row r="2728">
          <cell r="Q2728" t="str">
            <v/>
          </cell>
        </row>
        <row r="2729">
          <cell r="Q2729" t="str">
            <v/>
          </cell>
        </row>
        <row r="2730">
          <cell r="Q2730" t="str">
            <v/>
          </cell>
        </row>
        <row r="2731">
          <cell r="Q2731" t="str">
            <v/>
          </cell>
        </row>
        <row r="2732">
          <cell r="Q2732" t="str">
            <v/>
          </cell>
        </row>
        <row r="2733">
          <cell r="Q2733" t="str">
            <v/>
          </cell>
        </row>
        <row r="2734">
          <cell r="Q2734" t="str">
            <v/>
          </cell>
        </row>
        <row r="2735">
          <cell r="Q2735" t="str">
            <v/>
          </cell>
        </row>
        <row r="2736">
          <cell r="Q2736" t="str">
            <v/>
          </cell>
        </row>
        <row r="2737">
          <cell r="Q2737" t="str">
            <v/>
          </cell>
        </row>
        <row r="2738">
          <cell r="Q2738" t="str">
            <v/>
          </cell>
        </row>
        <row r="2739">
          <cell r="Q2739" t="str">
            <v/>
          </cell>
        </row>
        <row r="2740">
          <cell r="Q2740" t="str">
            <v/>
          </cell>
        </row>
        <row r="2741">
          <cell r="Q2741" t="str">
            <v/>
          </cell>
        </row>
        <row r="2742">
          <cell r="Q2742" t="str">
            <v/>
          </cell>
        </row>
        <row r="2743">
          <cell r="Q2743" t="str">
            <v/>
          </cell>
        </row>
        <row r="2744">
          <cell r="Q2744" t="str">
            <v/>
          </cell>
        </row>
        <row r="2745">
          <cell r="Q2745" t="str">
            <v/>
          </cell>
        </row>
        <row r="2746">
          <cell r="Q2746" t="str">
            <v/>
          </cell>
        </row>
        <row r="2747">
          <cell r="Q2747" t="str">
            <v/>
          </cell>
        </row>
        <row r="2748">
          <cell r="Q2748" t="str">
            <v/>
          </cell>
        </row>
        <row r="2749">
          <cell r="Q2749" t="str">
            <v/>
          </cell>
        </row>
        <row r="2750">
          <cell r="Q2750" t="str">
            <v/>
          </cell>
        </row>
        <row r="2751">
          <cell r="Q2751" t="str">
            <v/>
          </cell>
        </row>
        <row r="2752">
          <cell r="Q2752" t="str">
            <v/>
          </cell>
        </row>
        <row r="2753">
          <cell r="Q2753" t="str">
            <v/>
          </cell>
        </row>
        <row r="2754">
          <cell r="Q2754" t="str">
            <v/>
          </cell>
        </row>
        <row r="2755">
          <cell r="Q2755" t="str">
            <v/>
          </cell>
        </row>
        <row r="2756">
          <cell r="Q2756" t="str">
            <v/>
          </cell>
        </row>
        <row r="2757">
          <cell r="Q2757" t="str">
            <v/>
          </cell>
        </row>
        <row r="2758">
          <cell r="Q2758" t="str">
            <v/>
          </cell>
        </row>
        <row r="2759">
          <cell r="Q2759" t="str">
            <v/>
          </cell>
        </row>
        <row r="2760">
          <cell r="Q2760" t="str">
            <v/>
          </cell>
        </row>
        <row r="2761">
          <cell r="Q2761" t="str">
            <v/>
          </cell>
        </row>
        <row r="2762">
          <cell r="Q2762" t="str">
            <v/>
          </cell>
        </row>
        <row r="2763">
          <cell r="Q2763" t="str">
            <v/>
          </cell>
        </row>
        <row r="2764">
          <cell r="Q2764" t="str">
            <v/>
          </cell>
        </row>
        <row r="2765">
          <cell r="Q2765" t="str">
            <v/>
          </cell>
        </row>
        <row r="2766">
          <cell r="Q2766" t="str">
            <v/>
          </cell>
        </row>
        <row r="2767">
          <cell r="Q2767" t="str">
            <v/>
          </cell>
        </row>
        <row r="2768">
          <cell r="Q2768" t="str">
            <v/>
          </cell>
        </row>
        <row r="2769">
          <cell r="Q2769" t="str">
            <v/>
          </cell>
        </row>
        <row r="2770">
          <cell r="Q2770" t="str">
            <v/>
          </cell>
        </row>
        <row r="2771">
          <cell r="Q2771" t="str">
            <v/>
          </cell>
        </row>
        <row r="2772">
          <cell r="Q2772" t="str">
            <v/>
          </cell>
        </row>
        <row r="2773">
          <cell r="Q2773" t="str">
            <v/>
          </cell>
        </row>
        <row r="2774">
          <cell r="Q2774" t="str">
            <v/>
          </cell>
        </row>
        <row r="2775">
          <cell r="Q2775" t="str">
            <v/>
          </cell>
        </row>
        <row r="2776">
          <cell r="Q2776" t="str">
            <v/>
          </cell>
        </row>
        <row r="2777">
          <cell r="Q2777" t="str">
            <v/>
          </cell>
        </row>
        <row r="2778">
          <cell r="Q2778" t="str">
            <v/>
          </cell>
        </row>
        <row r="2779">
          <cell r="Q2779" t="str">
            <v/>
          </cell>
        </row>
        <row r="2780">
          <cell r="Q2780" t="str">
            <v/>
          </cell>
        </row>
        <row r="2781">
          <cell r="Q2781" t="str">
            <v/>
          </cell>
        </row>
        <row r="2782">
          <cell r="Q2782" t="str">
            <v/>
          </cell>
        </row>
        <row r="2783">
          <cell r="Q2783" t="str">
            <v/>
          </cell>
        </row>
        <row r="2784">
          <cell r="Q2784" t="str">
            <v/>
          </cell>
        </row>
        <row r="2785">
          <cell r="Q2785" t="str">
            <v/>
          </cell>
        </row>
        <row r="2786">
          <cell r="Q2786" t="str">
            <v/>
          </cell>
        </row>
        <row r="2787">
          <cell r="Q2787" t="str">
            <v/>
          </cell>
        </row>
        <row r="2788">
          <cell r="Q2788" t="str">
            <v/>
          </cell>
        </row>
        <row r="2789">
          <cell r="Q2789" t="str">
            <v/>
          </cell>
        </row>
        <row r="2790">
          <cell r="Q2790" t="str">
            <v/>
          </cell>
        </row>
        <row r="2791">
          <cell r="Q2791" t="str">
            <v/>
          </cell>
        </row>
        <row r="2792">
          <cell r="Q2792" t="str">
            <v/>
          </cell>
        </row>
        <row r="2793">
          <cell r="Q2793" t="str">
            <v/>
          </cell>
        </row>
        <row r="2794">
          <cell r="Q2794" t="str">
            <v/>
          </cell>
        </row>
        <row r="2795">
          <cell r="Q2795" t="str">
            <v/>
          </cell>
        </row>
        <row r="2796">
          <cell r="Q2796" t="str">
            <v/>
          </cell>
        </row>
        <row r="2797">
          <cell r="Q2797" t="str">
            <v/>
          </cell>
        </row>
        <row r="2798">
          <cell r="Q2798" t="str">
            <v/>
          </cell>
        </row>
        <row r="2799">
          <cell r="Q2799" t="str">
            <v/>
          </cell>
        </row>
        <row r="2800">
          <cell r="Q2800" t="str">
            <v/>
          </cell>
        </row>
        <row r="2801">
          <cell r="Q2801" t="str">
            <v/>
          </cell>
        </row>
        <row r="2802">
          <cell r="Q2802" t="str">
            <v/>
          </cell>
        </row>
        <row r="2803">
          <cell r="Q2803" t="str">
            <v/>
          </cell>
        </row>
        <row r="2804">
          <cell r="Q2804" t="str">
            <v/>
          </cell>
        </row>
        <row r="2805">
          <cell r="Q2805" t="str">
            <v/>
          </cell>
        </row>
        <row r="2806">
          <cell r="Q2806" t="str">
            <v/>
          </cell>
        </row>
        <row r="2807">
          <cell r="Q2807" t="str">
            <v/>
          </cell>
        </row>
        <row r="2808">
          <cell r="Q2808" t="str">
            <v/>
          </cell>
        </row>
        <row r="2809">
          <cell r="Q2809" t="str">
            <v/>
          </cell>
        </row>
        <row r="2810">
          <cell r="Q2810" t="str">
            <v/>
          </cell>
        </row>
        <row r="2811">
          <cell r="Q2811" t="str">
            <v/>
          </cell>
        </row>
        <row r="2812">
          <cell r="Q2812" t="str">
            <v/>
          </cell>
        </row>
        <row r="2813">
          <cell r="Q2813" t="str">
            <v/>
          </cell>
        </row>
        <row r="2814">
          <cell r="Q2814" t="str">
            <v/>
          </cell>
        </row>
        <row r="2815">
          <cell r="Q2815" t="str">
            <v/>
          </cell>
        </row>
        <row r="2816">
          <cell r="Q2816" t="str">
            <v/>
          </cell>
        </row>
        <row r="2817">
          <cell r="Q2817" t="str">
            <v/>
          </cell>
        </row>
        <row r="2818">
          <cell r="Q2818" t="str">
            <v/>
          </cell>
        </row>
        <row r="2819">
          <cell r="Q2819" t="str">
            <v/>
          </cell>
        </row>
        <row r="2820">
          <cell r="Q2820" t="str">
            <v/>
          </cell>
        </row>
        <row r="2821">
          <cell r="Q2821" t="str">
            <v/>
          </cell>
        </row>
        <row r="2822">
          <cell r="Q2822" t="str">
            <v/>
          </cell>
        </row>
        <row r="2823">
          <cell r="Q2823" t="str">
            <v/>
          </cell>
        </row>
        <row r="2824">
          <cell r="Q2824" t="str">
            <v/>
          </cell>
        </row>
        <row r="2825">
          <cell r="Q2825" t="str">
            <v/>
          </cell>
        </row>
        <row r="2826">
          <cell r="Q2826" t="str">
            <v/>
          </cell>
        </row>
        <row r="2827">
          <cell r="Q2827" t="str">
            <v/>
          </cell>
        </row>
        <row r="2828">
          <cell r="Q2828" t="str">
            <v/>
          </cell>
        </row>
        <row r="2829">
          <cell r="Q2829" t="str">
            <v/>
          </cell>
        </row>
        <row r="2830">
          <cell r="Q2830" t="str">
            <v/>
          </cell>
        </row>
        <row r="2831">
          <cell r="Q2831" t="str">
            <v/>
          </cell>
        </row>
        <row r="2832">
          <cell r="Q2832" t="str">
            <v/>
          </cell>
        </row>
        <row r="2833">
          <cell r="Q2833" t="str">
            <v/>
          </cell>
        </row>
        <row r="2834">
          <cell r="Q2834" t="str">
            <v/>
          </cell>
        </row>
        <row r="2835">
          <cell r="Q2835" t="str">
            <v/>
          </cell>
        </row>
        <row r="2836">
          <cell r="Q2836" t="str">
            <v/>
          </cell>
        </row>
        <row r="2837">
          <cell r="Q2837" t="str">
            <v/>
          </cell>
        </row>
        <row r="2838">
          <cell r="Q2838" t="str">
            <v/>
          </cell>
        </row>
        <row r="2839">
          <cell r="Q2839" t="str">
            <v/>
          </cell>
        </row>
        <row r="2840">
          <cell r="Q2840" t="str">
            <v/>
          </cell>
        </row>
        <row r="2841">
          <cell r="Q2841" t="str">
            <v/>
          </cell>
        </row>
        <row r="2842">
          <cell r="Q2842" t="str">
            <v/>
          </cell>
        </row>
        <row r="2843">
          <cell r="Q2843" t="str">
            <v/>
          </cell>
        </row>
        <row r="2844">
          <cell r="Q2844" t="str">
            <v/>
          </cell>
        </row>
        <row r="2845">
          <cell r="Q2845" t="str">
            <v/>
          </cell>
        </row>
        <row r="2846">
          <cell r="Q2846" t="str">
            <v/>
          </cell>
        </row>
        <row r="2847">
          <cell r="Q2847" t="str">
            <v/>
          </cell>
        </row>
        <row r="2848">
          <cell r="Q2848" t="str">
            <v/>
          </cell>
        </row>
        <row r="2849">
          <cell r="Q2849" t="str">
            <v/>
          </cell>
        </row>
        <row r="2850">
          <cell r="Q2850" t="str">
            <v/>
          </cell>
        </row>
        <row r="2851">
          <cell r="Q2851" t="str">
            <v/>
          </cell>
        </row>
        <row r="2852">
          <cell r="Q2852" t="str">
            <v/>
          </cell>
        </row>
        <row r="2853">
          <cell r="Q2853" t="str">
            <v/>
          </cell>
        </row>
        <row r="2854">
          <cell r="Q2854" t="str">
            <v/>
          </cell>
        </row>
        <row r="2855">
          <cell r="Q2855" t="str">
            <v/>
          </cell>
        </row>
        <row r="2856">
          <cell r="Q2856" t="str">
            <v/>
          </cell>
        </row>
        <row r="2857">
          <cell r="Q2857" t="str">
            <v/>
          </cell>
        </row>
        <row r="2858">
          <cell r="Q2858" t="str">
            <v/>
          </cell>
        </row>
        <row r="2859">
          <cell r="Q2859" t="str">
            <v/>
          </cell>
        </row>
        <row r="2860">
          <cell r="Q2860" t="str">
            <v/>
          </cell>
        </row>
        <row r="2861">
          <cell r="Q2861" t="str">
            <v/>
          </cell>
        </row>
        <row r="2862">
          <cell r="Q2862" t="str">
            <v/>
          </cell>
        </row>
        <row r="2863">
          <cell r="Q2863" t="str">
            <v/>
          </cell>
        </row>
        <row r="2864">
          <cell r="Q2864" t="str">
            <v/>
          </cell>
        </row>
        <row r="2865">
          <cell r="Q2865" t="str">
            <v/>
          </cell>
        </row>
        <row r="2866">
          <cell r="Q2866" t="str">
            <v/>
          </cell>
        </row>
        <row r="2867">
          <cell r="Q2867" t="str">
            <v/>
          </cell>
        </row>
        <row r="2868">
          <cell r="Q2868" t="str">
            <v/>
          </cell>
        </row>
        <row r="2869">
          <cell r="Q2869" t="str">
            <v/>
          </cell>
        </row>
        <row r="2870">
          <cell r="Q2870" t="str">
            <v/>
          </cell>
        </row>
        <row r="2871">
          <cell r="Q2871" t="str">
            <v/>
          </cell>
        </row>
        <row r="2872">
          <cell r="Q2872" t="str">
            <v/>
          </cell>
        </row>
        <row r="2873">
          <cell r="Q2873" t="str">
            <v/>
          </cell>
        </row>
        <row r="2874">
          <cell r="Q2874" t="str">
            <v/>
          </cell>
        </row>
        <row r="2875">
          <cell r="Q2875" t="str">
            <v/>
          </cell>
        </row>
        <row r="2876">
          <cell r="Q2876" t="str">
            <v/>
          </cell>
        </row>
        <row r="2877">
          <cell r="Q2877" t="str">
            <v/>
          </cell>
        </row>
        <row r="2878">
          <cell r="Q2878" t="str">
            <v/>
          </cell>
        </row>
        <row r="2879">
          <cell r="Q2879" t="str">
            <v/>
          </cell>
        </row>
        <row r="2880">
          <cell r="Q2880" t="str">
            <v/>
          </cell>
        </row>
        <row r="2881">
          <cell r="Q2881" t="str">
            <v/>
          </cell>
        </row>
        <row r="2882">
          <cell r="Q2882" t="str">
            <v/>
          </cell>
        </row>
        <row r="2883">
          <cell r="Q2883" t="str">
            <v/>
          </cell>
        </row>
        <row r="2884">
          <cell r="Q2884" t="str">
            <v/>
          </cell>
        </row>
        <row r="2885">
          <cell r="Q2885" t="str">
            <v/>
          </cell>
        </row>
        <row r="2886">
          <cell r="Q2886" t="str">
            <v/>
          </cell>
        </row>
        <row r="2887">
          <cell r="Q2887" t="str">
            <v/>
          </cell>
        </row>
        <row r="2888">
          <cell r="Q2888" t="str">
            <v/>
          </cell>
        </row>
        <row r="2889">
          <cell r="Q2889" t="str">
            <v/>
          </cell>
        </row>
        <row r="2890">
          <cell r="Q2890" t="str">
            <v/>
          </cell>
        </row>
        <row r="2891">
          <cell r="Q2891" t="str">
            <v/>
          </cell>
        </row>
        <row r="2892">
          <cell r="Q2892" t="str">
            <v/>
          </cell>
        </row>
        <row r="2893">
          <cell r="Q2893" t="str">
            <v/>
          </cell>
        </row>
        <row r="2894">
          <cell r="Q2894" t="str">
            <v/>
          </cell>
        </row>
        <row r="2895">
          <cell r="Q2895" t="str">
            <v/>
          </cell>
        </row>
        <row r="2896">
          <cell r="Q2896" t="str">
            <v/>
          </cell>
        </row>
        <row r="2897">
          <cell r="Q2897" t="str">
            <v/>
          </cell>
        </row>
        <row r="2898">
          <cell r="Q2898" t="str">
            <v/>
          </cell>
        </row>
        <row r="2899">
          <cell r="Q2899" t="str">
            <v/>
          </cell>
        </row>
        <row r="2900">
          <cell r="Q2900" t="str">
            <v/>
          </cell>
        </row>
        <row r="2901">
          <cell r="Q2901" t="str">
            <v/>
          </cell>
        </row>
        <row r="2902">
          <cell r="Q2902" t="str">
            <v/>
          </cell>
        </row>
        <row r="2903">
          <cell r="Q2903" t="str">
            <v/>
          </cell>
        </row>
        <row r="2904">
          <cell r="Q2904" t="str">
            <v/>
          </cell>
        </row>
        <row r="2905">
          <cell r="Q2905" t="str">
            <v/>
          </cell>
        </row>
        <row r="2906">
          <cell r="Q2906" t="str">
            <v/>
          </cell>
        </row>
        <row r="2907">
          <cell r="Q2907" t="str">
            <v/>
          </cell>
        </row>
        <row r="2908">
          <cell r="Q2908" t="str">
            <v/>
          </cell>
        </row>
        <row r="2909">
          <cell r="Q2909" t="str">
            <v/>
          </cell>
        </row>
        <row r="2910">
          <cell r="Q2910" t="str">
            <v/>
          </cell>
        </row>
        <row r="2911">
          <cell r="Q2911" t="str">
            <v/>
          </cell>
        </row>
        <row r="2912">
          <cell r="Q2912" t="str">
            <v/>
          </cell>
        </row>
        <row r="2913">
          <cell r="Q2913" t="str">
            <v/>
          </cell>
        </row>
        <row r="2914">
          <cell r="Q2914" t="str">
            <v/>
          </cell>
        </row>
        <row r="2915">
          <cell r="Q2915" t="str">
            <v/>
          </cell>
        </row>
        <row r="2916">
          <cell r="Q2916" t="str">
            <v/>
          </cell>
        </row>
        <row r="2917">
          <cell r="Q2917" t="str">
            <v/>
          </cell>
        </row>
        <row r="2918">
          <cell r="Q2918" t="str">
            <v/>
          </cell>
        </row>
        <row r="2919">
          <cell r="Q2919" t="str">
            <v/>
          </cell>
        </row>
        <row r="2920">
          <cell r="Q2920" t="str">
            <v/>
          </cell>
        </row>
        <row r="2921">
          <cell r="Q2921" t="str">
            <v/>
          </cell>
        </row>
        <row r="2922">
          <cell r="Q2922" t="str">
            <v/>
          </cell>
        </row>
        <row r="2923">
          <cell r="Q2923" t="str">
            <v/>
          </cell>
        </row>
        <row r="2924">
          <cell r="Q2924" t="str">
            <v/>
          </cell>
        </row>
        <row r="2925">
          <cell r="Q2925" t="str">
            <v/>
          </cell>
        </row>
        <row r="2926">
          <cell r="Q2926" t="str">
            <v/>
          </cell>
        </row>
        <row r="2927">
          <cell r="Q2927" t="str">
            <v/>
          </cell>
        </row>
        <row r="2928">
          <cell r="Q2928" t="str">
            <v/>
          </cell>
        </row>
        <row r="2929">
          <cell r="Q2929" t="str">
            <v/>
          </cell>
        </row>
        <row r="2930">
          <cell r="Q2930" t="str">
            <v/>
          </cell>
        </row>
        <row r="2931">
          <cell r="Q2931" t="str">
            <v/>
          </cell>
        </row>
        <row r="2932">
          <cell r="Q2932" t="str">
            <v/>
          </cell>
        </row>
        <row r="2933">
          <cell r="Q2933" t="str">
            <v/>
          </cell>
        </row>
        <row r="2934">
          <cell r="Q2934" t="str">
            <v/>
          </cell>
        </row>
        <row r="2935">
          <cell r="Q2935" t="str">
            <v/>
          </cell>
        </row>
        <row r="2936">
          <cell r="Q2936" t="str">
            <v/>
          </cell>
        </row>
        <row r="2937">
          <cell r="Q2937" t="str">
            <v/>
          </cell>
        </row>
        <row r="2938">
          <cell r="Q2938" t="str">
            <v/>
          </cell>
        </row>
        <row r="2939">
          <cell r="Q2939" t="str">
            <v/>
          </cell>
        </row>
        <row r="2940">
          <cell r="Q2940" t="str">
            <v/>
          </cell>
        </row>
        <row r="2941">
          <cell r="Q2941" t="str">
            <v/>
          </cell>
        </row>
        <row r="2942">
          <cell r="Q2942" t="str">
            <v/>
          </cell>
        </row>
        <row r="2943">
          <cell r="Q2943" t="str">
            <v/>
          </cell>
        </row>
        <row r="2944">
          <cell r="Q2944" t="str">
            <v/>
          </cell>
        </row>
        <row r="2945">
          <cell r="Q2945" t="str">
            <v/>
          </cell>
        </row>
        <row r="2946">
          <cell r="Q2946" t="str">
            <v/>
          </cell>
        </row>
        <row r="2947">
          <cell r="Q2947" t="str">
            <v/>
          </cell>
        </row>
        <row r="2948">
          <cell r="Q2948" t="str">
            <v/>
          </cell>
        </row>
        <row r="2949">
          <cell r="Q2949" t="str">
            <v/>
          </cell>
        </row>
        <row r="2950">
          <cell r="Q2950" t="str">
            <v/>
          </cell>
        </row>
        <row r="2951">
          <cell r="Q2951" t="str">
            <v/>
          </cell>
        </row>
        <row r="2952">
          <cell r="Q2952" t="str">
            <v/>
          </cell>
        </row>
        <row r="2953">
          <cell r="Q2953" t="str">
            <v/>
          </cell>
        </row>
        <row r="2954">
          <cell r="Q2954" t="str">
            <v/>
          </cell>
        </row>
        <row r="2955">
          <cell r="Q2955" t="str">
            <v/>
          </cell>
        </row>
        <row r="2956">
          <cell r="Q2956" t="str">
            <v/>
          </cell>
        </row>
        <row r="2957">
          <cell r="Q2957" t="str">
            <v/>
          </cell>
        </row>
        <row r="2958">
          <cell r="Q2958" t="str">
            <v/>
          </cell>
        </row>
        <row r="2959">
          <cell r="Q2959" t="str">
            <v/>
          </cell>
        </row>
        <row r="2960">
          <cell r="Q2960" t="str">
            <v/>
          </cell>
        </row>
        <row r="2961">
          <cell r="Q2961" t="str">
            <v/>
          </cell>
        </row>
        <row r="2962">
          <cell r="Q2962" t="str">
            <v/>
          </cell>
        </row>
        <row r="2963">
          <cell r="Q2963" t="str">
            <v/>
          </cell>
        </row>
        <row r="2964">
          <cell r="Q2964" t="str">
            <v/>
          </cell>
        </row>
        <row r="2965">
          <cell r="Q2965" t="str">
            <v/>
          </cell>
        </row>
        <row r="2966">
          <cell r="Q2966" t="str">
            <v/>
          </cell>
        </row>
        <row r="2967">
          <cell r="Q2967" t="str">
            <v/>
          </cell>
        </row>
        <row r="2968">
          <cell r="Q2968" t="str">
            <v/>
          </cell>
        </row>
        <row r="2969">
          <cell r="Q2969" t="str">
            <v/>
          </cell>
        </row>
        <row r="2970">
          <cell r="Q2970" t="str">
            <v/>
          </cell>
        </row>
        <row r="2971">
          <cell r="Q2971" t="str">
            <v/>
          </cell>
        </row>
        <row r="2972">
          <cell r="Q2972" t="str">
            <v/>
          </cell>
        </row>
        <row r="2973">
          <cell r="Q2973" t="str">
            <v/>
          </cell>
        </row>
        <row r="2974">
          <cell r="Q2974" t="str">
            <v/>
          </cell>
        </row>
        <row r="2975">
          <cell r="Q2975" t="str">
            <v/>
          </cell>
        </row>
        <row r="2976">
          <cell r="Q2976" t="str">
            <v/>
          </cell>
        </row>
        <row r="2977">
          <cell r="Q2977" t="str">
            <v/>
          </cell>
        </row>
        <row r="2978">
          <cell r="Q2978" t="str">
            <v/>
          </cell>
        </row>
        <row r="2979">
          <cell r="Q2979" t="str">
            <v/>
          </cell>
        </row>
        <row r="2980">
          <cell r="Q2980" t="str">
            <v/>
          </cell>
        </row>
        <row r="2981">
          <cell r="Q2981" t="str">
            <v/>
          </cell>
        </row>
        <row r="2982">
          <cell r="Q2982" t="str">
            <v/>
          </cell>
        </row>
        <row r="2983">
          <cell r="Q2983" t="str">
            <v/>
          </cell>
        </row>
        <row r="2984">
          <cell r="Q2984" t="str">
            <v/>
          </cell>
        </row>
        <row r="2985">
          <cell r="Q2985" t="str">
            <v/>
          </cell>
        </row>
        <row r="2986">
          <cell r="Q2986" t="str">
            <v/>
          </cell>
        </row>
        <row r="2987">
          <cell r="Q2987" t="str">
            <v/>
          </cell>
        </row>
        <row r="2988">
          <cell r="Q2988" t="str">
            <v/>
          </cell>
        </row>
        <row r="2989">
          <cell r="Q2989" t="str">
            <v/>
          </cell>
        </row>
        <row r="2990">
          <cell r="Q2990" t="str">
            <v/>
          </cell>
        </row>
        <row r="2991">
          <cell r="Q2991" t="str">
            <v/>
          </cell>
        </row>
        <row r="2992">
          <cell r="Q2992" t="str">
            <v/>
          </cell>
        </row>
        <row r="2993">
          <cell r="Q2993" t="str">
            <v/>
          </cell>
        </row>
        <row r="2994">
          <cell r="Q2994" t="str">
            <v/>
          </cell>
        </row>
        <row r="2995">
          <cell r="Q2995" t="str">
            <v/>
          </cell>
        </row>
        <row r="2996">
          <cell r="Q2996" t="str">
            <v/>
          </cell>
        </row>
        <row r="2997">
          <cell r="Q2997" t="str">
            <v/>
          </cell>
        </row>
        <row r="2998">
          <cell r="Q2998" t="str">
            <v/>
          </cell>
        </row>
        <row r="2999">
          <cell r="Q2999" t="str">
            <v/>
          </cell>
        </row>
        <row r="3000">
          <cell r="Q3000" t="str">
            <v/>
          </cell>
        </row>
        <row r="3001">
          <cell r="Q3001" t="str">
            <v/>
          </cell>
        </row>
        <row r="3002">
          <cell r="Q3002" t="str">
            <v/>
          </cell>
        </row>
        <row r="3003">
          <cell r="Q3003" t="str">
            <v/>
          </cell>
        </row>
        <row r="3004">
          <cell r="Q3004" t="str">
            <v/>
          </cell>
        </row>
        <row r="3005">
          <cell r="Q3005" t="str">
            <v/>
          </cell>
        </row>
        <row r="3006">
          <cell r="Q3006" t="str">
            <v/>
          </cell>
        </row>
        <row r="3007">
          <cell r="Q3007" t="str">
            <v/>
          </cell>
        </row>
        <row r="3008">
          <cell r="Q3008" t="str">
            <v/>
          </cell>
        </row>
        <row r="3009">
          <cell r="Q3009" t="str">
            <v/>
          </cell>
        </row>
        <row r="3010">
          <cell r="Q3010" t="str">
            <v/>
          </cell>
        </row>
        <row r="3011">
          <cell r="Q3011" t="str">
            <v/>
          </cell>
        </row>
        <row r="3012">
          <cell r="Q3012" t="str">
            <v/>
          </cell>
        </row>
        <row r="3013">
          <cell r="Q3013" t="str">
            <v/>
          </cell>
        </row>
        <row r="3014">
          <cell r="Q3014" t="str">
            <v/>
          </cell>
        </row>
        <row r="3015">
          <cell r="Q3015" t="str">
            <v/>
          </cell>
        </row>
        <row r="3016">
          <cell r="Q3016" t="str">
            <v/>
          </cell>
        </row>
        <row r="3017">
          <cell r="Q3017" t="str">
            <v/>
          </cell>
        </row>
        <row r="3018">
          <cell r="Q3018" t="str">
            <v/>
          </cell>
        </row>
        <row r="3019">
          <cell r="Q3019" t="str">
            <v/>
          </cell>
        </row>
        <row r="3020">
          <cell r="Q3020" t="str">
            <v/>
          </cell>
        </row>
        <row r="3021">
          <cell r="Q3021" t="str">
            <v/>
          </cell>
        </row>
        <row r="3022">
          <cell r="Q3022" t="str">
            <v/>
          </cell>
        </row>
        <row r="3023">
          <cell r="Q3023" t="str">
            <v/>
          </cell>
        </row>
        <row r="3024">
          <cell r="Q3024" t="str">
            <v/>
          </cell>
        </row>
        <row r="3025">
          <cell r="Q3025" t="str">
            <v/>
          </cell>
        </row>
        <row r="3026">
          <cell r="Q3026" t="str">
            <v/>
          </cell>
        </row>
        <row r="3027">
          <cell r="Q3027" t="str">
            <v/>
          </cell>
        </row>
        <row r="3028">
          <cell r="Q3028" t="str">
            <v/>
          </cell>
        </row>
        <row r="3029">
          <cell r="Q3029" t="str">
            <v/>
          </cell>
        </row>
        <row r="3030">
          <cell r="Q3030" t="str">
            <v/>
          </cell>
        </row>
        <row r="3031">
          <cell r="Q3031" t="str">
            <v/>
          </cell>
        </row>
        <row r="3032">
          <cell r="Q3032" t="str">
            <v/>
          </cell>
        </row>
        <row r="3033">
          <cell r="Q3033" t="str">
            <v/>
          </cell>
        </row>
        <row r="3034">
          <cell r="Q3034" t="str">
            <v/>
          </cell>
        </row>
        <row r="3035">
          <cell r="Q3035" t="str">
            <v/>
          </cell>
        </row>
        <row r="3036">
          <cell r="Q3036" t="str">
            <v/>
          </cell>
        </row>
        <row r="3037">
          <cell r="Q3037" t="str">
            <v/>
          </cell>
        </row>
        <row r="3038">
          <cell r="Q3038" t="str">
            <v/>
          </cell>
        </row>
        <row r="3039">
          <cell r="Q3039" t="str">
            <v/>
          </cell>
        </row>
        <row r="3040">
          <cell r="Q3040" t="str">
            <v/>
          </cell>
        </row>
        <row r="3041">
          <cell r="Q3041" t="str">
            <v/>
          </cell>
        </row>
        <row r="3042">
          <cell r="Q3042" t="str">
            <v/>
          </cell>
        </row>
        <row r="3043">
          <cell r="Q3043" t="str">
            <v/>
          </cell>
        </row>
        <row r="3044">
          <cell r="Q3044" t="str">
            <v/>
          </cell>
        </row>
        <row r="3045">
          <cell r="Q3045" t="str">
            <v/>
          </cell>
        </row>
        <row r="3046">
          <cell r="Q3046" t="str">
            <v/>
          </cell>
        </row>
        <row r="3047">
          <cell r="Q3047" t="str">
            <v/>
          </cell>
        </row>
        <row r="3048">
          <cell r="Q3048" t="str">
            <v/>
          </cell>
        </row>
        <row r="3049">
          <cell r="Q3049" t="str">
            <v/>
          </cell>
        </row>
        <row r="3050">
          <cell r="Q3050" t="str">
            <v/>
          </cell>
        </row>
        <row r="3051">
          <cell r="Q3051" t="str">
            <v/>
          </cell>
        </row>
        <row r="3052">
          <cell r="Q3052" t="str">
            <v/>
          </cell>
        </row>
        <row r="3053">
          <cell r="Q3053" t="str">
            <v/>
          </cell>
        </row>
        <row r="3054">
          <cell r="Q3054" t="str">
            <v/>
          </cell>
        </row>
        <row r="3055">
          <cell r="Q3055" t="str">
            <v/>
          </cell>
        </row>
        <row r="3056">
          <cell r="Q3056" t="str">
            <v/>
          </cell>
        </row>
        <row r="3057">
          <cell r="Q3057" t="str">
            <v/>
          </cell>
        </row>
        <row r="3058">
          <cell r="Q3058" t="str">
            <v/>
          </cell>
        </row>
        <row r="3059">
          <cell r="Q3059" t="str">
            <v/>
          </cell>
        </row>
        <row r="3060">
          <cell r="Q3060" t="str">
            <v/>
          </cell>
        </row>
        <row r="3061">
          <cell r="Q3061" t="str">
            <v/>
          </cell>
        </row>
        <row r="3062">
          <cell r="Q3062" t="str">
            <v/>
          </cell>
        </row>
        <row r="3063">
          <cell r="Q3063" t="str">
            <v/>
          </cell>
        </row>
        <row r="3064">
          <cell r="Q3064" t="str">
            <v/>
          </cell>
        </row>
        <row r="3065">
          <cell r="Q3065" t="str">
            <v/>
          </cell>
        </row>
        <row r="3066">
          <cell r="Q3066" t="str">
            <v/>
          </cell>
        </row>
        <row r="3067">
          <cell r="Q3067" t="str">
            <v/>
          </cell>
        </row>
        <row r="3068">
          <cell r="Q3068" t="str">
            <v/>
          </cell>
        </row>
        <row r="3069">
          <cell r="Q3069" t="str">
            <v/>
          </cell>
        </row>
        <row r="3070">
          <cell r="Q3070" t="str">
            <v/>
          </cell>
        </row>
        <row r="3071">
          <cell r="Q3071" t="str">
            <v/>
          </cell>
        </row>
        <row r="3072">
          <cell r="Q3072" t="str">
            <v/>
          </cell>
        </row>
        <row r="3073">
          <cell r="Q3073" t="str">
            <v/>
          </cell>
        </row>
        <row r="3074">
          <cell r="Q3074" t="str">
            <v/>
          </cell>
        </row>
        <row r="3075">
          <cell r="Q3075" t="str">
            <v/>
          </cell>
        </row>
        <row r="3076">
          <cell r="Q3076" t="str">
            <v/>
          </cell>
        </row>
        <row r="3077">
          <cell r="Q3077" t="str">
            <v/>
          </cell>
        </row>
        <row r="3078">
          <cell r="Q3078" t="str">
            <v/>
          </cell>
        </row>
        <row r="3079">
          <cell r="Q3079" t="str">
            <v/>
          </cell>
        </row>
        <row r="3080">
          <cell r="Q3080" t="str">
            <v/>
          </cell>
        </row>
        <row r="3081">
          <cell r="Q3081" t="str">
            <v/>
          </cell>
        </row>
        <row r="3082">
          <cell r="Q3082" t="str">
            <v/>
          </cell>
        </row>
        <row r="3083">
          <cell r="Q3083" t="str">
            <v/>
          </cell>
        </row>
        <row r="3084">
          <cell r="Q3084" t="str">
            <v/>
          </cell>
        </row>
        <row r="3085">
          <cell r="Q3085" t="str">
            <v/>
          </cell>
        </row>
        <row r="3086">
          <cell r="Q3086" t="str">
            <v/>
          </cell>
        </row>
        <row r="3087">
          <cell r="Q3087" t="str">
            <v/>
          </cell>
        </row>
        <row r="3088">
          <cell r="Q3088" t="str">
            <v/>
          </cell>
        </row>
        <row r="3089">
          <cell r="Q3089" t="str">
            <v/>
          </cell>
        </row>
        <row r="3090">
          <cell r="Q3090" t="str">
            <v/>
          </cell>
        </row>
        <row r="3091">
          <cell r="Q3091" t="str">
            <v/>
          </cell>
        </row>
        <row r="3092">
          <cell r="Q3092" t="str">
            <v/>
          </cell>
        </row>
        <row r="3093">
          <cell r="Q3093" t="str">
            <v/>
          </cell>
        </row>
        <row r="3094">
          <cell r="Q3094" t="str">
            <v/>
          </cell>
        </row>
        <row r="3095">
          <cell r="Q3095" t="str">
            <v/>
          </cell>
        </row>
        <row r="3096">
          <cell r="Q3096" t="str">
            <v/>
          </cell>
        </row>
        <row r="3097">
          <cell r="Q3097" t="str">
            <v/>
          </cell>
        </row>
        <row r="3098">
          <cell r="Q3098" t="str">
            <v/>
          </cell>
        </row>
        <row r="3099">
          <cell r="Q3099" t="str">
            <v/>
          </cell>
        </row>
        <row r="3100">
          <cell r="Q3100" t="str">
            <v/>
          </cell>
        </row>
        <row r="3101">
          <cell r="Q3101" t="str">
            <v/>
          </cell>
        </row>
        <row r="3102">
          <cell r="Q3102" t="str">
            <v/>
          </cell>
        </row>
        <row r="3103">
          <cell r="Q3103" t="str">
            <v/>
          </cell>
        </row>
        <row r="3104">
          <cell r="Q3104" t="str">
            <v/>
          </cell>
        </row>
        <row r="3105">
          <cell r="Q3105" t="str">
            <v/>
          </cell>
        </row>
        <row r="3106">
          <cell r="Q3106" t="str">
            <v/>
          </cell>
        </row>
        <row r="3107">
          <cell r="Q3107" t="str">
            <v/>
          </cell>
        </row>
        <row r="3108">
          <cell r="Q3108" t="str">
            <v/>
          </cell>
        </row>
        <row r="3109">
          <cell r="Q3109" t="str">
            <v/>
          </cell>
        </row>
        <row r="3110">
          <cell r="Q3110" t="str">
            <v/>
          </cell>
        </row>
        <row r="3111">
          <cell r="Q3111" t="str">
            <v/>
          </cell>
        </row>
        <row r="3112">
          <cell r="Q3112" t="str">
            <v/>
          </cell>
        </row>
        <row r="3113">
          <cell r="Q3113" t="str">
            <v/>
          </cell>
        </row>
        <row r="3114">
          <cell r="Q3114" t="str">
            <v/>
          </cell>
        </row>
        <row r="3115">
          <cell r="Q3115" t="str">
            <v/>
          </cell>
        </row>
        <row r="3116">
          <cell r="Q3116" t="str">
            <v/>
          </cell>
        </row>
        <row r="3117">
          <cell r="Q3117" t="str">
            <v/>
          </cell>
        </row>
        <row r="3118">
          <cell r="Q3118" t="str">
            <v/>
          </cell>
        </row>
        <row r="3119">
          <cell r="Q3119" t="str">
            <v/>
          </cell>
        </row>
        <row r="3120">
          <cell r="Q3120" t="str">
            <v/>
          </cell>
        </row>
        <row r="3121">
          <cell r="Q3121" t="str">
            <v/>
          </cell>
        </row>
        <row r="3122">
          <cell r="Q3122" t="str">
            <v/>
          </cell>
        </row>
        <row r="3123">
          <cell r="Q3123" t="str">
            <v/>
          </cell>
        </row>
        <row r="3124">
          <cell r="Q3124" t="str">
            <v/>
          </cell>
        </row>
        <row r="3125">
          <cell r="Q3125" t="str">
            <v/>
          </cell>
        </row>
        <row r="3126">
          <cell r="Q3126" t="str">
            <v/>
          </cell>
        </row>
        <row r="3127">
          <cell r="Q3127" t="str">
            <v/>
          </cell>
        </row>
        <row r="3128">
          <cell r="Q3128" t="str">
            <v/>
          </cell>
        </row>
        <row r="3129">
          <cell r="Q3129" t="str">
            <v/>
          </cell>
        </row>
        <row r="3130">
          <cell r="Q3130" t="str">
            <v/>
          </cell>
        </row>
        <row r="3131">
          <cell r="Q3131" t="str">
            <v/>
          </cell>
        </row>
        <row r="3132">
          <cell r="Q3132" t="str">
            <v/>
          </cell>
        </row>
        <row r="3133">
          <cell r="Q3133" t="str">
            <v/>
          </cell>
        </row>
        <row r="3134">
          <cell r="Q3134" t="str">
            <v/>
          </cell>
        </row>
        <row r="3135">
          <cell r="Q3135" t="str">
            <v/>
          </cell>
        </row>
        <row r="3136">
          <cell r="Q3136" t="str">
            <v/>
          </cell>
        </row>
        <row r="3137">
          <cell r="Q3137" t="str">
            <v/>
          </cell>
        </row>
        <row r="3138">
          <cell r="Q3138" t="str">
            <v/>
          </cell>
        </row>
        <row r="3139">
          <cell r="Q3139" t="str">
            <v/>
          </cell>
        </row>
        <row r="3140">
          <cell r="Q3140" t="str">
            <v/>
          </cell>
        </row>
        <row r="3141">
          <cell r="Q3141" t="str">
            <v/>
          </cell>
        </row>
        <row r="3142">
          <cell r="Q3142" t="str">
            <v/>
          </cell>
        </row>
        <row r="3143">
          <cell r="Q3143" t="str">
            <v/>
          </cell>
        </row>
        <row r="3144">
          <cell r="Q3144" t="str">
            <v/>
          </cell>
        </row>
        <row r="3145">
          <cell r="Q3145" t="str">
            <v/>
          </cell>
        </row>
        <row r="3146">
          <cell r="Q3146" t="str">
            <v/>
          </cell>
        </row>
        <row r="3147">
          <cell r="Q3147" t="str">
            <v/>
          </cell>
        </row>
        <row r="3148">
          <cell r="Q3148" t="str">
            <v/>
          </cell>
        </row>
        <row r="3149">
          <cell r="Q3149" t="str">
            <v/>
          </cell>
        </row>
        <row r="3150">
          <cell r="Q3150" t="str">
            <v/>
          </cell>
        </row>
        <row r="3151">
          <cell r="Q3151" t="str">
            <v/>
          </cell>
        </row>
        <row r="3152">
          <cell r="Q3152" t="str">
            <v/>
          </cell>
        </row>
        <row r="3153">
          <cell r="Q3153" t="str">
            <v/>
          </cell>
        </row>
        <row r="3154">
          <cell r="Q3154" t="str">
            <v/>
          </cell>
        </row>
        <row r="3155">
          <cell r="Q3155" t="str">
            <v/>
          </cell>
        </row>
        <row r="3156">
          <cell r="Q3156" t="str">
            <v/>
          </cell>
        </row>
        <row r="3157">
          <cell r="Q3157" t="str">
            <v/>
          </cell>
        </row>
        <row r="3158">
          <cell r="Q3158" t="str">
            <v/>
          </cell>
        </row>
        <row r="3159">
          <cell r="Q3159" t="str">
            <v/>
          </cell>
        </row>
        <row r="3160">
          <cell r="Q3160" t="str">
            <v/>
          </cell>
        </row>
        <row r="3161">
          <cell r="Q3161" t="str">
            <v/>
          </cell>
        </row>
        <row r="3162">
          <cell r="Q3162" t="str">
            <v/>
          </cell>
        </row>
        <row r="3163">
          <cell r="Q3163" t="str">
            <v/>
          </cell>
        </row>
        <row r="3164">
          <cell r="Q3164" t="str">
            <v/>
          </cell>
        </row>
        <row r="3165">
          <cell r="Q3165" t="str">
            <v/>
          </cell>
        </row>
        <row r="3166">
          <cell r="Q3166" t="str">
            <v/>
          </cell>
        </row>
        <row r="3167">
          <cell r="Q3167" t="str">
            <v/>
          </cell>
        </row>
        <row r="3168">
          <cell r="Q3168" t="str">
            <v/>
          </cell>
        </row>
        <row r="3169">
          <cell r="Q3169" t="str">
            <v/>
          </cell>
        </row>
        <row r="3170">
          <cell r="Q3170" t="str">
            <v/>
          </cell>
        </row>
        <row r="3171">
          <cell r="Q3171" t="str">
            <v/>
          </cell>
        </row>
        <row r="3172">
          <cell r="Q3172" t="str">
            <v/>
          </cell>
        </row>
        <row r="3173">
          <cell r="Q3173" t="str">
            <v/>
          </cell>
        </row>
        <row r="3174">
          <cell r="Q3174" t="str">
            <v/>
          </cell>
        </row>
        <row r="3175">
          <cell r="Q3175" t="str">
            <v/>
          </cell>
        </row>
        <row r="3176">
          <cell r="Q3176" t="str">
            <v/>
          </cell>
        </row>
        <row r="3177">
          <cell r="Q3177" t="str">
            <v/>
          </cell>
        </row>
        <row r="3178">
          <cell r="Q3178" t="str">
            <v/>
          </cell>
        </row>
        <row r="3179">
          <cell r="Q3179" t="str">
            <v/>
          </cell>
        </row>
        <row r="3180">
          <cell r="Q3180" t="str">
            <v/>
          </cell>
        </row>
        <row r="3181">
          <cell r="Q3181" t="str">
            <v/>
          </cell>
        </row>
        <row r="3182">
          <cell r="Q3182" t="str">
            <v/>
          </cell>
        </row>
        <row r="3183">
          <cell r="Q3183" t="str">
            <v/>
          </cell>
        </row>
        <row r="3184">
          <cell r="Q3184" t="str">
            <v/>
          </cell>
        </row>
        <row r="3185">
          <cell r="Q3185" t="str">
            <v/>
          </cell>
        </row>
        <row r="3186">
          <cell r="Q3186" t="str">
            <v/>
          </cell>
        </row>
        <row r="3187">
          <cell r="Q3187" t="str">
            <v/>
          </cell>
        </row>
        <row r="3188">
          <cell r="Q3188" t="str">
            <v/>
          </cell>
        </row>
        <row r="3189">
          <cell r="Q3189" t="str">
            <v/>
          </cell>
        </row>
        <row r="3190">
          <cell r="Q3190" t="str">
            <v/>
          </cell>
        </row>
        <row r="3191">
          <cell r="Q3191" t="str">
            <v/>
          </cell>
        </row>
        <row r="3192">
          <cell r="Q3192" t="str">
            <v/>
          </cell>
        </row>
        <row r="3193">
          <cell r="Q3193" t="str">
            <v/>
          </cell>
        </row>
        <row r="3194">
          <cell r="Q3194" t="str">
            <v/>
          </cell>
        </row>
        <row r="3195">
          <cell r="Q3195" t="str">
            <v/>
          </cell>
        </row>
        <row r="3196">
          <cell r="Q3196" t="str">
            <v/>
          </cell>
        </row>
        <row r="3197">
          <cell r="Q3197" t="str">
            <v/>
          </cell>
        </row>
        <row r="3198">
          <cell r="Q3198" t="str">
            <v/>
          </cell>
        </row>
        <row r="3199">
          <cell r="Q3199" t="str">
            <v/>
          </cell>
        </row>
        <row r="3200">
          <cell r="Q3200" t="str">
            <v/>
          </cell>
        </row>
        <row r="3201">
          <cell r="Q3201" t="str">
            <v/>
          </cell>
        </row>
        <row r="3202">
          <cell r="Q3202" t="str">
            <v/>
          </cell>
        </row>
        <row r="3203">
          <cell r="Q3203" t="str">
            <v/>
          </cell>
        </row>
        <row r="3204">
          <cell r="Q3204" t="str">
            <v/>
          </cell>
        </row>
        <row r="3205">
          <cell r="Q3205" t="str">
            <v/>
          </cell>
        </row>
        <row r="3206">
          <cell r="Q3206" t="str">
            <v/>
          </cell>
        </row>
        <row r="3207">
          <cell r="Q3207" t="str">
            <v/>
          </cell>
        </row>
        <row r="3208">
          <cell r="Q3208" t="str">
            <v/>
          </cell>
        </row>
        <row r="3209">
          <cell r="Q3209" t="str">
            <v/>
          </cell>
        </row>
        <row r="3210">
          <cell r="Q3210" t="str">
            <v/>
          </cell>
        </row>
        <row r="3211">
          <cell r="Q3211" t="str">
            <v/>
          </cell>
        </row>
        <row r="3212">
          <cell r="Q3212" t="str">
            <v/>
          </cell>
        </row>
        <row r="3213">
          <cell r="Q3213" t="str">
            <v/>
          </cell>
        </row>
        <row r="3214">
          <cell r="Q3214" t="str">
            <v/>
          </cell>
        </row>
        <row r="3215">
          <cell r="Q3215" t="str">
            <v/>
          </cell>
        </row>
        <row r="3216">
          <cell r="Q3216" t="str">
            <v/>
          </cell>
        </row>
        <row r="3217">
          <cell r="Q3217" t="str">
            <v/>
          </cell>
        </row>
        <row r="3218">
          <cell r="Q3218" t="str">
            <v/>
          </cell>
        </row>
        <row r="3219">
          <cell r="Q3219" t="str">
            <v/>
          </cell>
        </row>
        <row r="3220">
          <cell r="Q3220" t="str">
            <v/>
          </cell>
        </row>
        <row r="3221">
          <cell r="Q3221" t="str">
            <v/>
          </cell>
        </row>
        <row r="3222">
          <cell r="Q3222" t="str">
            <v/>
          </cell>
        </row>
        <row r="3223">
          <cell r="Q3223" t="str">
            <v/>
          </cell>
        </row>
        <row r="3224">
          <cell r="Q3224" t="str">
            <v/>
          </cell>
        </row>
        <row r="3225">
          <cell r="Q3225" t="str">
            <v/>
          </cell>
        </row>
        <row r="3226">
          <cell r="Q3226" t="str">
            <v/>
          </cell>
        </row>
        <row r="3227">
          <cell r="Q3227" t="str">
            <v/>
          </cell>
        </row>
        <row r="3228">
          <cell r="Q3228" t="str">
            <v/>
          </cell>
        </row>
        <row r="3229">
          <cell r="Q3229" t="str">
            <v/>
          </cell>
        </row>
        <row r="3230">
          <cell r="Q3230" t="str">
            <v/>
          </cell>
        </row>
        <row r="3231">
          <cell r="Q3231" t="str">
            <v/>
          </cell>
        </row>
        <row r="3232">
          <cell r="Q3232" t="str">
            <v/>
          </cell>
        </row>
        <row r="3233">
          <cell r="Q3233" t="str">
            <v/>
          </cell>
        </row>
        <row r="3234">
          <cell r="Q3234" t="str">
            <v/>
          </cell>
        </row>
        <row r="3235">
          <cell r="Q3235" t="str">
            <v/>
          </cell>
        </row>
        <row r="3236">
          <cell r="Q3236" t="str">
            <v/>
          </cell>
        </row>
        <row r="3237">
          <cell r="Q3237" t="str">
            <v/>
          </cell>
        </row>
        <row r="3238">
          <cell r="Q3238" t="str">
            <v/>
          </cell>
        </row>
        <row r="3239">
          <cell r="Q3239" t="str">
            <v/>
          </cell>
        </row>
        <row r="3240">
          <cell r="Q3240" t="str">
            <v/>
          </cell>
        </row>
        <row r="3241">
          <cell r="Q3241" t="str">
            <v/>
          </cell>
        </row>
        <row r="3242">
          <cell r="Q3242" t="str">
            <v/>
          </cell>
        </row>
        <row r="3243">
          <cell r="Q3243" t="str">
            <v/>
          </cell>
        </row>
        <row r="3244">
          <cell r="Q3244" t="str">
            <v/>
          </cell>
        </row>
        <row r="3245">
          <cell r="Q3245" t="str">
            <v/>
          </cell>
        </row>
        <row r="3246">
          <cell r="Q3246" t="str">
            <v/>
          </cell>
        </row>
        <row r="3247">
          <cell r="Q3247" t="str">
            <v/>
          </cell>
        </row>
        <row r="3248">
          <cell r="Q3248" t="str">
            <v/>
          </cell>
        </row>
        <row r="3249">
          <cell r="Q3249" t="str">
            <v/>
          </cell>
        </row>
        <row r="3250">
          <cell r="Q3250" t="str">
            <v/>
          </cell>
        </row>
        <row r="3251">
          <cell r="Q3251" t="str">
            <v/>
          </cell>
        </row>
        <row r="3252">
          <cell r="Q3252" t="str">
            <v/>
          </cell>
        </row>
        <row r="3253">
          <cell r="Q3253" t="str">
            <v/>
          </cell>
        </row>
        <row r="3254">
          <cell r="Q3254" t="str">
            <v/>
          </cell>
        </row>
        <row r="3255">
          <cell r="Q3255" t="str">
            <v/>
          </cell>
        </row>
        <row r="3256">
          <cell r="Q3256" t="str">
            <v/>
          </cell>
        </row>
        <row r="3257">
          <cell r="Q3257" t="str">
            <v/>
          </cell>
        </row>
        <row r="3258">
          <cell r="Q3258" t="str">
            <v/>
          </cell>
        </row>
        <row r="3259">
          <cell r="Q3259" t="str">
            <v/>
          </cell>
        </row>
        <row r="3260">
          <cell r="Q3260" t="str">
            <v/>
          </cell>
        </row>
        <row r="3261">
          <cell r="Q3261" t="str">
            <v/>
          </cell>
        </row>
        <row r="3262">
          <cell r="Q3262" t="str">
            <v/>
          </cell>
        </row>
        <row r="3263">
          <cell r="Q3263" t="str">
            <v/>
          </cell>
        </row>
        <row r="3264">
          <cell r="Q3264" t="str">
            <v/>
          </cell>
        </row>
        <row r="3265">
          <cell r="Q3265" t="str">
            <v/>
          </cell>
        </row>
        <row r="3266">
          <cell r="Q3266" t="str">
            <v/>
          </cell>
        </row>
        <row r="3267">
          <cell r="Q3267" t="str">
            <v/>
          </cell>
        </row>
        <row r="3268">
          <cell r="Q3268" t="str">
            <v/>
          </cell>
        </row>
        <row r="3269">
          <cell r="Q3269" t="str">
            <v/>
          </cell>
        </row>
        <row r="3270">
          <cell r="Q3270" t="str">
            <v/>
          </cell>
        </row>
        <row r="3271">
          <cell r="Q3271" t="str">
            <v/>
          </cell>
        </row>
        <row r="3272">
          <cell r="Q3272" t="str">
            <v/>
          </cell>
        </row>
        <row r="3273">
          <cell r="Q3273" t="str">
            <v/>
          </cell>
        </row>
        <row r="3274">
          <cell r="Q3274" t="str">
            <v/>
          </cell>
        </row>
        <row r="3275">
          <cell r="Q3275" t="str">
            <v/>
          </cell>
        </row>
        <row r="3276">
          <cell r="Q3276" t="str">
            <v/>
          </cell>
        </row>
        <row r="3277">
          <cell r="Q3277" t="str">
            <v/>
          </cell>
        </row>
        <row r="3278">
          <cell r="Q3278" t="str">
            <v/>
          </cell>
        </row>
        <row r="3279">
          <cell r="Q3279" t="str">
            <v/>
          </cell>
        </row>
        <row r="3280">
          <cell r="Q3280" t="str">
            <v/>
          </cell>
        </row>
        <row r="3281">
          <cell r="Q3281" t="str">
            <v/>
          </cell>
        </row>
        <row r="3282">
          <cell r="Q3282" t="str">
            <v/>
          </cell>
        </row>
        <row r="3283">
          <cell r="Q3283" t="str">
            <v/>
          </cell>
        </row>
        <row r="3284">
          <cell r="Q3284" t="str">
            <v/>
          </cell>
        </row>
        <row r="3285">
          <cell r="Q3285" t="str">
            <v/>
          </cell>
        </row>
        <row r="3286">
          <cell r="Q3286" t="str">
            <v/>
          </cell>
        </row>
        <row r="3287">
          <cell r="Q3287" t="str">
            <v/>
          </cell>
        </row>
        <row r="3288">
          <cell r="Q3288" t="str">
            <v/>
          </cell>
        </row>
        <row r="3289">
          <cell r="Q3289" t="str">
            <v/>
          </cell>
        </row>
        <row r="3290">
          <cell r="Q3290" t="str">
            <v/>
          </cell>
        </row>
        <row r="3291">
          <cell r="Q3291" t="str">
            <v/>
          </cell>
        </row>
        <row r="3292">
          <cell r="Q3292" t="str">
            <v/>
          </cell>
        </row>
        <row r="3293">
          <cell r="Q3293" t="str">
            <v/>
          </cell>
        </row>
        <row r="3294">
          <cell r="Q3294" t="str">
            <v/>
          </cell>
        </row>
        <row r="3295">
          <cell r="Q3295" t="str">
            <v/>
          </cell>
        </row>
        <row r="3296">
          <cell r="Q3296" t="str">
            <v/>
          </cell>
        </row>
        <row r="3297">
          <cell r="Q3297" t="str">
            <v/>
          </cell>
        </row>
        <row r="3298">
          <cell r="Q3298" t="str">
            <v/>
          </cell>
        </row>
        <row r="3299">
          <cell r="Q3299" t="str">
            <v/>
          </cell>
        </row>
        <row r="3300">
          <cell r="Q3300" t="str">
            <v/>
          </cell>
        </row>
        <row r="3301">
          <cell r="Q3301" t="str">
            <v/>
          </cell>
        </row>
        <row r="3302">
          <cell r="Q3302" t="str">
            <v/>
          </cell>
        </row>
        <row r="3303">
          <cell r="Q3303" t="str">
            <v/>
          </cell>
        </row>
        <row r="3304">
          <cell r="Q3304" t="str">
            <v/>
          </cell>
        </row>
        <row r="3305">
          <cell r="Q3305" t="str">
            <v/>
          </cell>
        </row>
        <row r="3306">
          <cell r="Q3306" t="str">
            <v/>
          </cell>
        </row>
        <row r="3307">
          <cell r="Q3307" t="str">
            <v/>
          </cell>
        </row>
        <row r="3308">
          <cell r="Q3308" t="str">
            <v/>
          </cell>
        </row>
        <row r="3309">
          <cell r="Q3309" t="str">
            <v/>
          </cell>
        </row>
        <row r="3310">
          <cell r="Q3310" t="str">
            <v/>
          </cell>
        </row>
        <row r="3311">
          <cell r="Q3311" t="str">
            <v/>
          </cell>
        </row>
        <row r="3312">
          <cell r="Q3312" t="str">
            <v/>
          </cell>
        </row>
        <row r="3313">
          <cell r="Q3313" t="str">
            <v/>
          </cell>
        </row>
        <row r="3314">
          <cell r="Q3314" t="str">
            <v/>
          </cell>
        </row>
        <row r="3315">
          <cell r="Q3315" t="str">
            <v/>
          </cell>
        </row>
        <row r="3316">
          <cell r="Q3316" t="str">
            <v/>
          </cell>
        </row>
        <row r="3317">
          <cell r="Q3317" t="str">
            <v/>
          </cell>
        </row>
        <row r="3318">
          <cell r="Q3318" t="str">
            <v/>
          </cell>
        </row>
        <row r="3319">
          <cell r="Q3319" t="str">
            <v/>
          </cell>
        </row>
        <row r="3320">
          <cell r="Q3320" t="str">
            <v/>
          </cell>
        </row>
        <row r="3321">
          <cell r="Q3321" t="str">
            <v/>
          </cell>
        </row>
        <row r="3322">
          <cell r="Q3322" t="str">
            <v/>
          </cell>
        </row>
        <row r="3323">
          <cell r="Q3323" t="str">
            <v/>
          </cell>
        </row>
        <row r="3324">
          <cell r="Q3324" t="str">
            <v/>
          </cell>
        </row>
        <row r="3325">
          <cell r="Q3325" t="str">
            <v/>
          </cell>
        </row>
        <row r="3326">
          <cell r="Q3326" t="str">
            <v/>
          </cell>
        </row>
        <row r="3327">
          <cell r="Q3327" t="str">
            <v/>
          </cell>
        </row>
        <row r="3328">
          <cell r="Q3328" t="str">
            <v/>
          </cell>
        </row>
        <row r="3329">
          <cell r="Q3329" t="str">
            <v/>
          </cell>
        </row>
        <row r="3330">
          <cell r="Q3330" t="str">
            <v/>
          </cell>
        </row>
        <row r="3331">
          <cell r="Q3331" t="str">
            <v/>
          </cell>
        </row>
        <row r="3332">
          <cell r="Q3332" t="str">
            <v/>
          </cell>
        </row>
        <row r="3333">
          <cell r="Q3333" t="str">
            <v/>
          </cell>
        </row>
        <row r="3334">
          <cell r="Q3334" t="str">
            <v/>
          </cell>
        </row>
        <row r="3335">
          <cell r="Q3335" t="str">
            <v/>
          </cell>
        </row>
        <row r="3336">
          <cell r="Q3336" t="str">
            <v/>
          </cell>
        </row>
        <row r="3337">
          <cell r="Q3337" t="str">
            <v/>
          </cell>
        </row>
        <row r="3338">
          <cell r="Q3338" t="str">
            <v/>
          </cell>
        </row>
        <row r="3339">
          <cell r="Q3339" t="str">
            <v/>
          </cell>
        </row>
        <row r="3340">
          <cell r="Q3340" t="str">
            <v/>
          </cell>
        </row>
        <row r="3341">
          <cell r="Q3341" t="str">
            <v/>
          </cell>
        </row>
        <row r="3342">
          <cell r="Q3342" t="str">
            <v/>
          </cell>
        </row>
        <row r="3343">
          <cell r="Q3343" t="str">
            <v/>
          </cell>
        </row>
        <row r="3344">
          <cell r="Q3344" t="str">
            <v/>
          </cell>
        </row>
        <row r="3345">
          <cell r="Q3345" t="str">
            <v/>
          </cell>
        </row>
        <row r="3346">
          <cell r="Q3346" t="str">
            <v/>
          </cell>
        </row>
        <row r="3347">
          <cell r="Q3347" t="str">
            <v/>
          </cell>
        </row>
        <row r="3348">
          <cell r="Q3348" t="str">
            <v/>
          </cell>
        </row>
        <row r="3349">
          <cell r="Q3349" t="str">
            <v/>
          </cell>
        </row>
        <row r="3350">
          <cell r="Q3350" t="str">
            <v/>
          </cell>
        </row>
        <row r="3351">
          <cell r="Q3351" t="str">
            <v/>
          </cell>
        </row>
        <row r="3352">
          <cell r="Q3352" t="str">
            <v/>
          </cell>
        </row>
        <row r="3353">
          <cell r="Q3353" t="str">
            <v/>
          </cell>
        </row>
        <row r="3354">
          <cell r="Q3354" t="str">
            <v/>
          </cell>
        </row>
        <row r="3355">
          <cell r="Q3355" t="str">
            <v/>
          </cell>
        </row>
        <row r="3356">
          <cell r="Q3356" t="str">
            <v/>
          </cell>
        </row>
        <row r="3357">
          <cell r="Q3357" t="str">
            <v/>
          </cell>
        </row>
        <row r="3358">
          <cell r="Q3358" t="str">
            <v/>
          </cell>
        </row>
        <row r="3359">
          <cell r="Q3359" t="str">
            <v/>
          </cell>
        </row>
        <row r="3360">
          <cell r="Q3360" t="str">
            <v/>
          </cell>
        </row>
        <row r="3361">
          <cell r="Q3361" t="str">
            <v/>
          </cell>
        </row>
        <row r="3362">
          <cell r="Q3362" t="str">
            <v/>
          </cell>
        </row>
        <row r="3363">
          <cell r="Q3363" t="str">
            <v/>
          </cell>
        </row>
        <row r="3364">
          <cell r="Q3364" t="str">
            <v/>
          </cell>
        </row>
        <row r="3365">
          <cell r="Q3365" t="str">
            <v/>
          </cell>
        </row>
        <row r="3366">
          <cell r="Q3366" t="str">
            <v/>
          </cell>
        </row>
        <row r="3367">
          <cell r="Q3367" t="str">
            <v/>
          </cell>
        </row>
        <row r="3368">
          <cell r="Q3368" t="str">
            <v/>
          </cell>
        </row>
        <row r="3369">
          <cell r="Q3369" t="str">
            <v/>
          </cell>
        </row>
        <row r="3370">
          <cell r="Q3370" t="str">
            <v/>
          </cell>
        </row>
        <row r="3371">
          <cell r="Q3371" t="str">
            <v/>
          </cell>
        </row>
        <row r="3372">
          <cell r="Q3372" t="str">
            <v/>
          </cell>
        </row>
        <row r="3373">
          <cell r="Q3373" t="str">
            <v/>
          </cell>
        </row>
        <row r="3374">
          <cell r="Q3374" t="str">
            <v/>
          </cell>
        </row>
        <row r="3375">
          <cell r="Q3375" t="str">
            <v/>
          </cell>
        </row>
        <row r="3376">
          <cell r="Q3376" t="str">
            <v/>
          </cell>
        </row>
        <row r="3377">
          <cell r="Q3377" t="str">
            <v/>
          </cell>
        </row>
        <row r="3378">
          <cell r="Q3378" t="str">
            <v/>
          </cell>
        </row>
        <row r="3379">
          <cell r="Q3379" t="str">
            <v/>
          </cell>
        </row>
        <row r="3380">
          <cell r="Q3380" t="str">
            <v/>
          </cell>
        </row>
        <row r="3381">
          <cell r="Q3381" t="str">
            <v/>
          </cell>
        </row>
        <row r="3382">
          <cell r="Q3382" t="str">
            <v/>
          </cell>
        </row>
        <row r="3383">
          <cell r="Q3383" t="str">
            <v/>
          </cell>
        </row>
        <row r="3384">
          <cell r="Q3384" t="str">
            <v/>
          </cell>
        </row>
        <row r="3385">
          <cell r="Q3385" t="str">
            <v/>
          </cell>
        </row>
        <row r="3386">
          <cell r="Q3386" t="str">
            <v/>
          </cell>
        </row>
        <row r="3387">
          <cell r="Q3387" t="str">
            <v/>
          </cell>
        </row>
        <row r="3388">
          <cell r="Q3388" t="str">
            <v/>
          </cell>
        </row>
        <row r="3389">
          <cell r="Q3389" t="str">
            <v/>
          </cell>
        </row>
        <row r="3390">
          <cell r="Q3390" t="str">
            <v/>
          </cell>
        </row>
        <row r="3391">
          <cell r="Q3391" t="str">
            <v/>
          </cell>
        </row>
        <row r="3392">
          <cell r="Q3392" t="str">
            <v/>
          </cell>
        </row>
        <row r="3393">
          <cell r="Q3393" t="str">
            <v/>
          </cell>
        </row>
        <row r="3394">
          <cell r="Q3394" t="str">
            <v/>
          </cell>
        </row>
        <row r="3395">
          <cell r="Q3395" t="str">
            <v/>
          </cell>
        </row>
        <row r="3396">
          <cell r="Q3396" t="str">
            <v/>
          </cell>
        </row>
        <row r="3397">
          <cell r="Q3397" t="str">
            <v/>
          </cell>
        </row>
        <row r="3398">
          <cell r="Q3398" t="str">
            <v/>
          </cell>
        </row>
        <row r="3399">
          <cell r="Q3399" t="str">
            <v/>
          </cell>
        </row>
        <row r="3400">
          <cell r="Q3400" t="str">
            <v/>
          </cell>
        </row>
        <row r="3401">
          <cell r="Q3401" t="str">
            <v/>
          </cell>
        </row>
        <row r="3402">
          <cell r="Q3402" t="str">
            <v/>
          </cell>
        </row>
        <row r="3403">
          <cell r="Q3403" t="str">
            <v/>
          </cell>
        </row>
        <row r="3404">
          <cell r="Q3404" t="str">
            <v/>
          </cell>
        </row>
        <row r="3405">
          <cell r="Q3405" t="str">
            <v/>
          </cell>
        </row>
        <row r="3406">
          <cell r="Q3406" t="str">
            <v/>
          </cell>
        </row>
        <row r="3407">
          <cell r="Q3407" t="str">
            <v/>
          </cell>
        </row>
        <row r="3408">
          <cell r="Q3408" t="str">
            <v/>
          </cell>
        </row>
        <row r="3409">
          <cell r="Q3409" t="str">
            <v/>
          </cell>
        </row>
        <row r="3410">
          <cell r="Q3410" t="str">
            <v/>
          </cell>
        </row>
        <row r="3411">
          <cell r="Q3411" t="str">
            <v/>
          </cell>
        </row>
        <row r="3412">
          <cell r="Q3412" t="str">
            <v/>
          </cell>
        </row>
        <row r="3413">
          <cell r="Q3413" t="str">
            <v/>
          </cell>
        </row>
        <row r="3414">
          <cell r="Q3414" t="str">
            <v/>
          </cell>
        </row>
        <row r="3415">
          <cell r="Q3415" t="str">
            <v/>
          </cell>
        </row>
        <row r="3416">
          <cell r="Q3416" t="str">
            <v/>
          </cell>
        </row>
        <row r="3417">
          <cell r="Q3417" t="str">
            <v/>
          </cell>
        </row>
        <row r="3418">
          <cell r="Q3418" t="str">
            <v/>
          </cell>
        </row>
        <row r="3419">
          <cell r="Q3419" t="str">
            <v/>
          </cell>
        </row>
        <row r="3420">
          <cell r="Q3420" t="str">
            <v/>
          </cell>
        </row>
        <row r="3421">
          <cell r="Q3421" t="str">
            <v/>
          </cell>
        </row>
        <row r="3422">
          <cell r="Q3422" t="str">
            <v/>
          </cell>
        </row>
        <row r="3423">
          <cell r="Q3423" t="str">
            <v/>
          </cell>
        </row>
        <row r="3424">
          <cell r="Q3424" t="str">
            <v/>
          </cell>
        </row>
        <row r="3425">
          <cell r="Q3425" t="str">
            <v/>
          </cell>
        </row>
        <row r="3426">
          <cell r="Q3426" t="str">
            <v/>
          </cell>
        </row>
        <row r="3427">
          <cell r="Q3427" t="str">
            <v/>
          </cell>
        </row>
        <row r="3428">
          <cell r="Q3428" t="str">
            <v/>
          </cell>
        </row>
        <row r="3429">
          <cell r="Q3429" t="str">
            <v/>
          </cell>
        </row>
        <row r="3430">
          <cell r="Q3430" t="str">
            <v/>
          </cell>
        </row>
        <row r="3431">
          <cell r="Q3431" t="str">
            <v/>
          </cell>
        </row>
        <row r="3432">
          <cell r="Q3432" t="str">
            <v/>
          </cell>
        </row>
        <row r="3433">
          <cell r="Q3433" t="str">
            <v/>
          </cell>
        </row>
        <row r="3434">
          <cell r="Q3434" t="str">
            <v/>
          </cell>
        </row>
        <row r="3435">
          <cell r="Q3435" t="str">
            <v/>
          </cell>
        </row>
        <row r="3436">
          <cell r="Q3436" t="str">
            <v/>
          </cell>
        </row>
        <row r="3437">
          <cell r="Q3437" t="str">
            <v/>
          </cell>
        </row>
        <row r="3438">
          <cell r="Q3438" t="str">
            <v/>
          </cell>
        </row>
        <row r="3439">
          <cell r="Q3439" t="str">
            <v/>
          </cell>
        </row>
        <row r="3440">
          <cell r="Q3440" t="str">
            <v/>
          </cell>
        </row>
        <row r="3441">
          <cell r="Q3441" t="str">
            <v/>
          </cell>
        </row>
        <row r="3442">
          <cell r="Q3442" t="str">
            <v/>
          </cell>
        </row>
        <row r="3443">
          <cell r="Q3443" t="str">
            <v/>
          </cell>
        </row>
        <row r="3444">
          <cell r="Q3444" t="str">
            <v/>
          </cell>
        </row>
        <row r="3445">
          <cell r="Q3445" t="str">
            <v/>
          </cell>
        </row>
        <row r="3446">
          <cell r="Q3446" t="str">
            <v/>
          </cell>
        </row>
        <row r="3447">
          <cell r="Q3447" t="str">
            <v/>
          </cell>
        </row>
        <row r="3448">
          <cell r="Q3448" t="str">
            <v/>
          </cell>
        </row>
        <row r="3449">
          <cell r="Q3449" t="str">
            <v/>
          </cell>
        </row>
        <row r="3450">
          <cell r="Q3450" t="str">
            <v/>
          </cell>
        </row>
        <row r="3451">
          <cell r="Q3451" t="str">
            <v/>
          </cell>
        </row>
        <row r="3452">
          <cell r="Q3452" t="str">
            <v/>
          </cell>
        </row>
        <row r="3453">
          <cell r="Q3453" t="str">
            <v/>
          </cell>
        </row>
        <row r="3454">
          <cell r="Q3454" t="str">
            <v/>
          </cell>
        </row>
        <row r="3455">
          <cell r="Q3455" t="str">
            <v/>
          </cell>
        </row>
        <row r="3456">
          <cell r="Q3456" t="str">
            <v/>
          </cell>
        </row>
        <row r="3457">
          <cell r="Q3457" t="str">
            <v/>
          </cell>
        </row>
        <row r="3458">
          <cell r="Q3458" t="str">
            <v/>
          </cell>
        </row>
        <row r="3459">
          <cell r="Q3459" t="str">
            <v/>
          </cell>
        </row>
        <row r="3460">
          <cell r="Q3460" t="str">
            <v/>
          </cell>
        </row>
        <row r="3461">
          <cell r="Q3461" t="str">
            <v/>
          </cell>
        </row>
        <row r="3462">
          <cell r="Q3462" t="str">
            <v/>
          </cell>
        </row>
        <row r="3463">
          <cell r="Q3463" t="str">
            <v/>
          </cell>
        </row>
        <row r="3464">
          <cell r="Q3464" t="str">
            <v/>
          </cell>
        </row>
        <row r="3465">
          <cell r="Q3465" t="str">
            <v/>
          </cell>
        </row>
        <row r="3466">
          <cell r="Q3466" t="str">
            <v/>
          </cell>
        </row>
        <row r="3467">
          <cell r="Q3467" t="str">
            <v/>
          </cell>
        </row>
        <row r="3468">
          <cell r="Q3468" t="str">
            <v/>
          </cell>
        </row>
        <row r="3469">
          <cell r="Q3469" t="str">
            <v/>
          </cell>
        </row>
        <row r="3470">
          <cell r="Q3470" t="str">
            <v/>
          </cell>
        </row>
        <row r="3471">
          <cell r="Q3471" t="str">
            <v/>
          </cell>
        </row>
        <row r="3472">
          <cell r="Q3472" t="str">
            <v/>
          </cell>
        </row>
        <row r="3473">
          <cell r="Q3473" t="str">
            <v/>
          </cell>
        </row>
        <row r="3474">
          <cell r="Q3474" t="str">
            <v/>
          </cell>
        </row>
        <row r="3475">
          <cell r="Q3475" t="str">
            <v/>
          </cell>
        </row>
        <row r="3476">
          <cell r="Q3476" t="str">
            <v/>
          </cell>
        </row>
        <row r="3477">
          <cell r="Q3477" t="str">
            <v/>
          </cell>
        </row>
        <row r="3478">
          <cell r="Q3478" t="str">
            <v/>
          </cell>
        </row>
        <row r="3479">
          <cell r="Q3479" t="str">
            <v/>
          </cell>
        </row>
        <row r="3480">
          <cell r="Q3480" t="str">
            <v/>
          </cell>
        </row>
        <row r="3481">
          <cell r="Q3481" t="str">
            <v/>
          </cell>
        </row>
        <row r="3482">
          <cell r="Q3482" t="str">
            <v/>
          </cell>
        </row>
        <row r="3483">
          <cell r="Q3483" t="str">
            <v/>
          </cell>
        </row>
        <row r="3484">
          <cell r="Q3484" t="str">
            <v/>
          </cell>
        </row>
        <row r="3485">
          <cell r="Q3485" t="str">
            <v/>
          </cell>
        </row>
        <row r="3486">
          <cell r="Q3486" t="str">
            <v/>
          </cell>
        </row>
        <row r="3487">
          <cell r="Q3487" t="str">
            <v/>
          </cell>
        </row>
        <row r="3488">
          <cell r="Q3488" t="str">
            <v/>
          </cell>
        </row>
        <row r="3489">
          <cell r="Q3489" t="str">
            <v/>
          </cell>
        </row>
        <row r="3490">
          <cell r="Q3490" t="str">
            <v/>
          </cell>
        </row>
        <row r="3491">
          <cell r="Q3491" t="str">
            <v/>
          </cell>
        </row>
        <row r="3492">
          <cell r="Q3492" t="str">
            <v/>
          </cell>
        </row>
        <row r="3493">
          <cell r="Q3493" t="str">
            <v/>
          </cell>
        </row>
        <row r="3494">
          <cell r="Q3494" t="str">
            <v/>
          </cell>
        </row>
        <row r="3495">
          <cell r="Q3495" t="str">
            <v/>
          </cell>
        </row>
        <row r="3496">
          <cell r="Q3496" t="str">
            <v/>
          </cell>
        </row>
        <row r="3497">
          <cell r="Q3497" t="str">
            <v/>
          </cell>
        </row>
        <row r="3498">
          <cell r="Q3498" t="str">
            <v/>
          </cell>
        </row>
        <row r="3499">
          <cell r="Q3499" t="str">
            <v/>
          </cell>
        </row>
        <row r="3500">
          <cell r="Q3500" t="str">
            <v/>
          </cell>
        </row>
        <row r="3501">
          <cell r="Q3501" t="str">
            <v/>
          </cell>
        </row>
        <row r="3502">
          <cell r="Q3502" t="str">
            <v/>
          </cell>
        </row>
        <row r="3503">
          <cell r="Q3503" t="str">
            <v/>
          </cell>
        </row>
        <row r="3504">
          <cell r="Q3504" t="str">
            <v/>
          </cell>
        </row>
        <row r="3505">
          <cell r="Q3505" t="str">
            <v/>
          </cell>
        </row>
        <row r="3506">
          <cell r="Q3506" t="str">
            <v/>
          </cell>
        </row>
        <row r="3507">
          <cell r="Q3507" t="str">
            <v/>
          </cell>
        </row>
        <row r="3508">
          <cell r="Q3508" t="str">
            <v/>
          </cell>
        </row>
        <row r="3509">
          <cell r="Q3509" t="str">
            <v/>
          </cell>
        </row>
        <row r="3510">
          <cell r="Q3510" t="str">
            <v/>
          </cell>
        </row>
        <row r="3511">
          <cell r="Q3511" t="str">
            <v/>
          </cell>
        </row>
        <row r="3512">
          <cell r="Q3512" t="str">
            <v/>
          </cell>
        </row>
        <row r="3513">
          <cell r="Q3513" t="str">
            <v/>
          </cell>
        </row>
        <row r="3514">
          <cell r="Q3514" t="str">
            <v/>
          </cell>
        </row>
        <row r="3515">
          <cell r="Q3515" t="str">
            <v/>
          </cell>
        </row>
        <row r="3516">
          <cell r="Q3516" t="str">
            <v/>
          </cell>
        </row>
        <row r="3517">
          <cell r="Q3517" t="str">
            <v/>
          </cell>
        </row>
        <row r="3518">
          <cell r="Q3518" t="str">
            <v/>
          </cell>
        </row>
        <row r="3519">
          <cell r="Q3519" t="str">
            <v/>
          </cell>
        </row>
        <row r="3520">
          <cell r="Q3520" t="str">
            <v/>
          </cell>
        </row>
        <row r="3521">
          <cell r="Q3521" t="str">
            <v/>
          </cell>
        </row>
        <row r="3522">
          <cell r="Q3522" t="str">
            <v/>
          </cell>
        </row>
        <row r="3523">
          <cell r="Q3523" t="str">
            <v/>
          </cell>
        </row>
        <row r="3524">
          <cell r="Q3524" t="str">
            <v/>
          </cell>
        </row>
        <row r="3525">
          <cell r="Q3525" t="str">
            <v/>
          </cell>
        </row>
        <row r="3526">
          <cell r="Q3526" t="str">
            <v/>
          </cell>
        </row>
        <row r="3527">
          <cell r="Q3527" t="str">
            <v/>
          </cell>
        </row>
        <row r="3528">
          <cell r="Q3528" t="str">
            <v/>
          </cell>
        </row>
        <row r="3529">
          <cell r="Q3529" t="str">
            <v/>
          </cell>
        </row>
        <row r="3530">
          <cell r="Q3530" t="str">
            <v/>
          </cell>
        </row>
        <row r="3531">
          <cell r="Q3531" t="str">
            <v/>
          </cell>
        </row>
        <row r="3532">
          <cell r="Q3532" t="str">
            <v/>
          </cell>
        </row>
        <row r="3533">
          <cell r="Q3533" t="str">
            <v/>
          </cell>
        </row>
        <row r="3534">
          <cell r="Q3534" t="str">
            <v/>
          </cell>
        </row>
        <row r="3535">
          <cell r="Q3535" t="str">
            <v/>
          </cell>
        </row>
      </sheetData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Mohammed 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Shah Abi Talib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17"/>
  <sheetViews>
    <sheetView tabSelected="1" zoomScaleNormal="100" workbookViewId="0">
      <pane xSplit="3" ySplit="1" topLeftCell="D199" activePane="bottomRight" state="frozen"/>
      <selection pane="topRight" activeCell="D1" sqref="D1"/>
      <selection pane="bottomLeft" activeCell="A2" sqref="A2"/>
      <selection pane="bottomRight" activeCell="D217" sqref="D217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30.8554687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1132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1133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1134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1135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1136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1137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 t="s">
        <v>1129</v>
      </c>
      <c r="AH27" s="34">
        <v>46255</v>
      </c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1138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1139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1140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1133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1141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1138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1134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1128</v>
      </c>
      <c r="AH107" s="34">
        <v>46150</v>
      </c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1142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1142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1143</v>
      </c>
      <c r="AE130" s="2">
        <v>271</v>
      </c>
      <c r="AF130" s="2">
        <v>10</v>
      </c>
      <c r="AG130"/>
    </row>
    <row r="131" spans="1:34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1143</v>
      </c>
      <c r="AE131" s="2">
        <v>70</v>
      </c>
      <c r="AF131" s="2">
        <v>9</v>
      </c>
      <c r="AG131"/>
    </row>
    <row r="132" spans="1:34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1132</v>
      </c>
      <c r="AE133" s="2">
        <v>43</v>
      </c>
      <c r="AF133" s="2">
        <v>9</v>
      </c>
      <c r="AG133"/>
    </row>
    <row r="134" spans="1:34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1144</v>
      </c>
      <c r="AE134" s="2">
        <v>212</v>
      </c>
      <c r="AF134" s="2">
        <v>11</v>
      </c>
      <c r="AG134"/>
    </row>
    <row r="135" spans="1:34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1144</v>
      </c>
      <c r="AE135" s="2">
        <v>25</v>
      </c>
      <c r="AF135" s="2">
        <v>2</v>
      </c>
      <c r="AG135"/>
    </row>
    <row r="136" spans="1:34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1133</v>
      </c>
      <c r="AE136" s="2">
        <v>3</v>
      </c>
      <c r="AF136" s="2">
        <v>0</v>
      </c>
      <c r="AG136"/>
    </row>
    <row r="137" spans="1:34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1133</v>
      </c>
      <c r="AE137" s="2">
        <v>28</v>
      </c>
      <c r="AF137" s="2">
        <v>3</v>
      </c>
      <c r="AG137"/>
    </row>
    <row r="138" spans="1:34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1145</v>
      </c>
      <c r="AE138" s="2">
        <v>2</v>
      </c>
      <c r="AF138" s="2">
        <v>0</v>
      </c>
      <c r="AG138"/>
    </row>
    <row r="139" spans="1:34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1135</v>
      </c>
      <c r="AE139" s="2">
        <v>8</v>
      </c>
      <c r="AF139" s="2">
        <v>1</v>
      </c>
      <c r="AG139"/>
    </row>
    <row r="140" spans="1:34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1135</v>
      </c>
      <c r="AE140" s="2">
        <v>269</v>
      </c>
      <c r="AF140" s="2">
        <v>21</v>
      </c>
      <c r="AG140"/>
    </row>
    <row r="141" spans="1:34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1146</v>
      </c>
      <c r="AE141" s="2">
        <v>139</v>
      </c>
      <c r="AF141" s="2">
        <v>3</v>
      </c>
      <c r="AG141"/>
    </row>
    <row r="142" spans="1:34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1146</v>
      </c>
      <c r="AE142" s="2">
        <v>3</v>
      </c>
      <c r="AF142" s="2">
        <v>0</v>
      </c>
      <c r="AG142"/>
    </row>
    <row r="143" spans="1:34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1145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1147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  <row r="208" spans="1:34" ht="16.5" x14ac:dyDescent="0.25">
      <c r="A208" s="1">
        <v>207</v>
      </c>
      <c r="B208" s="1" t="s">
        <v>824</v>
      </c>
      <c r="C208" s="1" t="s">
        <v>1130</v>
      </c>
      <c r="D208" s="1">
        <v>2</v>
      </c>
      <c r="E208" s="1">
        <v>3</v>
      </c>
      <c r="F208" s="2">
        <v>46</v>
      </c>
      <c r="G208" s="2">
        <v>2</v>
      </c>
      <c r="H208" s="2">
        <v>3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 t="s">
        <v>293</v>
      </c>
      <c r="T208" s="2">
        <v>0</v>
      </c>
      <c r="U208" s="2">
        <v>0</v>
      </c>
      <c r="V208" s="2" t="s">
        <v>15</v>
      </c>
      <c r="W208" s="2" t="s">
        <v>824</v>
      </c>
      <c r="X208">
        <v>0.66666666666666663</v>
      </c>
      <c r="Y208" s="41">
        <v>15.333333333333334</v>
      </c>
      <c r="Z208" s="1" t="s">
        <v>456</v>
      </c>
      <c r="AA208" s="1">
        <v>0</v>
      </c>
      <c r="AB208" s="42">
        <v>41456</v>
      </c>
      <c r="AC208" s="43" t="s">
        <v>474</v>
      </c>
      <c r="AD208" s="43" t="s">
        <v>1131</v>
      </c>
      <c r="AE208" s="43">
        <v>0</v>
      </c>
      <c r="AF208" s="43">
        <v>0</v>
      </c>
      <c r="AG208"/>
      <c r="AH208"/>
    </row>
    <row r="209" spans="1:34" ht="16.5" x14ac:dyDescent="0.25">
      <c r="A209" s="9">
        <v>208</v>
      </c>
      <c r="B209" s="1" t="s">
        <v>790</v>
      </c>
      <c r="C209" s="1" t="s">
        <v>1148</v>
      </c>
      <c r="D209" s="1">
        <v>2</v>
      </c>
      <c r="E209" s="1">
        <v>4</v>
      </c>
      <c r="F209" s="2">
        <v>14</v>
      </c>
      <c r="G209" s="2">
        <v>5</v>
      </c>
      <c r="H209" s="2">
        <v>3</v>
      </c>
      <c r="I209" s="2">
        <v>0</v>
      </c>
      <c r="J209" s="2">
        <v>2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 t="s">
        <v>293</v>
      </c>
      <c r="T209" s="2">
        <v>0</v>
      </c>
      <c r="U209" s="2">
        <v>0</v>
      </c>
      <c r="V209" s="2" t="s">
        <v>15</v>
      </c>
      <c r="W209" s="2" t="s">
        <v>790</v>
      </c>
      <c r="X209">
        <v>1.25</v>
      </c>
      <c r="Y209" s="41">
        <v>4.666666666666667</v>
      </c>
      <c r="Z209" s="1" t="s">
        <v>457</v>
      </c>
      <c r="AA209" s="1">
        <v>0</v>
      </c>
      <c r="AB209" s="42">
        <v>41609</v>
      </c>
      <c r="AC209" s="43" t="s">
        <v>501</v>
      </c>
      <c r="AD209" s="43" t="s">
        <v>788</v>
      </c>
      <c r="AE209" s="43">
        <v>0</v>
      </c>
      <c r="AF209" s="43">
        <v>0</v>
      </c>
      <c r="AG209"/>
      <c r="AH209"/>
    </row>
    <row r="210" spans="1:34" ht="16.5" x14ac:dyDescent="0.25">
      <c r="A210" s="1">
        <v>209</v>
      </c>
      <c r="B210" s="1" t="s">
        <v>798</v>
      </c>
      <c r="C210" s="1" t="s">
        <v>1149</v>
      </c>
      <c r="D210" s="1">
        <v>2</v>
      </c>
      <c r="E210" s="1">
        <v>4</v>
      </c>
      <c r="F210" s="2">
        <v>44</v>
      </c>
      <c r="G210" s="2">
        <v>4</v>
      </c>
      <c r="H210" s="2">
        <v>6</v>
      </c>
      <c r="I210" s="2">
        <v>0</v>
      </c>
      <c r="J210" s="2">
        <v>5</v>
      </c>
      <c r="K210" s="2">
        <v>2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 t="s">
        <v>293</v>
      </c>
      <c r="T210" s="2">
        <v>0</v>
      </c>
      <c r="U210" s="2">
        <v>0</v>
      </c>
      <c r="V210" s="2" t="s">
        <v>15</v>
      </c>
      <c r="W210" s="2" t="s">
        <v>798</v>
      </c>
      <c r="X210">
        <v>1</v>
      </c>
      <c r="Y210" s="41">
        <v>7.333333333333333</v>
      </c>
      <c r="Z210" s="1" t="s">
        <v>457</v>
      </c>
      <c r="AA210" s="1">
        <v>0</v>
      </c>
      <c r="AB210" s="42">
        <v>41609</v>
      </c>
      <c r="AC210" s="43" t="s">
        <v>501</v>
      </c>
      <c r="AD210" s="43" t="s">
        <v>797</v>
      </c>
      <c r="AE210" s="43">
        <v>0</v>
      </c>
      <c r="AF210" s="43">
        <v>0</v>
      </c>
      <c r="AG210"/>
      <c r="AH210"/>
    </row>
    <row r="211" spans="1:34" ht="16.5" x14ac:dyDescent="0.25">
      <c r="A211" s="9">
        <v>210</v>
      </c>
      <c r="B211" s="1" t="s">
        <v>807</v>
      </c>
      <c r="C211" s="1" t="s">
        <v>1150</v>
      </c>
      <c r="D211" s="1">
        <v>2</v>
      </c>
      <c r="E211" s="1">
        <v>14</v>
      </c>
      <c r="F211" s="2">
        <v>216</v>
      </c>
      <c r="G211" s="2">
        <v>13</v>
      </c>
      <c r="H211" s="2">
        <v>19</v>
      </c>
      <c r="I211" s="2">
        <v>3</v>
      </c>
      <c r="J211" s="2">
        <v>15</v>
      </c>
      <c r="K211" s="2">
        <v>14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 t="s">
        <v>293</v>
      </c>
      <c r="T211" s="2">
        <v>0</v>
      </c>
      <c r="U211" s="2">
        <v>0</v>
      </c>
      <c r="V211" s="2" t="s">
        <v>15</v>
      </c>
      <c r="W211" s="2" t="s">
        <v>807</v>
      </c>
      <c r="X211">
        <v>0.9285714285714286</v>
      </c>
      <c r="Y211" s="41">
        <v>13.5</v>
      </c>
      <c r="Z211" s="1" t="s">
        <v>456</v>
      </c>
      <c r="AA211" s="1">
        <v>0</v>
      </c>
      <c r="AB211" s="42">
        <v>41791</v>
      </c>
      <c r="AC211" s="43" t="s">
        <v>509</v>
      </c>
      <c r="AD211" s="43" t="s">
        <v>593</v>
      </c>
      <c r="AE211" s="43">
        <v>0</v>
      </c>
      <c r="AF211" s="43">
        <v>0</v>
      </c>
      <c r="AG211"/>
      <c r="AH211"/>
    </row>
    <row r="212" spans="1:34" ht="16.5" x14ac:dyDescent="0.25">
      <c r="A212" s="1">
        <v>211</v>
      </c>
      <c r="B212" s="1" t="s">
        <v>832</v>
      </c>
      <c r="C212" s="1" t="s">
        <v>1151</v>
      </c>
      <c r="D212" s="1">
        <v>1</v>
      </c>
      <c r="E212" s="1">
        <v>12</v>
      </c>
      <c r="F212" s="2">
        <v>147</v>
      </c>
      <c r="G212" s="2">
        <v>9</v>
      </c>
      <c r="H212" s="2">
        <v>13</v>
      </c>
      <c r="I212" s="2">
        <v>1</v>
      </c>
      <c r="J212" s="2">
        <v>11</v>
      </c>
      <c r="K212" s="2">
        <v>9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 t="s">
        <v>37</v>
      </c>
      <c r="T212" s="2">
        <v>0</v>
      </c>
      <c r="U212" s="2">
        <v>0</v>
      </c>
      <c r="V212" s="2" t="s">
        <v>15</v>
      </c>
      <c r="W212" s="2" t="s">
        <v>832</v>
      </c>
      <c r="X212">
        <v>0.75</v>
      </c>
      <c r="Y212" s="41">
        <v>12.25</v>
      </c>
      <c r="Z212" s="1" t="s">
        <v>456</v>
      </c>
      <c r="AA212" s="1">
        <v>0</v>
      </c>
      <c r="AB212" s="42">
        <v>42036</v>
      </c>
      <c r="AC212" s="43" t="s">
        <v>525</v>
      </c>
      <c r="AD212" s="43" t="s">
        <v>831</v>
      </c>
      <c r="AE212" s="43">
        <v>0</v>
      </c>
      <c r="AF212" s="43">
        <v>0</v>
      </c>
      <c r="AG212"/>
      <c r="AH212"/>
    </row>
    <row r="213" spans="1:34" ht="16.5" x14ac:dyDescent="0.25">
      <c r="A213" s="9">
        <v>212</v>
      </c>
      <c r="B213" s="1" t="s">
        <v>778</v>
      </c>
      <c r="C213" s="1" t="s">
        <v>1152</v>
      </c>
      <c r="D213" s="1">
        <v>1</v>
      </c>
      <c r="E213" s="1">
        <v>7</v>
      </c>
      <c r="F213" s="2">
        <v>37</v>
      </c>
      <c r="G213" s="2">
        <v>0</v>
      </c>
      <c r="H213" s="2">
        <v>4</v>
      </c>
      <c r="I213" s="2">
        <v>0</v>
      </c>
      <c r="J213" s="2">
        <v>3</v>
      </c>
      <c r="K213" s="2">
        <v>2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1</v>
      </c>
      <c r="R213" s="2">
        <v>0</v>
      </c>
      <c r="S213" s="2" t="s">
        <v>293</v>
      </c>
      <c r="T213" s="2">
        <v>0</v>
      </c>
      <c r="U213" s="2">
        <v>0</v>
      </c>
      <c r="V213" s="2" t="s">
        <v>15</v>
      </c>
      <c r="W213" s="2" t="s">
        <v>778</v>
      </c>
      <c r="X213">
        <v>0</v>
      </c>
      <c r="Y213" s="41">
        <v>9.25</v>
      </c>
      <c r="Z213" s="1" t="s">
        <v>455</v>
      </c>
      <c r="AA213" s="1">
        <v>1</v>
      </c>
      <c r="AB213" s="42">
        <v>41548</v>
      </c>
      <c r="AC213" s="43" t="s">
        <v>499</v>
      </c>
      <c r="AD213" s="43" t="s">
        <v>777</v>
      </c>
      <c r="AE213" s="43">
        <v>0</v>
      </c>
      <c r="AF213" s="43">
        <v>0</v>
      </c>
      <c r="AG213"/>
      <c r="AH213"/>
    </row>
    <row r="214" spans="1:34" ht="16.5" x14ac:dyDescent="0.25">
      <c r="A214" s="1">
        <v>213</v>
      </c>
      <c r="B214" s="1" t="s">
        <v>828</v>
      </c>
      <c r="C214" s="1" t="s">
        <v>1153</v>
      </c>
      <c r="D214" s="1">
        <v>1</v>
      </c>
      <c r="E214" s="1">
        <v>3</v>
      </c>
      <c r="F214" s="2">
        <v>28</v>
      </c>
      <c r="G214" s="2">
        <v>0</v>
      </c>
      <c r="H214" s="2">
        <v>3</v>
      </c>
      <c r="I214" s="2">
        <v>0</v>
      </c>
      <c r="J214" s="2">
        <v>1</v>
      </c>
      <c r="K214" s="2">
        <v>2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 t="s">
        <v>278</v>
      </c>
      <c r="T214" s="2">
        <v>0</v>
      </c>
      <c r="U214" s="2">
        <v>0</v>
      </c>
      <c r="V214" s="2" t="s">
        <v>15</v>
      </c>
      <c r="W214" s="2" t="s">
        <v>828</v>
      </c>
      <c r="X214">
        <v>0</v>
      </c>
      <c r="Y214" s="41">
        <v>9.3333333333333339</v>
      </c>
      <c r="Z214" s="1" t="s">
        <v>455</v>
      </c>
      <c r="AA214" s="1">
        <v>0</v>
      </c>
      <c r="AB214" s="42">
        <v>42339</v>
      </c>
      <c r="AC214" s="43" t="s">
        <v>522</v>
      </c>
      <c r="AD214" s="43" t="s">
        <v>827</v>
      </c>
      <c r="AE214" s="43">
        <v>0</v>
      </c>
      <c r="AF214" s="43">
        <v>0</v>
      </c>
      <c r="AG214"/>
      <c r="AH214"/>
    </row>
    <row r="215" spans="1:34" ht="16.5" x14ac:dyDescent="0.25">
      <c r="A215" s="9">
        <v>214</v>
      </c>
      <c r="B215" s="1" t="s">
        <v>745</v>
      </c>
      <c r="C215" t="s">
        <v>1154</v>
      </c>
      <c r="D215" s="1">
        <v>7</v>
      </c>
      <c r="E215" s="1">
        <v>60</v>
      </c>
      <c r="F215" s="2">
        <v>764</v>
      </c>
      <c r="G215" s="2">
        <v>70</v>
      </c>
      <c r="H215" s="2">
        <v>68</v>
      </c>
      <c r="I215" s="2">
        <v>11</v>
      </c>
      <c r="J215" s="2">
        <v>69</v>
      </c>
      <c r="K215" s="2">
        <v>46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1</v>
      </c>
      <c r="R215" s="2">
        <v>0</v>
      </c>
      <c r="S215" s="2" t="s">
        <v>281</v>
      </c>
      <c r="T215" s="2">
        <v>0</v>
      </c>
      <c r="U215" s="2">
        <v>0</v>
      </c>
      <c r="V215" s="2" t="s">
        <v>15</v>
      </c>
      <c r="W215" s="2" t="s">
        <v>745</v>
      </c>
      <c r="X215">
        <v>1.1666666666666667</v>
      </c>
      <c r="Y215" s="41">
        <v>13.403508771929825</v>
      </c>
      <c r="Z215" s="1" t="s">
        <v>454</v>
      </c>
      <c r="AA215" s="1">
        <v>1</v>
      </c>
      <c r="AB215" s="42">
        <v>41456</v>
      </c>
      <c r="AC215" s="43" t="s">
        <v>474</v>
      </c>
      <c r="AD215" s="43" t="s">
        <v>1137</v>
      </c>
      <c r="AE215" s="43">
        <v>0</v>
      </c>
      <c r="AF215" s="43">
        <v>0</v>
      </c>
      <c r="AG215"/>
      <c r="AH215"/>
    </row>
    <row r="216" spans="1:34" ht="16.5" x14ac:dyDescent="0.25">
      <c r="A216" s="1">
        <v>215</v>
      </c>
      <c r="B216" s="1" t="s">
        <v>738</v>
      </c>
      <c r="C216" t="s">
        <v>1155</v>
      </c>
      <c r="D216" s="1">
        <v>2</v>
      </c>
      <c r="E216" s="1">
        <v>3</v>
      </c>
      <c r="F216" s="2">
        <v>46</v>
      </c>
      <c r="G216" s="2">
        <v>2</v>
      </c>
      <c r="H216" s="2">
        <v>3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 t="s">
        <v>286</v>
      </c>
      <c r="T216" s="2">
        <v>0</v>
      </c>
      <c r="U216" s="2">
        <v>0</v>
      </c>
      <c r="V216" s="2" t="s">
        <v>15</v>
      </c>
      <c r="W216" s="2" t="s">
        <v>738</v>
      </c>
      <c r="X216">
        <v>0.66666666666666663</v>
      </c>
      <c r="Y216" s="41">
        <v>15.333333333333334</v>
      </c>
      <c r="Z216" s="1" t="s">
        <v>456</v>
      </c>
      <c r="AA216" s="1">
        <v>0</v>
      </c>
      <c r="AB216" s="42">
        <v>41456</v>
      </c>
      <c r="AC216" s="43" t="s">
        <v>474</v>
      </c>
      <c r="AD216" s="43" t="s">
        <v>1140</v>
      </c>
      <c r="AE216" s="43">
        <v>0</v>
      </c>
      <c r="AF216" s="43">
        <v>0</v>
      </c>
      <c r="AG216"/>
      <c r="AH216"/>
    </row>
    <row r="217" spans="1:34" ht="16.5" x14ac:dyDescent="0.25">
      <c r="A217" s="1">
        <v>216</v>
      </c>
      <c r="B217" s="1" t="str">
        <f>W217</f>
        <v>NOVEL</v>
      </c>
      <c r="C217" t="str">
        <f>IFERROR(VLOOKUP(W217,'[1]All Player'!$B$2:$C$1993,2,0),"")</f>
        <v>Neaimul Novel</v>
      </c>
      <c r="D217" s="1">
        <f>SUMPRODUCT(SUMIF([1]Data!$B:$B,[1]FULL!$W217,[1]Data!Q:Q))</f>
        <v>2</v>
      </c>
      <c r="E217" s="1">
        <f>SUMPRODUCT(SUMIF([1]Data!$B:$B,[1]FULL!$W217,[1]Data!C:C))</f>
        <v>4</v>
      </c>
      <c r="F217" s="2">
        <f>SUMPRODUCT(SUMIF([1]Data!$B:$B,[1]FULL!$W217,[1]Data!D:D))</f>
        <v>14</v>
      </c>
      <c r="G217" s="2">
        <f>SUMPRODUCT(SUMIF([1]Data!$B:$B,[1]FULL!$W217,[1]Data!E:E))</f>
        <v>5</v>
      </c>
      <c r="H217" s="2">
        <f>SUMPRODUCT(SUMIF([1]Data!$B:$B,[1]FULL!$W217,[1]Data!F:F))</f>
        <v>3</v>
      </c>
      <c r="I217" s="2">
        <f>SUMPRODUCT(SUMIF([1]Data!$B:$B,[1]FULL!$W217,[1]Data!G:G))</f>
        <v>0</v>
      </c>
      <c r="J217" s="2">
        <f>SUMPRODUCT(SUMIF([1]Data!$B:$B,[1]FULL!$W217,[1]Data!H:H))</f>
        <v>2</v>
      </c>
      <c r="K217" s="2">
        <f>SUMPRODUCT(SUMIF([1]Data!$B:$B,[1]FULL!$W217,[1]Data!I:I))</f>
        <v>0</v>
      </c>
      <c r="L217" s="2">
        <f>SUMPRODUCT(SUMIF([1]Data!$B:$B,[1]FULL!$W217,[1]Data!J:J))</f>
        <v>0</v>
      </c>
      <c r="M217" s="2">
        <f>SUMPRODUCT(SUMIF([1]Data!$B:$B,[1]FULL!$W217,[1]Data!K:K))</f>
        <v>0</v>
      </c>
      <c r="N217" s="2">
        <f>SUMPRODUCT(SUMIF([1]Data!$B:$B,[1]FULL!$W217,[1]Data!L:L))</f>
        <v>0</v>
      </c>
      <c r="O217" s="2">
        <f>COUNTIFS([1]Data!B:B,B217,[1]Data!S:S,"MOT")</f>
        <v>0</v>
      </c>
      <c r="P217" s="2">
        <f>COUNTIFS([1]Data!B:B,B217,[1]Data!S:S,"CPOT")</f>
        <v>0</v>
      </c>
      <c r="Q217" s="2">
        <f>COUNTIFS([1]Data!B:B,B217,[1]Data!T:T,"CHAMP")</f>
        <v>0</v>
      </c>
      <c r="R217" s="2">
        <f>COUNTIFS([1]Data!B:B,B217,[1]Data!T:T,"RU")</f>
        <v>0</v>
      </c>
      <c r="S217" s="2" t="str">
        <f>LOOKUP(2,1/([1]Data!B:B=B217),[1]Data!O:O)&amp;" ("&amp;TEXT(LOOKUP(2,1/([1]Data!B:B=B217),[1]Data!U:U),"mmm-yyy")&amp;")"</f>
        <v>FCL-2 (Aug-2013)</v>
      </c>
      <c r="T217" s="2">
        <f>SUMPRODUCT(SUMIF([1]Data!$B:$B,[1]FULL!$W217,[1]Data!V:V))</f>
        <v>0</v>
      </c>
      <c r="U217" s="2">
        <f>SUMPRODUCT(SUMIF([1]Data!$B:$B,[1]FULL!$W217,[1]Data!W:W))</f>
        <v>0</v>
      </c>
      <c r="V217" s="2" t="s">
        <v>15</v>
      </c>
      <c r="W217" s="2" t="s">
        <v>737</v>
      </c>
      <c r="X217">
        <f>G217/E217</f>
        <v>1.25</v>
      </c>
      <c r="Y217" s="41">
        <f>SUM(F217/(H217-I217))</f>
        <v>4.666666666666667</v>
      </c>
      <c r="Z217" s="1" t="str">
        <f>IF(AND(Y217&gt;=15,X217&gt;=1.5),"VIP All-Rounder",
IF(AND(Y217&gt;=14,X217&gt;=1.2),"All-Rounder",
IF(AND(Y217&gt;10,X217&lt;1),"Batsman",
IF(AND(Y217&lt;10,X217&gt;=1),"Bowler",
IF(AND(Y217&gt;=10,Y217&lt;14,X217&gt;=1),"Bowling All-Rounder",
"Promising Player")))))</f>
        <v>Bowler</v>
      </c>
      <c r="AA217" s="1">
        <f>Q217+R217</f>
        <v>0</v>
      </c>
      <c r="AB217" s="42">
        <f>VLOOKUP(B217,[1]Data!$B$2:$U$2000,20,0)</f>
        <v>41456</v>
      </c>
      <c r="AC217" s="43" t="str">
        <f>VLOOKUP(B217,[1]Data!$B$2:$U$2000,14,0)</f>
        <v>FIC-1</v>
      </c>
      <c r="AD217" s="43" t="str">
        <f>VLOOKUP(B217,[1]Data!$B$2:$U$2000,15,0)</f>
        <v xml:space="preserve">  BLEED BLUE</v>
      </c>
      <c r="AE217" s="43">
        <f>MAX(IF([1]Data!B:B=B217, [1]Data!D:D))</f>
        <v>0</v>
      </c>
      <c r="AF217" s="43">
        <f>MAX(IF([1]Data!B:B=B217, [1]Data!E:E))</f>
        <v>0</v>
      </c>
      <c r="AG217"/>
      <c r="AH217"/>
    </row>
  </sheetData>
  <autoFilter ref="A1:AH212"/>
  <conditionalFormatting sqref="W2:W207 W218:W1048576">
    <cfRule type="duplicateValues" dxfId="20" priority="14"/>
  </conditionalFormatting>
  <conditionalFormatting sqref="W1">
    <cfRule type="duplicateValues" dxfId="19" priority="13"/>
  </conditionalFormatting>
  <conditionalFormatting sqref="AB1">
    <cfRule type="duplicateValues" dxfId="18" priority="12"/>
  </conditionalFormatting>
  <conditionalFormatting sqref="W208">
    <cfRule type="duplicateValues" dxfId="17" priority="11"/>
  </conditionalFormatting>
  <conditionalFormatting sqref="W209">
    <cfRule type="duplicateValues" dxfId="16" priority="10"/>
  </conditionalFormatting>
  <conditionalFormatting sqref="W210">
    <cfRule type="duplicateValues" dxfId="15" priority="9"/>
  </conditionalFormatting>
  <conditionalFormatting sqref="W211">
    <cfRule type="duplicateValues" dxfId="14" priority="8"/>
  </conditionalFormatting>
  <conditionalFormatting sqref="B1:B211 B218:B1048576">
    <cfRule type="duplicateValues" dxfId="6" priority="7"/>
  </conditionalFormatting>
  <conditionalFormatting sqref="W212">
    <cfRule type="duplicateValues" dxfId="5" priority="6"/>
  </conditionalFormatting>
  <conditionalFormatting sqref="W213">
    <cfRule type="duplicateValues" dxfId="4" priority="5"/>
  </conditionalFormatting>
  <conditionalFormatting sqref="W214">
    <cfRule type="duplicateValues" dxfId="3" priority="4"/>
  </conditionalFormatting>
  <conditionalFormatting sqref="W215">
    <cfRule type="duplicateValues" dxfId="2" priority="3"/>
  </conditionalFormatting>
  <conditionalFormatting sqref="W216">
    <cfRule type="duplicateValues" dxfId="1" priority="2"/>
  </conditionalFormatting>
  <conditionalFormatting sqref="W217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14" activePane="bottomLeft" state="frozen"/>
      <selection pane="bottomLeft" activeCell="N17" sqref="N17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1145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Mohammed 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1141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Shah Abi Talib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Mohammed 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Shah Abi Talib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Mohammed 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Mohammed 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Shah Abi Talib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Mohammed 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Shah Abi Talib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Mohammed 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Mohammed 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Shah Abi Talib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Mohammed 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Shah Abi Talib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Shah Abi Talib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Mohammed 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Mohammed 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Mohammed 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Mohammed 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Mohammed 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Mohammed 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Mohammed 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Mohammed 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Mohammed 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Mohammed 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Mohammed 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Mohammed 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Mohammed 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Mohammed 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Mohammed 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2026-10-28T17:27:01Z</dcterms:modified>
</cp:coreProperties>
</file>