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verall" sheetId="2" r:id="rId1"/>
    <sheet name="Tournaments" sheetId="3" r:id="rId2"/>
  </sheets>
  <externalReferences>
    <externalReference r:id="rId3"/>
  </externalReferences>
  <definedNames>
    <definedName name="_xlnm._FilterDatabase" localSheetId="0" hidden="1">Overall!$A$1:$AH$217</definedName>
    <definedName name="_xlnm._FilterDatabase" localSheetId="1" hidden="1">Tournaments!$A$1:$X$3535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535" i="3" l="1"/>
  <c r="Q3534" i="3"/>
  <c r="Q3533" i="3"/>
  <c r="Q3532" i="3"/>
  <c r="Q3531" i="3"/>
  <c r="Q3530" i="3"/>
  <c r="Q3529" i="3"/>
  <c r="Q3528" i="3"/>
  <c r="Q3527" i="3"/>
  <c r="Q3526" i="3"/>
  <c r="Q3525" i="3"/>
  <c r="Q3524" i="3"/>
  <c r="Q3523" i="3"/>
  <c r="Q3522" i="3"/>
  <c r="Q3521" i="3"/>
  <c r="Q3520" i="3"/>
  <c r="Q3519" i="3"/>
  <c r="Q3518" i="3"/>
  <c r="Q3517" i="3"/>
  <c r="Q3516" i="3"/>
  <c r="Q3515" i="3"/>
  <c r="Q3514" i="3"/>
  <c r="Q3513" i="3"/>
  <c r="Q3512" i="3"/>
  <c r="Q3511" i="3"/>
  <c r="Q3510" i="3"/>
  <c r="Q3509" i="3"/>
  <c r="Q3508" i="3"/>
  <c r="Q3507" i="3"/>
  <c r="Q3506" i="3"/>
  <c r="Q3505" i="3"/>
  <c r="Q3504" i="3"/>
  <c r="Q3503" i="3"/>
  <c r="Q3502" i="3"/>
  <c r="Q3501" i="3"/>
  <c r="Q3500" i="3"/>
  <c r="Q3499" i="3"/>
  <c r="Q3498" i="3"/>
  <c r="Q3497" i="3"/>
  <c r="Q3496" i="3"/>
  <c r="Q3495" i="3"/>
  <c r="Q3494" i="3"/>
  <c r="Q3493" i="3"/>
  <c r="Q3492" i="3"/>
  <c r="Q3491" i="3"/>
  <c r="Q3490" i="3"/>
  <c r="Q3489" i="3"/>
  <c r="Q3488" i="3"/>
  <c r="Q3487" i="3"/>
  <c r="Q3486" i="3"/>
  <c r="Q3485" i="3"/>
  <c r="Q3484" i="3"/>
  <c r="Q3483" i="3"/>
  <c r="Q3482" i="3"/>
  <c r="Q3481" i="3"/>
  <c r="Q3480" i="3"/>
  <c r="Q3479" i="3"/>
  <c r="Q3478" i="3"/>
  <c r="Q3477" i="3"/>
  <c r="Q3476" i="3"/>
  <c r="Q3475" i="3"/>
  <c r="Q3474" i="3"/>
  <c r="Q3473" i="3"/>
  <c r="Q3472" i="3"/>
  <c r="Q3471" i="3"/>
  <c r="Q3470" i="3"/>
  <c r="Q3469" i="3"/>
  <c r="Q3468" i="3"/>
  <c r="Q3467" i="3"/>
  <c r="Q3466" i="3"/>
  <c r="Q3465" i="3"/>
  <c r="Q3464" i="3"/>
  <c r="Q3463" i="3"/>
  <c r="Q3462" i="3"/>
  <c r="Q3461" i="3"/>
  <c r="Q3460" i="3"/>
  <c r="Q3459" i="3"/>
  <c r="Q3458" i="3"/>
  <c r="Q3457" i="3"/>
  <c r="Q3456" i="3"/>
  <c r="Q3455" i="3"/>
  <c r="Q3454" i="3"/>
  <c r="Q3453" i="3"/>
  <c r="Q3452" i="3"/>
  <c r="Q3451" i="3"/>
  <c r="Q3450" i="3"/>
  <c r="Q3449" i="3"/>
  <c r="Q3448" i="3"/>
  <c r="Q3447" i="3"/>
  <c r="Q3446" i="3"/>
  <c r="Q3445" i="3"/>
  <c r="Q3444" i="3"/>
  <c r="Q3443" i="3"/>
  <c r="Q3442" i="3"/>
  <c r="Q3441" i="3"/>
  <c r="Q3440" i="3"/>
  <c r="Q3439" i="3"/>
  <c r="Q3438" i="3"/>
  <c r="Q3437" i="3"/>
  <c r="Q3436" i="3"/>
  <c r="Q3435" i="3"/>
  <c r="Q3434" i="3"/>
  <c r="Q3433" i="3"/>
  <c r="Q3432" i="3"/>
  <c r="Q3431" i="3"/>
  <c r="Q3430" i="3"/>
  <c r="Q3429" i="3"/>
  <c r="Q3428" i="3"/>
  <c r="Q3427" i="3"/>
  <c r="Q3426" i="3"/>
  <c r="Q3425" i="3"/>
  <c r="Q3424" i="3"/>
  <c r="Q3423" i="3"/>
  <c r="Q3422" i="3"/>
  <c r="Q3421" i="3"/>
  <c r="Q3420" i="3"/>
  <c r="Q3419" i="3"/>
  <c r="Q3418" i="3"/>
  <c r="Q3417" i="3"/>
  <c r="Q3416" i="3"/>
  <c r="Q3415" i="3"/>
  <c r="Q3414" i="3"/>
  <c r="Q3413" i="3"/>
  <c r="Q3412" i="3"/>
  <c r="Q3411" i="3"/>
  <c r="Q3410" i="3"/>
  <c r="Q3409" i="3"/>
  <c r="Q3408" i="3"/>
  <c r="Q3407" i="3"/>
  <c r="Q3406" i="3"/>
  <c r="Q3405" i="3"/>
  <c r="Q3404" i="3"/>
  <c r="Q3403" i="3"/>
  <c r="Q3402" i="3"/>
  <c r="Q3401" i="3"/>
  <c r="Q3400" i="3"/>
  <c r="Q3399" i="3"/>
  <c r="Q3398" i="3"/>
  <c r="Q3397" i="3"/>
  <c r="Q3396" i="3"/>
  <c r="Q3395" i="3"/>
  <c r="Q3394" i="3"/>
  <c r="Q3393" i="3"/>
  <c r="Q3392" i="3"/>
  <c r="Q3391" i="3"/>
  <c r="Q3390" i="3"/>
  <c r="Q3389" i="3"/>
  <c r="Q3388" i="3"/>
  <c r="Q3387" i="3"/>
  <c r="Q3386" i="3"/>
  <c r="Q3385" i="3"/>
  <c r="Q3384" i="3"/>
  <c r="Q3383" i="3"/>
  <c r="Q3382" i="3"/>
  <c r="Q3381" i="3"/>
  <c r="Q3380" i="3"/>
  <c r="Q3379" i="3"/>
  <c r="Q3378" i="3"/>
  <c r="Q3377" i="3"/>
  <c r="Q3376" i="3"/>
  <c r="Q3375" i="3"/>
  <c r="Q3374" i="3"/>
  <c r="Q3373" i="3"/>
  <c r="Q3372" i="3"/>
  <c r="Q3371" i="3"/>
  <c r="Q3370" i="3"/>
  <c r="Q3369" i="3"/>
  <c r="Q3368" i="3"/>
  <c r="Q3367" i="3"/>
  <c r="Q3366" i="3"/>
  <c r="Q3365" i="3"/>
  <c r="Q3364" i="3"/>
  <c r="Q3363" i="3"/>
  <c r="Q3362" i="3"/>
  <c r="Q3361" i="3"/>
  <c r="Q3360" i="3"/>
  <c r="Q3359" i="3"/>
  <c r="Q3358" i="3"/>
  <c r="Q3357" i="3"/>
  <c r="Q3356" i="3"/>
  <c r="Q3355" i="3"/>
  <c r="Q3354" i="3"/>
  <c r="Q3353" i="3"/>
  <c r="Q3352" i="3"/>
  <c r="Q3351" i="3"/>
  <c r="Q3350" i="3"/>
  <c r="Q3349" i="3"/>
  <c r="Q3348" i="3"/>
  <c r="Q3347" i="3"/>
  <c r="Q3346" i="3"/>
  <c r="Q3345" i="3"/>
  <c r="Q3344" i="3"/>
  <c r="Q3343" i="3"/>
  <c r="Q3342" i="3"/>
  <c r="Q3341" i="3"/>
  <c r="Q3340" i="3"/>
  <c r="Q3339" i="3"/>
  <c r="Q3338" i="3"/>
  <c r="Q3337" i="3"/>
  <c r="Q3336" i="3"/>
  <c r="Q3335" i="3"/>
  <c r="Q3334" i="3"/>
  <c r="Q3333" i="3"/>
  <c r="Q3332" i="3"/>
  <c r="Q3331" i="3"/>
  <c r="Q3330" i="3"/>
  <c r="Q3329" i="3"/>
  <c r="Q3328" i="3"/>
  <c r="Q3327" i="3"/>
  <c r="Q3326" i="3"/>
  <c r="Q3325" i="3"/>
  <c r="Q3324" i="3"/>
  <c r="Q3323" i="3"/>
  <c r="Q3322" i="3"/>
  <c r="Q3321" i="3"/>
  <c r="Q3320" i="3"/>
  <c r="Q3319" i="3"/>
  <c r="Q3318" i="3"/>
  <c r="Q3317" i="3"/>
  <c r="Q3316" i="3"/>
  <c r="Q3315" i="3"/>
  <c r="Q3314" i="3"/>
  <c r="Q3313" i="3"/>
  <c r="Q3312" i="3"/>
  <c r="Q3311" i="3"/>
  <c r="Q3310" i="3"/>
  <c r="Q3309" i="3"/>
  <c r="Q3308" i="3"/>
  <c r="Q3307" i="3"/>
  <c r="Q3306" i="3"/>
  <c r="Q3305" i="3"/>
  <c r="Q3304" i="3"/>
  <c r="Q3303" i="3"/>
  <c r="Q3302" i="3"/>
  <c r="Q3301" i="3"/>
  <c r="Q3300" i="3"/>
  <c r="Q3299" i="3"/>
  <c r="Q3298" i="3"/>
  <c r="Q3297" i="3"/>
  <c r="Q3296" i="3"/>
  <c r="Q3295" i="3"/>
  <c r="Q3294" i="3"/>
  <c r="Q3293" i="3"/>
  <c r="Q3292" i="3"/>
  <c r="Q3291" i="3"/>
  <c r="Q3290" i="3"/>
  <c r="Q3289" i="3"/>
  <c r="Q3288" i="3"/>
  <c r="Q3287" i="3"/>
  <c r="Q3286" i="3"/>
  <c r="Q3285" i="3"/>
  <c r="Q3284" i="3"/>
  <c r="Q3283" i="3"/>
  <c r="Q3282" i="3"/>
  <c r="Q3281" i="3"/>
  <c r="Q3280" i="3"/>
  <c r="Q3279" i="3"/>
  <c r="Q3278" i="3"/>
  <c r="Q3277" i="3"/>
  <c r="Q3276" i="3"/>
  <c r="Q3275" i="3"/>
  <c r="Q3274" i="3"/>
  <c r="Q3273" i="3"/>
  <c r="Q3272" i="3"/>
  <c r="Q3271" i="3"/>
  <c r="Q3270" i="3"/>
  <c r="Q3269" i="3"/>
  <c r="Q3268" i="3"/>
  <c r="Q3267" i="3"/>
  <c r="Q3266" i="3"/>
  <c r="Q3265" i="3"/>
  <c r="Q3264" i="3"/>
  <c r="Q3263" i="3"/>
  <c r="Q3262" i="3"/>
  <c r="Q3261" i="3"/>
  <c r="Q3260" i="3"/>
  <c r="Q3259" i="3"/>
  <c r="Q3258" i="3"/>
  <c r="Q3257" i="3"/>
  <c r="Q3256" i="3"/>
  <c r="Q3255" i="3"/>
  <c r="Q3254" i="3"/>
  <c r="Q3253" i="3"/>
  <c r="Q3252" i="3"/>
  <c r="Q3251" i="3"/>
  <c r="Q3250" i="3"/>
  <c r="Q3249" i="3"/>
  <c r="Q3248" i="3"/>
  <c r="Q3247" i="3"/>
  <c r="Q3246" i="3"/>
  <c r="Q3245" i="3"/>
  <c r="Q3244" i="3"/>
  <c r="Q3243" i="3"/>
  <c r="Q3242" i="3"/>
  <c r="Q3241" i="3"/>
  <c r="Q3240" i="3"/>
  <c r="Q3239" i="3"/>
  <c r="Q3238" i="3"/>
  <c r="Q3237" i="3"/>
  <c r="Q3236" i="3"/>
  <c r="Q3235" i="3"/>
  <c r="Q3234" i="3"/>
  <c r="Q3233" i="3"/>
  <c r="Q3232" i="3"/>
  <c r="Q3231" i="3"/>
  <c r="Q3230" i="3"/>
  <c r="Q3229" i="3"/>
  <c r="Q3228" i="3"/>
  <c r="Q3227" i="3"/>
  <c r="Q3226" i="3"/>
  <c r="Q3225" i="3"/>
  <c r="Q3224" i="3"/>
  <c r="Q3223" i="3"/>
  <c r="Q3222" i="3"/>
  <c r="Q3221" i="3"/>
  <c r="Q3220" i="3"/>
  <c r="Q3219" i="3"/>
  <c r="Q3218" i="3"/>
  <c r="Q3217" i="3"/>
  <c r="Q3216" i="3"/>
  <c r="Q3215" i="3"/>
  <c r="Q3214" i="3"/>
  <c r="Q3213" i="3"/>
  <c r="Q3212" i="3"/>
  <c r="Q3211" i="3"/>
  <c r="Q3210" i="3"/>
  <c r="Q3209" i="3"/>
  <c r="Q3208" i="3"/>
  <c r="Q3207" i="3"/>
  <c r="Q3206" i="3"/>
  <c r="Q3205" i="3"/>
  <c r="Q3204" i="3"/>
  <c r="Q3203" i="3"/>
  <c r="Q3202" i="3"/>
  <c r="Q3201" i="3"/>
  <c r="Q3200" i="3"/>
  <c r="Q3199" i="3"/>
  <c r="Q3198" i="3"/>
  <c r="Q3197" i="3"/>
  <c r="Q3196" i="3"/>
  <c r="Q3195" i="3"/>
  <c r="Q3194" i="3"/>
  <c r="Q3193" i="3"/>
  <c r="Q3192" i="3"/>
  <c r="Q3191" i="3"/>
  <c r="Q3190" i="3"/>
  <c r="Q3189" i="3"/>
  <c r="Q3188" i="3"/>
  <c r="Q3187" i="3"/>
  <c r="Q3186" i="3"/>
  <c r="Q3185" i="3"/>
  <c r="Q3184" i="3"/>
  <c r="Q3183" i="3"/>
  <c r="Q3182" i="3"/>
  <c r="Q3181" i="3"/>
  <c r="Q3180" i="3"/>
  <c r="Q3179" i="3"/>
  <c r="Q3178" i="3"/>
  <c r="Q3177" i="3"/>
  <c r="Q3176" i="3"/>
  <c r="Q3175" i="3"/>
  <c r="Q3174" i="3"/>
  <c r="Q3173" i="3"/>
  <c r="Q3172" i="3"/>
  <c r="Q3171" i="3"/>
  <c r="Q3170" i="3"/>
  <c r="Q3169" i="3"/>
  <c r="Q3168" i="3"/>
  <c r="Q3167" i="3"/>
  <c r="Q3166" i="3"/>
  <c r="Q3165" i="3"/>
  <c r="Q3164" i="3"/>
  <c r="Q3163" i="3"/>
  <c r="Q3162" i="3"/>
  <c r="Q3161" i="3"/>
  <c r="Q3160" i="3"/>
  <c r="Q3159" i="3"/>
  <c r="Q3158" i="3"/>
  <c r="Q3157" i="3"/>
  <c r="Q3156" i="3"/>
  <c r="Q3155" i="3"/>
  <c r="Q3154" i="3"/>
  <c r="Q3153" i="3"/>
  <c r="Q3152" i="3"/>
  <c r="Q3151" i="3"/>
  <c r="Q3150" i="3"/>
  <c r="Q3149" i="3"/>
  <c r="Q3148" i="3"/>
  <c r="Q3147" i="3"/>
  <c r="Q3146" i="3"/>
  <c r="Q3145" i="3"/>
  <c r="Q3144" i="3"/>
  <c r="Q3143" i="3"/>
  <c r="Q3142" i="3"/>
  <c r="Q3141" i="3"/>
  <c r="Q3140" i="3"/>
  <c r="Q3139" i="3"/>
  <c r="Q3138" i="3"/>
  <c r="Q3137" i="3"/>
  <c r="Q3136" i="3"/>
  <c r="Q3135" i="3"/>
  <c r="Q3134" i="3"/>
  <c r="Q3133" i="3"/>
  <c r="Q3132" i="3"/>
  <c r="Q3131" i="3"/>
  <c r="Q3130" i="3"/>
  <c r="Q3129" i="3"/>
  <c r="Q3128" i="3"/>
  <c r="Q3127" i="3"/>
  <c r="Q3126" i="3"/>
  <c r="Q3125" i="3"/>
  <c r="Q3124" i="3"/>
  <c r="Q3123" i="3"/>
  <c r="Q3122" i="3"/>
  <c r="Q3121" i="3"/>
  <c r="Q3120" i="3"/>
  <c r="Q3119" i="3"/>
  <c r="Q3118" i="3"/>
  <c r="Q3117" i="3"/>
  <c r="Q3116" i="3"/>
  <c r="Q3115" i="3"/>
  <c r="Q3114" i="3"/>
  <c r="Q3113" i="3"/>
  <c r="Q3112" i="3"/>
  <c r="Q3111" i="3"/>
  <c r="Q3110" i="3"/>
  <c r="Q3109" i="3"/>
  <c r="Q3108" i="3"/>
  <c r="Q3107" i="3"/>
  <c r="Q3106" i="3"/>
  <c r="Q3105" i="3"/>
  <c r="Q3104" i="3"/>
  <c r="Q3103" i="3"/>
  <c r="Q3102" i="3"/>
  <c r="Q3101" i="3"/>
  <c r="Q3100" i="3"/>
  <c r="Q3099" i="3"/>
  <c r="Q3098" i="3"/>
  <c r="Q3097" i="3"/>
  <c r="Q3096" i="3"/>
  <c r="Q3095" i="3"/>
  <c r="Q3094" i="3"/>
  <c r="Q3093" i="3"/>
  <c r="Q3092" i="3"/>
  <c r="Q3091" i="3"/>
  <c r="Q3090" i="3"/>
  <c r="Q3089" i="3"/>
  <c r="Q3088" i="3"/>
  <c r="Q3087" i="3"/>
  <c r="Q3086" i="3"/>
  <c r="Q3085" i="3"/>
  <c r="Q3084" i="3"/>
  <c r="Q3083" i="3"/>
  <c r="Q3082" i="3"/>
  <c r="Q3081" i="3"/>
  <c r="Q3080" i="3"/>
  <c r="Q3079" i="3"/>
  <c r="Q3078" i="3"/>
  <c r="Q3077" i="3"/>
  <c r="Q3076" i="3"/>
  <c r="Q3075" i="3"/>
  <c r="Q3074" i="3"/>
  <c r="Q3073" i="3"/>
  <c r="Q3072" i="3"/>
  <c r="Q3071" i="3"/>
  <c r="Q3070" i="3"/>
  <c r="Q3069" i="3"/>
  <c r="Q3068" i="3"/>
  <c r="Q3067" i="3"/>
  <c r="Q3066" i="3"/>
  <c r="Q3065" i="3"/>
  <c r="Q3064" i="3"/>
  <c r="Q3063" i="3"/>
  <c r="Q3062" i="3"/>
  <c r="Q3061" i="3"/>
  <c r="Q3060" i="3"/>
  <c r="Q3059" i="3"/>
  <c r="Q3058" i="3"/>
  <c r="Q3057" i="3"/>
  <c r="Q3056" i="3"/>
  <c r="Q3055" i="3"/>
  <c r="Q3054" i="3"/>
  <c r="Q3053" i="3"/>
  <c r="Q3052" i="3"/>
  <c r="Q3051" i="3"/>
  <c r="Q3050" i="3"/>
  <c r="Q3049" i="3"/>
  <c r="Q3048" i="3"/>
  <c r="Q3047" i="3"/>
  <c r="Q3046" i="3"/>
  <c r="Q3045" i="3"/>
  <c r="Q3044" i="3"/>
  <c r="Q3043" i="3"/>
  <c r="Q3042" i="3"/>
  <c r="Q3041" i="3"/>
  <c r="Q3040" i="3"/>
  <c r="Q3039" i="3"/>
  <c r="Q3038" i="3"/>
  <c r="Q3037" i="3"/>
  <c r="Q3036" i="3"/>
  <c r="Q3035" i="3"/>
  <c r="Q3034" i="3"/>
  <c r="Q3033" i="3"/>
  <c r="Q3032" i="3"/>
  <c r="Q3031" i="3"/>
  <c r="Q3030" i="3"/>
  <c r="Q3029" i="3"/>
  <c r="Q3028" i="3"/>
  <c r="Q3027" i="3"/>
  <c r="Q3026" i="3"/>
  <c r="Q3025" i="3"/>
  <c r="Q3024" i="3"/>
  <c r="Q3023" i="3"/>
  <c r="Q3022" i="3"/>
  <c r="Q3021" i="3"/>
  <c r="Q3020" i="3"/>
  <c r="Q3019" i="3"/>
  <c r="Q3018" i="3"/>
  <c r="Q3017" i="3"/>
  <c r="Q3016" i="3"/>
  <c r="Q3015" i="3"/>
  <c r="Q3014" i="3"/>
  <c r="Q3013" i="3"/>
  <c r="Q3012" i="3"/>
  <c r="Q3011" i="3"/>
  <c r="Q3010" i="3"/>
  <c r="Q3009" i="3"/>
  <c r="Q3008" i="3"/>
  <c r="Q3007" i="3"/>
  <c r="Q3006" i="3"/>
  <c r="Q3005" i="3"/>
  <c r="Q3004" i="3"/>
  <c r="Q3003" i="3"/>
  <c r="Q3002" i="3"/>
  <c r="Q3001" i="3"/>
  <c r="Q3000" i="3"/>
  <c r="Q2999" i="3"/>
  <c r="Q2998" i="3"/>
  <c r="Q2997" i="3"/>
  <c r="Q2996" i="3"/>
  <c r="Q2995" i="3"/>
  <c r="Q2994" i="3"/>
  <c r="Q2993" i="3"/>
  <c r="Q2992" i="3"/>
  <c r="Q2991" i="3"/>
  <c r="Q2990" i="3"/>
  <c r="Q2989" i="3"/>
  <c r="Q2988" i="3"/>
  <c r="Q2987" i="3"/>
  <c r="Q2986" i="3"/>
  <c r="Q2985" i="3"/>
  <c r="Q2984" i="3"/>
  <c r="Q2983" i="3"/>
  <c r="Q2982" i="3"/>
  <c r="Q2981" i="3"/>
  <c r="Q2980" i="3"/>
  <c r="Q2979" i="3"/>
  <c r="Q2978" i="3"/>
  <c r="Q2977" i="3"/>
  <c r="Q2976" i="3"/>
  <c r="Q2975" i="3"/>
  <c r="Q2974" i="3"/>
  <c r="Q2973" i="3"/>
  <c r="Q2972" i="3"/>
  <c r="Q2971" i="3"/>
  <c r="Q2970" i="3"/>
  <c r="Q2969" i="3"/>
  <c r="Q2968" i="3"/>
  <c r="Q2967" i="3"/>
  <c r="Q2966" i="3"/>
  <c r="Q2965" i="3"/>
  <c r="Q2964" i="3"/>
  <c r="Q2963" i="3"/>
  <c r="Q2962" i="3"/>
  <c r="Q2961" i="3"/>
  <c r="Q2960" i="3"/>
  <c r="Q2959" i="3"/>
  <c r="Q2958" i="3"/>
  <c r="Q2957" i="3"/>
  <c r="Q2956" i="3"/>
  <c r="Q2955" i="3"/>
  <c r="Q2954" i="3"/>
  <c r="Q2953" i="3"/>
  <c r="Q2952" i="3"/>
  <c r="Q2951" i="3"/>
  <c r="Q2950" i="3"/>
  <c r="Q2949" i="3"/>
  <c r="Q2948" i="3"/>
  <c r="Q2947" i="3"/>
  <c r="Q2946" i="3"/>
  <c r="Q2945" i="3"/>
  <c r="Q2944" i="3"/>
  <c r="Q2943" i="3"/>
  <c r="Q2942" i="3"/>
  <c r="Q2941" i="3"/>
  <c r="Q2940" i="3"/>
  <c r="Q2939" i="3"/>
  <c r="Q2938" i="3"/>
  <c r="Q2937" i="3"/>
  <c r="Q2936" i="3"/>
  <c r="Q2935" i="3"/>
  <c r="Q2934" i="3"/>
  <c r="Q2933" i="3"/>
  <c r="Q2932" i="3"/>
  <c r="Q2931" i="3"/>
  <c r="Q2930" i="3"/>
  <c r="Q2929" i="3"/>
  <c r="Q2928" i="3"/>
  <c r="Q2927" i="3"/>
  <c r="Q2926" i="3"/>
  <c r="Q2925" i="3"/>
  <c r="Q2924" i="3"/>
  <c r="Q2923" i="3"/>
  <c r="Q2922" i="3"/>
  <c r="Q2921" i="3"/>
  <c r="Q2920" i="3"/>
  <c r="Q2919" i="3"/>
  <c r="Q2918" i="3"/>
  <c r="Q2917" i="3"/>
  <c r="Q2916" i="3"/>
  <c r="Q2915" i="3"/>
  <c r="Q2914" i="3"/>
  <c r="Q2913" i="3"/>
  <c r="Q2912" i="3"/>
  <c r="Q2911" i="3"/>
  <c r="Q2910" i="3"/>
  <c r="Q2909" i="3"/>
  <c r="Q2908" i="3"/>
  <c r="Q2907" i="3"/>
  <c r="Q2906" i="3"/>
  <c r="Q2905" i="3"/>
  <c r="Q2904" i="3"/>
  <c r="Q2903" i="3"/>
  <c r="Q2902" i="3"/>
  <c r="Q2901" i="3"/>
  <c r="Q2900" i="3"/>
  <c r="Q2899" i="3"/>
  <c r="Q2898" i="3"/>
  <c r="Q2897" i="3"/>
  <c r="Q2896" i="3"/>
  <c r="Q2895" i="3"/>
  <c r="Q2894" i="3"/>
  <c r="Q2893" i="3"/>
  <c r="Q2892" i="3"/>
  <c r="Q2891" i="3"/>
  <c r="Q2890" i="3"/>
  <c r="Q2889" i="3"/>
  <c r="Q2888" i="3"/>
  <c r="Q2887" i="3"/>
  <c r="Q2886" i="3"/>
  <c r="Q2885" i="3"/>
  <c r="Q2884" i="3"/>
  <c r="Q2883" i="3"/>
  <c r="Q2882" i="3"/>
  <c r="Q2881" i="3"/>
  <c r="Q2880" i="3"/>
  <c r="Q2879" i="3"/>
  <c r="Q2878" i="3"/>
  <c r="Q2877" i="3"/>
  <c r="Q2876" i="3"/>
  <c r="Q2875" i="3"/>
  <c r="Q2874" i="3"/>
  <c r="Q2873" i="3"/>
  <c r="Q2872" i="3"/>
  <c r="Q2871" i="3"/>
  <c r="Q2870" i="3"/>
  <c r="Q2869" i="3"/>
  <c r="Q2868" i="3"/>
  <c r="Q2867" i="3"/>
  <c r="Q2866" i="3"/>
  <c r="Q2865" i="3"/>
  <c r="Q2864" i="3"/>
  <c r="Q2863" i="3"/>
  <c r="Q2862" i="3"/>
  <c r="Q2861" i="3"/>
  <c r="Q2860" i="3"/>
  <c r="Q2859" i="3"/>
  <c r="Q2858" i="3"/>
  <c r="Q2857" i="3"/>
  <c r="Q2856" i="3"/>
  <c r="Q2855" i="3"/>
  <c r="Q2854" i="3"/>
  <c r="Q2853" i="3"/>
  <c r="Q2852" i="3"/>
  <c r="Q2851" i="3"/>
  <c r="Q2850" i="3"/>
  <c r="Q2849" i="3"/>
  <c r="Q2848" i="3"/>
  <c r="Q2847" i="3"/>
  <c r="Q2846" i="3"/>
  <c r="Q2845" i="3"/>
  <c r="Q2844" i="3"/>
  <c r="Q2843" i="3"/>
  <c r="Q2842" i="3"/>
  <c r="Q2841" i="3"/>
  <c r="Q2840" i="3"/>
  <c r="Q2839" i="3"/>
  <c r="Q2838" i="3"/>
  <c r="Q2837" i="3"/>
  <c r="Q2836" i="3"/>
  <c r="Q2835" i="3"/>
  <c r="Q2834" i="3"/>
  <c r="Q2833" i="3"/>
  <c r="Q2832" i="3"/>
  <c r="Q2831" i="3"/>
  <c r="Q2830" i="3"/>
  <c r="Q2829" i="3"/>
  <c r="Q2828" i="3"/>
  <c r="Q2827" i="3"/>
  <c r="Q2826" i="3"/>
  <c r="Q2825" i="3"/>
  <c r="Q2824" i="3"/>
  <c r="Q2823" i="3"/>
  <c r="Q2822" i="3"/>
  <c r="Q2821" i="3"/>
  <c r="Q2820" i="3"/>
  <c r="Q2819" i="3"/>
  <c r="Q2818" i="3"/>
  <c r="Q2817" i="3"/>
  <c r="Q2816" i="3"/>
  <c r="Q2815" i="3"/>
  <c r="Q2814" i="3"/>
  <c r="Q2813" i="3"/>
  <c r="Q2812" i="3"/>
  <c r="Q2811" i="3"/>
  <c r="Q2810" i="3"/>
  <c r="Q2809" i="3"/>
  <c r="Q2808" i="3"/>
  <c r="Q2807" i="3"/>
  <c r="Q2806" i="3"/>
  <c r="Q2805" i="3"/>
  <c r="Q2804" i="3"/>
  <c r="Q2803" i="3"/>
  <c r="Q2802" i="3"/>
  <c r="Q2801" i="3"/>
  <c r="Q2800" i="3"/>
  <c r="Q2799" i="3"/>
  <c r="Q2798" i="3"/>
  <c r="Q2797" i="3"/>
  <c r="Q2796" i="3"/>
  <c r="Q2795" i="3"/>
  <c r="Q2794" i="3"/>
  <c r="Q2793" i="3"/>
  <c r="Q2792" i="3"/>
  <c r="Q2791" i="3"/>
  <c r="Q2790" i="3"/>
  <c r="Q2789" i="3"/>
  <c r="Q2788" i="3"/>
  <c r="Q2787" i="3"/>
  <c r="Q2786" i="3"/>
  <c r="Q2785" i="3"/>
  <c r="Q2784" i="3"/>
  <c r="Q2783" i="3"/>
  <c r="Q2782" i="3"/>
  <c r="Q2781" i="3"/>
  <c r="Q2780" i="3"/>
  <c r="Q2779" i="3"/>
  <c r="Q2778" i="3"/>
  <c r="Q2777" i="3"/>
  <c r="Q2776" i="3"/>
  <c r="Q2775" i="3"/>
  <c r="Q2774" i="3"/>
  <c r="Q2773" i="3"/>
  <c r="Q2772" i="3"/>
  <c r="Q2771" i="3"/>
  <c r="Q2770" i="3"/>
  <c r="Q2769" i="3"/>
  <c r="Q2768" i="3"/>
  <c r="Q2767" i="3"/>
  <c r="Q2766" i="3"/>
  <c r="Q2765" i="3"/>
  <c r="Q2764" i="3"/>
  <c r="Q2763" i="3"/>
  <c r="Q2762" i="3"/>
  <c r="Q2761" i="3"/>
  <c r="Q2760" i="3"/>
  <c r="Q2759" i="3"/>
  <c r="Q2758" i="3"/>
  <c r="Q2757" i="3"/>
  <c r="Q2756" i="3"/>
  <c r="Q2755" i="3"/>
  <c r="Q2754" i="3"/>
  <c r="Q2753" i="3"/>
  <c r="Q2752" i="3"/>
  <c r="Q2751" i="3"/>
  <c r="Q2750" i="3"/>
  <c r="Q2749" i="3"/>
  <c r="Q2748" i="3"/>
  <c r="Q2747" i="3"/>
  <c r="Q2746" i="3"/>
  <c r="Q2745" i="3"/>
  <c r="Q2744" i="3"/>
  <c r="Q2743" i="3"/>
  <c r="Q2742" i="3"/>
  <c r="Q2741" i="3"/>
  <c r="Q2740" i="3"/>
  <c r="Q2739" i="3"/>
  <c r="Q2738" i="3"/>
  <c r="Q2737" i="3"/>
  <c r="Q2736" i="3"/>
  <c r="Q2735" i="3"/>
  <c r="Q2734" i="3"/>
  <c r="Q2733" i="3"/>
  <c r="Q2732" i="3"/>
  <c r="Q2731" i="3"/>
  <c r="Q2730" i="3"/>
  <c r="Q2729" i="3"/>
  <c r="Q2728" i="3"/>
  <c r="Q2727" i="3"/>
  <c r="Q2726" i="3"/>
  <c r="Q2725" i="3"/>
  <c r="Q2724" i="3"/>
  <c r="Q2723" i="3"/>
  <c r="Q2722" i="3"/>
  <c r="Q2721" i="3"/>
  <c r="Q2720" i="3"/>
  <c r="Q2719" i="3"/>
  <c r="Q2718" i="3"/>
  <c r="Q2717" i="3"/>
  <c r="Q2716" i="3"/>
  <c r="Q2715" i="3"/>
  <c r="Q2714" i="3"/>
  <c r="Q2713" i="3"/>
  <c r="Q2712" i="3"/>
  <c r="Q2711" i="3"/>
  <c r="Q2710" i="3"/>
  <c r="Q2709" i="3"/>
  <c r="Q2708" i="3"/>
  <c r="Q2707" i="3"/>
  <c r="Q2706" i="3"/>
  <c r="Q2705" i="3"/>
  <c r="Q2704" i="3"/>
  <c r="Q2703" i="3"/>
  <c r="Q2702" i="3"/>
  <c r="Q2701" i="3"/>
  <c r="Q2700" i="3"/>
  <c r="Q2699" i="3"/>
  <c r="Q2698" i="3"/>
  <c r="Q2697" i="3"/>
  <c r="Q2696" i="3"/>
  <c r="Q2695" i="3"/>
  <c r="Q2694" i="3"/>
  <c r="Q2693" i="3"/>
  <c r="Q2692" i="3"/>
  <c r="Q2691" i="3"/>
  <c r="Q2690" i="3"/>
  <c r="Q2689" i="3"/>
  <c r="Q2688" i="3"/>
  <c r="Q2687" i="3"/>
  <c r="Q2686" i="3"/>
  <c r="Q2685" i="3"/>
  <c r="Q2684" i="3"/>
  <c r="Q2683" i="3"/>
  <c r="Q2682" i="3"/>
  <c r="Q2681" i="3"/>
  <c r="Q2680" i="3"/>
  <c r="Q2679" i="3"/>
  <c r="Q2678" i="3"/>
  <c r="Q2677" i="3"/>
  <c r="Q2676" i="3"/>
  <c r="Q2675" i="3"/>
  <c r="Q2674" i="3"/>
  <c r="Q2673" i="3"/>
  <c r="Q2672" i="3"/>
  <c r="Q2671" i="3"/>
  <c r="Q2670" i="3"/>
  <c r="Q2669" i="3"/>
  <c r="Q2668" i="3"/>
  <c r="Q2667" i="3"/>
  <c r="Q2666" i="3"/>
  <c r="Q2665" i="3"/>
  <c r="Q2664" i="3"/>
  <c r="Q2663" i="3"/>
  <c r="Q2662" i="3"/>
  <c r="Q2661" i="3"/>
  <c r="Q2660" i="3"/>
  <c r="Q2659" i="3"/>
  <c r="Q2658" i="3"/>
  <c r="Q2657" i="3"/>
  <c r="Q2656" i="3"/>
  <c r="Q2655" i="3"/>
  <c r="Q2654" i="3"/>
  <c r="Q2653" i="3"/>
  <c r="Q2652" i="3"/>
  <c r="Q2651" i="3"/>
  <c r="Q2650" i="3"/>
  <c r="Q2649" i="3"/>
  <c r="Q2648" i="3"/>
  <c r="Q2647" i="3"/>
  <c r="Q2646" i="3"/>
  <c r="Q2645" i="3"/>
  <c r="Q2644" i="3"/>
  <c r="Q2643" i="3"/>
  <c r="Q2642" i="3"/>
  <c r="Q2641" i="3"/>
  <c r="Q2640" i="3"/>
  <c r="Q2639" i="3"/>
  <c r="Q2638" i="3"/>
  <c r="Q2637" i="3"/>
  <c r="Q2636" i="3"/>
  <c r="Q2635" i="3"/>
  <c r="Q2634" i="3"/>
  <c r="Q2633" i="3"/>
  <c r="Q2632" i="3"/>
  <c r="Q2631" i="3"/>
  <c r="Q2630" i="3"/>
  <c r="Q2629" i="3"/>
  <c r="Q2628" i="3"/>
  <c r="Q2627" i="3"/>
  <c r="Q2626" i="3"/>
  <c r="Q2625" i="3"/>
  <c r="Q2624" i="3"/>
  <c r="Q2623" i="3"/>
  <c r="Q2622" i="3"/>
  <c r="Q2621" i="3"/>
  <c r="Q2620" i="3"/>
  <c r="Q2619" i="3"/>
  <c r="Q2618" i="3"/>
  <c r="Q2617" i="3"/>
  <c r="Q2616" i="3"/>
  <c r="Q2615" i="3"/>
  <c r="Q2614" i="3"/>
  <c r="Q2613" i="3"/>
  <c r="Q2612" i="3"/>
  <c r="Q2611" i="3"/>
  <c r="Q2610" i="3"/>
  <c r="Q2609" i="3"/>
  <c r="Q2608" i="3"/>
  <c r="Q2607" i="3"/>
  <c r="Q2606" i="3"/>
  <c r="Q2605" i="3"/>
  <c r="Q2604" i="3"/>
  <c r="Q2603" i="3"/>
  <c r="Q2602" i="3"/>
  <c r="Q2601" i="3"/>
  <c r="Q2600" i="3"/>
  <c r="Q2599" i="3"/>
  <c r="Q2598" i="3"/>
  <c r="Q2597" i="3"/>
  <c r="Q2596" i="3"/>
  <c r="Q2595" i="3"/>
  <c r="Q2594" i="3"/>
  <c r="Q2593" i="3"/>
  <c r="Q2592" i="3"/>
  <c r="Q2591" i="3"/>
  <c r="Q2590" i="3"/>
  <c r="Q2589" i="3"/>
  <c r="Q2588" i="3"/>
  <c r="Q2587" i="3"/>
  <c r="Q2586" i="3"/>
  <c r="Q2585" i="3"/>
  <c r="Q2584" i="3"/>
  <c r="Q2583" i="3"/>
  <c r="Q2582" i="3"/>
  <c r="Q2581" i="3"/>
  <c r="Q2580" i="3"/>
  <c r="Q2579" i="3"/>
  <c r="Q2578" i="3"/>
  <c r="Q2577" i="3"/>
  <c r="Q2576" i="3"/>
  <c r="Q2575" i="3"/>
  <c r="Q2574" i="3"/>
  <c r="Q2573" i="3"/>
  <c r="Q2572" i="3"/>
  <c r="Q2571" i="3"/>
  <c r="Q2570" i="3"/>
  <c r="Q2569" i="3"/>
  <c r="Q2568" i="3"/>
  <c r="Q2567" i="3"/>
  <c r="Q2566" i="3"/>
  <c r="Q2565" i="3"/>
  <c r="Q2564" i="3"/>
  <c r="Q2563" i="3"/>
  <c r="Q2562" i="3"/>
  <c r="Q2561" i="3"/>
  <c r="Q2560" i="3"/>
  <c r="Q2559" i="3"/>
  <c r="Q2558" i="3"/>
  <c r="Q2557" i="3"/>
  <c r="Q2556" i="3"/>
  <c r="Q2555" i="3"/>
  <c r="Q2554" i="3"/>
  <c r="Q2553" i="3"/>
  <c r="Q2552" i="3"/>
  <c r="Q2551" i="3"/>
  <c r="Q2550" i="3"/>
  <c r="Q2549" i="3"/>
  <c r="Q2548" i="3"/>
  <c r="Q2547" i="3"/>
  <c r="Q2546" i="3"/>
  <c r="Q2545" i="3"/>
  <c r="Q2544" i="3"/>
  <c r="Q2543" i="3"/>
  <c r="Q2542" i="3"/>
  <c r="Q2541" i="3"/>
  <c r="Q2540" i="3"/>
  <c r="Q2539" i="3"/>
  <c r="Q2538" i="3"/>
  <c r="Q2537" i="3"/>
  <c r="Q2536" i="3"/>
  <c r="Q2535" i="3"/>
  <c r="Q2534" i="3"/>
  <c r="Q2533" i="3"/>
  <c r="Q2532" i="3"/>
  <c r="Q2531" i="3"/>
  <c r="Q2530" i="3"/>
  <c r="Q2529" i="3"/>
  <c r="Q2528" i="3"/>
  <c r="Q2527" i="3"/>
  <c r="Q2526" i="3"/>
  <c r="Q2525" i="3"/>
  <c r="Q2524" i="3"/>
  <c r="Q2523" i="3"/>
  <c r="Q2522" i="3"/>
  <c r="Q2521" i="3"/>
  <c r="Q2520" i="3"/>
  <c r="Q2519" i="3"/>
  <c r="Q2518" i="3"/>
  <c r="Q2517" i="3"/>
  <c r="Q2516" i="3"/>
  <c r="Q2515" i="3"/>
  <c r="Q2514" i="3"/>
  <c r="Q2513" i="3"/>
  <c r="Q2512" i="3"/>
  <c r="Q2511" i="3"/>
  <c r="Q2510" i="3"/>
  <c r="Q2509" i="3"/>
  <c r="Q2508" i="3"/>
  <c r="Q2507" i="3"/>
  <c r="Q2506" i="3"/>
  <c r="Q2505" i="3"/>
  <c r="Q2504" i="3"/>
  <c r="Q2503" i="3"/>
  <c r="Q2502" i="3"/>
  <c r="Q2501" i="3"/>
  <c r="Q2500" i="3"/>
  <c r="Q2499" i="3"/>
  <c r="Q2498" i="3"/>
  <c r="Q2497" i="3"/>
  <c r="Q2496" i="3"/>
  <c r="Q2495" i="3"/>
  <c r="Q2494" i="3"/>
  <c r="Q2493" i="3"/>
  <c r="Q2492" i="3"/>
  <c r="Q2491" i="3"/>
  <c r="Q2490" i="3"/>
  <c r="Q2489" i="3"/>
  <c r="Q2488" i="3"/>
  <c r="Q2487" i="3"/>
  <c r="Q2486" i="3"/>
  <c r="Q2485" i="3"/>
  <c r="Q2484" i="3"/>
  <c r="Q2483" i="3"/>
  <c r="Q2482" i="3"/>
  <c r="Q2481" i="3"/>
  <c r="Q2480" i="3"/>
  <c r="Q2479" i="3"/>
  <c r="Q2478" i="3"/>
  <c r="Q2477" i="3"/>
  <c r="Q2476" i="3"/>
  <c r="Q2475" i="3"/>
  <c r="Q2474" i="3"/>
  <c r="Q2473" i="3"/>
  <c r="Q2472" i="3"/>
  <c r="Q2471" i="3"/>
  <c r="Q2470" i="3"/>
  <c r="Q2469" i="3"/>
  <c r="Q2468" i="3"/>
  <c r="Q2467" i="3"/>
  <c r="Q2466" i="3"/>
  <c r="Q2465" i="3"/>
  <c r="Q2464" i="3"/>
  <c r="Q2463" i="3"/>
  <c r="Q2462" i="3"/>
  <c r="Q2461" i="3"/>
  <c r="Q2460" i="3"/>
  <c r="Q2459" i="3"/>
  <c r="Q2458" i="3"/>
  <c r="Q2457" i="3"/>
  <c r="Q2456" i="3"/>
  <c r="Q2455" i="3"/>
  <c r="Q2454" i="3"/>
  <c r="Q2453" i="3"/>
  <c r="Q2452" i="3"/>
  <c r="Q2451" i="3"/>
  <c r="Q2450" i="3"/>
  <c r="Q2449" i="3"/>
  <c r="Q2448" i="3"/>
  <c r="Q2447" i="3"/>
  <c r="Q2446" i="3"/>
  <c r="Q2445" i="3"/>
  <c r="Q2444" i="3"/>
  <c r="Q2443" i="3"/>
  <c r="Q2442" i="3"/>
  <c r="Q2441" i="3"/>
  <c r="Q2440" i="3"/>
  <c r="Q2439" i="3"/>
  <c r="Q2438" i="3"/>
  <c r="Q2437" i="3"/>
  <c r="Q2436" i="3"/>
  <c r="Q2435" i="3"/>
  <c r="Q2434" i="3"/>
  <c r="Q2433" i="3"/>
  <c r="Q2432" i="3"/>
  <c r="Q2431" i="3"/>
  <c r="Q2430" i="3"/>
  <c r="Q2429" i="3"/>
  <c r="Q2428" i="3"/>
  <c r="Q2427" i="3"/>
  <c r="Q2426" i="3"/>
  <c r="Q2425" i="3"/>
  <c r="Q2424" i="3"/>
  <c r="Q2423" i="3"/>
  <c r="Q2422" i="3"/>
  <c r="Q2421" i="3"/>
  <c r="Q2420" i="3"/>
  <c r="Q2419" i="3"/>
  <c r="Q2418" i="3"/>
  <c r="Q2417" i="3"/>
  <c r="Q2416" i="3"/>
  <c r="Q2415" i="3"/>
  <c r="Q2414" i="3"/>
  <c r="Q2413" i="3"/>
  <c r="Q2412" i="3"/>
  <c r="Q2411" i="3"/>
  <c r="Q2410" i="3"/>
  <c r="Q2409" i="3"/>
  <c r="Q2408" i="3"/>
  <c r="Q2407" i="3"/>
  <c r="Q2406" i="3"/>
  <c r="Q2405" i="3"/>
  <c r="Q2404" i="3"/>
  <c r="Q2403" i="3"/>
  <c r="Q2402" i="3"/>
  <c r="Q2401" i="3"/>
  <c r="Q2400" i="3"/>
  <c r="Q2399" i="3"/>
  <c r="Q2398" i="3"/>
  <c r="Q2397" i="3"/>
  <c r="Q2396" i="3"/>
  <c r="Q2395" i="3"/>
  <c r="Q2394" i="3"/>
  <c r="Q2393" i="3"/>
  <c r="Q2392" i="3"/>
  <c r="Q2391" i="3"/>
  <c r="Q2390" i="3"/>
  <c r="Q2389" i="3"/>
  <c r="Q2388" i="3"/>
  <c r="Q2387" i="3"/>
  <c r="Q2386" i="3"/>
  <c r="Q2385" i="3"/>
  <c r="Q2384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Q2366" i="3"/>
  <c r="Q2365" i="3"/>
  <c r="Q2364" i="3"/>
  <c r="Q2363" i="3"/>
  <c r="Q2362" i="3"/>
  <c r="Q2361" i="3"/>
  <c r="Q2360" i="3"/>
  <c r="Q2359" i="3"/>
  <c r="Q2358" i="3"/>
  <c r="Q2357" i="3"/>
  <c r="Q2356" i="3"/>
  <c r="Q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Q2335" i="3"/>
  <c r="Q2334" i="3"/>
  <c r="Q2333" i="3"/>
  <c r="Q2332" i="3"/>
  <c r="Q2331" i="3"/>
  <c r="Q2330" i="3"/>
  <c r="Q2329" i="3"/>
  <c r="Q2328" i="3"/>
  <c r="Q2327" i="3"/>
  <c r="Q2326" i="3"/>
  <c r="Q2325" i="3"/>
  <c r="Q2324" i="3"/>
  <c r="Q2323" i="3"/>
  <c r="Q2322" i="3"/>
  <c r="Q2321" i="3"/>
  <c r="Q2320" i="3"/>
  <c r="Q2319" i="3"/>
  <c r="Q2318" i="3"/>
  <c r="Q2317" i="3"/>
  <c r="Q2316" i="3"/>
  <c r="Q2315" i="3"/>
  <c r="Q2314" i="3"/>
  <c r="Q2313" i="3"/>
  <c r="Q2312" i="3"/>
  <c r="Q2311" i="3"/>
  <c r="Q2310" i="3"/>
  <c r="Q2309" i="3"/>
  <c r="Q2308" i="3"/>
  <c r="Q2307" i="3"/>
  <c r="Q2306" i="3"/>
  <c r="Q2305" i="3"/>
  <c r="Q2304" i="3"/>
  <c r="Q2303" i="3"/>
  <c r="Q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Q2279" i="3"/>
  <c r="Q2278" i="3"/>
  <c r="Q2277" i="3"/>
  <c r="Q2276" i="3"/>
  <c r="Q2275" i="3"/>
  <c r="Q2274" i="3"/>
  <c r="Q2273" i="3"/>
  <c r="Q2272" i="3"/>
  <c r="Q2271" i="3"/>
  <c r="Q2270" i="3"/>
  <c r="Q2269" i="3"/>
  <c r="Q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Q2239" i="3"/>
  <c r="Q2238" i="3"/>
  <c r="Q2237" i="3"/>
  <c r="Q2236" i="3"/>
  <c r="Q2235" i="3"/>
  <c r="Q2234" i="3"/>
  <c r="Q2233" i="3"/>
  <c r="Q2232" i="3"/>
  <c r="Q2231" i="3"/>
  <c r="Q2230" i="3"/>
  <c r="Q2229" i="3"/>
  <c r="Q2228" i="3"/>
  <c r="Q2227" i="3"/>
  <c r="Q2226" i="3"/>
  <c r="Q2225" i="3"/>
  <c r="Q2224" i="3"/>
  <c r="Q2223" i="3"/>
  <c r="Q2222" i="3"/>
  <c r="Q2221" i="3"/>
  <c r="Q2220" i="3"/>
  <c r="Q2219" i="3"/>
  <c r="Q2218" i="3"/>
  <c r="Q2217" i="3"/>
  <c r="Q2216" i="3"/>
  <c r="Q2215" i="3"/>
  <c r="Q2214" i="3"/>
  <c r="Q2213" i="3"/>
  <c r="Q2212" i="3"/>
  <c r="Q2211" i="3"/>
  <c r="Q2210" i="3"/>
  <c r="Q2209" i="3"/>
  <c r="Q2208" i="3"/>
  <c r="Q2207" i="3"/>
  <c r="Q2206" i="3"/>
  <c r="Q2205" i="3"/>
  <c r="Q2204" i="3"/>
  <c r="Q2203" i="3"/>
  <c r="Q2202" i="3"/>
  <c r="Q2201" i="3"/>
  <c r="Q2200" i="3"/>
  <c r="Q2199" i="3"/>
  <c r="Q2198" i="3"/>
  <c r="Q2197" i="3"/>
  <c r="Q2196" i="3"/>
  <c r="Q2195" i="3"/>
  <c r="Q2194" i="3"/>
  <c r="Q2193" i="3"/>
  <c r="Q2192" i="3"/>
  <c r="Q2191" i="3"/>
  <c r="Q2190" i="3"/>
  <c r="Q2189" i="3"/>
  <c r="Q2188" i="3"/>
  <c r="Q2187" i="3"/>
  <c r="Q2186" i="3"/>
  <c r="Q2185" i="3"/>
  <c r="Q2184" i="3"/>
  <c r="Q2183" i="3"/>
  <c r="Q2182" i="3"/>
  <c r="Q2181" i="3"/>
  <c r="Q2180" i="3"/>
  <c r="Q2179" i="3"/>
  <c r="Q2178" i="3"/>
  <c r="Q2177" i="3"/>
  <c r="Q2176" i="3"/>
  <c r="Q2175" i="3"/>
  <c r="Q2174" i="3"/>
  <c r="Q2173" i="3"/>
  <c r="Q2172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Q2139" i="3"/>
  <c r="Q2138" i="3"/>
  <c r="Q2137" i="3"/>
  <c r="Q2136" i="3"/>
  <c r="Q2135" i="3"/>
  <c r="Q2134" i="3"/>
  <c r="Q2133" i="3"/>
  <c r="Q2132" i="3"/>
  <c r="Q2131" i="3"/>
  <c r="Q2130" i="3"/>
  <c r="Q2129" i="3"/>
  <c r="Q2128" i="3"/>
  <c r="Q2127" i="3"/>
  <c r="Q2126" i="3"/>
  <c r="Q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Q2095" i="3"/>
  <c r="Q2094" i="3"/>
  <c r="Q2093" i="3"/>
  <c r="Q2092" i="3"/>
  <c r="Q2091" i="3"/>
  <c r="Q2090" i="3"/>
  <c r="Q2089" i="3"/>
  <c r="Q2088" i="3"/>
  <c r="Q2087" i="3"/>
  <c r="Q2086" i="3"/>
  <c r="Q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Q2070" i="3"/>
  <c r="Q2069" i="3"/>
  <c r="Q2068" i="3"/>
  <c r="Q2067" i="3"/>
  <c r="Q2066" i="3"/>
  <c r="Q2065" i="3"/>
  <c r="Q2064" i="3"/>
  <c r="Q2063" i="3"/>
  <c r="Q2062" i="3"/>
  <c r="Q2061" i="3"/>
  <c r="Q2060" i="3"/>
  <c r="Q2059" i="3"/>
  <c r="Q2058" i="3"/>
  <c r="Q2057" i="3"/>
  <c r="Q2056" i="3"/>
  <c r="Q2055" i="3"/>
  <c r="Q2054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Q2027" i="3"/>
  <c r="Q2026" i="3"/>
  <c r="Q2025" i="3"/>
  <c r="Q2024" i="3"/>
  <c r="Q2023" i="3"/>
  <c r="Q2022" i="3"/>
  <c r="Q2021" i="3"/>
  <c r="Q2020" i="3"/>
  <c r="Q2019" i="3"/>
  <c r="Q2018" i="3"/>
  <c r="Q2017" i="3"/>
  <c r="Q2016" i="3"/>
  <c r="Q2015" i="3"/>
  <c r="Q2014" i="3"/>
  <c r="Q2013" i="3"/>
  <c r="Q2012" i="3"/>
  <c r="Q2011" i="3"/>
  <c r="Q2010" i="3"/>
  <c r="Q2009" i="3"/>
  <c r="Q2008" i="3"/>
  <c r="Q2007" i="3"/>
  <c r="Q2006" i="3"/>
  <c r="Q200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Q1987" i="3"/>
  <c r="Q1986" i="3"/>
  <c r="Q1985" i="3"/>
  <c r="Q1984" i="3"/>
  <c r="Q1983" i="3"/>
  <c r="Q1982" i="3"/>
  <c r="Q1981" i="3"/>
  <c r="Q1980" i="3"/>
  <c r="Q1979" i="3"/>
  <c r="Q1978" i="3"/>
  <c r="Q1977" i="3"/>
  <c r="Q1976" i="3"/>
  <c r="Q1975" i="3"/>
  <c r="Q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Q1955" i="3"/>
  <c r="Q1954" i="3"/>
  <c r="Q1953" i="3"/>
  <c r="Q1952" i="3"/>
  <c r="Q1951" i="3"/>
  <c r="Q1950" i="3"/>
  <c r="Q1949" i="3"/>
  <c r="Q1948" i="3"/>
  <c r="Q1947" i="3"/>
  <c r="Q1946" i="3"/>
  <c r="Q1945" i="3"/>
  <c r="Q1944" i="3"/>
  <c r="Q1943" i="3"/>
  <c r="Q1942" i="3"/>
  <c r="Q1941" i="3"/>
  <c r="Q1940" i="3"/>
  <c r="Q1939" i="3"/>
  <c r="Q1938" i="3"/>
  <c r="Q1937" i="3"/>
  <c r="Q1936" i="3"/>
  <c r="Q1935" i="3"/>
  <c r="Q1934" i="3"/>
  <c r="Q1933" i="3"/>
  <c r="Q1932" i="3"/>
  <c r="Q1931" i="3"/>
  <c r="Q1930" i="3"/>
  <c r="Q1929" i="3"/>
  <c r="Q1928" i="3"/>
  <c r="Q1927" i="3"/>
  <c r="Q1926" i="3"/>
  <c r="Q1925" i="3"/>
  <c r="Q1924" i="3"/>
  <c r="Q1923" i="3"/>
  <c r="Q1922" i="3"/>
  <c r="Q1921" i="3"/>
  <c r="Q1920" i="3"/>
  <c r="Q1919" i="3"/>
  <c r="Q1918" i="3"/>
  <c r="Q1917" i="3"/>
  <c r="Q1916" i="3"/>
  <c r="Q1915" i="3"/>
  <c r="Q1914" i="3"/>
  <c r="Q1913" i="3"/>
  <c r="Q1912" i="3"/>
  <c r="Q1911" i="3"/>
  <c r="Q1910" i="3"/>
  <c r="Q1909" i="3"/>
  <c r="Q1908" i="3"/>
  <c r="Q1907" i="3"/>
  <c r="Q1906" i="3"/>
  <c r="Q1905" i="3"/>
  <c r="Q1904" i="3"/>
  <c r="Q1903" i="3"/>
  <c r="Q1902" i="3"/>
  <c r="Q1901" i="3"/>
  <c r="Q1900" i="3"/>
  <c r="Q1899" i="3"/>
  <c r="Q1898" i="3"/>
  <c r="Q1897" i="3"/>
  <c r="Q1896" i="3"/>
  <c r="Q1895" i="3"/>
  <c r="Q1894" i="3"/>
  <c r="Q1893" i="3"/>
  <c r="Q1892" i="3"/>
  <c r="Q1891" i="3"/>
  <c r="Q1890" i="3"/>
  <c r="Q1889" i="3"/>
  <c r="Q1888" i="3"/>
  <c r="Q1887" i="3"/>
  <c r="Q1886" i="3"/>
  <c r="Q1885" i="3"/>
  <c r="Q1884" i="3"/>
  <c r="Q1883" i="3"/>
  <c r="Q1882" i="3"/>
  <c r="Q1881" i="3"/>
  <c r="Q1880" i="3"/>
  <c r="Q1879" i="3"/>
  <c r="Q1878" i="3"/>
  <c r="Q1877" i="3"/>
  <c r="Q1876" i="3"/>
  <c r="Q1875" i="3"/>
  <c r="Q1874" i="3"/>
  <c r="Q1873" i="3"/>
  <c r="Q1872" i="3"/>
  <c r="Q1871" i="3"/>
  <c r="Q1870" i="3"/>
  <c r="Q1869" i="3"/>
  <c r="Q1868" i="3"/>
  <c r="Q1867" i="3"/>
  <c r="Q1866" i="3"/>
  <c r="Q1865" i="3"/>
  <c r="Q1864" i="3"/>
  <c r="Q1863" i="3"/>
  <c r="Q1862" i="3"/>
  <c r="Q1861" i="3"/>
  <c r="Q1860" i="3"/>
  <c r="Q1859" i="3"/>
  <c r="Q1858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Q1822" i="3"/>
  <c r="Q1821" i="3"/>
  <c r="Q1820" i="3"/>
  <c r="Q1819" i="3"/>
  <c r="Q1818" i="3"/>
  <c r="Q1817" i="3"/>
  <c r="Q1816" i="3"/>
  <c r="Q1815" i="3"/>
  <c r="Q1814" i="3"/>
  <c r="Q1813" i="3"/>
  <c r="N1813" i="3"/>
  <c r="Q1812" i="3"/>
  <c r="N1812" i="3"/>
  <c r="Q1811" i="3"/>
  <c r="N1811" i="3"/>
  <c r="Q1810" i="3"/>
  <c r="N1810" i="3"/>
  <c r="Q1809" i="3"/>
  <c r="N1809" i="3"/>
  <c r="Q1808" i="3"/>
  <c r="N1808" i="3"/>
  <c r="Q1807" i="3"/>
  <c r="N1807" i="3"/>
  <c r="Q1806" i="3"/>
  <c r="N1806" i="3"/>
  <c r="Q1805" i="3"/>
  <c r="N1805" i="3"/>
  <c r="Q1804" i="3"/>
  <c r="N1804" i="3"/>
  <c r="Q1803" i="3"/>
  <c r="N1803" i="3"/>
  <c r="Q1802" i="3"/>
  <c r="N1802" i="3"/>
  <c r="Q1801" i="3"/>
  <c r="N1801" i="3"/>
  <c r="Q1800" i="3"/>
  <c r="N1800" i="3"/>
  <c r="Q1799" i="3"/>
  <c r="N1799" i="3"/>
  <c r="Q1798" i="3"/>
  <c r="N1798" i="3"/>
  <c r="Q1797" i="3"/>
  <c r="N1797" i="3"/>
  <c r="Q1796" i="3"/>
  <c r="N1796" i="3"/>
  <c r="Q1795" i="3"/>
  <c r="N1795" i="3"/>
  <c r="Q1794" i="3"/>
  <c r="N1794" i="3"/>
  <c r="Q1793" i="3"/>
  <c r="N1793" i="3"/>
  <c r="Q1792" i="3"/>
  <c r="N1792" i="3"/>
  <c r="Q1791" i="3"/>
  <c r="N1791" i="3"/>
  <c r="Q1790" i="3"/>
  <c r="N1790" i="3"/>
  <c r="Q1789" i="3"/>
  <c r="N1789" i="3"/>
  <c r="N1788" i="3"/>
  <c r="N1787" i="3"/>
  <c r="N1786" i="3"/>
  <c r="R1785" i="3"/>
  <c r="R1786" i="3" s="1"/>
  <c r="R1787" i="3" s="1"/>
  <c r="R1788" i="3" s="1"/>
  <c r="N1785" i="3"/>
  <c r="N1784" i="3"/>
  <c r="N1783" i="3"/>
  <c r="N1782" i="3"/>
  <c r="N1781" i="3"/>
  <c r="R1780" i="3"/>
  <c r="R1781" i="3" s="1"/>
  <c r="R1782" i="3" s="1"/>
  <c r="R1783" i="3" s="1"/>
  <c r="N1780" i="3"/>
  <c r="N1779" i="3"/>
  <c r="N1778" i="3"/>
  <c r="N1777" i="3"/>
  <c r="N1776" i="3"/>
  <c r="R1775" i="3"/>
  <c r="R1776" i="3" s="1"/>
  <c r="R1777" i="3" s="1"/>
  <c r="R1778" i="3" s="1"/>
  <c r="N1775" i="3"/>
  <c r="N1774" i="3"/>
  <c r="N1773" i="3"/>
  <c r="N1772" i="3"/>
  <c r="N1771" i="3"/>
  <c r="R1770" i="3"/>
  <c r="R1771" i="3" s="1"/>
  <c r="R1772" i="3" s="1"/>
  <c r="R1773" i="3" s="1"/>
  <c r="N1770" i="3"/>
  <c r="N1769" i="3"/>
  <c r="N1768" i="3"/>
  <c r="N1767" i="3"/>
  <c r="N1766" i="3"/>
  <c r="R1765" i="3"/>
  <c r="R1766" i="3" s="1"/>
  <c r="R1767" i="3" s="1"/>
  <c r="R1768" i="3" s="1"/>
  <c r="N1765" i="3"/>
  <c r="N1764" i="3"/>
  <c r="N1763" i="3"/>
  <c r="N1762" i="3"/>
  <c r="N1761" i="3"/>
  <c r="R1760" i="3"/>
  <c r="R1761" i="3" s="1"/>
  <c r="R1762" i="3" s="1"/>
  <c r="R1763" i="3" s="1"/>
  <c r="N1760" i="3"/>
  <c r="N1759" i="3"/>
  <c r="N1758" i="3"/>
  <c r="N1757" i="3"/>
  <c r="N1756" i="3"/>
  <c r="R1755" i="3"/>
  <c r="R1756" i="3" s="1"/>
  <c r="R1757" i="3" s="1"/>
  <c r="R1758" i="3" s="1"/>
  <c r="N1755" i="3"/>
  <c r="N1754" i="3"/>
  <c r="N1753" i="3"/>
  <c r="N1752" i="3"/>
  <c r="N1751" i="3"/>
  <c r="N1750" i="3"/>
  <c r="R1749" i="3"/>
  <c r="R1750" i="3" s="1"/>
  <c r="R1751" i="3" s="1"/>
  <c r="R1752" i="3" s="1"/>
  <c r="R1753" i="3" s="1"/>
  <c r="N1749" i="3"/>
  <c r="N1748" i="3"/>
  <c r="N1747" i="3"/>
  <c r="N1746" i="3"/>
  <c r="N1745" i="3"/>
  <c r="R1744" i="3"/>
  <c r="R1745" i="3" s="1"/>
  <c r="R1746" i="3" s="1"/>
  <c r="R1747" i="3" s="1"/>
  <c r="N1744" i="3"/>
  <c r="N1743" i="3"/>
  <c r="N1742" i="3"/>
  <c r="N1741" i="3"/>
  <c r="N1740" i="3"/>
  <c r="R1739" i="3"/>
  <c r="R1740" i="3" s="1"/>
  <c r="R1741" i="3" s="1"/>
  <c r="R1742" i="3" s="1"/>
  <c r="N1739" i="3"/>
  <c r="N1738" i="3"/>
  <c r="N1737" i="3"/>
  <c r="N1736" i="3"/>
  <c r="N1735" i="3"/>
  <c r="N1734" i="3"/>
  <c r="N1733" i="3"/>
  <c r="N1732" i="3"/>
  <c r="N1731" i="3"/>
  <c r="N1730" i="3"/>
  <c r="N1729" i="3"/>
  <c r="N1728" i="3"/>
  <c r="N1727" i="3"/>
  <c r="N1726" i="3"/>
  <c r="N1725" i="3"/>
  <c r="N1724" i="3"/>
  <c r="N1723" i="3"/>
  <c r="N1722" i="3"/>
  <c r="N1721" i="3"/>
  <c r="N1720" i="3"/>
  <c r="N1719" i="3"/>
  <c r="N1718" i="3"/>
  <c r="N1717" i="3"/>
  <c r="N1716" i="3"/>
  <c r="N1715" i="3"/>
  <c r="N1714" i="3"/>
  <c r="N1713" i="3"/>
  <c r="N1712" i="3"/>
  <c r="N1711" i="3"/>
  <c r="N1710" i="3"/>
  <c r="N1709" i="3"/>
  <c r="N1708" i="3"/>
  <c r="N1707" i="3"/>
  <c r="N1706" i="3"/>
  <c r="Q1705" i="3"/>
  <c r="N1705" i="3"/>
  <c r="Q1704" i="3"/>
  <c r="N1704" i="3"/>
  <c r="Q1703" i="3"/>
  <c r="N1703" i="3"/>
  <c r="Q1702" i="3"/>
  <c r="N1702" i="3"/>
  <c r="Q1701" i="3"/>
  <c r="N1701" i="3"/>
  <c r="Q1700" i="3"/>
  <c r="N1700" i="3"/>
  <c r="Q1699" i="3"/>
  <c r="N1699" i="3"/>
  <c r="Q1698" i="3"/>
  <c r="N1698" i="3"/>
  <c r="Q1697" i="3"/>
  <c r="N1697" i="3"/>
  <c r="Q1696" i="3"/>
  <c r="Q1695" i="3"/>
  <c r="N1695" i="3"/>
  <c r="Q1694" i="3"/>
  <c r="N1694" i="3"/>
  <c r="Q1693" i="3"/>
  <c r="N1693" i="3"/>
  <c r="Q1692" i="3"/>
  <c r="N1692" i="3"/>
  <c r="Q1691" i="3"/>
  <c r="N1691" i="3"/>
  <c r="Q1690" i="3"/>
  <c r="N1690" i="3"/>
  <c r="Q1689" i="3"/>
  <c r="N1689" i="3"/>
  <c r="Q1688" i="3"/>
  <c r="N1688" i="3"/>
  <c r="Q1687" i="3"/>
  <c r="N1687" i="3"/>
  <c r="Q1686" i="3"/>
  <c r="N1686" i="3"/>
  <c r="Q1685" i="3"/>
  <c r="N1685" i="3"/>
  <c r="Q1684" i="3"/>
  <c r="N1684" i="3"/>
  <c r="Q1683" i="3"/>
  <c r="N1683" i="3"/>
  <c r="Q1682" i="3"/>
  <c r="N1682" i="3"/>
  <c r="Q1681" i="3"/>
  <c r="N1681" i="3"/>
  <c r="Q1680" i="3"/>
  <c r="N1680" i="3"/>
  <c r="Q1679" i="3"/>
  <c r="N1679" i="3"/>
  <c r="Q1678" i="3"/>
  <c r="N1678" i="3"/>
  <c r="Q1677" i="3"/>
  <c r="N1677" i="3"/>
  <c r="Q1676" i="3"/>
  <c r="N1676" i="3"/>
  <c r="Q1675" i="3"/>
  <c r="N1675" i="3"/>
  <c r="Q1674" i="3"/>
  <c r="N1674" i="3"/>
  <c r="Q1673" i="3"/>
  <c r="N1673" i="3"/>
  <c r="Q1672" i="3"/>
  <c r="N1672" i="3"/>
  <c r="Q1671" i="3"/>
  <c r="N1671" i="3"/>
  <c r="Q1670" i="3"/>
  <c r="N1670" i="3"/>
  <c r="Q1669" i="3"/>
  <c r="N1669" i="3"/>
  <c r="Q1668" i="3"/>
  <c r="N1668" i="3"/>
  <c r="Q1667" i="3"/>
  <c r="N1667" i="3"/>
  <c r="Q1666" i="3"/>
  <c r="N1666" i="3"/>
  <c r="Q1665" i="3"/>
  <c r="N1665" i="3"/>
  <c r="Q1664" i="3"/>
  <c r="N1664" i="3"/>
  <c r="Q1663" i="3"/>
  <c r="N1663" i="3"/>
  <c r="Q1662" i="3"/>
  <c r="N1662" i="3"/>
  <c r="Q1661" i="3"/>
  <c r="N1661" i="3"/>
  <c r="Q1660" i="3"/>
  <c r="N1660" i="3"/>
  <c r="Q1659" i="3"/>
  <c r="N1659" i="3"/>
  <c r="Q1658" i="3"/>
  <c r="N1658" i="3"/>
  <c r="Q1657" i="3"/>
  <c r="N1657" i="3"/>
  <c r="Q1656" i="3"/>
  <c r="N1656" i="3"/>
  <c r="Q1655" i="3"/>
  <c r="N1655" i="3"/>
  <c r="Q1654" i="3"/>
  <c r="N1654" i="3"/>
  <c r="Q1653" i="3"/>
  <c r="N1653" i="3"/>
  <c r="Q1652" i="3"/>
  <c r="N1652" i="3"/>
  <c r="Q1651" i="3"/>
  <c r="N1651" i="3"/>
  <c r="Q1650" i="3"/>
  <c r="N1650" i="3"/>
  <c r="Q1649" i="3"/>
  <c r="N1649" i="3"/>
  <c r="Q1648" i="3"/>
  <c r="N1648" i="3"/>
  <c r="Q1647" i="3"/>
  <c r="N1647" i="3"/>
  <c r="Q1646" i="3"/>
  <c r="N1646" i="3"/>
  <c r="Q1645" i="3"/>
  <c r="N1645" i="3"/>
  <c r="Q1644" i="3"/>
  <c r="N1644" i="3"/>
  <c r="Q1643" i="3"/>
  <c r="N1643" i="3"/>
  <c r="Q1642" i="3"/>
  <c r="N1642" i="3"/>
  <c r="Q1641" i="3"/>
  <c r="N1641" i="3"/>
  <c r="Q1640" i="3"/>
  <c r="N1640" i="3"/>
  <c r="Q1639" i="3"/>
  <c r="N1639" i="3"/>
  <c r="Q1638" i="3"/>
  <c r="N1638" i="3"/>
  <c r="Q1637" i="3"/>
  <c r="N1637" i="3"/>
  <c r="Q1636" i="3"/>
  <c r="N1636" i="3"/>
  <c r="Q1635" i="3"/>
  <c r="N1635" i="3"/>
  <c r="Q1634" i="3"/>
  <c r="N1634" i="3"/>
  <c r="Q1633" i="3"/>
  <c r="N1633" i="3"/>
  <c r="Q1632" i="3"/>
  <c r="N1632" i="3"/>
  <c r="Q1631" i="3"/>
  <c r="N1631" i="3"/>
  <c r="Q1630" i="3"/>
  <c r="N1630" i="3"/>
  <c r="Q1629" i="3"/>
  <c r="N1629" i="3"/>
  <c r="Q1628" i="3"/>
  <c r="N1628" i="3"/>
  <c r="Q1627" i="3"/>
  <c r="N1627" i="3"/>
  <c r="Q1626" i="3"/>
  <c r="N1626" i="3"/>
  <c r="Q1625" i="3"/>
  <c r="N1625" i="3"/>
  <c r="Q1624" i="3"/>
  <c r="N1624" i="3"/>
  <c r="Q1623" i="3"/>
  <c r="N1623" i="3"/>
  <c r="Q1622" i="3"/>
  <c r="N1622" i="3"/>
  <c r="Q1621" i="3"/>
  <c r="N1621" i="3"/>
  <c r="Q1620" i="3"/>
  <c r="N1620" i="3"/>
  <c r="Q1619" i="3"/>
  <c r="N1619" i="3"/>
  <c r="Q1618" i="3"/>
  <c r="N1618" i="3"/>
  <c r="Q1617" i="3"/>
  <c r="N1617" i="3"/>
  <c r="Q1616" i="3"/>
  <c r="N1616" i="3"/>
  <c r="Q1615" i="3"/>
  <c r="N1615" i="3"/>
  <c r="Q1614" i="3"/>
  <c r="N1614" i="3"/>
  <c r="Q1613" i="3"/>
  <c r="N1613" i="3"/>
  <c r="Q1612" i="3"/>
  <c r="N1612" i="3"/>
  <c r="Q1611" i="3"/>
  <c r="N1611" i="3"/>
  <c r="Q1610" i="3"/>
  <c r="N1610" i="3"/>
  <c r="Q1609" i="3"/>
  <c r="N1609" i="3"/>
  <c r="Q1608" i="3"/>
  <c r="N1608" i="3"/>
  <c r="Q1607" i="3"/>
  <c r="N1607" i="3"/>
  <c r="Q1606" i="3"/>
  <c r="N1606" i="3"/>
  <c r="Q1605" i="3"/>
  <c r="N1605" i="3"/>
  <c r="Q1604" i="3"/>
  <c r="N1604" i="3"/>
  <c r="Q1603" i="3"/>
  <c r="N1603" i="3"/>
  <c r="Q1602" i="3"/>
  <c r="N1602" i="3"/>
  <c r="Q1601" i="3"/>
  <c r="N1601" i="3"/>
  <c r="Q1600" i="3"/>
  <c r="N1600" i="3"/>
  <c r="Q1599" i="3"/>
  <c r="N1599" i="3"/>
  <c r="Q1598" i="3"/>
  <c r="N1598" i="3"/>
  <c r="Q1597" i="3"/>
  <c r="N1597" i="3"/>
  <c r="Q1596" i="3"/>
  <c r="N1596" i="3"/>
  <c r="Q1595" i="3"/>
  <c r="N1595" i="3"/>
  <c r="Q1594" i="3"/>
  <c r="N1594" i="3"/>
  <c r="Q1593" i="3"/>
  <c r="N1593" i="3"/>
  <c r="Q1592" i="3"/>
  <c r="N1592" i="3"/>
  <c r="Q1591" i="3"/>
  <c r="N1591" i="3"/>
  <c r="Q1590" i="3"/>
  <c r="N1590" i="3"/>
  <c r="Q1589" i="3"/>
  <c r="N1589" i="3"/>
  <c r="Q1588" i="3"/>
  <c r="N1588" i="3"/>
  <c r="Q1587" i="3"/>
  <c r="N1587" i="3"/>
  <c r="Q1586" i="3"/>
  <c r="N1586" i="3"/>
  <c r="Q1585" i="3"/>
  <c r="N1585" i="3"/>
  <c r="Q1584" i="3"/>
  <c r="N1584" i="3"/>
  <c r="Q1583" i="3"/>
  <c r="N1583" i="3"/>
  <c r="Q1582" i="3"/>
  <c r="N1582" i="3"/>
  <c r="Q1581" i="3"/>
  <c r="N1581" i="3"/>
  <c r="Q1580" i="3"/>
  <c r="N1580" i="3"/>
  <c r="Q1579" i="3"/>
  <c r="N1579" i="3"/>
  <c r="Q1578" i="3"/>
  <c r="N1578" i="3"/>
  <c r="Q1577" i="3"/>
  <c r="N1577" i="3"/>
  <c r="Q1576" i="3"/>
  <c r="N1576" i="3"/>
  <c r="Q1575" i="3"/>
  <c r="N1575" i="3"/>
  <c r="Q1574" i="3"/>
  <c r="N1574" i="3"/>
  <c r="Q1573" i="3"/>
  <c r="N1573" i="3"/>
  <c r="Q1572" i="3"/>
  <c r="N1572" i="3"/>
  <c r="Q1571" i="3"/>
  <c r="N1571" i="3"/>
  <c r="Q1570" i="3"/>
  <c r="N1570" i="3"/>
  <c r="Q1569" i="3"/>
  <c r="N1569" i="3"/>
  <c r="Q1568" i="3"/>
  <c r="N1568" i="3"/>
  <c r="Q1567" i="3"/>
  <c r="N1567" i="3"/>
  <c r="Q1566" i="3"/>
  <c r="N1566" i="3"/>
  <c r="Q1565" i="3"/>
  <c r="N1565" i="3"/>
  <c r="Q1564" i="3"/>
  <c r="N1564" i="3"/>
  <c r="Q1563" i="3"/>
  <c r="N1563" i="3"/>
  <c r="Q1562" i="3"/>
  <c r="N1562" i="3"/>
  <c r="Q1561" i="3"/>
  <c r="N1561" i="3"/>
  <c r="Q1560" i="3"/>
  <c r="N1560" i="3"/>
  <c r="Q1559" i="3"/>
  <c r="N1559" i="3"/>
  <c r="Q1558" i="3"/>
  <c r="N1558" i="3"/>
  <c r="Q1557" i="3"/>
  <c r="N1557" i="3"/>
  <c r="Q1556" i="3"/>
  <c r="N1556" i="3"/>
  <c r="Q1555" i="3"/>
  <c r="N1555" i="3"/>
  <c r="Q1554" i="3"/>
  <c r="N1554" i="3"/>
  <c r="Q1553" i="3"/>
  <c r="N1553" i="3"/>
  <c r="Q1552" i="3"/>
  <c r="N1552" i="3"/>
  <c r="Q1551" i="3"/>
  <c r="N1551" i="3"/>
  <c r="Q1550" i="3"/>
  <c r="N1550" i="3"/>
  <c r="Q1549" i="3"/>
  <c r="N1549" i="3"/>
  <c r="Q1548" i="3"/>
  <c r="N1548" i="3"/>
  <c r="Q1547" i="3"/>
  <c r="N1547" i="3"/>
  <c r="Q1546" i="3"/>
  <c r="N1546" i="3"/>
  <c r="Q1545" i="3"/>
  <c r="N1545" i="3"/>
  <c r="Q1544" i="3"/>
  <c r="N1544" i="3"/>
  <c r="Q1543" i="3"/>
  <c r="N1543" i="3"/>
  <c r="Q1542" i="3"/>
  <c r="N1542" i="3"/>
  <c r="Q1541" i="3"/>
  <c r="N1541" i="3"/>
  <c r="Q1540" i="3"/>
  <c r="N1540" i="3"/>
  <c r="Q1539" i="3"/>
  <c r="N1539" i="3"/>
  <c r="Q1538" i="3"/>
  <c r="N1538" i="3"/>
  <c r="Q1537" i="3"/>
  <c r="N1537" i="3"/>
  <c r="Q1536" i="3"/>
  <c r="N1536" i="3"/>
  <c r="Q1535" i="3"/>
  <c r="N1535" i="3"/>
  <c r="Q1534" i="3"/>
  <c r="N1534" i="3"/>
  <c r="Q1533" i="3"/>
  <c r="N1533" i="3"/>
  <c r="Q1532" i="3"/>
  <c r="N1532" i="3"/>
  <c r="Q1531" i="3"/>
  <c r="N1531" i="3"/>
  <c r="Q1530" i="3"/>
  <c r="N1530" i="3"/>
  <c r="Q1529" i="3"/>
  <c r="N1529" i="3"/>
  <c r="Q1528" i="3"/>
  <c r="N1528" i="3"/>
  <c r="Q1527" i="3"/>
  <c r="N1527" i="3"/>
  <c r="Q1526" i="3"/>
  <c r="N1526" i="3"/>
  <c r="Q1525" i="3"/>
  <c r="N1525" i="3"/>
  <c r="Q1524" i="3"/>
  <c r="N1524" i="3"/>
  <c r="Q1523" i="3"/>
  <c r="N1523" i="3"/>
  <c r="Q1522" i="3"/>
  <c r="N1522" i="3"/>
  <c r="Q1521" i="3"/>
  <c r="N1521" i="3"/>
  <c r="Q1520" i="3"/>
  <c r="N1520" i="3"/>
  <c r="Q1519" i="3"/>
  <c r="N1519" i="3"/>
  <c r="Q1518" i="3"/>
  <c r="N1518" i="3"/>
  <c r="Q1517" i="3"/>
  <c r="N1517" i="3"/>
  <c r="Q1516" i="3"/>
  <c r="N1516" i="3"/>
  <c r="Q1515" i="3"/>
  <c r="N1515" i="3"/>
  <c r="Q1514" i="3"/>
  <c r="N1514" i="3"/>
  <c r="Q1513" i="3"/>
  <c r="N1513" i="3"/>
  <c r="Q1512" i="3"/>
  <c r="N1512" i="3"/>
  <c r="Q1511" i="3"/>
  <c r="N1511" i="3"/>
  <c r="U1580" i="3"/>
  <c r="U1579" i="3"/>
  <c r="U1578" i="3"/>
  <c r="U1577" i="3"/>
  <c r="U1576" i="3"/>
  <c r="U1575" i="3"/>
  <c r="U1574" i="3"/>
  <c r="U1572" i="3"/>
  <c r="U1571" i="3"/>
  <c r="U1570" i="3"/>
  <c r="U1569" i="3"/>
  <c r="U1568" i="3"/>
  <c r="U1567" i="3"/>
  <c r="U1566" i="3"/>
  <c r="U1564" i="3"/>
  <c r="U1563" i="3"/>
  <c r="U1562" i="3"/>
  <c r="U1561" i="3"/>
  <c r="U1560" i="3"/>
  <c r="U1559" i="3"/>
  <c r="U1558" i="3"/>
  <c r="U1556" i="3"/>
  <c r="U1555" i="3"/>
  <c r="U1554" i="3"/>
  <c r="U1553" i="3"/>
  <c r="U1552" i="3"/>
  <c r="U1551" i="3"/>
  <c r="U1550" i="3"/>
  <c r="U1548" i="3"/>
  <c r="U1547" i="3"/>
  <c r="U1546" i="3"/>
  <c r="U1545" i="3"/>
  <c r="U1544" i="3"/>
  <c r="U1543" i="3"/>
  <c r="U1542" i="3"/>
  <c r="U1540" i="3"/>
  <c r="U1539" i="3"/>
  <c r="U1538" i="3"/>
  <c r="U1537" i="3"/>
  <c r="U1536" i="3"/>
  <c r="U1535" i="3"/>
  <c r="U1534" i="3"/>
  <c r="U1532" i="3"/>
  <c r="U1531" i="3"/>
  <c r="U1530" i="3"/>
  <c r="U1529" i="3"/>
  <c r="U1528" i="3"/>
  <c r="U1527" i="3"/>
  <c r="U1526" i="3"/>
  <c r="U1524" i="3"/>
  <c r="U1523" i="3"/>
  <c r="U1522" i="3"/>
  <c r="U1521" i="3"/>
  <c r="U1520" i="3"/>
  <c r="U1519" i="3"/>
  <c r="U1518" i="3"/>
  <c r="U1516" i="3"/>
  <c r="U1515" i="3"/>
  <c r="U1514" i="3"/>
  <c r="U1513" i="3"/>
  <c r="U1512" i="3"/>
  <c r="U1511" i="3"/>
  <c r="U1510" i="3"/>
  <c r="U1510" i="3" a="1"/>
  <c r="U1581" i="3" s="1"/>
  <c r="Q1510" i="3"/>
  <c r="N1510" i="3"/>
  <c r="Q1509" i="3"/>
  <c r="N1509" i="3"/>
  <c r="Q1508" i="3"/>
  <c r="N1508" i="3"/>
  <c r="Q1507" i="3"/>
  <c r="N1507" i="3"/>
  <c r="Q1506" i="3"/>
  <c r="N1506" i="3"/>
  <c r="Q1505" i="3"/>
  <c r="N1505" i="3"/>
  <c r="Q1504" i="3"/>
  <c r="N1504" i="3"/>
  <c r="Q1503" i="3"/>
  <c r="N1503" i="3"/>
  <c r="Q1502" i="3"/>
  <c r="N1502" i="3"/>
  <c r="Q1501" i="3"/>
  <c r="N1501" i="3"/>
  <c r="Q1500" i="3"/>
  <c r="N1500" i="3"/>
  <c r="Q1499" i="3"/>
  <c r="N1499" i="3"/>
  <c r="Q1498" i="3"/>
  <c r="N1498" i="3"/>
  <c r="Q1497" i="3"/>
  <c r="N1497" i="3"/>
  <c r="Q1496" i="3"/>
  <c r="N1496" i="3"/>
  <c r="Q1495" i="3"/>
  <c r="N1495" i="3"/>
  <c r="Q1494" i="3"/>
  <c r="N1494" i="3"/>
  <c r="Q1493" i="3"/>
  <c r="N1493" i="3"/>
  <c r="Q1492" i="3"/>
  <c r="N1492" i="3"/>
  <c r="Q1491" i="3"/>
  <c r="N1491" i="3"/>
  <c r="Q1490" i="3"/>
  <c r="N1490" i="3"/>
  <c r="Q1489" i="3"/>
  <c r="N1489" i="3"/>
  <c r="Q1488" i="3"/>
  <c r="N1488" i="3"/>
  <c r="Q1487" i="3"/>
  <c r="N1487" i="3"/>
  <c r="Q1486" i="3"/>
  <c r="N1486" i="3"/>
  <c r="Q1485" i="3"/>
  <c r="N1485" i="3"/>
  <c r="Q1484" i="3"/>
  <c r="N1484" i="3"/>
  <c r="Q1483" i="3"/>
  <c r="N1483" i="3"/>
  <c r="Q1482" i="3"/>
  <c r="N1482" i="3"/>
  <c r="Q1481" i="3"/>
  <c r="N1481" i="3"/>
  <c r="Q1480" i="3"/>
  <c r="N1480" i="3"/>
  <c r="Q1479" i="3"/>
  <c r="N1479" i="3"/>
  <c r="Q1478" i="3"/>
  <c r="N1478" i="3"/>
  <c r="Q1477" i="3"/>
  <c r="N1477" i="3"/>
  <c r="Q1476" i="3"/>
  <c r="N1476" i="3"/>
  <c r="Q1475" i="3"/>
  <c r="N1475" i="3"/>
  <c r="Q1474" i="3"/>
  <c r="N1474" i="3"/>
  <c r="Q1473" i="3"/>
  <c r="N1473" i="3"/>
  <c r="Q1472" i="3"/>
  <c r="N1472" i="3"/>
  <c r="Q1471" i="3"/>
  <c r="N1471" i="3"/>
  <c r="Q1470" i="3"/>
  <c r="N1470" i="3"/>
  <c r="Q1469" i="3"/>
  <c r="N1469" i="3"/>
  <c r="Q1468" i="3"/>
  <c r="N1468" i="3"/>
  <c r="Q1467" i="3"/>
  <c r="N1467" i="3"/>
  <c r="Q1466" i="3"/>
  <c r="N1466" i="3"/>
  <c r="Q1465" i="3"/>
  <c r="N1465" i="3"/>
  <c r="Q1464" i="3"/>
  <c r="N1464" i="3"/>
  <c r="Q1463" i="3"/>
  <c r="N1463" i="3"/>
  <c r="Q1462" i="3"/>
  <c r="N1462" i="3"/>
  <c r="Q1461" i="3"/>
  <c r="N1461" i="3"/>
  <c r="Q1460" i="3"/>
  <c r="N1460" i="3"/>
  <c r="Q1459" i="3"/>
  <c r="N1459" i="3"/>
  <c r="Q1458" i="3"/>
  <c r="N1458" i="3"/>
  <c r="Q1457" i="3"/>
  <c r="N1457" i="3"/>
  <c r="Q1456" i="3"/>
  <c r="N1456" i="3"/>
  <c r="Q1455" i="3"/>
  <c r="N1455" i="3"/>
  <c r="Q1454" i="3"/>
  <c r="N1454" i="3"/>
  <c r="Q1453" i="3"/>
  <c r="N1453" i="3"/>
  <c r="Q1452" i="3"/>
  <c r="N1452" i="3"/>
  <c r="Q1451" i="3"/>
  <c r="N1451" i="3"/>
  <c r="Q1450" i="3"/>
  <c r="N1450" i="3"/>
  <c r="Q1449" i="3"/>
  <c r="N1449" i="3"/>
  <c r="Q1448" i="3"/>
  <c r="N1448" i="3"/>
  <c r="Q1447" i="3"/>
  <c r="N1447" i="3"/>
  <c r="Q1446" i="3"/>
  <c r="N1446" i="3"/>
  <c r="Q1445" i="3"/>
  <c r="N1445" i="3"/>
  <c r="Q1444" i="3"/>
  <c r="N1444" i="3"/>
  <c r="Q1443" i="3"/>
  <c r="N1443" i="3"/>
  <c r="Q1442" i="3"/>
  <c r="N1442" i="3"/>
  <c r="Q1441" i="3"/>
  <c r="N1441" i="3"/>
  <c r="Q1440" i="3"/>
  <c r="N1440" i="3"/>
  <c r="Q1439" i="3"/>
  <c r="N1439" i="3"/>
  <c r="Q1438" i="3"/>
  <c r="N1438" i="3"/>
  <c r="Q1437" i="3"/>
  <c r="N1437" i="3"/>
  <c r="Q1436" i="3"/>
  <c r="N1436" i="3"/>
  <c r="Q1435" i="3"/>
  <c r="N1435" i="3"/>
  <c r="Q1434" i="3"/>
  <c r="N1434" i="3"/>
  <c r="Q1433" i="3"/>
  <c r="N1433" i="3"/>
  <c r="Q1432" i="3"/>
  <c r="N1432" i="3"/>
  <c r="Q1431" i="3"/>
  <c r="N1431" i="3"/>
  <c r="Q1430" i="3"/>
  <c r="N1430" i="3"/>
  <c r="Q1429" i="3"/>
  <c r="N1429" i="3"/>
  <c r="Q1428" i="3"/>
  <c r="N1428" i="3"/>
  <c r="Q1427" i="3"/>
  <c r="N1427" i="3"/>
  <c r="Q1426" i="3"/>
  <c r="N1426" i="3"/>
  <c r="U1425" i="3"/>
  <c r="U1426" i="3" s="1"/>
  <c r="U1427" i="3" s="1"/>
  <c r="U1428" i="3" s="1"/>
  <c r="U1429" i="3" s="1"/>
  <c r="U1430" i="3" s="1"/>
  <c r="U1431" i="3" s="1"/>
  <c r="U1432" i="3" s="1"/>
  <c r="U1433" i="3" s="1"/>
  <c r="U1434" i="3" s="1"/>
  <c r="U1435" i="3" s="1"/>
  <c r="U1436" i="3" s="1"/>
  <c r="U1437" i="3" s="1"/>
  <c r="U1438" i="3" s="1"/>
  <c r="U1439" i="3" s="1"/>
  <c r="U1440" i="3" s="1"/>
  <c r="U1441" i="3" s="1"/>
  <c r="U1442" i="3" s="1"/>
  <c r="U1443" i="3" s="1"/>
  <c r="U1444" i="3" s="1"/>
  <c r="U1445" i="3" s="1"/>
  <c r="U1446" i="3" s="1"/>
  <c r="U1447" i="3" s="1"/>
  <c r="U1448" i="3" s="1"/>
  <c r="U1449" i="3" s="1"/>
  <c r="U1450" i="3" s="1"/>
  <c r="U1451" i="3" s="1"/>
  <c r="U1452" i="3" s="1"/>
  <c r="U1453" i="3" s="1"/>
  <c r="U1454" i="3" s="1"/>
  <c r="U1455" i="3" s="1"/>
  <c r="U1456" i="3" s="1"/>
  <c r="U1457" i="3" s="1"/>
  <c r="U1458" i="3" s="1"/>
  <c r="U1459" i="3" s="1"/>
  <c r="U1460" i="3" s="1"/>
  <c r="U1461" i="3" s="1"/>
  <c r="U1462" i="3" s="1"/>
  <c r="U1463" i="3" s="1"/>
  <c r="U1464" i="3" s="1"/>
  <c r="U1465" i="3" s="1"/>
  <c r="U1466" i="3" s="1"/>
  <c r="U1467" i="3" s="1"/>
  <c r="U1468" i="3" s="1"/>
  <c r="U1469" i="3" s="1"/>
  <c r="U1470" i="3" s="1"/>
  <c r="U1471" i="3" s="1"/>
  <c r="U1472" i="3" s="1"/>
  <c r="U1473" i="3" s="1"/>
  <c r="U1474" i="3" s="1"/>
  <c r="U1475" i="3" s="1"/>
  <c r="U1476" i="3" s="1"/>
  <c r="U1477" i="3" s="1"/>
  <c r="U1478" i="3" s="1"/>
  <c r="U1479" i="3" s="1"/>
  <c r="U1480" i="3" s="1"/>
  <c r="U1481" i="3" s="1"/>
  <c r="U1482" i="3" s="1"/>
  <c r="U1483" i="3" s="1"/>
  <c r="U1484" i="3" s="1"/>
  <c r="U1485" i="3" s="1"/>
  <c r="U1486" i="3" s="1"/>
  <c r="U1487" i="3" s="1"/>
  <c r="U1488" i="3" s="1"/>
  <c r="U1489" i="3" s="1"/>
  <c r="U1490" i="3" s="1"/>
  <c r="U1491" i="3" s="1"/>
  <c r="U1492" i="3" s="1"/>
  <c r="U1493" i="3" s="1"/>
  <c r="U1494" i="3" s="1"/>
  <c r="U1495" i="3" s="1"/>
  <c r="U1496" i="3" s="1"/>
  <c r="U1497" i="3" s="1"/>
  <c r="U1498" i="3" s="1"/>
  <c r="U1499" i="3" s="1"/>
  <c r="U1500" i="3" s="1"/>
  <c r="U1501" i="3" s="1"/>
  <c r="U1502" i="3" s="1"/>
  <c r="U1503" i="3" s="1"/>
  <c r="U1504" i="3" s="1"/>
  <c r="U1505" i="3" s="1"/>
  <c r="U1506" i="3" s="1"/>
  <c r="U1507" i="3" s="1"/>
  <c r="U1508" i="3" s="1"/>
  <c r="Q1425" i="3"/>
  <c r="N1425" i="3"/>
  <c r="Q1424" i="3"/>
  <c r="N1424" i="3"/>
  <c r="Q1423" i="3"/>
  <c r="N1423" i="3"/>
  <c r="Q1422" i="3"/>
  <c r="N1422" i="3"/>
  <c r="Q1421" i="3"/>
  <c r="N1421" i="3"/>
  <c r="Q1420" i="3"/>
  <c r="N1420" i="3"/>
  <c r="Q1419" i="3"/>
  <c r="N1419" i="3"/>
  <c r="Q1418" i="3"/>
  <c r="N1418" i="3"/>
  <c r="Q1417" i="3"/>
  <c r="N1417" i="3"/>
  <c r="Q1416" i="3"/>
  <c r="N1416" i="3"/>
  <c r="Q1415" i="3"/>
  <c r="N1415" i="3"/>
  <c r="Q1414" i="3"/>
  <c r="N1414" i="3"/>
  <c r="Q1413" i="3"/>
  <c r="N1413" i="3"/>
  <c r="Q1412" i="3"/>
  <c r="N1412" i="3"/>
  <c r="Q1411" i="3"/>
  <c r="N1411" i="3"/>
  <c r="Q1410" i="3"/>
  <c r="N1410" i="3"/>
  <c r="Q1409" i="3"/>
  <c r="N1409" i="3"/>
  <c r="Q1408" i="3"/>
  <c r="N1408" i="3"/>
  <c r="Q1407" i="3"/>
  <c r="N1407" i="3"/>
  <c r="Q1406" i="3"/>
  <c r="N1406" i="3"/>
  <c r="Q1405" i="3"/>
  <c r="N1405" i="3"/>
  <c r="Q1404" i="3"/>
  <c r="N1404" i="3"/>
  <c r="Q1403" i="3"/>
  <c r="N1403" i="3"/>
  <c r="Q1402" i="3"/>
  <c r="N1402" i="3"/>
  <c r="Q1401" i="3"/>
  <c r="N1401" i="3"/>
  <c r="Q1400" i="3"/>
  <c r="N1400" i="3"/>
  <c r="Q1399" i="3"/>
  <c r="N1399" i="3"/>
  <c r="Q1398" i="3"/>
  <c r="N1398" i="3"/>
  <c r="Q1397" i="3"/>
  <c r="N1397" i="3"/>
  <c r="Q1396" i="3"/>
  <c r="N1396" i="3"/>
  <c r="Q1395" i="3"/>
  <c r="N1395" i="3"/>
  <c r="Q1394" i="3"/>
  <c r="N1394" i="3"/>
  <c r="Q1393" i="3"/>
  <c r="N1393" i="3"/>
  <c r="Q1392" i="3"/>
  <c r="N1392" i="3"/>
  <c r="Q1391" i="3"/>
  <c r="N1391" i="3"/>
  <c r="Q1390" i="3"/>
  <c r="N1390" i="3"/>
  <c r="Q1389" i="3"/>
  <c r="N1389" i="3"/>
  <c r="Q1388" i="3"/>
  <c r="N1388" i="3"/>
  <c r="Q1387" i="3"/>
  <c r="N1387" i="3"/>
  <c r="Q1386" i="3"/>
  <c r="N1386" i="3"/>
  <c r="Q1385" i="3"/>
  <c r="N1385" i="3"/>
  <c r="Q1384" i="3"/>
  <c r="N1384" i="3"/>
  <c r="Q1383" i="3"/>
  <c r="N1383" i="3"/>
  <c r="Q1382" i="3"/>
  <c r="N1382" i="3"/>
  <c r="Q1381" i="3"/>
  <c r="N1381" i="3"/>
  <c r="Q1380" i="3"/>
  <c r="N1380" i="3"/>
  <c r="Q1379" i="3"/>
  <c r="N1379" i="3"/>
  <c r="Q1378" i="3"/>
  <c r="N1378" i="3"/>
  <c r="Q1377" i="3"/>
  <c r="N1377" i="3"/>
  <c r="Q1376" i="3"/>
  <c r="N1376" i="3"/>
  <c r="Q1375" i="3"/>
  <c r="N1375" i="3"/>
  <c r="Q1374" i="3"/>
  <c r="N1374" i="3"/>
  <c r="Q1373" i="3"/>
  <c r="N1373" i="3"/>
  <c r="Q1372" i="3"/>
  <c r="N1372" i="3"/>
  <c r="Q1371" i="3"/>
  <c r="N1371" i="3"/>
  <c r="Q1370" i="3"/>
  <c r="N1370" i="3"/>
  <c r="Q1369" i="3"/>
  <c r="N1369" i="3"/>
  <c r="Q1368" i="3"/>
  <c r="N1368" i="3"/>
  <c r="Q1367" i="3"/>
  <c r="N1367" i="3"/>
  <c r="Q1366" i="3"/>
  <c r="N1366" i="3"/>
  <c r="Q1365" i="3"/>
  <c r="N1365" i="3"/>
  <c r="Q1364" i="3"/>
  <c r="N1364" i="3"/>
  <c r="Q1363" i="3"/>
  <c r="N1363" i="3"/>
  <c r="Q1362" i="3"/>
  <c r="N1362" i="3"/>
  <c r="Q1361" i="3"/>
  <c r="N1361" i="3"/>
  <c r="Q1360" i="3"/>
  <c r="N1360" i="3"/>
  <c r="Q1359" i="3"/>
  <c r="N1359" i="3"/>
  <c r="Q1358" i="3"/>
  <c r="N1358" i="3"/>
  <c r="Q1357" i="3"/>
  <c r="N1357" i="3"/>
  <c r="Q1356" i="3"/>
  <c r="N1356" i="3"/>
  <c r="Q1355" i="3"/>
  <c r="N1355" i="3"/>
  <c r="Q1354" i="3"/>
  <c r="N1354" i="3"/>
  <c r="Q1353" i="3"/>
  <c r="N1353" i="3"/>
  <c r="U1352" i="3"/>
  <c r="U1353" i="3" s="1"/>
  <c r="U1354" i="3" s="1"/>
  <c r="U1355" i="3" s="1"/>
  <c r="U1356" i="3" s="1"/>
  <c r="U1357" i="3" s="1"/>
  <c r="U1358" i="3" s="1"/>
  <c r="U1359" i="3" s="1"/>
  <c r="U1360" i="3" s="1"/>
  <c r="U1361" i="3" s="1"/>
  <c r="U1362" i="3" s="1"/>
  <c r="U1363" i="3" s="1"/>
  <c r="U1364" i="3" s="1"/>
  <c r="U1365" i="3" s="1"/>
  <c r="U1366" i="3" s="1"/>
  <c r="U1367" i="3" s="1"/>
  <c r="U1368" i="3" s="1"/>
  <c r="U1369" i="3" s="1"/>
  <c r="U1370" i="3" s="1"/>
  <c r="U1371" i="3" s="1"/>
  <c r="U1372" i="3" s="1"/>
  <c r="U1373" i="3" s="1"/>
  <c r="U1374" i="3" s="1"/>
  <c r="U1375" i="3" s="1"/>
  <c r="U1376" i="3" s="1"/>
  <c r="U1377" i="3" s="1"/>
  <c r="U1378" i="3" s="1"/>
  <c r="U1379" i="3" s="1"/>
  <c r="U1380" i="3" s="1"/>
  <c r="U1381" i="3" s="1"/>
  <c r="U1382" i="3" s="1"/>
  <c r="U1383" i="3" s="1"/>
  <c r="U1384" i="3" s="1"/>
  <c r="U1385" i="3" s="1"/>
  <c r="U1386" i="3" s="1"/>
  <c r="U1387" i="3" s="1"/>
  <c r="U1388" i="3" s="1"/>
  <c r="U1389" i="3" s="1"/>
  <c r="U1390" i="3" s="1"/>
  <c r="U1391" i="3" s="1"/>
  <c r="U1392" i="3" s="1"/>
  <c r="U1393" i="3" s="1"/>
  <c r="U1394" i="3" s="1"/>
  <c r="U1395" i="3" s="1"/>
  <c r="U1396" i="3" s="1"/>
  <c r="U1397" i="3" s="1"/>
  <c r="U1398" i="3" s="1"/>
  <c r="U1399" i="3" s="1"/>
  <c r="U1400" i="3" s="1"/>
  <c r="U1401" i="3" s="1"/>
  <c r="U1402" i="3" s="1"/>
  <c r="U1403" i="3" s="1"/>
  <c r="U1404" i="3" s="1"/>
  <c r="U1405" i="3" s="1"/>
  <c r="U1406" i="3" s="1"/>
  <c r="U1407" i="3" s="1"/>
  <c r="U1408" i="3" s="1"/>
  <c r="U1409" i="3" s="1"/>
  <c r="U1410" i="3" s="1"/>
  <c r="U1411" i="3" s="1"/>
  <c r="U1412" i="3" s="1"/>
  <c r="U1413" i="3" s="1"/>
  <c r="U1414" i="3" s="1"/>
  <c r="U1415" i="3" s="1"/>
  <c r="U1416" i="3" s="1"/>
  <c r="U1417" i="3" s="1"/>
  <c r="U1418" i="3" s="1"/>
  <c r="U1419" i="3" s="1"/>
  <c r="U1420" i="3" s="1"/>
  <c r="U1421" i="3" s="1"/>
  <c r="U1422" i="3" s="1"/>
  <c r="U1423" i="3" s="1"/>
  <c r="Q1352" i="3"/>
  <c r="N1352" i="3"/>
  <c r="Q1351" i="3"/>
  <c r="N1351" i="3"/>
  <c r="Q1350" i="3"/>
  <c r="N1350" i="3"/>
  <c r="Q1349" i="3"/>
  <c r="N1349" i="3"/>
  <c r="Q1348" i="3"/>
  <c r="N1348" i="3"/>
  <c r="Q1347" i="3"/>
  <c r="N1347" i="3"/>
  <c r="Q1346" i="3"/>
  <c r="N1346" i="3"/>
  <c r="Q1345" i="3"/>
  <c r="N1345" i="3"/>
  <c r="Q1344" i="3"/>
  <c r="N1344" i="3"/>
  <c r="Q1343" i="3"/>
  <c r="N1343" i="3"/>
  <c r="Q1342" i="3"/>
  <c r="N1342" i="3"/>
  <c r="Q1341" i="3"/>
  <c r="N1341" i="3"/>
  <c r="Q1340" i="3"/>
  <c r="N1340" i="3"/>
  <c r="Q1339" i="3"/>
  <c r="N1339" i="3"/>
  <c r="Q1338" i="3"/>
  <c r="N1338" i="3"/>
  <c r="Q1337" i="3"/>
  <c r="N1337" i="3"/>
  <c r="Q1336" i="3"/>
  <c r="N1336" i="3"/>
  <c r="Q1335" i="3"/>
  <c r="N1335" i="3"/>
  <c r="Q1334" i="3"/>
  <c r="N1334" i="3"/>
  <c r="Q1333" i="3"/>
  <c r="N1333" i="3"/>
  <c r="Q1332" i="3"/>
  <c r="N1332" i="3"/>
  <c r="Q1331" i="3"/>
  <c r="N1331" i="3"/>
  <c r="Q1330" i="3"/>
  <c r="N1330" i="3"/>
  <c r="Q1329" i="3"/>
  <c r="N1329" i="3"/>
  <c r="Q1328" i="3"/>
  <c r="N1328" i="3"/>
  <c r="Q1327" i="3"/>
  <c r="N1327" i="3"/>
  <c r="Q1326" i="3"/>
  <c r="N1326" i="3"/>
  <c r="Q1325" i="3"/>
  <c r="N1325" i="3"/>
  <c r="Q1324" i="3"/>
  <c r="N1324" i="3"/>
  <c r="Q1323" i="3"/>
  <c r="N1323" i="3"/>
  <c r="Q1322" i="3"/>
  <c r="N1322" i="3"/>
  <c r="Q1321" i="3"/>
  <c r="N1321" i="3"/>
  <c r="Q1320" i="3"/>
  <c r="N1320" i="3"/>
  <c r="Q1319" i="3"/>
  <c r="N1319" i="3"/>
  <c r="Q1318" i="3"/>
  <c r="N1318" i="3"/>
  <c r="Q1317" i="3"/>
  <c r="N1317" i="3"/>
  <c r="Q1316" i="3"/>
  <c r="N1316" i="3"/>
  <c r="Q1315" i="3"/>
  <c r="N1315" i="3"/>
  <c r="Q1314" i="3"/>
  <c r="N1314" i="3"/>
  <c r="Q1313" i="3"/>
  <c r="N1313" i="3"/>
  <c r="Q1312" i="3"/>
  <c r="N1312" i="3"/>
  <c r="Q1311" i="3"/>
  <c r="N1311" i="3"/>
  <c r="Q1310" i="3"/>
  <c r="N1310" i="3"/>
  <c r="Q1309" i="3"/>
  <c r="N1309" i="3"/>
  <c r="Q1308" i="3"/>
  <c r="N1308" i="3"/>
  <c r="Q1307" i="3"/>
  <c r="N1307" i="3"/>
  <c r="Q1306" i="3"/>
  <c r="N1306" i="3"/>
  <c r="Q1305" i="3"/>
  <c r="N1305" i="3"/>
  <c r="U1304" i="3"/>
  <c r="U1305" i="3" s="1"/>
  <c r="U1306" i="3" s="1"/>
  <c r="U1307" i="3" s="1"/>
  <c r="U1308" i="3" s="1"/>
  <c r="U1309" i="3" s="1"/>
  <c r="U1310" i="3" s="1"/>
  <c r="U1311" i="3" s="1"/>
  <c r="U1312" i="3" s="1"/>
  <c r="U1313" i="3" s="1"/>
  <c r="U1314" i="3" s="1"/>
  <c r="U1315" i="3" s="1"/>
  <c r="U1316" i="3" s="1"/>
  <c r="U1317" i="3" s="1"/>
  <c r="U1318" i="3" s="1"/>
  <c r="U1319" i="3" s="1"/>
  <c r="U1320" i="3" s="1"/>
  <c r="U1321" i="3" s="1"/>
  <c r="U1322" i="3" s="1"/>
  <c r="U1323" i="3" s="1"/>
  <c r="U1324" i="3" s="1"/>
  <c r="U1325" i="3" s="1"/>
  <c r="U1326" i="3" s="1"/>
  <c r="U1327" i="3" s="1"/>
  <c r="U1328" i="3" s="1"/>
  <c r="U1329" i="3" s="1"/>
  <c r="U1330" i="3" s="1"/>
  <c r="U1331" i="3" s="1"/>
  <c r="U1332" i="3" s="1"/>
  <c r="U1333" i="3" s="1"/>
  <c r="U1334" i="3" s="1"/>
  <c r="U1335" i="3" s="1"/>
  <c r="U1336" i="3" s="1"/>
  <c r="U1337" i="3" s="1"/>
  <c r="U1338" i="3" s="1"/>
  <c r="U1339" i="3" s="1"/>
  <c r="U1340" i="3" s="1"/>
  <c r="U1341" i="3" s="1"/>
  <c r="U1342" i="3" s="1"/>
  <c r="U1343" i="3" s="1"/>
  <c r="U1344" i="3" s="1"/>
  <c r="U1345" i="3" s="1"/>
  <c r="U1346" i="3" s="1"/>
  <c r="U1347" i="3" s="1"/>
  <c r="U1348" i="3" s="1"/>
  <c r="U1349" i="3" s="1"/>
  <c r="U1350" i="3" s="1"/>
  <c r="Q1304" i="3"/>
  <c r="N1304" i="3"/>
  <c r="Q1303" i="3"/>
  <c r="N1303" i="3"/>
  <c r="Q1302" i="3"/>
  <c r="N1302" i="3"/>
  <c r="Q1301" i="3"/>
  <c r="N1301" i="3"/>
  <c r="Q1300" i="3"/>
  <c r="N1300" i="3"/>
  <c r="Q1299" i="3"/>
  <c r="N1299" i="3"/>
  <c r="Q1298" i="3"/>
  <c r="N1298" i="3"/>
  <c r="Q1297" i="3"/>
  <c r="N1297" i="3"/>
  <c r="Q1296" i="3"/>
  <c r="N1296" i="3"/>
  <c r="Q1295" i="3"/>
  <c r="N1295" i="3"/>
  <c r="Q1294" i="3"/>
  <c r="N1294" i="3"/>
  <c r="Q1293" i="3"/>
  <c r="N1293" i="3"/>
  <c r="Q1292" i="3"/>
  <c r="N1292" i="3"/>
  <c r="Q1291" i="3"/>
  <c r="N1291" i="3"/>
  <c r="Q1290" i="3"/>
  <c r="N1290" i="3"/>
  <c r="Q1289" i="3"/>
  <c r="N1289" i="3"/>
  <c r="Q1288" i="3"/>
  <c r="N1288" i="3"/>
  <c r="Q1287" i="3"/>
  <c r="N1287" i="3"/>
  <c r="Q1286" i="3"/>
  <c r="N1286" i="3"/>
  <c r="Q1285" i="3"/>
  <c r="N1285" i="3"/>
  <c r="Q1284" i="3"/>
  <c r="N1284" i="3"/>
  <c r="Q1283" i="3"/>
  <c r="N1283" i="3"/>
  <c r="Q1282" i="3"/>
  <c r="N1282" i="3"/>
  <c r="Q1281" i="3"/>
  <c r="N1281" i="3"/>
  <c r="Q1280" i="3"/>
  <c r="N1280" i="3"/>
  <c r="Q1279" i="3"/>
  <c r="N1279" i="3"/>
  <c r="Q1278" i="3"/>
  <c r="N1278" i="3"/>
  <c r="Q1277" i="3"/>
  <c r="N1277" i="3"/>
  <c r="U1276" i="3"/>
  <c r="U1277" i="3" s="1"/>
  <c r="U1278" i="3" s="1"/>
  <c r="U1279" i="3" s="1"/>
  <c r="U1280" i="3" s="1"/>
  <c r="U1281" i="3" s="1"/>
  <c r="U1282" i="3" s="1"/>
  <c r="U1283" i="3" s="1"/>
  <c r="U1284" i="3" s="1"/>
  <c r="U1285" i="3" s="1"/>
  <c r="U1286" i="3" s="1"/>
  <c r="U1287" i="3" s="1"/>
  <c r="U1288" i="3" s="1"/>
  <c r="U1289" i="3" s="1"/>
  <c r="U1290" i="3" s="1"/>
  <c r="U1291" i="3" s="1"/>
  <c r="U1292" i="3" s="1"/>
  <c r="U1293" i="3" s="1"/>
  <c r="U1294" i="3" s="1"/>
  <c r="U1295" i="3" s="1"/>
  <c r="U1296" i="3" s="1"/>
  <c r="U1297" i="3" s="1"/>
  <c r="U1298" i="3" s="1"/>
  <c r="U1299" i="3" s="1"/>
  <c r="U1300" i="3" s="1"/>
  <c r="U1301" i="3" s="1"/>
  <c r="U1302" i="3" s="1"/>
  <c r="Q1276" i="3"/>
  <c r="N1276" i="3"/>
  <c r="Q1275" i="3"/>
  <c r="N1275" i="3"/>
  <c r="Q1274" i="3"/>
  <c r="N1274" i="3"/>
  <c r="Q1273" i="3"/>
  <c r="N1273" i="3"/>
  <c r="Q1272" i="3"/>
  <c r="N1272" i="3"/>
  <c r="Q1271" i="3"/>
  <c r="N1271" i="3"/>
  <c r="Q1270" i="3"/>
  <c r="N1270" i="3"/>
  <c r="Q1269" i="3"/>
  <c r="N1269" i="3"/>
  <c r="Q1268" i="3"/>
  <c r="N1268" i="3"/>
  <c r="Q1267" i="3"/>
  <c r="N1267" i="3"/>
  <c r="Q1266" i="3"/>
  <c r="N1266" i="3"/>
  <c r="Q1265" i="3"/>
  <c r="N1265" i="3"/>
  <c r="Q1264" i="3"/>
  <c r="N1264" i="3"/>
  <c r="Q1263" i="3"/>
  <c r="N1263" i="3"/>
  <c r="Q1262" i="3"/>
  <c r="N1262" i="3"/>
  <c r="Q1261" i="3"/>
  <c r="N1261" i="3"/>
  <c r="Q1260" i="3"/>
  <c r="N1260" i="3"/>
  <c r="Q1259" i="3"/>
  <c r="N1259" i="3"/>
  <c r="Q1258" i="3"/>
  <c r="N1258" i="3"/>
  <c r="Q1257" i="3"/>
  <c r="N1257" i="3"/>
  <c r="Q1256" i="3"/>
  <c r="N1256" i="3"/>
  <c r="Q1255" i="3"/>
  <c r="N1255" i="3"/>
  <c r="Q1254" i="3"/>
  <c r="N1254" i="3"/>
  <c r="Q1253" i="3"/>
  <c r="N1253" i="3"/>
  <c r="Q1252" i="3"/>
  <c r="N1252" i="3"/>
  <c r="Q1251" i="3"/>
  <c r="N1251" i="3"/>
  <c r="Q1250" i="3"/>
  <c r="N1250" i="3"/>
  <c r="Q1249" i="3"/>
  <c r="N1249" i="3"/>
  <c r="Q1248" i="3"/>
  <c r="N1248" i="3"/>
  <c r="Q1247" i="3"/>
  <c r="N1247" i="3"/>
  <c r="Q1246" i="3"/>
  <c r="N1246" i="3"/>
  <c r="Q1245" i="3"/>
  <c r="N1245" i="3"/>
  <c r="Q1244" i="3"/>
  <c r="N1244" i="3"/>
  <c r="Q1243" i="3"/>
  <c r="N1243" i="3"/>
  <c r="Q1242" i="3"/>
  <c r="N1242" i="3"/>
  <c r="Q1241" i="3"/>
  <c r="N1241" i="3"/>
  <c r="Q1240" i="3"/>
  <c r="N1240" i="3"/>
  <c r="Q1239" i="3"/>
  <c r="N1239" i="3"/>
  <c r="Q1238" i="3"/>
  <c r="N1238" i="3"/>
  <c r="Q1237" i="3"/>
  <c r="N1237" i="3"/>
  <c r="Q1236" i="3"/>
  <c r="N1236" i="3"/>
  <c r="Q1235" i="3"/>
  <c r="N1235" i="3"/>
  <c r="Q1234" i="3"/>
  <c r="N1234" i="3"/>
  <c r="Q1233" i="3"/>
  <c r="N1233" i="3"/>
  <c r="Q1232" i="3"/>
  <c r="N1232" i="3"/>
  <c r="Q1231" i="3"/>
  <c r="N1231" i="3"/>
  <c r="Q1230" i="3"/>
  <c r="N1230" i="3"/>
  <c r="Q1229" i="3"/>
  <c r="N1229" i="3"/>
  <c r="Q1228" i="3"/>
  <c r="N1228" i="3"/>
  <c r="Q1227" i="3"/>
  <c r="N1227" i="3"/>
  <c r="Q1226" i="3"/>
  <c r="N1226" i="3"/>
  <c r="Q1225" i="3"/>
  <c r="N1225" i="3"/>
  <c r="Q1224" i="3"/>
  <c r="N1224" i="3"/>
  <c r="Q1223" i="3"/>
  <c r="N1223" i="3"/>
  <c r="Q1222" i="3"/>
  <c r="N1222" i="3"/>
  <c r="U1221" i="3"/>
  <c r="U1222" i="3" s="1"/>
  <c r="U1223" i="3" s="1"/>
  <c r="U1224" i="3" s="1"/>
  <c r="U1225" i="3" s="1"/>
  <c r="U1226" i="3" s="1"/>
  <c r="U1227" i="3" s="1"/>
  <c r="U1228" i="3" s="1"/>
  <c r="U1229" i="3" s="1"/>
  <c r="U1230" i="3" s="1"/>
  <c r="U1231" i="3" s="1"/>
  <c r="U1232" i="3" s="1"/>
  <c r="U1233" i="3" s="1"/>
  <c r="U1234" i="3" s="1"/>
  <c r="U1235" i="3" s="1"/>
  <c r="U1236" i="3" s="1"/>
  <c r="U1237" i="3" s="1"/>
  <c r="U1238" i="3" s="1"/>
  <c r="U1239" i="3" s="1"/>
  <c r="U1240" i="3" s="1"/>
  <c r="U1241" i="3" s="1"/>
  <c r="U1242" i="3" s="1"/>
  <c r="U1243" i="3" s="1"/>
  <c r="U1244" i="3" s="1"/>
  <c r="U1245" i="3" s="1"/>
  <c r="U1246" i="3" s="1"/>
  <c r="U1247" i="3" s="1"/>
  <c r="U1248" i="3" s="1"/>
  <c r="U1249" i="3" s="1"/>
  <c r="U1250" i="3" s="1"/>
  <c r="U1251" i="3" s="1"/>
  <c r="U1252" i="3" s="1"/>
  <c r="U1253" i="3" s="1"/>
  <c r="U1254" i="3" s="1"/>
  <c r="U1255" i="3" s="1"/>
  <c r="U1256" i="3" s="1"/>
  <c r="U1257" i="3" s="1"/>
  <c r="U1258" i="3" s="1"/>
  <c r="U1259" i="3" s="1"/>
  <c r="U1260" i="3" s="1"/>
  <c r="U1261" i="3" s="1"/>
  <c r="U1262" i="3" s="1"/>
  <c r="U1263" i="3" s="1"/>
  <c r="U1264" i="3" s="1"/>
  <c r="U1265" i="3" s="1"/>
  <c r="U1266" i="3" s="1"/>
  <c r="U1267" i="3" s="1"/>
  <c r="U1268" i="3" s="1"/>
  <c r="U1269" i="3" s="1"/>
  <c r="U1270" i="3" s="1"/>
  <c r="U1271" i="3" s="1"/>
  <c r="U1272" i="3" s="1"/>
  <c r="U1273" i="3" s="1"/>
  <c r="U1274" i="3" s="1"/>
  <c r="Q1221" i="3"/>
  <c r="N1221" i="3"/>
  <c r="Q1220" i="3"/>
  <c r="N1220" i="3"/>
  <c r="Q1219" i="3"/>
  <c r="N1219" i="3"/>
  <c r="Q1218" i="3"/>
  <c r="N1218" i="3"/>
  <c r="Q1217" i="3"/>
  <c r="N1217" i="3"/>
  <c r="Q1216" i="3"/>
  <c r="N1216" i="3"/>
  <c r="Q1215" i="3"/>
  <c r="N1215" i="3"/>
  <c r="Q1214" i="3"/>
  <c r="N1214" i="3"/>
  <c r="Q1213" i="3"/>
  <c r="N1213" i="3"/>
  <c r="Q1212" i="3"/>
  <c r="N1212" i="3"/>
  <c r="Q1211" i="3"/>
  <c r="N1211" i="3"/>
  <c r="Q1210" i="3"/>
  <c r="N1210" i="3"/>
  <c r="Q1209" i="3"/>
  <c r="N1209" i="3"/>
  <c r="Q1208" i="3"/>
  <c r="N1208" i="3"/>
  <c r="Q1207" i="3"/>
  <c r="N1207" i="3"/>
  <c r="Q1206" i="3"/>
  <c r="N1206" i="3"/>
  <c r="Q1205" i="3"/>
  <c r="N1205" i="3"/>
  <c r="Q1204" i="3"/>
  <c r="N1204" i="3"/>
  <c r="Q1203" i="3"/>
  <c r="N1203" i="3"/>
  <c r="Q1202" i="3"/>
  <c r="N1202" i="3"/>
  <c r="Q1201" i="3"/>
  <c r="N1201" i="3"/>
  <c r="Q1200" i="3"/>
  <c r="N1200" i="3"/>
  <c r="Q1199" i="3"/>
  <c r="N1199" i="3"/>
  <c r="Q1198" i="3"/>
  <c r="N1198" i="3"/>
  <c r="Q1197" i="3"/>
  <c r="N1197" i="3"/>
  <c r="Q1196" i="3"/>
  <c r="N1196" i="3"/>
  <c r="Q1195" i="3"/>
  <c r="N1195" i="3"/>
  <c r="Q1194" i="3"/>
  <c r="N1194" i="3"/>
  <c r="Q1193" i="3"/>
  <c r="N1193" i="3"/>
  <c r="Q1192" i="3"/>
  <c r="N1192" i="3"/>
  <c r="Q1191" i="3"/>
  <c r="N1191" i="3"/>
  <c r="Q1190" i="3"/>
  <c r="N1190" i="3"/>
  <c r="Q1189" i="3"/>
  <c r="N1189" i="3"/>
  <c r="Q1188" i="3"/>
  <c r="N1188" i="3"/>
  <c r="Q1187" i="3"/>
  <c r="N1187" i="3"/>
  <c r="Q1186" i="3"/>
  <c r="N1186" i="3"/>
  <c r="Q1185" i="3"/>
  <c r="N1185" i="3"/>
  <c r="Q1184" i="3"/>
  <c r="N1184" i="3"/>
  <c r="Q1183" i="3"/>
  <c r="N1183" i="3"/>
  <c r="Q1182" i="3"/>
  <c r="N1182" i="3"/>
  <c r="Q1181" i="3"/>
  <c r="N1181" i="3"/>
  <c r="U1180" i="3"/>
  <c r="U1181" i="3" s="1"/>
  <c r="U1182" i="3" s="1"/>
  <c r="U1183" i="3" s="1"/>
  <c r="U1184" i="3" s="1"/>
  <c r="U1185" i="3" s="1"/>
  <c r="U1186" i="3" s="1"/>
  <c r="U1187" i="3" s="1"/>
  <c r="U1188" i="3" s="1"/>
  <c r="U1189" i="3" s="1"/>
  <c r="U1190" i="3" s="1"/>
  <c r="U1191" i="3" s="1"/>
  <c r="U1192" i="3" s="1"/>
  <c r="U1193" i="3" s="1"/>
  <c r="U1194" i="3" s="1"/>
  <c r="U1195" i="3" s="1"/>
  <c r="U1196" i="3" s="1"/>
  <c r="U1197" i="3" s="1"/>
  <c r="U1198" i="3" s="1"/>
  <c r="U1199" i="3" s="1"/>
  <c r="U1200" i="3" s="1"/>
  <c r="U1201" i="3" s="1"/>
  <c r="U1202" i="3" s="1"/>
  <c r="U1203" i="3" s="1"/>
  <c r="U1204" i="3" s="1"/>
  <c r="U1205" i="3" s="1"/>
  <c r="U1206" i="3" s="1"/>
  <c r="U1207" i="3" s="1"/>
  <c r="U1208" i="3" s="1"/>
  <c r="U1209" i="3" s="1"/>
  <c r="U1210" i="3" s="1"/>
  <c r="U1211" i="3" s="1"/>
  <c r="U1212" i="3" s="1"/>
  <c r="U1213" i="3" s="1"/>
  <c r="U1214" i="3" s="1"/>
  <c r="U1215" i="3" s="1"/>
  <c r="U1216" i="3" s="1"/>
  <c r="U1217" i="3" s="1"/>
  <c r="U1218" i="3" s="1"/>
  <c r="U1219" i="3" s="1"/>
  <c r="Q1180" i="3"/>
  <c r="N1180" i="3"/>
  <c r="Q1179" i="3"/>
  <c r="N1179" i="3"/>
  <c r="Q1178" i="3"/>
  <c r="N1178" i="3"/>
  <c r="Q1177" i="3"/>
  <c r="N1177" i="3"/>
  <c r="Q1176" i="3"/>
  <c r="N1176" i="3"/>
  <c r="Q1175" i="3"/>
  <c r="N1175" i="3"/>
  <c r="Q1174" i="3"/>
  <c r="N1174" i="3"/>
  <c r="Q1173" i="3"/>
  <c r="N1173" i="3"/>
  <c r="Q1172" i="3"/>
  <c r="N1172" i="3"/>
  <c r="Q1171" i="3"/>
  <c r="N1171" i="3"/>
  <c r="Q1170" i="3"/>
  <c r="N1170" i="3"/>
  <c r="Q1169" i="3"/>
  <c r="N1169" i="3"/>
  <c r="Q1168" i="3"/>
  <c r="N1168" i="3"/>
  <c r="Q1167" i="3"/>
  <c r="N1167" i="3"/>
  <c r="Q1166" i="3"/>
  <c r="N1166" i="3"/>
  <c r="Q1165" i="3"/>
  <c r="N1165" i="3"/>
  <c r="Q1164" i="3"/>
  <c r="N1164" i="3"/>
  <c r="Q1163" i="3"/>
  <c r="N1163" i="3"/>
  <c r="Q1162" i="3"/>
  <c r="N1162" i="3"/>
  <c r="Q1161" i="3"/>
  <c r="N1161" i="3"/>
  <c r="Q1160" i="3"/>
  <c r="N1160" i="3"/>
  <c r="Q1159" i="3"/>
  <c r="N1159" i="3"/>
  <c r="Q1158" i="3"/>
  <c r="N1158" i="3"/>
  <c r="Q1157" i="3"/>
  <c r="N1157" i="3"/>
  <c r="Q1156" i="3"/>
  <c r="N1156" i="3"/>
  <c r="Q1155" i="3"/>
  <c r="N1155" i="3"/>
  <c r="Q1154" i="3"/>
  <c r="N1154" i="3"/>
  <c r="Q1153" i="3"/>
  <c r="N1153" i="3"/>
  <c r="Q1152" i="3"/>
  <c r="N1152" i="3"/>
  <c r="Q1151" i="3"/>
  <c r="N1151" i="3"/>
  <c r="Q1150" i="3"/>
  <c r="N1150" i="3"/>
  <c r="Q1149" i="3"/>
  <c r="N1149" i="3"/>
  <c r="Q1148" i="3"/>
  <c r="N1148" i="3"/>
  <c r="Q1147" i="3"/>
  <c r="N1147" i="3"/>
  <c r="Q1146" i="3"/>
  <c r="N1146" i="3"/>
  <c r="Q1145" i="3"/>
  <c r="N1145" i="3"/>
  <c r="Q1144" i="3"/>
  <c r="N1144" i="3"/>
  <c r="Q1143" i="3"/>
  <c r="N1143" i="3"/>
  <c r="Q1142" i="3"/>
  <c r="N1142" i="3"/>
  <c r="Q1141" i="3"/>
  <c r="N1141" i="3"/>
  <c r="Q1140" i="3"/>
  <c r="N1140" i="3"/>
  <c r="Q1139" i="3"/>
  <c r="N1139" i="3"/>
  <c r="Q1138" i="3"/>
  <c r="N1138" i="3"/>
  <c r="Q1137" i="3"/>
  <c r="N1137" i="3"/>
  <c r="Q1136" i="3"/>
  <c r="N1136" i="3"/>
  <c r="Q1135" i="3"/>
  <c r="N1135" i="3"/>
  <c r="Q1134" i="3"/>
  <c r="N1134" i="3"/>
  <c r="Q1133" i="3"/>
  <c r="N1133" i="3"/>
  <c r="Q1132" i="3"/>
  <c r="N1132" i="3"/>
  <c r="Q1131" i="3"/>
  <c r="N1131" i="3"/>
  <c r="Q1130" i="3"/>
  <c r="N1130" i="3"/>
  <c r="Q1129" i="3"/>
  <c r="N1129" i="3"/>
  <c r="Q1128" i="3"/>
  <c r="N1128" i="3"/>
  <c r="Q1127" i="3"/>
  <c r="N1127" i="3"/>
  <c r="Q1126" i="3"/>
  <c r="N1126" i="3"/>
  <c r="Q1125" i="3"/>
  <c r="N1125" i="3"/>
  <c r="Q1124" i="3"/>
  <c r="N1124" i="3"/>
  <c r="Q1123" i="3"/>
  <c r="N1123" i="3"/>
  <c r="Q1122" i="3"/>
  <c r="N1122" i="3"/>
  <c r="Q1121" i="3"/>
  <c r="N1121" i="3"/>
  <c r="Q1120" i="3"/>
  <c r="N1120" i="3"/>
  <c r="Q1119" i="3"/>
  <c r="N1119" i="3"/>
  <c r="Q1118" i="3"/>
  <c r="N1118" i="3"/>
  <c r="Q1117" i="3"/>
  <c r="N1117" i="3"/>
  <c r="Q1116" i="3"/>
  <c r="N1116" i="3"/>
  <c r="Q1115" i="3"/>
  <c r="N1115" i="3"/>
  <c r="Q1114" i="3"/>
  <c r="N1114" i="3"/>
  <c r="Q1113" i="3"/>
  <c r="N1113" i="3"/>
  <c r="Q1112" i="3"/>
  <c r="N1112" i="3"/>
  <c r="Q1111" i="3"/>
  <c r="N1111" i="3"/>
  <c r="Q1110" i="3"/>
  <c r="N1110" i="3"/>
  <c r="Q1109" i="3"/>
  <c r="N1109" i="3"/>
  <c r="Q1108" i="3"/>
  <c r="N1108" i="3"/>
  <c r="Q1107" i="3"/>
  <c r="N1107" i="3"/>
  <c r="Q1106" i="3"/>
  <c r="N1106" i="3"/>
  <c r="U1105" i="3"/>
  <c r="U1106" i="3" s="1"/>
  <c r="U1107" i="3" s="1"/>
  <c r="U1108" i="3" s="1"/>
  <c r="U1109" i="3" s="1"/>
  <c r="U1110" i="3" s="1"/>
  <c r="U1111" i="3" s="1"/>
  <c r="U1112" i="3" s="1"/>
  <c r="U1113" i="3" s="1"/>
  <c r="U1114" i="3" s="1"/>
  <c r="U1115" i="3" s="1"/>
  <c r="U1116" i="3" s="1"/>
  <c r="U1117" i="3" s="1"/>
  <c r="U1118" i="3" s="1"/>
  <c r="U1119" i="3" s="1"/>
  <c r="U1120" i="3" s="1"/>
  <c r="U1121" i="3" s="1"/>
  <c r="U1122" i="3" s="1"/>
  <c r="U1123" i="3" s="1"/>
  <c r="U1124" i="3" s="1"/>
  <c r="U1125" i="3" s="1"/>
  <c r="U1126" i="3" s="1"/>
  <c r="U1127" i="3" s="1"/>
  <c r="U1128" i="3" s="1"/>
  <c r="U1129" i="3" s="1"/>
  <c r="U1130" i="3" s="1"/>
  <c r="U1131" i="3" s="1"/>
  <c r="U1132" i="3" s="1"/>
  <c r="U1133" i="3" s="1"/>
  <c r="U1134" i="3" s="1"/>
  <c r="U1135" i="3" s="1"/>
  <c r="U1136" i="3" s="1"/>
  <c r="U1137" i="3" s="1"/>
  <c r="U1138" i="3" s="1"/>
  <c r="U1139" i="3" s="1"/>
  <c r="U1140" i="3" s="1"/>
  <c r="U1141" i="3" s="1"/>
  <c r="U1142" i="3" s="1"/>
  <c r="U1143" i="3" s="1"/>
  <c r="U1144" i="3" s="1"/>
  <c r="U1145" i="3" s="1"/>
  <c r="U1146" i="3" s="1"/>
  <c r="U1147" i="3" s="1"/>
  <c r="U1148" i="3" s="1"/>
  <c r="U1149" i="3" s="1"/>
  <c r="U1150" i="3" s="1"/>
  <c r="U1151" i="3" s="1"/>
  <c r="U1152" i="3" s="1"/>
  <c r="U1153" i="3" s="1"/>
  <c r="U1154" i="3" s="1"/>
  <c r="U1155" i="3" s="1"/>
  <c r="U1156" i="3" s="1"/>
  <c r="U1157" i="3" s="1"/>
  <c r="U1158" i="3" s="1"/>
  <c r="U1159" i="3" s="1"/>
  <c r="U1160" i="3" s="1"/>
  <c r="U1161" i="3" s="1"/>
  <c r="U1162" i="3" s="1"/>
  <c r="U1163" i="3" s="1"/>
  <c r="U1164" i="3" s="1"/>
  <c r="U1165" i="3" s="1"/>
  <c r="U1166" i="3" s="1"/>
  <c r="U1167" i="3" s="1"/>
  <c r="U1168" i="3" s="1"/>
  <c r="U1169" i="3" s="1"/>
  <c r="U1170" i="3" s="1"/>
  <c r="U1171" i="3" s="1"/>
  <c r="U1172" i="3" s="1"/>
  <c r="U1173" i="3" s="1"/>
  <c r="U1174" i="3" s="1"/>
  <c r="U1175" i="3" s="1"/>
  <c r="U1176" i="3" s="1"/>
  <c r="U1177" i="3" s="1"/>
  <c r="U1178" i="3" s="1"/>
  <c r="Q1105" i="3"/>
  <c r="N1105" i="3"/>
  <c r="Q1104" i="3"/>
  <c r="N1104" i="3"/>
  <c r="Q1103" i="3"/>
  <c r="N1103" i="3"/>
  <c r="Q1102" i="3"/>
  <c r="N1102" i="3"/>
  <c r="Q1101" i="3"/>
  <c r="N1101" i="3"/>
  <c r="Q1100" i="3"/>
  <c r="N1100" i="3"/>
  <c r="Q1099" i="3"/>
  <c r="N1099" i="3"/>
  <c r="Q1098" i="3"/>
  <c r="N1098" i="3"/>
  <c r="Q1097" i="3"/>
  <c r="N1097" i="3"/>
  <c r="Q1096" i="3"/>
  <c r="N1096" i="3"/>
  <c r="Q1095" i="3"/>
  <c r="N1095" i="3"/>
  <c r="Q1094" i="3"/>
  <c r="N1094" i="3"/>
  <c r="Q1093" i="3"/>
  <c r="N1093" i="3"/>
  <c r="Q1092" i="3"/>
  <c r="N1092" i="3"/>
  <c r="Q1091" i="3"/>
  <c r="N1091" i="3"/>
  <c r="Q1090" i="3"/>
  <c r="N1090" i="3"/>
  <c r="Q1089" i="3"/>
  <c r="N1089" i="3"/>
  <c r="Q1088" i="3"/>
  <c r="N1088" i="3"/>
  <c r="Q1087" i="3"/>
  <c r="N1087" i="3"/>
  <c r="Q1086" i="3"/>
  <c r="N1086" i="3"/>
  <c r="Q1085" i="3"/>
  <c r="N1085" i="3"/>
  <c r="Q1084" i="3"/>
  <c r="N1084" i="3"/>
  <c r="Q1083" i="3"/>
  <c r="N1083" i="3"/>
  <c r="Q1082" i="3"/>
  <c r="N1082" i="3"/>
  <c r="Q1081" i="3"/>
  <c r="N1081" i="3"/>
  <c r="Q1080" i="3"/>
  <c r="N1080" i="3"/>
  <c r="Q1079" i="3"/>
  <c r="N1079" i="3"/>
  <c r="Q1078" i="3"/>
  <c r="N1078" i="3"/>
  <c r="Q1077" i="3"/>
  <c r="N1077" i="3"/>
  <c r="Q1076" i="3"/>
  <c r="N1076" i="3"/>
  <c r="Q1075" i="3"/>
  <c r="N1075" i="3"/>
  <c r="Q1074" i="3"/>
  <c r="N1074" i="3"/>
  <c r="Q1073" i="3"/>
  <c r="N1073" i="3"/>
  <c r="Q1072" i="3"/>
  <c r="N1072" i="3"/>
  <c r="Q1071" i="3"/>
  <c r="N1071" i="3"/>
  <c r="Q1070" i="3"/>
  <c r="N1070" i="3"/>
  <c r="Q1069" i="3"/>
  <c r="N1069" i="3"/>
  <c r="Q1068" i="3"/>
  <c r="N1068" i="3"/>
  <c r="Q1067" i="3"/>
  <c r="N1067" i="3"/>
  <c r="Q1066" i="3"/>
  <c r="N1066" i="3"/>
  <c r="Q1065" i="3"/>
  <c r="N1065" i="3"/>
  <c r="Q1064" i="3"/>
  <c r="N1064" i="3"/>
  <c r="Q1063" i="3"/>
  <c r="N1063" i="3"/>
  <c r="Q1062" i="3"/>
  <c r="N1062" i="3"/>
  <c r="Q1061" i="3"/>
  <c r="N1061" i="3"/>
  <c r="Q1060" i="3"/>
  <c r="N1060" i="3"/>
  <c r="Q1059" i="3"/>
  <c r="N1059" i="3"/>
  <c r="Q1058" i="3"/>
  <c r="N1058" i="3"/>
  <c r="Q1057" i="3"/>
  <c r="N1057" i="3"/>
  <c r="Q1056" i="3"/>
  <c r="N1056" i="3"/>
  <c r="Q1055" i="3"/>
  <c r="N1055" i="3"/>
  <c r="Q1054" i="3"/>
  <c r="N1054" i="3"/>
  <c r="Q1053" i="3"/>
  <c r="N1053" i="3"/>
  <c r="Q1052" i="3"/>
  <c r="N1052" i="3"/>
  <c r="Q1051" i="3"/>
  <c r="N1051" i="3"/>
  <c r="Q1050" i="3"/>
  <c r="N1050" i="3"/>
  <c r="Q1049" i="3"/>
  <c r="N1049" i="3"/>
  <c r="Q1048" i="3"/>
  <c r="N1048" i="3"/>
  <c r="Q1047" i="3"/>
  <c r="N1047" i="3"/>
  <c r="Q1046" i="3"/>
  <c r="N1046" i="3"/>
  <c r="Q1045" i="3"/>
  <c r="N1045" i="3"/>
  <c r="U1044" i="3"/>
  <c r="U1045" i="3" s="1"/>
  <c r="U1046" i="3" s="1"/>
  <c r="U1047" i="3" s="1"/>
  <c r="U1048" i="3" s="1"/>
  <c r="U1049" i="3" s="1"/>
  <c r="U1050" i="3" s="1"/>
  <c r="U1051" i="3" s="1"/>
  <c r="U1052" i="3" s="1"/>
  <c r="U1053" i="3" s="1"/>
  <c r="U1054" i="3" s="1"/>
  <c r="U1055" i="3" s="1"/>
  <c r="U1056" i="3" s="1"/>
  <c r="U1057" i="3" s="1"/>
  <c r="U1058" i="3" s="1"/>
  <c r="U1059" i="3" s="1"/>
  <c r="U1060" i="3" s="1"/>
  <c r="U1061" i="3" s="1"/>
  <c r="U1062" i="3" s="1"/>
  <c r="U1063" i="3" s="1"/>
  <c r="U1064" i="3" s="1"/>
  <c r="U1065" i="3" s="1"/>
  <c r="U1066" i="3" s="1"/>
  <c r="U1067" i="3" s="1"/>
  <c r="U1068" i="3" s="1"/>
  <c r="U1069" i="3" s="1"/>
  <c r="U1070" i="3" s="1"/>
  <c r="U1071" i="3" s="1"/>
  <c r="U1072" i="3" s="1"/>
  <c r="U1073" i="3" s="1"/>
  <c r="U1074" i="3" s="1"/>
  <c r="U1075" i="3" s="1"/>
  <c r="U1076" i="3" s="1"/>
  <c r="U1077" i="3" s="1"/>
  <c r="U1078" i="3" s="1"/>
  <c r="U1079" i="3" s="1"/>
  <c r="U1080" i="3" s="1"/>
  <c r="U1081" i="3" s="1"/>
  <c r="U1082" i="3" s="1"/>
  <c r="U1083" i="3" s="1"/>
  <c r="U1084" i="3" s="1"/>
  <c r="U1085" i="3" s="1"/>
  <c r="U1086" i="3" s="1"/>
  <c r="U1087" i="3" s="1"/>
  <c r="U1088" i="3" s="1"/>
  <c r="U1089" i="3" s="1"/>
  <c r="U1090" i="3" s="1"/>
  <c r="U1091" i="3" s="1"/>
  <c r="U1092" i="3" s="1"/>
  <c r="U1093" i="3" s="1"/>
  <c r="U1094" i="3" s="1"/>
  <c r="U1095" i="3" s="1"/>
  <c r="U1096" i="3" s="1"/>
  <c r="U1097" i="3" s="1"/>
  <c r="U1098" i="3" s="1"/>
  <c r="U1099" i="3" s="1"/>
  <c r="U1100" i="3" s="1"/>
  <c r="U1101" i="3" s="1"/>
  <c r="U1102" i="3" s="1"/>
  <c r="U1103" i="3" s="1"/>
  <c r="Q1044" i="3"/>
  <c r="N1044" i="3"/>
  <c r="Q1043" i="3"/>
  <c r="N1043" i="3"/>
  <c r="Q1042" i="3"/>
  <c r="N1042" i="3"/>
  <c r="Q1041" i="3"/>
  <c r="N1041" i="3"/>
  <c r="Q1040" i="3"/>
  <c r="N1040" i="3"/>
  <c r="Q1039" i="3"/>
  <c r="N1039" i="3"/>
  <c r="Q1038" i="3"/>
  <c r="N1038" i="3"/>
  <c r="Q1037" i="3"/>
  <c r="N1037" i="3"/>
  <c r="Q1036" i="3"/>
  <c r="N1036" i="3"/>
  <c r="Q1035" i="3"/>
  <c r="N1035" i="3"/>
  <c r="Q1034" i="3"/>
  <c r="N1034" i="3"/>
  <c r="Q1033" i="3"/>
  <c r="N1033" i="3"/>
  <c r="Q1032" i="3"/>
  <c r="N1032" i="3"/>
  <c r="Q1031" i="3"/>
  <c r="N1031" i="3"/>
  <c r="Q1030" i="3"/>
  <c r="N1030" i="3"/>
  <c r="Q1029" i="3"/>
  <c r="N1029" i="3"/>
  <c r="Q1028" i="3"/>
  <c r="N1028" i="3"/>
  <c r="Q1027" i="3"/>
  <c r="N1027" i="3"/>
  <c r="Q1026" i="3"/>
  <c r="N1026" i="3"/>
  <c r="Q1025" i="3"/>
  <c r="N1025" i="3"/>
  <c r="Q1024" i="3"/>
  <c r="N1024" i="3"/>
  <c r="Q1023" i="3"/>
  <c r="N1023" i="3"/>
  <c r="Q1022" i="3"/>
  <c r="N1022" i="3"/>
  <c r="Q1021" i="3"/>
  <c r="N1021" i="3"/>
  <c r="Q1020" i="3"/>
  <c r="N1020" i="3"/>
  <c r="Q1019" i="3"/>
  <c r="N1019" i="3"/>
  <c r="Q1018" i="3"/>
  <c r="N1018" i="3"/>
  <c r="Q1017" i="3"/>
  <c r="N1017" i="3"/>
  <c r="Q1016" i="3"/>
  <c r="N1016" i="3"/>
  <c r="Q1015" i="3"/>
  <c r="N1015" i="3"/>
  <c r="Q1014" i="3"/>
  <c r="N1014" i="3"/>
  <c r="Q1013" i="3"/>
  <c r="N1013" i="3"/>
  <c r="Q1012" i="3"/>
  <c r="N1012" i="3"/>
  <c r="Q1011" i="3"/>
  <c r="N1011" i="3"/>
  <c r="Q1010" i="3"/>
  <c r="N1010" i="3"/>
  <c r="Q1009" i="3"/>
  <c r="N1009" i="3"/>
  <c r="Q1008" i="3"/>
  <c r="N1008" i="3"/>
  <c r="Q1007" i="3"/>
  <c r="N1007" i="3"/>
  <c r="Q1006" i="3"/>
  <c r="N1006" i="3"/>
  <c r="Q1005" i="3"/>
  <c r="N1005" i="3"/>
  <c r="Q1004" i="3"/>
  <c r="N1004" i="3"/>
  <c r="Q1003" i="3"/>
  <c r="N1003" i="3"/>
  <c r="Q1002" i="3"/>
  <c r="N1002" i="3"/>
  <c r="Q1001" i="3"/>
  <c r="N1001" i="3"/>
  <c r="Q1000" i="3"/>
  <c r="N1000" i="3"/>
  <c r="Q999" i="3"/>
  <c r="N999" i="3"/>
  <c r="Q998" i="3"/>
  <c r="N998" i="3"/>
  <c r="Q997" i="3"/>
  <c r="N997" i="3"/>
  <c r="Q996" i="3"/>
  <c r="N996" i="3"/>
  <c r="Q995" i="3"/>
  <c r="N995" i="3"/>
  <c r="Q994" i="3"/>
  <c r="N994" i="3"/>
  <c r="Q993" i="3"/>
  <c r="N993" i="3"/>
  <c r="Q992" i="3"/>
  <c r="N992" i="3"/>
  <c r="Q991" i="3"/>
  <c r="N991" i="3"/>
  <c r="Q990" i="3"/>
  <c r="N990" i="3"/>
  <c r="Q989" i="3"/>
  <c r="N989" i="3"/>
  <c r="Q988" i="3"/>
  <c r="N988" i="3"/>
  <c r="Q987" i="3"/>
  <c r="N987" i="3"/>
  <c r="U986" i="3"/>
  <c r="U987" i="3" s="1"/>
  <c r="U988" i="3" s="1"/>
  <c r="U989" i="3" s="1"/>
  <c r="U990" i="3" s="1"/>
  <c r="U991" i="3" s="1"/>
  <c r="U992" i="3" s="1"/>
  <c r="U993" i="3" s="1"/>
  <c r="U994" i="3" s="1"/>
  <c r="U995" i="3" s="1"/>
  <c r="U996" i="3" s="1"/>
  <c r="U997" i="3" s="1"/>
  <c r="U998" i="3" s="1"/>
  <c r="U999" i="3" s="1"/>
  <c r="U1000" i="3" s="1"/>
  <c r="U1001" i="3" s="1"/>
  <c r="U1002" i="3" s="1"/>
  <c r="U1003" i="3" s="1"/>
  <c r="U1004" i="3" s="1"/>
  <c r="U1005" i="3" s="1"/>
  <c r="U1006" i="3" s="1"/>
  <c r="U1007" i="3" s="1"/>
  <c r="U1008" i="3" s="1"/>
  <c r="U1009" i="3" s="1"/>
  <c r="U1010" i="3" s="1"/>
  <c r="U1011" i="3" s="1"/>
  <c r="U1012" i="3" s="1"/>
  <c r="U1013" i="3" s="1"/>
  <c r="U1014" i="3" s="1"/>
  <c r="U1015" i="3" s="1"/>
  <c r="U1016" i="3" s="1"/>
  <c r="U1017" i="3" s="1"/>
  <c r="U1018" i="3" s="1"/>
  <c r="U1019" i="3" s="1"/>
  <c r="U1020" i="3" s="1"/>
  <c r="U1021" i="3" s="1"/>
  <c r="U1022" i="3" s="1"/>
  <c r="U1023" i="3" s="1"/>
  <c r="U1024" i="3" s="1"/>
  <c r="U1025" i="3" s="1"/>
  <c r="U1026" i="3" s="1"/>
  <c r="U1027" i="3" s="1"/>
  <c r="U1028" i="3" s="1"/>
  <c r="U1029" i="3" s="1"/>
  <c r="U1030" i="3" s="1"/>
  <c r="U1031" i="3" s="1"/>
  <c r="U1032" i="3" s="1"/>
  <c r="U1033" i="3" s="1"/>
  <c r="U1034" i="3" s="1"/>
  <c r="U1035" i="3" s="1"/>
  <c r="U1036" i="3" s="1"/>
  <c r="U1037" i="3" s="1"/>
  <c r="U1038" i="3" s="1"/>
  <c r="U1039" i="3" s="1"/>
  <c r="U1040" i="3" s="1"/>
  <c r="U1041" i="3" s="1"/>
  <c r="U1042" i="3" s="1"/>
  <c r="Q986" i="3"/>
  <c r="N986" i="3"/>
  <c r="Q985" i="3"/>
  <c r="N985" i="3"/>
  <c r="Q984" i="3"/>
  <c r="N984" i="3"/>
  <c r="Q983" i="3"/>
  <c r="N983" i="3"/>
  <c r="Q982" i="3"/>
  <c r="N982" i="3"/>
  <c r="Q981" i="3"/>
  <c r="N981" i="3"/>
  <c r="Q980" i="3"/>
  <c r="N980" i="3"/>
  <c r="Q979" i="3"/>
  <c r="N979" i="3"/>
  <c r="Q978" i="3"/>
  <c r="N978" i="3"/>
  <c r="Q977" i="3"/>
  <c r="N977" i="3"/>
  <c r="Q976" i="3"/>
  <c r="N976" i="3"/>
  <c r="Q975" i="3"/>
  <c r="N975" i="3"/>
  <c r="Q974" i="3"/>
  <c r="N974" i="3"/>
  <c r="Q973" i="3"/>
  <c r="N973" i="3"/>
  <c r="Q972" i="3"/>
  <c r="N972" i="3"/>
  <c r="Q971" i="3"/>
  <c r="N971" i="3"/>
  <c r="Q970" i="3"/>
  <c r="N970" i="3"/>
  <c r="Q969" i="3"/>
  <c r="N969" i="3"/>
  <c r="Q968" i="3"/>
  <c r="N968" i="3"/>
  <c r="Q967" i="3"/>
  <c r="N967" i="3"/>
  <c r="Q966" i="3"/>
  <c r="N966" i="3"/>
  <c r="Q965" i="3"/>
  <c r="N965" i="3"/>
  <c r="Q964" i="3"/>
  <c r="N964" i="3"/>
  <c r="Q963" i="3"/>
  <c r="N963" i="3"/>
  <c r="Q962" i="3"/>
  <c r="N962" i="3"/>
  <c r="Q961" i="3"/>
  <c r="N961" i="3"/>
  <c r="Q960" i="3"/>
  <c r="N960" i="3"/>
  <c r="Q959" i="3"/>
  <c r="N959" i="3"/>
  <c r="Q958" i="3"/>
  <c r="N958" i="3"/>
  <c r="Q957" i="3"/>
  <c r="N957" i="3"/>
  <c r="Q956" i="3"/>
  <c r="N956" i="3"/>
  <c r="Q955" i="3"/>
  <c r="N955" i="3"/>
  <c r="Q954" i="3"/>
  <c r="N954" i="3"/>
  <c r="Q953" i="3"/>
  <c r="N953" i="3"/>
  <c r="Q952" i="3"/>
  <c r="N952" i="3"/>
  <c r="Q951" i="3"/>
  <c r="N951" i="3"/>
  <c r="Q950" i="3"/>
  <c r="N950" i="3"/>
  <c r="Q949" i="3"/>
  <c r="N949" i="3"/>
  <c r="Q948" i="3"/>
  <c r="N948" i="3"/>
  <c r="Q947" i="3"/>
  <c r="N947" i="3"/>
  <c r="Q946" i="3"/>
  <c r="N946" i="3"/>
  <c r="Q945" i="3"/>
  <c r="N945" i="3"/>
  <c r="Q944" i="3"/>
  <c r="N944" i="3"/>
  <c r="Q943" i="3"/>
  <c r="N943" i="3"/>
  <c r="Q942" i="3"/>
  <c r="N942" i="3"/>
  <c r="Q941" i="3"/>
  <c r="N941" i="3"/>
  <c r="Q940" i="3"/>
  <c r="N940" i="3"/>
  <c r="Q939" i="3"/>
  <c r="N939" i="3"/>
  <c r="Q938" i="3"/>
  <c r="N938" i="3"/>
  <c r="Q937" i="3"/>
  <c r="N937" i="3"/>
  <c r="Q936" i="3"/>
  <c r="N936" i="3"/>
  <c r="Q935" i="3"/>
  <c r="N935" i="3"/>
  <c r="Q934" i="3"/>
  <c r="N934" i="3"/>
  <c r="Q933" i="3"/>
  <c r="N933" i="3"/>
  <c r="Q932" i="3"/>
  <c r="N932" i="3"/>
  <c r="Q931" i="3"/>
  <c r="N931" i="3"/>
  <c r="Q930" i="3"/>
  <c r="N930" i="3"/>
  <c r="Q929" i="3"/>
  <c r="N929" i="3"/>
  <c r="Q928" i="3"/>
  <c r="N928" i="3"/>
  <c r="Q927" i="3"/>
  <c r="N927" i="3"/>
  <c r="Q926" i="3"/>
  <c r="N926" i="3"/>
  <c r="Q925" i="3"/>
  <c r="N925" i="3"/>
  <c r="Q924" i="3"/>
  <c r="N924" i="3"/>
  <c r="U923" i="3"/>
  <c r="U924" i="3" s="1"/>
  <c r="U925" i="3" s="1"/>
  <c r="U926" i="3" s="1"/>
  <c r="U927" i="3" s="1"/>
  <c r="U928" i="3" s="1"/>
  <c r="U929" i="3" s="1"/>
  <c r="U930" i="3" s="1"/>
  <c r="U931" i="3" s="1"/>
  <c r="U932" i="3" s="1"/>
  <c r="U933" i="3" s="1"/>
  <c r="U934" i="3" s="1"/>
  <c r="U935" i="3" s="1"/>
  <c r="U936" i="3" s="1"/>
  <c r="U937" i="3" s="1"/>
  <c r="U938" i="3" s="1"/>
  <c r="U939" i="3" s="1"/>
  <c r="U940" i="3" s="1"/>
  <c r="U941" i="3" s="1"/>
  <c r="U942" i="3" s="1"/>
  <c r="U943" i="3" s="1"/>
  <c r="U944" i="3" s="1"/>
  <c r="U945" i="3" s="1"/>
  <c r="U946" i="3" s="1"/>
  <c r="U947" i="3" s="1"/>
  <c r="U948" i="3" s="1"/>
  <c r="U949" i="3" s="1"/>
  <c r="U950" i="3" s="1"/>
  <c r="U951" i="3" s="1"/>
  <c r="U952" i="3" s="1"/>
  <c r="U953" i="3" s="1"/>
  <c r="U954" i="3" s="1"/>
  <c r="U955" i="3" s="1"/>
  <c r="U956" i="3" s="1"/>
  <c r="U957" i="3" s="1"/>
  <c r="U958" i="3" s="1"/>
  <c r="U959" i="3" s="1"/>
  <c r="U960" i="3" s="1"/>
  <c r="U961" i="3" s="1"/>
  <c r="U962" i="3" s="1"/>
  <c r="U963" i="3" s="1"/>
  <c r="U964" i="3" s="1"/>
  <c r="U965" i="3" s="1"/>
  <c r="U966" i="3" s="1"/>
  <c r="U967" i="3" s="1"/>
  <c r="U968" i="3" s="1"/>
  <c r="U969" i="3" s="1"/>
  <c r="U970" i="3" s="1"/>
  <c r="U971" i="3" s="1"/>
  <c r="U972" i="3" s="1"/>
  <c r="U973" i="3" s="1"/>
  <c r="U974" i="3" s="1"/>
  <c r="U975" i="3" s="1"/>
  <c r="U976" i="3" s="1"/>
  <c r="U977" i="3" s="1"/>
  <c r="U978" i="3" s="1"/>
  <c r="U979" i="3" s="1"/>
  <c r="U980" i="3" s="1"/>
  <c r="U981" i="3" s="1"/>
  <c r="U982" i="3" s="1"/>
  <c r="U983" i="3" s="1"/>
  <c r="U984" i="3" s="1"/>
  <c r="Q923" i="3"/>
  <c r="N923" i="3"/>
  <c r="Q922" i="3"/>
  <c r="N922" i="3"/>
  <c r="Q921" i="3"/>
  <c r="N921" i="3"/>
  <c r="Q920" i="3"/>
  <c r="N920" i="3"/>
  <c r="Q919" i="3"/>
  <c r="N919" i="3"/>
  <c r="Q918" i="3"/>
  <c r="N918" i="3"/>
  <c r="Q917" i="3"/>
  <c r="N917" i="3"/>
  <c r="Q916" i="3"/>
  <c r="N916" i="3"/>
  <c r="Q915" i="3"/>
  <c r="N915" i="3"/>
  <c r="Q914" i="3"/>
  <c r="N914" i="3"/>
  <c r="Q913" i="3"/>
  <c r="N913" i="3"/>
  <c r="Q912" i="3"/>
  <c r="N912" i="3"/>
  <c r="Q911" i="3"/>
  <c r="N911" i="3"/>
  <c r="Q910" i="3"/>
  <c r="N910" i="3"/>
  <c r="Q909" i="3"/>
  <c r="N909" i="3"/>
  <c r="Q908" i="3"/>
  <c r="N908" i="3"/>
  <c r="Q907" i="3"/>
  <c r="N907" i="3"/>
  <c r="Q906" i="3"/>
  <c r="N906" i="3"/>
  <c r="Q905" i="3"/>
  <c r="N905" i="3"/>
  <c r="Q904" i="3"/>
  <c r="N904" i="3"/>
  <c r="Q903" i="3"/>
  <c r="N903" i="3"/>
  <c r="Q902" i="3"/>
  <c r="N902" i="3"/>
  <c r="Q901" i="3"/>
  <c r="N901" i="3"/>
  <c r="Q900" i="3"/>
  <c r="N900" i="3"/>
  <c r="Q899" i="3"/>
  <c r="N899" i="3"/>
  <c r="Q898" i="3"/>
  <c r="N898" i="3"/>
  <c r="Q897" i="3"/>
  <c r="N897" i="3"/>
  <c r="Q896" i="3"/>
  <c r="N896" i="3"/>
  <c r="Q895" i="3"/>
  <c r="N895" i="3"/>
  <c r="Q894" i="3"/>
  <c r="N894" i="3"/>
  <c r="Q893" i="3"/>
  <c r="N893" i="3"/>
  <c r="Q892" i="3"/>
  <c r="N892" i="3"/>
  <c r="Q891" i="3"/>
  <c r="N891" i="3"/>
  <c r="Q890" i="3"/>
  <c r="N890" i="3"/>
  <c r="Q889" i="3"/>
  <c r="N889" i="3"/>
  <c r="Q888" i="3"/>
  <c r="N888" i="3"/>
  <c r="Q887" i="3"/>
  <c r="N887" i="3"/>
  <c r="Q886" i="3"/>
  <c r="N886" i="3"/>
  <c r="Q885" i="3"/>
  <c r="N885" i="3"/>
  <c r="Q884" i="3"/>
  <c r="N884" i="3"/>
  <c r="Q883" i="3"/>
  <c r="N883" i="3"/>
  <c r="Q882" i="3"/>
  <c r="N882" i="3"/>
  <c r="Q881" i="3"/>
  <c r="N881" i="3"/>
  <c r="Q880" i="3"/>
  <c r="N880" i="3"/>
  <c r="Q879" i="3"/>
  <c r="N879" i="3"/>
  <c r="Q878" i="3"/>
  <c r="N878" i="3"/>
  <c r="Q877" i="3"/>
  <c r="N877" i="3"/>
  <c r="Q876" i="3"/>
  <c r="N876" i="3"/>
  <c r="Q875" i="3"/>
  <c r="N875" i="3"/>
  <c r="Q874" i="3"/>
  <c r="N874" i="3"/>
  <c r="Q873" i="3"/>
  <c r="N873" i="3"/>
  <c r="Q872" i="3"/>
  <c r="N872" i="3"/>
  <c r="Q871" i="3"/>
  <c r="N871" i="3"/>
  <c r="Q870" i="3"/>
  <c r="N870" i="3"/>
  <c r="Q869" i="3"/>
  <c r="N869" i="3"/>
  <c r="Q868" i="3"/>
  <c r="N868" i="3"/>
  <c r="Q867" i="3"/>
  <c r="N867" i="3"/>
  <c r="Q866" i="3"/>
  <c r="N866" i="3"/>
  <c r="Q865" i="3"/>
  <c r="N865" i="3"/>
  <c r="Q864" i="3"/>
  <c r="N864" i="3"/>
  <c r="Q863" i="3"/>
  <c r="N863" i="3"/>
  <c r="U862" i="3"/>
  <c r="U863" i="3" s="1"/>
  <c r="U864" i="3" s="1"/>
  <c r="U865" i="3" s="1"/>
  <c r="U866" i="3" s="1"/>
  <c r="U867" i="3" s="1"/>
  <c r="U868" i="3" s="1"/>
  <c r="U869" i="3" s="1"/>
  <c r="U870" i="3" s="1"/>
  <c r="U871" i="3" s="1"/>
  <c r="U872" i="3" s="1"/>
  <c r="U873" i="3" s="1"/>
  <c r="U874" i="3" s="1"/>
  <c r="U875" i="3" s="1"/>
  <c r="U876" i="3" s="1"/>
  <c r="U877" i="3" s="1"/>
  <c r="U878" i="3" s="1"/>
  <c r="U879" i="3" s="1"/>
  <c r="U880" i="3" s="1"/>
  <c r="U881" i="3" s="1"/>
  <c r="U882" i="3" s="1"/>
  <c r="U883" i="3" s="1"/>
  <c r="U884" i="3" s="1"/>
  <c r="U885" i="3" s="1"/>
  <c r="U886" i="3" s="1"/>
  <c r="U887" i="3" s="1"/>
  <c r="U888" i="3" s="1"/>
  <c r="U889" i="3" s="1"/>
  <c r="U890" i="3" s="1"/>
  <c r="U891" i="3" s="1"/>
  <c r="U892" i="3" s="1"/>
  <c r="U893" i="3" s="1"/>
  <c r="U894" i="3" s="1"/>
  <c r="U895" i="3" s="1"/>
  <c r="U896" i="3" s="1"/>
  <c r="U897" i="3" s="1"/>
  <c r="U898" i="3" s="1"/>
  <c r="U899" i="3" s="1"/>
  <c r="U900" i="3" s="1"/>
  <c r="U901" i="3" s="1"/>
  <c r="U902" i="3" s="1"/>
  <c r="U903" i="3" s="1"/>
  <c r="U904" i="3" s="1"/>
  <c r="U905" i="3" s="1"/>
  <c r="U906" i="3" s="1"/>
  <c r="U907" i="3" s="1"/>
  <c r="U908" i="3" s="1"/>
  <c r="U909" i="3" s="1"/>
  <c r="U910" i="3" s="1"/>
  <c r="U911" i="3" s="1"/>
  <c r="U912" i="3" s="1"/>
  <c r="U913" i="3" s="1"/>
  <c r="U914" i="3" s="1"/>
  <c r="U915" i="3" s="1"/>
  <c r="U916" i="3" s="1"/>
  <c r="U917" i="3" s="1"/>
  <c r="U918" i="3" s="1"/>
  <c r="U919" i="3" s="1"/>
  <c r="U920" i="3" s="1"/>
  <c r="U921" i="3" s="1"/>
  <c r="Q862" i="3"/>
  <c r="N862" i="3"/>
  <c r="Q861" i="3"/>
  <c r="N861" i="3"/>
  <c r="Q860" i="3"/>
  <c r="N860" i="3"/>
  <c r="Q859" i="3"/>
  <c r="N859" i="3"/>
  <c r="Q858" i="3"/>
  <c r="N858" i="3"/>
  <c r="Q857" i="3"/>
  <c r="N857" i="3"/>
  <c r="Q856" i="3"/>
  <c r="N856" i="3"/>
  <c r="Q855" i="3"/>
  <c r="N855" i="3"/>
  <c r="Q854" i="3"/>
  <c r="N854" i="3"/>
  <c r="Q853" i="3"/>
  <c r="N853" i="3"/>
  <c r="Q852" i="3"/>
  <c r="N852" i="3"/>
  <c r="Q851" i="3"/>
  <c r="N851" i="3"/>
  <c r="Q850" i="3"/>
  <c r="N850" i="3"/>
  <c r="Q849" i="3"/>
  <c r="N849" i="3"/>
  <c r="Q848" i="3"/>
  <c r="N848" i="3"/>
  <c r="Q847" i="3"/>
  <c r="N847" i="3"/>
  <c r="Q846" i="3"/>
  <c r="N846" i="3"/>
  <c r="Q845" i="3"/>
  <c r="N845" i="3"/>
  <c r="Q844" i="3"/>
  <c r="N844" i="3"/>
  <c r="Q843" i="3"/>
  <c r="N843" i="3"/>
  <c r="Q842" i="3"/>
  <c r="N842" i="3"/>
  <c r="Q841" i="3"/>
  <c r="N841" i="3"/>
  <c r="Q840" i="3"/>
  <c r="N840" i="3"/>
  <c r="Q839" i="3"/>
  <c r="N839" i="3"/>
  <c r="Q838" i="3"/>
  <c r="N838" i="3"/>
  <c r="Q837" i="3"/>
  <c r="N837" i="3"/>
  <c r="Q836" i="3"/>
  <c r="N836" i="3"/>
  <c r="Q835" i="3"/>
  <c r="N835" i="3"/>
  <c r="Q834" i="3"/>
  <c r="N834" i="3"/>
  <c r="Q833" i="3"/>
  <c r="N833" i="3"/>
  <c r="Q832" i="3"/>
  <c r="N832" i="3"/>
  <c r="Q831" i="3"/>
  <c r="N831" i="3"/>
  <c r="Q830" i="3"/>
  <c r="N830" i="3"/>
  <c r="Q829" i="3"/>
  <c r="N829" i="3"/>
  <c r="Q828" i="3"/>
  <c r="N828" i="3"/>
  <c r="Q827" i="3"/>
  <c r="N827" i="3"/>
  <c r="Q826" i="3"/>
  <c r="N826" i="3"/>
  <c r="Q825" i="3"/>
  <c r="N825" i="3"/>
  <c r="Q824" i="3"/>
  <c r="N824" i="3"/>
  <c r="Q823" i="3"/>
  <c r="N823" i="3"/>
  <c r="Q822" i="3"/>
  <c r="N822" i="3"/>
  <c r="Q821" i="3"/>
  <c r="N821" i="3"/>
  <c r="Q820" i="3"/>
  <c r="N820" i="3"/>
  <c r="Q819" i="3"/>
  <c r="N819" i="3"/>
  <c r="Q818" i="3"/>
  <c r="N818" i="3"/>
  <c r="Q817" i="3"/>
  <c r="N817" i="3"/>
  <c r="Q816" i="3"/>
  <c r="N816" i="3"/>
  <c r="Q815" i="3"/>
  <c r="N815" i="3"/>
  <c r="Q814" i="3"/>
  <c r="N814" i="3"/>
  <c r="Q813" i="3"/>
  <c r="N813" i="3"/>
  <c r="Q812" i="3"/>
  <c r="N812" i="3"/>
  <c r="Q811" i="3"/>
  <c r="N811" i="3"/>
  <c r="Q810" i="3"/>
  <c r="N810" i="3"/>
  <c r="Q809" i="3"/>
  <c r="N809" i="3"/>
  <c r="Q808" i="3"/>
  <c r="N808" i="3"/>
  <c r="Q807" i="3"/>
  <c r="N807" i="3"/>
  <c r="Q806" i="3"/>
  <c r="N806" i="3"/>
  <c r="Q805" i="3"/>
  <c r="N805" i="3"/>
  <c r="Q804" i="3"/>
  <c r="N804" i="3"/>
  <c r="Q803" i="3"/>
  <c r="N803" i="3"/>
  <c r="Q802" i="3"/>
  <c r="N802" i="3"/>
  <c r="Q801" i="3"/>
  <c r="N801" i="3"/>
  <c r="Q800" i="3"/>
  <c r="N800" i="3"/>
  <c r="Q799" i="3"/>
  <c r="N799" i="3"/>
  <c r="Q798" i="3"/>
  <c r="N798" i="3"/>
  <c r="Q797" i="3"/>
  <c r="N797" i="3"/>
  <c r="Q796" i="3"/>
  <c r="N796" i="3"/>
  <c r="Q795" i="3"/>
  <c r="N795" i="3"/>
  <c r="Q794" i="3"/>
  <c r="N794" i="3"/>
  <c r="Q793" i="3"/>
  <c r="N793" i="3"/>
  <c r="Q792" i="3"/>
  <c r="N792" i="3"/>
  <c r="Q791" i="3"/>
  <c r="N791" i="3"/>
  <c r="Q790" i="3"/>
  <c r="N790" i="3"/>
  <c r="Q789" i="3"/>
  <c r="N789" i="3"/>
  <c r="Q788" i="3"/>
  <c r="N788" i="3"/>
  <c r="Q787" i="3"/>
  <c r="N787" i="3"/>
  <c r="Q786" i="3"/>
  <c r="N786" i="3"/>
  <c r="Q785" i="3"/>
  <c r="N785" i="3"/>
  <c r="Q784" i="3"/>
  <c r="N784" i="3"/>
  <c r="Q783" i="3"/>
  <c r="N783" i="3"/>
  <c r="Q782" i="3"/>
  <c r="N782" i="3"/>
  <c r="Q781" i="3"/>
  <c r="N781" i="3"/>
  <c r="Q780" i="3"/>
  <c r="N780" i="3"/>
  <c r="Q779" i="3"/>
  <c r="N779" i="3"/>
  <c r="U778" i="3"/>
  <c r="U779" i="3" s="1"/>
  <c r="U780" i="3" s="1"/>
  <c r="U781" i="3" s="1"/>
  <c r="U782" i="3" s="1"/>
  <c r="U783" i="3" s="1"/>
  <c r="U784" i="3" s="1"/>
  <c r="U785" i="3" s="1"/>
  <c r="U786" i="3" s="1"/>
  <c r="U787" i="3" s="1"/>
  <c r="U788" i="3" s="1"/>
  <c r="U789" i="3" s="1"/>
  <c r="U790" i="3" s="1"/>
  <c r="U791" i="3" s="1"/>
  <c r="U792" i="3" s="1"/>
  <c r="U793" i="3" s="1"/>
  <c r="U794" i="3" s="1"/>
  <c r="U795" i="3" s="1"/>
  <c r="U796" i="3" s="1"/>
  <c r="U797" i="3" s="1"/>
  <c r="U798" i="3" s="1"/>
  <c r="U799" i="3" s="1"/>
  <c r="U800" i="3" s="1"/>
  <c r="U801" i="3" s="1"/>
  <c r="U802" i="3" s="1"/>
  <c r="U803" i="3" s="1"/>
  <c r="U804" i="3" s="1"/>
  <c r="U805" i="3" s="1"/>
  <c r="U806" i="3" s="1"/>
  <c r="U807" i="3" s="1"/>
  <c r="U808" i="3" s="1"/>
  <c r="U809" i="3" s="1"/>
  <c r="U810" i="3" s="1"/>
  <c r="U811" i="3" s="1"/>
  <c r="U812" i="3" s="1"/>
  <c r="U813" i="3" s="1"/>
  <c r="U814" i="3" s="1"/>
  <c r="U815" i="3" s="1"/>
  <c r="U816" i="3" s="1"/>
  <c r="U817" i="3" s="1"/>
  <c r="U818" i="3" s="1"/>
  <c r="U819" i="3" s="1"/>
  <c r="U820" i="3" s="1"/>
  <c r="U821" i="3" s="1"/>
  <c r="U822" i="3" s="1"/>
  <c r="U823" i="3" s="1"/>
  <c r="U824" i="3" s="1"/>
  <c r="U825" i="3" s="1"/>
  <c r="U826" i="3" s="1"/>
  <c r="U827" i="3" s="1"/>
  <c r="U828" i="3" s="1"/>
  <c r="U829" i="3" s="1"/>
  <c r="U830" i="3" s="1"/>
  <c r="U831" i="3" s="1"/>
  <c r="U832" i="3" s="1"/>
  <c r="U833" i="3" s="1"/>
  <c r="U834" i="3" s="1"/>
  <c r="U835" i="3" s="1"/>
  <c r="U836" i="3" s="1"/>
  <c r="U837" i="3" s="1"/>
  <c r="U838" i="3" s="1"/>
  <c r="U839" i="3" s="1"/>
  <c r="U840" i="3" s="1"/>
  <c r="U841" i="3" s="1"/>
  <c r="U842" i="3" s="1"/>
  <c r="U843" i="3" s="1"/>
  <c r="U844" i="3" s="1"/>
  <c r="U845" i="3" s="1"/>
  <c r="U846" i="3" s="1"/>
  <c r="U847" i="3" s="1"/>
  <c r="U848" i="3" s="1"/>
  <c r="U849" i="3" s="1"/>
  <c r="U850" i="3" s="1"/>
  <c r="U851" i="3" s="1"/>
  <c r="U852" i="3" s="1"/>
  <c r="U853" i="3" s="1"/>
  <c r="U854" i="3" s="1"/>
  <c r="U855" i="3" s="1"/>
  <c r="U856" i="3" s="1"/>
  <c r="U857" i="3" s="1"/>
  <c r="U858" i="3" s="1"/>
  <c r="U859" i="3" s="1"/>
  <c r="U860" i="3" s="1"/>
  <c r="Q778" i="3"/>
  <c r="N778" i="3"/>
  <c r="A778" i="3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Q777" i="3"/>
  <c r="N777" i="3"/>
  <c r="Q776" i="3"/>
  <c r="N776" i="3"/>
  <c r="Q775" i="3"/>
  <c r="N775" i="3"/>
  <c r="Q774" i="3"/>
  <c r="N774" i="3"/>
  <c r="Q773" i="3"/>
  <c r="N773" i="3"/>
  <c r="Q772" i="3"/>
  <c r="N772" i="3"/>
  <c r="Q771" i="3"/>
  <c r="N771" i="3"/>
  <c r="Q770" i="3"/>
  <c r="N770" i="3"/>
  <c r="Q769" i="3"/>
  <c r="N769" i="3"/>
  <c r="Q768" i="3"/>
  <c r="N768" i="3"/>
  <c r="Q767" i="3"/>
  <c r="N767" i="3"/>
  <c r="Q766" i="3"/>
  <c r="N766" i="3"/>
  <c r="Q765" i="3"/>
  <c r="N765" i="3"/>
  <c r="Q764" i="3"/>
  <c r="N764" i="3"/>
  <c r="Q763" i="3"/>
  <c r="N763" i="3"/>
  <c r="Q762" i="3"/>
  <c r="N762" i="3"/>
  <c r="Q761" i="3"/>
  <c r="N761" i="3"/>
  <c r="Q760" i="3"/>
  <c r="N760" i="3"/>
  <c r="Q759" i="3"/>
  <c r="N759" i="3"/>
  <c r="Q758" i="3"/>
  <c r="N758" i="3"/>
  <c r="Q757" i="3"/>
  <c r="N757" i="3"/>
  <c r="Q756" i="3"/>
  <c r="N756" i="3"/>
  <c r="Q755" i="3"/>
  <c r="N755" i="3"/>
  <c r="Q754" i="3"/>
  <c r="N754" i="3"/>
  <c r="Q753" i="3"/>
  <c r="N753" i="3"/>
  <c r="Q752" i="3"/>
  <c r="N752" i="3"/>
  <c r="Q751" i="3"/>
  <c r="N751" i="3"/>
  <c r="Q750" i="3"/>
  <c r="N750" i="3"/>
  <c r="Q749" i="3"/>
  <c r="N749" i="3"/>
  <c r="Q748" i="3"/>
  <c r="N748" i="3"/>
  <c r="Q747" i="3"/>
  <c r="N747" i="3"/>
  <c r="Q746" i="3"/>
  <c r="N746" i="3"/>
  <c r="Q745" i="3"/>
  <c r="N745" i="3"/>
  <c r="Q744" i="3"/>
  <c r="N744" i="3"/>
  <c r="Q743" i="3"/>
  <c r="N743" i="3"/>
  <c r="Q742" i="3"/>
  <c r="N742" i="3"/>
  <c r="Q741" i="3"/>
  <c r="N741" i="3"/>
  <c r="Q740" i="3"/>
  <c r="N740" i="3"/>
  <c r="Q739" i="3"/>
  <c r="N739" i="3"/>
  <c r="Q738" i="3"/>
  <c r="N738" i="3"/>
  <c r="Q737" i="3"/>
  <c r="N737" i="3"/>
  <c r="Q736" i="3"/>
  <c r="N736" i="3"/>
  <c r="Q735" i="3"/>
  <c r="N735" i="3"/>
  <c r="Q734" i="3"/>
  <c r="N734" i="3"/>
  <c r="Q733" i="3"/>
  <c r="N733" i="3"/>
  <c r="Q732" i="3"/>
  <c r="N732" i="3"/>
  <c r="Q731" i="3"/>
  <c r="N731" i="3"/>
  <c r="Q730" i="3"/>
  <c r="N730" i="3"/>
  <c r="Q729" i="3"/>
  <c r="N729" i="3"/>
  <c r="Q728" i="3"/>
  <c r="N728" i="3"/>
  <c r="Q727" i="3"/>
  <c r="N727" i="3"/>
  <c r="Q726" i="3"/>
  <c r="N726" i="3"/>
  <c r="Q725" i="3"/>
  <c r="N725" i="3"/>
  <c r="Q724" i="3"/>
  <c r="N724" i="3"/>
  <c r="Q723" i="3"/>
  <c r="N723" i="3"/>
  <c r="Q722" i="3"/>
  <c r="N722" i="3"/>
  <c r="Q721" i="3"/>
  <c r="N721" i="3"/>
  <c r="Q720" i="3"/>
  <c r="N720" i="3"/>
  <c r="Q719" i="3"/>
  <c r="N719" i="3"/>
  <c r="Q718" i="3"/>
  <c r="N718" i="3"/>
  <c r="Q717" i="3"/>
  <c r="N717" i="3"/>
  <c r="Q716" i="3"/>
  <c r="N716" i="3"/>
  <c r="Q715" i="3"/>
  <c r="N715" i="3"/>
  <c r="Q714" i="3"/>
  <c r="N714" i="3"/>
  <c r="Q713" i="3"/>
  <c r="N713" i="3"/>
  <c r="Q712" i="3"/>
  <c r="N712" i="3"/>
  <c r="Q711" i="3"/>
  <c r="N711" i="3"/>
  <c r="Q710" i="3"/>
  <c r="N710" i="3"/>
  <c r="Q709" i="3"/>
  <c r="N709" i="3"/>
  <c r="Q708" i="3"/>
  <c r="N708" i="3"/>
  <c r="Q707" i="3"/>
  <c r="N707" i="3"/>
  <c r="Q706" i="3"/>
  <c r="N706" i="3"/>
  <c r="Q705" i="3"/>
  <c r="N705" i="3"/>
  <c r="Q704" i="3"/>
  <c r="N704" i="3"/>
  <c r="Q703" i="3"/>
  <c r="N703" i="3"/>
  <c r="Q702" i="3"/>
  <c r="N702" i="3"/>
  <c r="Q701" i="3"/>
  <c r="N701" i="3"/>
  <c r="Q700" i="3"/>
  <c r="N700" i="3"/>
  <c r="Q699" i="3"/>
  <c r="N699" i="3"/>
  <c r="Q698" i="3"/>
  <c r="N698" i="3"/>
  <c r="Q697" i="3"/>
  <c r="N697" i="3"/>
  <c r="Q696" i="3"/>
  <c r="N696" i="3"/>
  <c r="Q695" i="3"/>
  <c r="N695" i="3"/>
  <c r="U694" i="3"/>
  <c r="U695" i="3" s="1"/>
  <c r="U696" i="3" s="1"/>
  <c r="U697" i="3" s="1"/>
  <c r="U698" i="3" s="1"/>
  <c r="U699" i="3" s="1"/>
  <c r="U700" i="3" s="1"/>
  <c r="U701" i="3" s="1"/>
  <c r="U702" i="3" s="1"/>
  <c r="U703" i="3" s="1"/>
  <c r="U704" i="3" s="1"/>
  <c r="U705" i="3" s="1"/>
  <c r="U706" i="3" s="1"/>
  <c r="U707" i="3" s="1"/>
  <c r="U708" i="3" s="1"/>
  <c r="U709" i="3" s="1"/>
  <c r="U710" i="3" s="1"/>
  <c r="U711" i="3" s="1"/>
  <c r="U712" i="3" s="1"/>
  <c r="U713" i="3" s="1"/>
  <c r="U714" i="3" s="1"/>
  <c r="U715" i="3" s="1"/>
  <c r="U716" i="3" s="1"/>
  <c r="U717" i="3" s="1"/>
  <c r="U718" i="3" s="1"/>
  <c r="U719" i="3" s="1"/>
  <c r="U720" i="3" s="1"/>
  <c r="U721" i="3" s="1"/>
  <c r="U722" i="3" s="1"/>
  <c r="U723" i="3" s="1"/>
  <c r="U724" i="3" s="1"/>
  <c r="U725" i="3" s="1"/>
  <c r="U726" i="3" s="1"/>
  <c r="U727" i="3" s="1"/>
  <c r="U728" i="3" s="1"/>
  <c r="U729" i="3" s="1"/>
  <c r="U730" i="3" s="1"/>
  <c r="U731" i="3" s="1"/>
  <c r="U732" i="3" s="1"/>
  <c r="U733" i="3" s="1"/>
  <c r="U734" i="3" s="1"/>
  <c r="U735" i="3" s="1"/>
  <c r="U736" i="3" s="1"/>
  <c r="U737" i="3" s="1"/>
  <c r="U738" i="3" s="1"/>
  <c r="U739" i="3" s="1"/>
  <c r="U740" i="3" s="1"/>
  <c r="U741" i="3" s="1"/>
  <c r="U742" i="3" s="1"/>
  <c r="U743" i="3" s="1"/>
  <c r="U744" i="3" s="1"/>
  <c r="U745" i="3" s="1"/>
  <c r="U746" i="3" s="1"/>
  <c r="U747" i="3" s="1"/>
  <c r="U748" i="3" s="1"/>
  <c r="U749" i="3" s="1"/>
  <c r="U750" i="3" s="1"/>
  <c r="U751" i="3" s="1"/>
  <c r="U752" i="3" s="1"/>
  <c r="U753" i="3" s="1"/>
  <c r="U754" i="3" s="1"/>
  <c r="U755" i="3" s="1"/>
  <c r="U756" i="3" s="1"/>
  <c r="U757" i="3" s="1"/>
  <c r="U758" i="3" s="1"/>
  <c r="U759" i="3" s="1"/>
  <c r="U760" i="3" s="1"/>
  <c r="U761" i="3" s="1"/>
  <c r="U762" i="3" s="1"/>
  <c r="U763" i="3" s="1"/>
  <c r="U764" i="3" s="1"/>
  <c r="U765" i="3" s="1"/>
  <c r="U766" i="3" s="1"/>
  <c r="U767" i="3" s="1"/>
  <c r="U768" i="3" s="1"/>
  <c r="U769" i="3" s="1"/>
  <c r="U770" i="3" s="1"/>
  <c r="U771" i="3" s="1"/>
  <c r="U772" i="3" s="1"/>
  <c r="U773" i="3" s="1"/>
  <c r="U774" i="3" s="1"/>
  <c r="U775" i="3" s="1"/>
  <c r="U776" i="3" s="1"/>
  <c r="Q694" i="3"/>
  <c r="N694" i="3"/>
  <c r="A694" i="3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Q693" i="3"/>
  <c r="N693" i="3"/>
  <c r="Q692" i="3"/>
  <c r="N692" i="3"/>
  <c r="Q691" i="3"/>
  <c r="N691" i="3"/>
  <c r="Q690" i="3"/>
  <c r="N690" i="3"/>
  <c r="Q689" i="3"/>
  <c r="N689" i="3"/>
  <c r="Q688" i="3"/>
  <c r="N688" i="3"/>
  <c r="Q687" i="3"/>
  <c r="N687" i="3"/>
  <c r="Q686" i="3"/>
  <c r="N686" i="3"/>
  <c r="Q685" i="3"/>
  <c r="N685" i="3"/>
  <c r="Q684" i="3"/>
  <c r="N684" i="3"/>
  <c r="Q683" i="3"/>
  <c r="N683" i="3"/>
  <c r="Q682" i="3"/>
  <c r="N682" i="3"/>
  <c r="Q681" i="3"/>
  <c r="N681" i="3"/>
  <c r="Q680" i="3"/>
  <c r="N680" i="3"/>
  <c r="Q679" i="3"/>
  <c r="N679" i="3"/>
  <c r="Q678" i="3"/>
  <c r="N678" i="3"/>
  <c r="Q677" i="3"/>
  <c r="N677" i="3"/>
  <c r="Q676" i="3"/>
  <c r="N676" i="3"/>
  <c r="Q675" i="3"/>
  <c r="N675" i="3"/>
  <c r="Q674" i="3"/>
  <c r="N674" i="3"/>
  <c r="Q673" i="3"/>
  <c r="N673" i="3"/>
  <c r="Q672" i="3"/>
  <c r="N672" i="3"/>
  <c r="Q671" i="3"/>
  <c r="N671" i="3"/>
  <c r="Q670" i="3"/>
  <c r="N670" i="3"/>
  <c r="Q669" i="3"/>
  <c r="N669" i="3"/>
  <c r="Q668" i="3"/>
  <c r="N668" i="3"/>
  <c r="Q667" i="3"/>
  <c r="N667" i="3"/>
  <c r="Q666" i="3"/>
  <c r="N666" i="3"/>
  <c r="Q665" i="3"/>
  <c r="N665" i="3"/>
  <c r="Q664" i="3"/>
  <c r="N664" i="3"/>
  <c r="Q663" i="3"/>
  <c r="N663" i="3"/>
  <c r="Q662" i="3"/>
  <c r="N662" i="3"/>
  <c r="Q661" i="3"/>
  <c r="N661" i="3"/>
  <c r="Q660" i="3"/>
  <c r="N660" i="3"/>
  <c r="Q659" i="3"/>
  <c r="N659" i="3"/>
  <c r="Q658" i="3"/>
  <c r="N658" i="3"/>
  <c r="Q657" i="3"/>
  <c r="N657" i="3"/>
  <c r="Q656" i="3"/>
  <c r="N656" i="3"/>
  <c r="Q655" i="3"/>
  <c r="N655" i="3"/>
  <c r="Q654" i="3"/>
  <c r="N654" i="3"/>
  <c r="Q653" i="3"/>
  <c r="N653" i="3"/>
  <c r="Q652" i="3"/>
  <c r="N652" i="3"/>
  <c r="Q651" i="3"/>
  <c r="N651" i="3"/>
  <c r="Q650" i="3"/>
  <c r="N650" i="3"/>
  <c r="Q649" i="3"/>
  <c r="N649" i="3"/>
  <c r="Q648" i="3"/>
  <c r="N648" i="3"/>
  <c r="Q647" i="3"/>
  <c r="N647" i="3"/>
  <c r="Q646" i="3"/>
  <c r="N646" i="3"/>
  <c r="Q645" i="3"/>
  <c r="N645" i="3"/>
  <c r="Q644" i="3"/>
  <c r="N644" i="3"/>
  <c r="Q643" i="3"/>
  <c r="N643" i="3"/>
  <c r="Q642" i="3"/>
  <c r="N642" i="3"/>
  <c r="Q641" i="3"/>
  <c r="N641" i="3"/>
  <c r="Q640" i="3"/>
  <c r="N640" i="3"/>
  <c r="Q639" i="3"/>
  <c r="N639" i="3"/>
  <c r="Q638" i="3"/>
  <c r="N638" i="3"/>
  <c r="Q637" i="3"/>
  <c r="N637" i="3"/>
  <c r="Q636" i="3"/>
  <c r="N636" i="3"/>
  <c r="Q635" i="3"/>
  <c r="N635" i="3"/>
  <c r="Q634" i="3"/>
  <c r="N634" i="3"/>
  <c r="Q633" i="3"/>
  <c r="N633" i="3"/>
  <c r="Q632" i="3"/>
  <c r="N632" i="3"/>
  <c r="Q631" i="3"/>
  <c r="N631" i="3"/>
  <c r="Q630" i="3"/>
  <c r="N630" i="3"/>
  <c r="Q629" i="3"/>
  <c r="N629" i="3"/>
  <c r="Q628" i="3"/>
  <c r="N628" i="3"/>
  <c r="Q627" i="3"/>
  <c r="N627" i="3"/>
  <c r="Q626" i="3"/>
  <c r="N626" i="3"/>
  <c r="Q625" i="3"/>
  <c r="N625" i="3"/>
  <c r="Q624" i="3"/>
  <c r="N624" i="3"/>
  <c r="Q623" i="3"/>
  <c r="N623" i="3"/>
  <c r="U691" i="3"/>
  <c r="U690" i="3"/>
  <c r="U689" i="3"/>
  <c r="U686" i="3"/>
  <c r="U683" i="3"/>
  <c r="U682" i="3"/>
  <c r="U681" i="3"/>
  <c r="U678" i="3"/>
  <c r="U675" i="3"/>
  <c r="U674" i="3"/>
  <c r="U673" i="3"/>
  <c r="U670" i="3"/>
  <c r="U667" i="3"/>
  <c r="U666" i="3"/>
  <c r="U665" i="3"/>
  <c r="U662" i="3"/>
  <c r="U659" i="3"/>
  <c r="U658" i="3"/>
  <c r="U657" i="3"/>
  <c r="U654" i="3"/>
  <c r="U651" i="3"/>
  <c r="U650" i="3"/>
  <c r="U649" i="3"/>
  <c r="U648" i="3"/>
  <c r="U646" i="3"/>
  <c r="U643" i="3"/>
  <c r="U642" i="3"/>
  <c r="U641" i="3"/>
  <c r="U640" i="3"/>
  <c r="U638" i="3"/>
  <c r="U635" i="3"/>
  <c r="U634" i="3"/>
  <c r="U633" i="3"/>
  <c r="U632" i="3"/>
  <c r="U630" i="3"/>
  <c r="U627" i="3"/>
  <c r="U626" i="3"/>
  <c r="U625" i="3"/>
  <c r="U624" i="3"/>
  <c r="U622" i="3"/>
  <c r="U622" i="3" a="1"/>
  <c r="U688" i="3" s="1"/>
  <c r="Q622" i="3"/>
  <c r="N622" i="3"/>
  <c r="A622" i="3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Q621" i="3"/>
  <c r="N621" i="3"/>
  <c r="Q620" i="3"/>
  <c r="N620" i="3"/>
  <c r="Q619" i="3"/>
  <c r="N619" i="3"/>
  <c r="Q618" i="3"/>
  <c r="N618" i="3"/>
  <c r="Q617" i="3"/>
  <c r="N617" i="3"/>
  <c r="Q616" i="3"/>
  <c r="N616" i="3"/>
  <c r="Q615" i="3"/>
  <c r="N615" i="3"/>
  <c r="Q614" i="3"/>
  <c r="N614" i="3"/>
  <c r="Q613" i="3"/>
  <c r="N613" i="3"/>
  <c r="Q612" i="3"/>
  <c r="N612" i="3"/>
  <c r="Q611" i="3"/>
  <c r="N611" i="3"/>
  <c r="Q610" i="3"/>
  <c r="N610" i="3"/>
  <c r="Q609" i="3"/>
  <c r="N609" i="3"/>
  <c r="Q608" i="3"/>
  <c r="N608" i="3"/>
  <c r="Q607" i="3"/>
  <c r="N607" i="3"/>
  <c r="Q606" i="3"/>
  <c r="N606" i="3"/>
  <c r="Q605" i="3"/>
  <c r="N605" i="3"/>
  <c r="Q604" i="3"/>
  <c r="N604" i="3"/>
  <c r="Q603" i="3"/>
  <c r="N603" i="3"/>
  <c r="Q602" i="3"/>
  <c r="N602" i="3"/>
  <c r="Q601" i="3"/>
  <c r="N601" i="3"/>
  <c r="Q600" i="3"/>
  <c r="N600" i="3"/>
  <c r="Q599" i="3"/>
  <c r="N599" i="3"/>
  <c r="Q598" i="3"/>
  <c r="N598" i="3"/>
  <c r="Q597" i="3"/>
  <c r="N597" i="3"/>
  <c r="Q596" i="3"/>
  <c r="N596" i="3"/>
  <c r="Q595" i="3"/>
  <c r="N595" i="3"/>
  <c r="Q594" i="3"/>
  <c r="N594" i="3"/>
  <c r="Q593" i="3"/>
  <c r="N593" i="3"/>
  <c r="Q592" i="3"/>
  <c r="N592" i="3"/>
  <c r="Q591" i="3"/>
  <c r="N591" i="3"/>
  <c r="Q590" i="3"/>
  <c r="N590" i="3"/>
  <c r="Q589" i="3"/>
  <c r="N589" i="3"/>
  <c r="Q588" i="3"/>
  <c r="N588" i="3"/>
  <c r="Q587" i="3"/>
  <c r="N587" i="3"/>
  <c r="Q586" i="3"/>
  <c r="N586" i="3"/>
  <c r="Q585" i="3"/>
  <c r="N585" i="3"/>
  <c r="Q584" i="3"/>
  <c r="N584" i="3"/>
  <c r="Q583" i="3"/>
  <c r="N583" i="3"/>
  <c r="Q582" i="3"/>
  <c r="N582" i="3"/>
  <c r="Q581" i="3"/>
  <c r="N581" i="3"/>
  <c r="Q580" i="3"/>
  <c r="N580" i="3"/>
  <c r="Q579" i="3"/>
  <c r="N579" i="3"/>
  <c r="Q578" i="3"/>
  <c r="N578" i="3"/>
  <c r="Q577" i="3"/>
  <c r="N577" i="3"/>
  <c r="Q576" i="3"/>
  <c r="N576" i="3"/>
  <c r="Q575" i="3"/>
  <c r="N575" i="3"/>
  <c r="Q574" i="3"/>
  <c r="N574" i="3"/>
  <c r="Q573" i="3"/>
  <c r="N573" i="3"/>
  <c r="Q572" i="3"/>
  <c r="N572" i="3"/>
  <c r="Q571" i="3"/>
  <c r="N571" i="3"/>
  <c r="Q570" i="3"/>
  <c r="N570" i="3"/>
  <c r="Q569" i="3"/>
  <c r="N569" i="3"/>
  <c r="Q568" i="3"/>
  <c r="N568" i="3"/>
  <c r="Q567" i="3"/>
  <c r="N567" i="3"/>
  <c r="Q566" i="3"/>
  <c r="N566" i="3"/>
  <c r="Q565" i="3"/>
  <c r="N565" i="3"/>
  <c r="Q564" i="3"/>
  <c r="N564" i="3"/>
  <c r="Q563" i="3"/>
  <c r="N563" i="3"/>
  <c r="Q562" i="3"/>
  <c r="N562" i="3"/>
  <c r="Q561" i="3"/>
  <c r="N561" i="3"/>
  <c r="Q560" i="3"/>
  <c r="N560" i="3"/>
  <c r="Q559" i="3"/>
  <c r="N559" i="3"/>
  <c r="Q558" i="3"/>
  <c r="N558" i="3"/>
  <c r="Q557" i="3"/>
  <c r="N557" i="3"/>
  <c r="Q556" i="3"/>
  <c r="N556" i="3"/>
  <c r="Q555" i="3"/>
  <c r="N555" i="3"/>
  <c r="Q554" i="3"/>
  <c r="N554" i="3"/>
  <c r="Q553" i="3"/>
  <c r="N553" i="3"/>
  <c r="Q552" i="3"/>
  <c r="N552" i="3"/>
  <c r="Q551" i="3"/>
  <c r="N551" i="3"/>
  <c r="Q550" i="3"/>
  <c r="N550" i="3"/>
  <c r="Q549" i="3"/>
  <c r="N549" i="3"/>
  <c r="Q548" i="3"/>
  <c r="N548" i="3"/>
  <c r="Q547" i="3"/>
  <c r="N547" i="3"/>
  <c r="Q546" i="3"/>
  <c r="N546" i="3"/>
  <c r="Q545" i="3"/>
  <c r="N545" i="3"/>
  <c r="Q544" i="3"/>
  <c r="N544" i="3"/>
  <c r="Q543" i="3"/>
  <c r="N543" i="3"/>
  <c r="Q542" i="3"/>
  <c r="N542" i="3"/>
  <c r="Q541" i="3"/>
  <c r="N541" i="3"/>
  <c r="Q540" i="3"/>
  <c r="N540" i="3"/>
  <c r="Q539" i="3"/>
  <c r="N539" i="3"/>
  <c r="Q538" i="3"/>
  <c r="N538" i="3"/>
  <c r="Q537" i="3"/>
  <c r="N537" i="3"/>
  <c r="Q536" i="3"/>
  <c r="N536" i="3"/>
  <c r="A536" i="3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Q535" i="3"/>
  <c r="N535" i="3"/>
  <c r="Q534" i="3"/>
  <c r="N534" i="3"/>
  <c r="Q533" i="3"/>
  <c r="N533" i="3"/>
  <c r="Q532" i="3"/>
  <c r="N532" i="3"/>
  <c r="Q531" i="3"/>
  <c r="N531" i="3"/>
  <c r="Q530" i="3"/>
  <c r="N530" i="3"/>
  <c r="Q529" i="3"/>
  <c r="N529" i="3"/>
  <c r="Q528" i="3"/>
  <c r="N528" i="3"/>
  <c r="Q527" i="3"/>
  <c r="N527" i="3"/>
  <c r="Q526" i="3"/>
  <c r="N526" i="3"/>
  <c r="Q525" i="3"/>
  <c r="N525" i="3"/>
  <c r="Q524" i="3"/>
  <c r="N524" i="3"/>
  <c r="Q523" i="3"/>
  <c r="N523" i="3"/>
  <c r="Q522" i="3"/>
  <c r="N522" i="3"/>
  <c r="Q521" i="3"/>
  <c r="N521" i="3"/>
  <c r="Q520" i="3"/>
  <c r="N520" i="3"/>
  <c r="Q519" i="3"/>
  <c r="N519" i="3"/>
  <c r="Q518" i="3"/>
  <c r="N518" i="3"/>
  <c r="Q517" i="3"/>
  <c r="N517" i="3"/>
  <c r="Q516" i="3"/>
  <c r="N516" i="3"/>
  <c r="Q515" i="3"/>
  <c r="N515" i="3"/>
  <c r="Q514" i="3"/>
  <c r="N514" i="3"/>
  <c r="Q513" i="3"/>
  <c r="N513" i="3"/>
  <c r="Q512" i="3"/>
  <c r="N512" i="3"/>
  <c r="Q511" i="3"/>
  <c r="N511" i="3"/>
  <c r="Q510" i="3"/>
  <c r="N510" i="3"/>
  <c r="Q509" i="3"/>
  <c r="N509" i="3"/>
  <c r="Q508" i="3"/>
  <c r="N508" i="3"/>
  <c r="Q507" i="3"/>
  <c r="N507" i="3"/>
  <c r="Q506" i="3"/>
  <c r="N506" i="3"/>
  <c r="Q505" i="3"/>
  <c r="N505" i="3"/>
  <c r="Q504" i="3"/>
  <c r="N504" i="3"/>
  <c r="Q503" i="3"/>
  <c r="N503" i="3"/>
  <c r="Q502" i="3"/>
  <c r="N502" i="3"/>
  <c r="Q501" i="3"/>
  <c r="N501" i="3"/>
  <c r="Q500" i="3"/>
  <c r="N500" i="3"/>
  <c r="Q499" i="3"/>
  <c r="N499" i="3"/>
  <c r="Q498" i="3"/>
  <c r="N498" i="3"/>
  <c r="Q497" i="3"/>
  <c r="N497" i="3"/>
  <c r="Q496" i="3"/>
  <c r="N496" i="3"/>
  <c r="Q495" i="3"/>
  <c r="N495" i="3"/>
  <c r="Q494" i="3"/>
  <c r="N494" i="3"/>
  <c r="Q493" i="3"/>
  <c r="N493" i="3"/>
  <c r="Q492" i="3"/>
  <c r="N492" i="3"/>
  <c r="Q491" i="3"/>
  <c r="N491" i="3"/>
  <c r="Q490" i="3"/>
  <c r="N490" i="3"/>
  <c r="Q489" i="3"/>
  <c r="N489" i="3"/>
  <c r="Q488" i="3"/>
  <c r="N488" i="3"/>
  <c r="Q487" i="3"/>
  <c r="N487" i="3"/>
  <c r="Q486" i="3"/>
  <c r="N486" i="3"/>
  <c r="Q485" i="3"/>
  <c r="N485" i="3"/>
  <c r="Q484" i="3"/>
  <c r="N484" i="3"/>
  <c r="Q483" i="3"/>
  <c r="N483" i="3"/>
  <c r="Q482" i="3"/>
  <c r="N482" i="3"/>
  <c r="Q481" i="3"/>
  <c r="N481" i="3"/>
  <c r="Q480" i="3"/>
  <c r="N480" i="3"/>
  <c r="Q479" i="3"/>
  <c r="N479" i="3"/>
  <c r="A479" i="3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Q478" i="3"/>
  <c r="N478" i="3"/>
  <c r="Q477" i="3"/>
  <c r="N477" i="3"/>
  <c r="Q476" i="3"/>
  <c r="N476" i="3"/>
  <c r="Q475" i="3"/>
  <c r="N475" i="3"/>
  <c r="Q474" i="3"/>
  <c r="N474" i="3"/>
  <c r="Q473" i="3"/>
  <c r="N473" i="3"/>
  <c r="Q472" i="3"/>
  <c r="N472" i="3"/>
  <c r="Q471" i="3"/>
  <c r="N471" i="3"/>
  <c r="Q470" i="3"/>
  <c r="N470" i="3"/>
  <c r="Q469" i="3"/>
  <c r="N469" i="3"/>
  <c r="Q468" i="3"/>
  <c r="N468" i="3"/>
  <c r="Q467" i="3"/>
  <c r="N467" i="3"/>
  <c r="Q466" i="3"/>
  <c r="N466" i="3"/>
  <c r="Q465" i="3"/>
  <c r="N465" i="3"/>
  <c r="Q464" i="3"/>
  <c r="N464" i="3"/>
  <c r="Q463" i="3"/>
  <c r="N463" i="3"/>
  <c r="Q462" i="3"/>
  <c r="N462" i="3"/>
  <c r="Q461" i="3"/>
  <c r="N461" i="3"/>
  <c r="Q460" i="3"/>
  <c r="N460" i="3"/>
  <c r="Q459" i="3"/>
  <c r="N459" i="3"/>
  <c r="Q458" i="3"/>
  <c r="N458" i="3"/>
  <c r="Q457" i="3"/>
  <c r="N457" i="3"/>
  <c r="Q456" i="3"/>
  <c r="N456" i="3"/>
  <c r="Q455" i="3"/>
  <c r="N455" i="3"/>
  <c r="Q454" i="3"/>
  <c r="N454" i="3"/>
  <c r="Q453" i="3"/>
  <c r="N453" i="3"/>
  <c r="Q452" i="3"/>
  <c r="N452" i="3"/>
  <c r="Q451" i="3"/>
  <c r="N451" i="3"/>
  <c r="Q450" i="3"/>
  <c r="N450" i="3"/>
  <c r="Q449" i="3"/>
  <c r="N449" i="3"/>
  <c r="Q448" i="3"/>
  <c r="N448" i="3"/>
  <c r="Q447" i="3"/>
  <c r="N447" i="3"/>
  <c r="Q446" i="3"/>
  <c r="N446" i="3"/>
  <c r="Q445" i="3"/>
  <c r="N445" i="3"/>
  <c r="Q444" i="3"/>
  <c r="N444" i="3"/>
  <c r="Q443" i="3"/>
  <c r="N443" i="3"/>
  <c r="Q442" i="3"/>
  <c r="N442" i="3"/>
  <c r="Q441" i="3"/>
  <c r="N441" i="3"/>
  <c r="Q440" i="3"/>
  <c r="N440" i="3"/>
  <c r="Q439" i="3"/>
  <c r="N439" i="3"/>
  <c r="Q438" i="3"/>
  <c r="N438" i="3"/>
  <c r="Q437" i="3"/>
  <c r="N437" i="3"/>
  <c r="Q436" i="3"/>
  <c r="N436" i="3"/>
  <c r="Q435" i="3"/>
  <c r="N435" i="3"/>
  <c r="Q434" i="3"/>
  <c r="N434" i="3"/>
  <c r="Q433" i="3"/>
  <c r="N433" i="3"/>
  <c r="Q432" i="3"/>
  <c r="N432" i="3"/>
  <c r="Q431" i="3"/>
  <c r="N431" i="3"/>
  <c r="Q430" i="3"/>
  <c r="N430" i="3"/>
  <c r="Q429" i="3"/>
  <c r="N429" i="3"/>
  <c r="Q428" i="3"/>
  <c r="N428" i="3"/>
  <c r="Q427" i="3"/>
  <c r="N427" i="3"/>
  <c r="Q426" i="3"/>
  <c r="N426" i="3"/>
  <c r="Q425" i="3"/>
  <c r="N425" i="3"/>
  <c r="Q424" i="3"/>
  <c r="N424" i="3"/>
  <c r="Q423" i="3"/>
  <c r="N423" i="3"/>
  <c r="Q422" i="3"/>
  <c r="N422" i="3"/>
  <c r="Q421" i="3"/>
  <c r="N421" i="3"/>
  <c r="Q420" i="3"/>
  <c r="N420" i="3"/>
  <c r="Q419" i="3"/>
  <c r="N419" i="3"/>
  <c r="Q418" i="3"/>
  <c r="N418" i="3"/>
  <c r="Q417" i="3"/>
  <c r="N417" i="3"/>
  <c r="Q416" i="3"/>
  <c r="N416" i="3"/>
  <c r="Q415" i="3"/>
  <c r="N415" i="3"/>
  <c r="Q414" i="3"/>
  <c r="N414" i="3"/>
  <c r="Q413" i="3"/>
  <c r="N413" i="3"/>
  <c r="Q412" i="3"/>
  <c r="N412" i="3"/>
  <c r="Q411" i="3"/>
  <c r="N411" i="3"/>
  <c r="Q410" i="3"/>
  <c r="N410" i="3"/>
  <c r="Q409" i="3"/>
  <c r="N409" i="3"/>
  <c r="Q408" i="3"/>
  <c r="N408" i="3"/>
  <c r="Q407" i="3"/>
  <c r="N407" i="3"/>
  <c r="Q406" i="3"/>
  <c r="N406" i="3"/>
  <c r="Q405" i="3"/>
  <c r="N405" i="3"/>
  <c r="Q404" i="3"/>
  <c r="N404" i="3"/>
  <c r="Q403" i="3"/>
  <c r="N403" i="3"/>
  <c r="Q402" i="3"/>
  <c r="N402" i="3"/>
  <c r="Q401" i="3"/>
  <c r="N401" i="3"/>
  <c r="Q400" i="3"/>
  <c r="N400" i="3"/>
  <c r="Q399" i="3"/>
  <c r="N399" i="3"/>
  <c r="Q398" i="3"/>
  <c r="N398" i="3"/>
  <c r="Q397" i="3"/>
  <c r="N397" i="3"/>
  <c r="Q396" i="3"/>
  <c r="N396" i="3"/>
  <c r="A396" i="3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Q395" i="3"/>
  <c r="N395" i="3"/>
  <c r="Q394" i="3"/>
  <c r="N394" i="3"/>
  <c r="Q393" i="3"/>
  <c r="N393" i="3"/>
  <c r="Q392" i="3"/>
  <c r="N392" i="3"/>
  <c r="Q391" i="3"/>
  <c r="N391" i="3"/>
  <c r="Q390" i="3"/>
  <c r="N390" i="3"/>
  <c r="Q389" i="3"/>
  <c r="N389" i="3"/>
  <c r="Q388" i="3"/>
  <c r="N388" i="3"/>
  <c r="Q387" i="3"/>
  <c r="N387" i="3"/>
  <c r="Q386" i="3"/>
  <c r="N386" i="3"/>
  <c r="Q385" i="3"/>
  <c r="N385" i="3"/>
  <c r="Q384" i="3"/>
  <c r="N384" i="3"/>
  <c r="Q383" i="3"/>
  <c r="N383" i="3"/>
  <c r="Q382" i="3"/>
  <c r="N382" i="3"/>
  <c r="Q381" i="3"/>
  <c r="N381" i="3"/>
  <c r="Q380" i="3"/>
  <c r="N380" i="3"/>
  <c r="Q379" i="3"/>
  <c r="N379" i="3"/>
  <c r="Q378" i="3"/>
  <c r="N378" i="3"/>
  <c r="Q377" i="3"/>
  <c r="N377" i="3"/>
  <c r="Q376" i="3"/>
  <c r="N376" i="3"/>
  <c r="Q375" i="3"/>
  <c r="N375" i="3"/>
  <c r="Q374" i="3"/>
  <c r="N374" i="3"/>
  <c r="Q373" i="3"/>
  <c r="N373" i="3"/>
  <c r="Q372" i="3"/>
  <c r="N372" i="3"/>
  <c r="Q371" i="3"/>
  <c r="N371" i="3"/>
  <c r="Q370" i="3"/>
  <c r="N370" i="3"/>
  <c r="Q369" i="3"/>
  <c r="N369" i="3"/>
  <c r="Q368" i="3"/>
  <c r="N368" i="3"/>
  <c r="Q367" i="3"/>
  <c r="N367" i="3"/>
  <c r="Q366" i="3"/>
  <c r="N366" i="3"/>
  <c r="Q365" i="3"/>
  <c r="N365" i="3"/>
  <c r="Q364" i="3"/>
  <c r="N364" i="3"/>
  <c r="Q363" i="3"/>
  <c r="N363" i="3"/>
  <c r="Q362" i="3"/>
  <c r="N362" i="3"/>
  <c r="Q361" i="3"/>
  <c r="N361" i="3"/>
  <c r="Q360" i="3"/>
  <c r="N360" i="3"/>
  <c r="Q359" i="3"/>
  <c r="N359" i="3"/>
  <c r="Q358" i="3"/>
  <c r="N358" i="3"/>
  <c r="Q357" i="3"/>
  <c r="N357" i="3"/>
  <c r="Q356" i="3"/>
  <c r="N356" i="3"/>
  <c r="Q355" i="3"/>
  <c r="N355" i="3"/>
  <c r="Q354" i="3"/>
  <c r="N354" i="3"/>
  <c r="Q353" i="3"/>
  <c r="N353" i="3"/>
  <c r="Q352" i="3"/>
  <c r="N352" i="3"/>
  <c r="Q351" i="3"/>
  <c r="N351" i="3"/>
  <c r="Q350" i="3"/>
  <c r="N350" i="3"/>
  <c r="Q349" i="3"/>
  <c r="N349" i="3"/>
  <c r="Q348" i="3"/>
  <c r="N348" i="3"/>
  <c r="Q347" i="3"/>
  <c r="N347" i="3"/>
  <c r="A347" i="3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Q346" i="3"/>
  <c r="N346" i="3"/>
  <c r="Q345" i="3"/>
  <c r="N345" i="3"/>
  <c r="Q344" i="3"/>
  <c r="N344" i="3"/>
  <c r="Q343" i="3"/>
  <c r="N343" i="3"/>
  <c r="Q342" i="3"/>
  <c r="N342" i="3"/>
  <c r="Q341" i="3"/>
  <c r="N341" i="3"/>
  <c r="Q340" i="3"/>
  <c r="N340" i="3"/>
  <c r="Q339" i="3"/>
  <c r="N339" i="3"/>
  <c r="Q338" i="3"/>
  <c r="N338" i="3"/>
  <c r="Q337" i="3"/>
  <c r="N337" i="3"/>
  <c r="Q336" i="3"/>
  <c r="N336" i="3"/>
  <c r="Q335" i="3"/>
  <c r="N335" i="3"/>
  <c r="Q334" i="3"/>
  <c r="N334" i="3"/>
  <c r="Q333" i="3"/>
  <c r="N333" i="3"/>
  <c r="Q332" i="3"/>
  <c r="N332" i="3"/>
  <c r="Q331" i="3"/>
  <c r="N331" i="3"/>
  <c r="Q330" i="3"/>
  <c r="N330" i="3"/>
  <c r="Q329" i="3"/>
  <c r="N329" i="3"/>
  <c r="Q328" i="3"/>
  <c r="N328" i="3"/>
  <c r="Q327" i="3"/>
  <c r="N327" i="3"/>
  <c r="Q326" i="3"/>
  <c r="N326" i="3"/>
  <c r="Q325" i="3"/>
  <c r="N325" i="3"/>
  <c r="Q324" i="3"/>
  <c r="N324" i="3"/>
  <c r="Q323" i="3"/>
  <c r="N323" i="3"/>
  <c r="Q322" i="3"/>
  <c r="N322" i="3"/>
  <c r="Q321" i="3"/>
  <c r="N321" i="3"/>
  <c r="Q320" i="3"/>
  <c r="N320" i="3"/>
  <c r="Q319" i="3"/>
  <c r="N319" i="3"/>
  <c r="Q318" i="3"/>
  <c r="N318" i="3"/>
  <c r="Q317" i="3"/>
  <c r="N317" i="3"/>
  <c r="Q316" i="3"/>
  <c r="N316" i="3"/>
  <c r="Q315" i="3"/>
  <c r="N315" i="3"/>
  <c r="Q314" i="3"/>
  <c r="N314" i="3"/>
  <c r="Q313" i="3"/>
  <c r="N313" i="3"/>
  <c r="Q312" i="3"/>
  <c r="N312" i="3"/>
  <c r="Q311" i="3"/>
  <c r="N311" i="3"/>
  <c r="Q310" i="3"/>
  <c r="N310" i="3"/>
  <c r="Q309" i="3"/>
  <c r="N309" i="3"/>
  <c r="Q308" i="3"/>
  <c r="N308" i="3"/>
  <c r="Q307" i="3"/>
  <c r="N307" i="3"/>
  <c r="Q306" i="3"/>
  <c r="N306" i="3"/>
  <c r="Q305" i="3"/>
  <c r="N305" i="3"/>
  <c r="Q304" i="3"/>
  <c r="N304" i="3"/>
  <c r="Q303" i="3"/>
  <c r="N303" i="3"/>
  <c r="Q302" i="3"/>
  <c r="N302" i="3"/>
  <c r="Q301" i="3"/>
  <c r="N301" i="3"/>
  <c r="Q300" i="3"/>
  <c r="N300" i="3"/>
  <c r="Q299" i="3"/>
  <c r="N299" i="3"/>
  <c r="Q298" i="3"/>
  <c r="N298" i="3"/>
  <c r="Q297" i="3"/>
  <c r="N297" i="3"/>
  <c r="Q296" i="3"/>
  <c r="N296" i="3"/>
  <c r="Q295" i="3"/>
  <c r="N295" i="3"/>
  <c r="Q294" i="3"/>
  <c r="N294" i="3"/>
  <c r="Q293" i="3"/>
  <c r="N293" i="3"/>
  <c r="Q292" i="3"/>
  <c r="N292" i="3"/>
  <c r="Q291" i="3"/>
  <c r="N291" i="3"/>
  <c r="Q290" i="3"/>
  <c r="N290" i="3"/>
  <c r="Q289" i="3"/>
  <c r="N289" i="3"/>
  <c r="Q288" i="3"/>
  <c r="N288" i="3"/>
  <c r="A288" i="3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Q287" i="3"/>
  <c r="N287" i="3"/>
  <c r="Q286" i="3"/>
  <c r="N286" i="3"/>
  <c r="Q285" i="3"/>
  <c r="N285" i="3"/>
  <c r="Q284" i="3"/>
  <c r="N284" i="3"/>
  <c r="Q283" i="3"/>
  <c r="N283" i="3"/>
  <c r="Q282" i="3"/>
  <c r="N282" i="3"/>
  <c r="Q281" i="3"/>
  <c r="N281" i="3"/>
  <c r="Q280" i="3"/>
  <c r="N280" i="3"/>
  <c r="Q279" i="3"/>
  <c r="N279" i="3"/>
  <c r="Q278" i="3"/>
  <c r="N278" i="3"/>
  <c r="Q277" i="3"/>
  <c r="N277" i="3"/>
  <c r="Q276" i="3"/>
  <c r="N276" i="3"/>
  <c r="Q275" i="3"/>
  <c r="N275" i="3"/>
  <c r="Q274" i="3"/>
  <c r="N274" i="3"/>
  <c r="Q273" i="3"/>
  <c r="N273" i="3"/>
  <c r="Q272" i="3"/>
  <c r="N272" i="3"/>
  <c r="Q271" i="3"/>
  <c r="N271" i="3"/>
  <c r="Q270" i="3"/>
  <c r="N270" i="3"/>
  <c r="Q269" i="3"/>
  <c r="N269" i="3"/>
  <c r="Q268" i="3"/>
  <c r="N268" i="3"/>
  <c r="Q267" i="3"/>
  <c r="N267" i="3"/>
  <c r="Q266" i="3"/>
  <c r="N266" i="3"/>
  <c r="Q265" i="3"/>
  <c r="N265" i="3"/>
  <c r="Q264" i="3"/>
  <c r="N264" i="3"/>
  <c r="Q263" i="3"/>
  <c r="N263" i="3"/>
  <c r="Q262" i="3"/>
  <c r="N262" i="3"/>
  <c r="Q261" i="3"/>
  <c r="N261" i="3"/>
  <c r="Q260" i="3"/>
  <c r="N260" i="3"/>
  <c r="Q259" i="3"/>
  <c r="N259" i="3"/>
  <c r="Q258" i="3"/>
  <c r="N258" i="3"/>
  <c r="Q257" i="3"/>
  <c r="N257" i="3"/>
  <c r="Q256" i="3"/>
  <c r="N256" i="3"/>
  <c r="Q255" i="3"/>
  <c r="N255" i="3"/>
  <c r="Q254" i="3"/>
  <c r="N254" i="3"/>
  <c r="Q253" i="3"/>
  <c r="N253" i="3"/>
  <c r="Q252" i="3"/>
  <c r="N252" i="3"/>
  <c r="Q251" i="3"/>
  <c r="N251" i="3"/>
  <c r="Q250" i="3"/>
  <c r="N250" i="3"/>
  <c r="Q249" i="3"/>
  <c r="N249" i="3"/>
  <c r="Q248" i="3"/>
  <c r="N248" i="3"/>
  <c r="Q247" i="3"/>
  <c r="N247" i="3"/>
  <c r="Q246" i="3"/>
  <c r="N246" i="3"/>
  <c r="Q245" i="3"/>
  <c r="N245" i="3"/>
  <c r="Q244" i="3"/>
  <c r="N244" i="3"/>
  <c r="Q243" i="3"/>
  <c r="N243" i="3"/>
  <c r="Q242" i="3"/>
  <c r="N242" i="3"/>
  <c r="Q241" i="3"/>
  <c r="N241" i="3"/>
  <c r="Q240" i="3"/>
  <c r="N240" i="3"/>
  <c r="Q239" i="3"/>
  <c r="N239" i="3"/>
  <c r="Q238" i="3"/>
  <c r="N238" i="3"/>
  <c r="Q237" i="3"/>
  <c r="N237" i="3"/>
  <c r="Q236" i="3"/>
  <c r="N236" i="3"/>
  <c r="Q235" i="3"/>
  <c r="N235" i="3"/>
  <c r="Q234" i="3"/>
  <c r="N234" i="3"/>
  <c r="Q233" i="3"/>
  <c r="N233" i="3"/>
  <c r="Q232" i="3"/>
  <c r="N232" i="3"/>
  <c r="Q231" i="3"/>
  <c r="N231" i="3"/>
  <c r="Q230" i="3"/>
  <c r="N230" i="3"/>
  <c r="Q229" i="3"/>
  <c r="N229" i="3"/>
  <c r="Q228" i="3"/>
  <c r="N228" i="3"/>
  <c r="Q227" i="3"/>
  <c r="N227" i="3"/>
  <c r="Q226" i="3"/>
  <c r="N226" i="3"/>
  <c r="Q225" i="3"/>
  <c r="N225" i="3"/>
  <c r="Q224" i="3"/>
  <c r="N224" i="3"/>
  <c r="Q223" i="3"/>
  <c r="N223" i="3"/>
  <c r="Q222" i="3"/>
  <c r="N222" i="3"/>
  <c r="Q221" i="3"/>
  <c r="N221" i="3"/>
  <c r="Q220" i="3"/>
  <c r="N220" i="3"/>
  <c r="Q219" i="3"/>
  <c r="N219" i="3"/>
  <c r="Q218" i="3"/>
  <c r="N218" i="3"/>
  <c r="Q217" i="3"/>
  <c r="N217" i="3"/>
  <c r="Q216" i="3"/>
  <c r="N216" i="3"/>
  <c r="Q215" i="3"/>
  <c r="N215" i="3"/>
  <c r="Q214" i="3"/>
  <c r="N214" i="3"/>
  <c r="Q213" i="3"/>
  <c r="N213" i="3"/>
  <c r="Q212" i="3"/>
  <c r="N212" i="3"/>
  <c r="Q211" i="3"/>
  <c r="N211" i="3"/>
  <c r="Q210" i="3"/>
  <c r="N210" i="3"/>
  <c r="A210" i="3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Q209" i="3"/>
  <c r="N209" i="3"/>
  <c r="Q208" i="3"/>
  <c r="N208" i="3"/>
  <c r="Q207" i="3"/>
  <c r="N207" i="3"/>
  <c r="Q206" i="3"/>
  <c r="N206" i="3"/>
  <c r="Q205" i="3"/>
  <c r="N205" i="3"/>
  <c r="Q204" i="3"/>
  <c r="N204" i="3"/>
  <c r="Q203" i="3"/>
  <c r="N203" i="3"/>
  <c r="Q202" i="3"/>
  <c r="N202" i="3"/>
  <c r="Q201" i="3"/>
  <c r="N201" i="3"/>
  <c r="Q200" i="3"/>
  <c r="N200" i="3"/>
  <c r="Q199" i="3"/>
  <c r="N199" i="3"/>
  <c r="Q198" i="3"/>
  <c r="N198" i="3"/>
  <c r="Q197" i="3"/>
  <c r="N197" i="3"/>
  <c r="Q196" i="3"/>
  <c r="N196" i="3"/>
  <c r="Q195" i="3"/>
  <c r="N195" i="3"/>
  <c r="Q194" i="3"/>
  <c r="N194" i="3"/>
  <c r="Q193" i="3"/>
  <c r="N193" i="3"/>
  <c r="Q192" i="3"/>
  <c r="N192" i="3"/>
  <c r="Q191" i="3"/>
  <c r="N191" i="3"/>
  <c r="Q190" i="3"/>
  <c r="N190" i="3"/>
  <c r="Q189" i="3"/>
  <c r="N189" i="3"/>
  <c r="Q188" i="3"/>
  <c r="N188" i="3"/>
  <c r="Q187" i="3"/>
  <c r="N187" i="3"/>
  <c r="Q186" i="3"/>
  <c r="N186" i="3"/>
  <c r="Q185" i="3"/>
  <c r="N185" i="3"/>
  <c r="Q184" i="3"/>
  <c r="N184" i="3"/>
  <c r="Q183" i="3"/>
  <c r="N183" i="3"/>
  <c r="Q182" i="3"/>
  <c r="N182" i="3"/>
  <c r="Q181" i="3"/>
  <c r="N181" i="3"/>
  <c r="Q180" i="3"/>
  <c r="N180" i="3"/>
  <c r="Q179" i="3"/>
  <c r="N179" i="3"/>
  <c r="Q178" i="3"/>
  <c r="N178" i="3"/>
  <c r="Q177" i="3"/>
  <c r="N177" i="3"/>
  <c r="Q176" i="3"/>
  <c r="N176" i="3"/>
  <c r="Q175" i="3"/>
  <c r="N175" i="3"/>
  <c r="Q174" i="3"/>
  <c r="N174" i="3"/>
  <c r="Q173" i="3"/>
  <c r="N173" i="3"/>
  <c r="Q172" i="3"/>
  <c r="N172" i="3"/>
  <c r="Q171" i="3"/>
  <c r="N171" i="3"/>
  <c r="Q170" i="3"/>
  <c r="N170" i="3"/>
  <c r="Q169" i="3"/>
  <c r="N169" i="3"/>
  <c r="Q168" i="3"/>
  <c r="N168" i="3"/>
  <c r="A168" i="3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Q167" i="3"/>
  <c r="N167" i="3"/>
  <c r="Q166" i="3"/>
  <c r="N166" i="3"/>
  <c r="Q165" i="3"/>
  <c r="N165" i="3"/>
  <c r="Q164" i="3"/>
  <c r="N164" i="3"/>
  <c r="Q163" i="3"/>
  <c r="N163" i="3"/>
  <c r="Q162" i="3"/>
  <c r="N162" i="3"/>
  <c r="Q161" i="3"/>
  <c r="N161" i="3"/>
  <c r="Q160" i="3"/>
  <c r="N160" i="3"/>
  <c r="Q159" i="3"/>
  <c r="N159" i="3"/>
  <c r="Q158" i="3"/>
  <c r="N158" i="3"/>
  <c r="Q157" i="3"/>
  <c r="N157" i="3"/>
  <c r="Q156" i="3"/>
  <c r="N156" i="3"/>
  <c r="Q155" i="3"/>
  <c r="N155" i="3"/>
  <c r="Q154" i="3"/>
  <c r="N154" i="3"/>
  <c r="Q153" i="3"/>
  <c r="N153" i="3"/>
  <c r="Q152" i="3"/>
  <c r="N152" i="3"/>
  <c r="Q151" i="3"/>
  <c r="N151" i="3"/>
  <c r="Q150" i="3"/>
  <c r="N150" i="3"/>
  <c r="Q149" i="3"/>
  <c r="N149" i="3"/>
  <c r="Q148" i="3"/>
  <c r="N148" i="3"/>
  <c r="Q147" i="3"/>
  <c r="N147" i="3"/>
  <c r="Q146" i="3"/>
  <c r="N146" i="3"/>
  <c r="Q145" i="3"/>
  <c r="N145" i="3"/>
  <c r="Q144" i="3"/>
  <c r="N144" i="3"/>
  <c r="Q143" i="3"/>
  <c r="N143" i="3"/>
  <c r="Q142" i="3"/>
  <c r="N142" i="3"/>
  <c r="Q141" i="3"/>
  <c r="N141" i="3"/>
  <c r="Q140" i="3"/>
  <c r="N140" i="3"/>
  <c r="Q139" i="3"/>
  <c r="N139" i="3"/>
  <c r="Q138" i="3"/>
  <c r="N138" i="3"/>
  <c r="Q137" i="3"/>
  <c r="N137" i="3"/>
  <c r="Q136" i="3"/>
  <c r="N136" i="3"/>
  <c r="Q135" i="3"/>
  <c r="N135" i="3"/>
  <c r="Q134" i="3"/>
  <c r="N134" i="3"/>
  <c r="Q133" i="3"/>
  <c r="N133" i="3"/>
  <c r="Q132" i="3"/>
  <c r="N132" i="3"/>
  <c r="Q131" i="3"/>
  <c r="N131" i="3"/>
  <c r="Q130" i="3"/>
  <c r="N130" i="3"/>
  <c r="Q129" i="3"/>
  <c r="N129" i="3"/>
  <c r="Q128" i="3"/>
  <c r="N128" i="3"/>
  <c r="Q127" i="3"/>
  <c r="N127" i="3"/>
  <c r="Q126" i="3"/>
  <c r="N126" i="3"/>
  <c r="Q125" i="3"/>
  <c r="N125" i="3"/>
  <c r="Q124" i="3"/>
  <c r="N124" i="3"/>
  <c r="Q123" i="3"/>
  <c r="N123" i="3"/>
  <c r="Q122" i="3"/>
  <c r="N122" i="3"/>
  <c r="Q121" i="3"/>
  <c r="N121" i="3"/>
  <c r="Q120" i="3"/>
  <c r="N120" i="3"/>
  <c r="Q119" i="3"/>
  <c r="N119" i="3"/>
  <c r="Q118" i="3"/>
  <c r="N118" i="3"/>
  <c r="Q117" i="3"/>
  <c r="N117" i="3"/>
  <c r="Q116" i="3"/>
  <c r="N116" i="3"/>
  <c r="Q115" i="3"/>
  <c r="N115" i="3"/>
  <c r="A115" i="3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Q114" i="3"/>
  <c r="N114" i="3"/>
  <c r="Q113" i="3"/>
  <c r="N113" i="3"/>
  <c r="Q112" i="3"/>
  <c r="N112" i="3"/>
  <c r="Q111" i="3"/>
  <c r="N111" i="3"/>
  <c r="Q110" i="3"/>
  <c r="N110" i="3"/>
  <c r="Q109" i="3"/>
  <c r="N109" i="3"/>
  <c r="Q108" i="3"/>
  <c r="N108" i="3"/>
  <c r="Q107" i="3"/>
  <c r="N107" i="3"/>
  <c r="Q106" i="3"/>
  <c r="N106" i="3"/>
  <c r="Q105" i="3"/>
  <c r="N105" i="3"/>
  <c r="Q104" i="3"/>
  <c r="N104" i="3"/>
  <c r="Q103" i="3"/>
  <c r="N103" i="3"/>
  <c r="Q102" i="3"/>
  <c r="N102" i="3"/>
  <c r="Q101" i="3"/>
  <c r="N101" i="3"/>
  <c r="Q100" i="3"/>
  <c r="N100" i="3"/>
  <c r="Q99" i="3"/>
  <c r="N99" i="3"/>
  <c r="Q98" i="3"/>
  <c r="N98" i="3"/>
  <c r="Q97" i="3"/>
  <c r="N97" i="3"/>
  <c r="Q96" i="3"/>
  <c r="N96" i="3"/>
  <c r="Q95" i="3"/>
  <c r="N95" i="3"/>
  <c r="Q94" i="3"/>
  <c r="N94" i="3"/>
  <c r="Q93" i="3"/>
  <c r="N93" i="3"/>
  <c r="Q92" i="3"/>
  <c r="N92" i="3"/>
  <c r="Q91" i="3"/>
  <c r="N91" i="3"/>
  <c r="Q90" i="3"/>
  <c r="N90" i="3"/>
  <c r="Q89" i="3"/>
  <c r="N89" i="3"/>
  <c r="Q88" i="3"/>
  <c r="N88" i="3"/>
  <c r="Q87" i="3"/>
  <c r="N87" i="3"/>
  <c r="Q86" i="3"/>
  <c r="N86" i="3"/>
  <c r="Q85" i="3"/>
  <c r="N85" i="3"/>
  <c r="Q84" i="3"/>
  <c r="N84" i="3"/>
  <c r="Q83" i="3"/>
  <c r="N83" i="3"/>
  <c r="Q82" i="3"/>
  <c r="N82" i="3"/>
  <c r="Q81" i="3"/>
  <c r="N81" i="3"/>
  <c r="Q80" i="3"/>
  <c r="N80" i="3"/>
  <c r="Q79" i="3"/>
  <c r="N79" i="3"/>
  <c r="Q78" i="3"/>
  <c r="N78" i="3"/>
  <c r="Q77" i="3"/>
  <c r="N77" i="3"/>
  <c r="Q76" i="3"/>
  <c r="N76" i="3"/>
  <c r="Q75" i="3"/>
  <c r="N75" i="3"/>
  <c r="Q74" i="3"/>
  <c r="N74" i="3"/>
  <c r="Q73" i="3"/>
  <c r="N73" i="3"/>
  <c r="Q72" i="3"/>
  <c r="N72" i="3"/>
  <c r="Q71" i="3"/>
  <c r="N71" i="3"/>
  <c r="Q70" i="3"/>
  <c r="N70" i="3"/>
  <c r="Q69" i="3"/>
  <c r="N69" i="3"/>
  <c r="Q68" i="3"/>
  <c r="N68" i="3"/>
  <c r="A68" i="3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Q67" i="3"/>
  <c r="N67" i="3"/>
  <c r="Q66" i="3"/>
  <c r="N66" i="3"/>
  <c r="Q65" i="3"/>
  <c r="N65" i="3"/>
  <c r="Q64" i="3"/>
  <c r="N64" i="3"/>
  <c r="Q63" i="3"/>
  <c r="N63" i="3"/>
  <c r="Q62" i="3"/>
  <c r="N62" i="3"/>
  <c r="Q61" i="3"/>
  <c r="N61" i="3"/>
  <c r="Q60" i="3"/>
  <c r="N60" i="3"/>
  <c r="Q59" i="3"/>
  <c r="N59" i="3"/>
  <c r="Q58" i="3"/>
  <c r="N58" i="3"/>
  <c r="Q57" i="3"/>
  <c r="N57" i="3"/>
  <c r="Q56" i="3"/>
  <c r="N56" i="3"/>
  <c r="Q55" i="3"/>
  <c r="N55" i="3"/>
  <c r="Q54" i="3"/>
  <c r="N54" i="3"/>
  <c r="Q53" i="3"/>
  <c r="N53" i="3"/>
  <c r="Q52" i="3"/>
  <c r="N52" i="3"/>
  <c r="Q51" i="3"/>
  <c r="N51" i="3"/>
  <c r="Q50" i="3"/>
  <c r="N50" i="3"/>
  <c r="Q49" i="3"/>
  <c r="N49" i="3"/>
  <c r="Q48" i="3"/>
  <c r="N48" i="3"/>
  <c r="Q47" i="3"/>
  <c r="N47" i="3"/>
  <c r="Q46" i="3"/>
  <c r="N46" i="3"/>
  <c r="Q45" i="3"/>
  <c r="N45" i="3"/>
  <c r="Q44" i="3"/>
  <c r="N44" i="3"/>
  <c r="Q43" i="3"/>
  <c r="N43" i="3"/>
  <c r="Q42" i="3"/>
  <c r="N42" i="3"/>
  <c r="Q41" i="3"/>
  <c r="N41" i="3"/>
  <c r="Q40" i="3"/>
  <c r="N40" i="3"/>
  <c r="Q39" i="3"/>
  <c r="N39" i="3"/>
  <c r="Q38" i="3"/>
  <c r="N38" i="3"/>
  <c r="A38" i="3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U66" i="3"/>
  <c r="U65" i="3"/>
  <c r="U64" i="3"/>
  <c r="U62" i="3"/>
  <c r="U61" i="3"/>
  <c r="U59" i="3"/>
  <c r="U58" i="3"/>
  <c r="U57" i="3"/>
  <c r="U56" i="3"/>
  <c r="U54" i="3"/>
  <c r="U53" i="3"/>
  <c r="U51" i="3"/>
  <c r="U50" i="3"/>
  <c r="U49" i="3"/>
  <c r="U48" i="3"/>
  <c r="U46" i="3"/>
  <c r="U45" i="3"/>
  <c r="U43" i="3"/>
  <c r="U42" i="3"/>
  <c r="U41" i="3"/>
  <c r="U40" i="3"/>
  <c r="U38" i="3"/>
  <c r="U37" i="3"/>
  <c r="U37" i="3" a="1"/>
  <c r="U63" i="3" s="1"/>
  <c r="Q37" i="3"/>
  <c r="N37" i="3"/>
  <c r="Q36" i="3"/>
  <c r="Q35" i="3"/>
  <c r="N35" i="3"/>
  <c r="F35" i="3"/>
  <c r="Q34" i="3"/>
  <c r="N34" i="3"/>
  <c r="F34" i="3"/>
  <c r="Q33" i="3"/>
  <c r="N33" i="3"/>
  <c r="F33" i="3"/>
  <c r="Q32" i="3"/>
  <c r="N32" i="3"/>
  <c r="F32" i="3"/>
  <c r="Q31" i="3"/>
  <c r="N31" i="3"/>
  <c r="F31" i="3"/>
  <c r="Q30" i="3"/>
  <c r="N30" i="3"/>
  <c r="F30" i="3"/>
  <c r="Q29" i="3"/>
  <c r="N29" i="3"/>
  <c r="F29" i="3"/>
  <c r="Q28" i="3"/>
  <c r="N28" i="3"/>
  <c r="F28" i="3"/>
  <c r="Q27" i="3"/>
  <c r="N27" i="3"/>
  <c r="F27" i="3"/>
  <c r="Q26" i="3"/>
  <c r="N26" i="3"/>
  <c r="F26" i="3"/>
  <c r="Q25" i="3"/>
  <c r="N25" i="3"/>
  <c r="F25" i="3"/>
  <c r="Q24" i="3"/>
  <c r="N24" i="3"/>
  <c r="F24" i="3"/>
  <c r="Q23" i="3"/>
  <c r="N23" i="3"/>
  <c r="F23" i="3"/>
  <c r="Q22" i="3"/>
  <c r="N22" i="3"/>
  <c r="F22" i="3"/>
  <c r="Q21" i="3"/>
  <c r="N21" i="3"/>
  <c r="F21" i="3"/>
  <c r="Q20" i="3"/>
  <c r="N20" i="3"/>
  <c r="F20" i="3"/>
  <c r="Q19" i="3"/>
  <c r="N19" i="3"/>
  <c r="F19" i="3"/>
  <c r="Q18" i="3"/>
  <c r="N18" i="3"/>
  <c r="F18" i="3"/>
  <c r="Q17" i="3"/>
  <c r="N17" i="3"/>
  <c r="F17" i="3"/>
  <c r="Q16" i="3"/>
  <c r="N16" i="3"/>
  <c r="F16" i="3"/>
  <c r="Q15" i="3"/>
  <c r="N15" i="3"/>
  <c r="F15" i="3"/>
  <c r="Q14" i="3"/>
  <c r="N14" i="3"/>
  <c r="F14" i="3"/>
  <c r="Q13" i="3"/>
  <c r="N13" i="3"/>
  <c r="F13" i="3"/>
  <c r="Q12" i="3"/>
  <c r="N12" i="3"/>
  <c r="F12" i="3"/>
  <c r="Q11" i="3"/>
  <c r="N11" i="3"/>
  <c r="F11" i="3"/>
  <c r="Q10" i="3"/>
  <c r="N10" i="3"/>
  <c r="F10" i="3"/>
  <c r="Q9" i="3"/>
  <c r="N9" i="3"/>
  <c r="F9" i="3"/>
  <c r="Q8" i="3"/>
  <c r="N8" i="3"/>
  <c r="F8" i="3"/>
  <c r="Q7" i="3"/>
  <c r="N7" i="3"/>
  <c r="F7" i="3"/>
  <c r="Q6" i="3"/>
  <c r="N6" i="3"/>
  <c r="F6" i="3"/>
  <c r="Q5" i="3"/>
  <c r="N5" i="3"/>
  <c r="F5" i="3"/>
  <c r="Q4" i="3"/>
  <c r="N4" i="3"/>
  <c r="F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U30" i="3"/>
  <c r="U22" i="3"/>
  <c r="U21" i="3"/>
  <c r="U14" i="3"/>
  <c r="U13" i="3"/>
  <c r="U6" i="3"/>
  <c r="U5" i="3"/>
  <c r="U3" i="3" a="1"/>
  <c r="U29" i="3" s="1"/>
  <c r="Q3" i="3"/>
  <c r="N3" i="3"/>
  <c r="F3" i="3"/>
  <c r="Q2" i="3"/>
  <c r="U7" i="3" l="1"/>
  <c r="U15" i="3"/>
  <c r="U23" i="3"/>
  <c r="U31" i="3"/>
  <c r="U44" i="3"/>
  <c r="U52" i="3"/>
  <c r="U60" i="3"/>
  <c r="U8" i="3"/>
  <c r="U16" i="3"/>
  <c r="U24" i="3"/>
  <c r="U32" i="3"/>
  <c r="U9" i="3"/>
  <c r="U17" i="3"/>
  <c r="U25" i="3"/>
  <c r="U33" i="3"/>
  <c r="U39" i="3"/>
  <c r="U47" i="3"/>
  <c r="U55" i="3"/>
  <c r="U27" i="3"/>
  <c r="U10" i="3"/>
  <c r="U18" i="3"/>
  <c r="U26" i="3"/>
  <c r="U34" i="3"/>
  <c r="U3" i="3"/>
  <c r="U11" i="3"/>
  <c r="U19" i="3"/>
  <c r="U35" i="3"/>
  <c r="U4" i="3"/>
  <c r="U12" i="3"/>
  <c r="U20" i="3"/>
  <c r="U28" i="3"/>
  <c r="U628" i="3"/>
  <c r="U636" i="3"/>
  <c r="U644" i="3"/>
  <c r="U652" i="3"/>
  <c r="U660" i="3"/>
  <c r="U668" i="3"/>
  <c r="U676" i="3"/>
  <c r="U684" i="3"/>
  <c r="U692" i="3"/>
  <c r="U629" i="3"/>
  <c r="U637" i="3"/>
  <c r="U645" i="3"/>
  <c r="U653" i="3"/>
  <c r="U661" i="3"/>
  <c r="U669" i="3"/>
  <c r="U677" i="3"/>
  <c r="U685" i="3"/>
  <c r="U623" i="3"/>
  <c r="U631" i="3"/>
  <c r="U639" i="3"/>
  <c r="U647" i="3"/>
  <c r="U655" i="3"/>
  <c r="U663" i="3"/>
  <c r="U671" i="3"/>
  <c r="U679" i="3"/>
  <c r="U687" i="3"/>
  <c r="U656" i="3"/>
  <c r="U664" i="3"/>
  <c r="U672" i="3"/>
  <c r="U680" i="3"/>
  <c r="U1517" i="3"/>
  <c r="U1525" i="3"/>
  <c r="U1533" i="3"/>
  <c r="U1541" i="3"/>
  <c r="U1549" i="3"/>
  <c r="U1557" i="3"/>
  <c r="U1565" i="3"/>
  <c r="U1573" i="3"/>
</calcChain>
</file>

<file path=xl/comments1.xml><?xml version="1.0" encoding="utf-8"?>
<comments xmlns="http://schemas.openxmlformats.org/spreadsheetml/2006/main">
  <authors>
    <author>Author</author>
  </authors>
  <commentList>
    <comment ref="U922" authorId="0" shapeId="0">
      <text>
        <r>
          <rPr>
            <b/>
            <sz val="9"/>
            <color indexed="81"/>
            <rFont val="Tahoma"/>
            <family val="2"/>
          </rPr>
          <t>16-2-16 থেকে - 19-03-16</t>
        </r>
      </text>
    </comment>
  </commentList>
</comments>
</file>

<file path=xl/sharedStrings.xml><?xml version="1.0" encoding="utf-8"?>
<sst xmlns="http://schemas.openxmlformats.org/spreadsheetml/2006/main" count="9538" uniqueCount="1160">
  <si>
    <t>SL</t>
  </si>
  <si>
    <t>Total Tournament</t>
  </si>
  <si>
    <t>Total Match</t>
  </si>
  <si>
    <t>Total Runs</t>
  </si>
  <si>
    <t>Total Wickets</t>
  </si>
  <si>
    <t>Innings</t>
  </si>
  <si>
    <t>Not Out</t>
  </si>
  <si>
    <t>Total 4's</t>
  </si>
  <si>
    <t>Total 6's</t>
  </si>
  <si>
    <t>Hat-Trick</t>
  </si>
  <si>
    <t>Champion</t>
  </si>
  <si>
    <t>Runner-Up</t>
  </si>
  <si>
    <t>Last Played Tournament</t>
  </si>
  <si>
    <t>Highest Run Scorer</t>
  </si>
  <si>
    <t>Top Wicket Taker</t>
  </si>
  <si>
    <t>&gt;&gt;</t>
  </si>
  <si>
    <t>Players</t>
  </si>
  <si>
    <t>Wk Avg.</t>
  </si>
  <si>
    <t>Run Avg.</t>
  </si>
  <si>
    <t>Player Role</t>
  </si>
  <si>
    <t>Total Final</t>
  </si>
  <si>
    <t>Jhony</t>
  </si>
  <si>
    <t>Faisal Ahmed Jhony</t>
  </si>
  <si>
    <t>FCC-2 (Jan-2023)</t>
  </si>
  <si>
    <t>Nur</t>
  </si>
  <si>
    <t>Nur Muhammad</t>
  </si>
  <si>
    <t>CNHM-4 (Jan-2026)</t>
  </si>
  <si>
    <t>Paul</t>
  </si>
  <si>
    <t>Susmoy Paul</t>
  </si>
  <si>
    <t>Jumon</t>
  </si>
  <si>
    <t>Foysal Ahmed Jumon</t>
  </si>
  <si>
    <t>Shohag</t>
  </si>
  <si>
    <t>Hetlar Shohag</t>
  </si>
  <si>
    <t>Rakib</t>
  </si>
  <si>
    <t>Rakib Hasan</t>
  </si>
  <si>
    <t>Nayem</t>
  </si>
  <si>
    <t>Neyem khan</t>
  </si>
  <si>
    <t>FCL-3 (Feb-2015)</t>
  </si>
  <si>
    <t>Rayhan</t>
  </si>
  <si>
    <t>Rayhan Rahman</t>
  </si>
  <si>
    <t>FCL-4 (Jun-2021)</t>
  </si>
  <si>
    <t>Firoj</t>
  </si>
  <si>
    <t>Firoj alam</t>
  </si>
  <si>
    <t>FRS-2 (Mar-2021)</t>
  </si>
  <si>
    <t>Sh Shanto</t>
  </si>
  <si>
    <t>Sakhawat Hossain Shanto</t>
  </si>
  <si>
    <t>Roman</t>
  </si>
  <si>
    <t>Roman mahamud Arko</t>
  </si>
  <si>
    <t>FFC-1 (Mar-2017)</t>
  </si>
  <si>
    <t>Redwan</t>
  </si>
  <si>
    <t>Redwan Ahmed</t>
  </si>
  <si>
    <t>FFC-2 (May-2020)</t>
  </si>
  <si>
    <t>Al Mamun</t>
  </si>
  <si>
    <t>Samiul</t>
  </si>
  <si>
    <t>Samilul Khan</t>
  </si>
  <si>
    <t>Rana</t>
  </si>
  <si>
    <t>Rana Md Masud</t>
  </si>
  <si>
    <t>Mahi</t>
  </si>
  <si>
    <t>মাহি উদ্দিন শুভ্র</t>
  </si>
  <si>
    <t>NFCL-3 (Feb-2016)</t>
  </si>
  <si>
    <t>Jahin</t>
  </si>
  <si>
    <t>Jahin Shahriar Chowdhury</t>
  </si>
  <si>
    <t>Tofayel</t>
  </si>
  <si>
    <t>MD Tofayel Ahmed</t>
  </si>
  <si>
    <t>Sumon</t>
  </si>
  <si>
    <t>Sumon Ab</t>
  </si>
  <si>
    <t>Sakib Sr.</t>
  </si>
  <si>
    <t>Ahmad Sakib Abdullah</t>
  </si>
  <si>
    <t>Sajid</t>
  </si>
  <si>
    <t>Ahmad Sajid Abdullah</t>
  </si>
  <si>
    <t>Helal</t>
  </si>
  <si>
    <t>Sheik Helal Ahmed</t>
  </si>
  <si>
    <t>Washim</t>
  </si>
  <si>
    <t>Akram Husan (Washim)</t>
  </si>
  <si>
    <t>Arafat</t>
  </si>
  <si>
    <t>Sakib Arafat</t>
  </si>
  <si>
    <t>Kamil</t>
  </si>
  <si>
    <t>Kamil Ahmed</t>
  </si>
  <si>
    <t>Rashed</t>
  </si>
  <si>
    <t>KM Rashedul Islam Rashed</t>
  </si>
  <si>
    <t>Tutul</t>
  </si>
  <si>
    <t>Kamrul Hasan Tutul</t>
  </si>
  <si>
    <t>Raju</t>
  </si>
  <si>
    <t>Radoyan Raju</t>
  </si>
  <si>
    <t>FRS-1 (Nov-2017)</t>
  </si>
  <si>
    <t>Tonmoy</t>
  </si>
  <si>
    <t>Asik Hassan Tonmoy</t>
  </si>
  <si>
    <t>Rubel</t>
  </si>
  <si>
    <t>Anisur Islam (Rubel Hossain)</t>
  </si>
  <si>
    <t>Ador</t>
  </si>
  <si>
    <t>Ador Hasan</t>
  </si>
  <si>
    <t>Ab Mamun</t>
  </si>
  <si>
    <t>Abdullah Al Mamun</t>
  </si>
  <si>
    <t>Zaheed</t>
  </si>
  <si>
    <t>Zaheed Hasan</t>
  </si>
  <si>
    <t>Sadrul</t>
  </si>
  <si>
    <t>Sadrul Anam</t>
  </si>
  <si>
    <t>Pritom</t>
  </si>
  <si>
    <t>Sanju Pritom</t>
  </si>
  <si>
    <t>Rexx</t>
  </si>
  <si>
    <t>Bishwajit Sarkar</t>
  </si>
  <si>
    <t>FSC-2 (Jul-2020)</t>
  </si>
  <si>
    <t>Mashuk</t>
  </si>
  <si>
    <t>Mustofa Muddassir Mahmud Mashuk</t>
  </si>
  <si>
    <t>Pranto</t>
  </si>
  <si>
    <t>Bandhon Podder Pranto</t>
  </si>
  <si>
    <t>SA Shanto</t>
  </si>
  <si>
    <t>FRS-3 (Sep-2025)</t>
  </si>
  <si>
    <t>Shafiqul</t>
  </si>
  <si>
    <t>Shafiqul Islam</t>
  </si>
  <si>
    <t>Laisul</t>
  </si>
  <si>
    <t>Laisul Morshed</t>
  </si>
  <si>
    <t>Shovon</t>
  </si>
  <si>
    <t>Shahriar Khan Shovon</t>
  </si>
  <si>
    <t>Tanvir</t>
  </si>
  <si>
    <t>Tanvir Shakib</t>
  </si>
  <si>
    <t>Ariful</t>
  </si>
  <si>
    <t>Ahammed Ariful Haq</t>
  </si>
  <si>
    <t>Rinkon</t>
  </si>
  <si>
    <t>Rinkon Khan</t>
  </si>
  <si>
    <t>Hridoy</t>
  </si>
  <si>
    <t>Kamrul Hasan Hridoy</t>
  </si>
  <si>
    <t>Towkir</t>
  </si>
  <si>
    <t>Towkir Ahmed Siddique</t>
  </si>
  <si>
    <t>Akash</t>
  </si>
  <si>
    <t>Mahbubur Rahman Akash</t>
  </si>
  <si>
    <t>Shakil</t>
  </si>
  <si>
    <t>M R Shakil</t>
  </si>
  <si>
    <t>Monsur</t>
  </si>
  <si>
    <t>Monsur Rahman</t>
  </si>
  <si>
    <t>Khokon</t>
  </si>
  <si>
    <t>Shahriar Khokon</t>
  </si>
  <si>
    <t>Shishir</t>
  </si>
  <si>
    <t>ShiShir Hossain</t>
  </si>
  <si>
    <t>Dulal</t>
  </si>
  <si>
    <t>Md Dulal Miah</t>
  </si>
  <si>
    <t>Kamal</t>
  </si>
  <si>
    <t>MD Kamal Hossain Kamal</t>
  </si>
  <si>
    <t>Asif</t>
  </si>
  <si>
    <t>Asif Iqbal Khan</t>
  </si>
  <si>
    <t>Munna</t>
  </si>
  <si>
    <t>Monowar Hossain Munna</t>
  </si>
  <si>
    <t>Joy</t>
  </si>
  <si>
    <t>Mehedi Hasan Joy</t>
  </si>
  <si>
    <t>Ovi</t>
  </si>
  <si>
    <t>Toufiq Ahmed Ovi</t>
  </si>
  <si>
    <t>Nahid</t>
  </si>
  <si>
    <t>Nahid Saifullah</t>
  </si>
  <si>
    <t>Saaj</t>
  </si>
  <si>
    <t>AB Saaj</t>
  </si>
  <si>
    <t>Ayan</t>
  </si>
  <si>
    <t>Md. Tanveer Mahmud Ayan</t>
  </si>
  <si>
    <t>Niamul</t>
  </si>
  <si>
    <t>Niamul Habib Setu</t>
  </si>
  <si>
    <t>Meyaz</t>
  </si>
  <si>
    <t>Meyaz Al Emon</t>
  </si>
  <si>
    <t>Tarek</t>
  </si>
  <si>
    <t>Prince Tarek</t>
  </si>
  <si>
    <t>Sabbir</t>
  </si>
  <si>
    <t>Sabbir Ahmed</t>
  </si>
  <si>
    <t>Tanbir</t>
  </si>
  <si>
    <t>Tanbir Hasan</t>
  </si>
  <si>
    <t>CNHM-3 (Dec-2015)</t>
  </si>
  <si>
    <t>MH Nayem</t>
  </si>
  <si>
    <t>মাহমুদুল হক নাইম</t>
  </si>
  <si>
    <t>TM Shuvro</t>
  </si>
  <si>
    <t>তন্ময় মজুমদার শুভ্র</t>
  </si>
  <si>
    <t>Sakif</t>
  </si>
  <si>
    <t>Sakif Rahaman</t>
  </si>
  <si>
    <t>Saiful</t>
  </si>
  <si>
    <t>Saiful Islam</t>
  </si>
  <si>
    <t>Ruhin</t>
  </si>
  <si>
    <t>Md. Ruhin</t>
  </si>
  <si>
    <t>Sagar</t>
  </si>
  <si>
    <t>Sajjadul Haque Sagar</t>
  </si>
  <si>
    <t>Wasiq</t>
  </si>
  <si>
    <t>Wasiq Rahman</t>
  </si>
  <si>
    <t>Tanjir</t>
  </si>
  <si>
    <t>Tanjir Rahman</t>
  </si>
  <si>
    <t>Brinto</t>
  </si>
  <si>
    <t>Shuvayan Saha Brinto</t>
  </si>
  <si>
    <t>Shamim</t>
  </si>
  <si>
    <t>SH Shamim</t>
  </si>
  <si>
    <t>Faisal</t>
  </si>
  <si>
    <t>Red Heart Faisal (Fayze Ahamed)</t>
  </si>
  <si>
    <t>FQ-20 (Mar-2020)</t>
  </si>
  <si>
    <t>Tahmid</t>
  </si>
  <si>
    <t>Galaxsy Prince Tahmid (Tahmid Rahman)</t>
  </si>
  <si>
    <t>Kafi</t>
  </si>
  <si>
    <t>Kafi Mazharul Islam</t>
  </si>
  <si>
    <t>CR Siyam</t>
  </si>
  <si>
    <t>Mullah</t>
  </si>
  <si>
    <t>Mohammad Haris Mullah</t>
  </si>
  <si>
    <t>Mithu</t>
  </si>
  <si>
    <t>Mostafizur Rahman Mithu</t>
  </si>
  <si>
    <t>Himel</t>
  </si>
  <si>
    <t>Hj Himel</t>
  </si>
  <si>
    <t>Mijan</t>
  </si>
  <si>
    <t>Noushed Mijan</t>
  </si>
  <si>
    <t>Faruque</t>
  </si>
  <si>
    <t>Mohammad Faruque</t>
  </si>
  <si>
    <t>AR Shohag</t>
  </si>
  <si>
    <t>A.R. Shohag</t>
  </si>
  <si>
    <t>Rifat</t>
  </si>
  <si>
    <t>Rifat Ullah</t>
  </si>
  <si>
    <t>Injamul</t>
  </si>
  <si>
    <t>Injamul Haque (Syed Injamul Haque)</t>
  </si>
  <si>
    <t>FSC-1 (Sep-2015)</t>
  </si>
  <si>
    <t>Emon</t>
  </si>
  <si>
    <t>Fahim Shahrear Emon</t>
  </si>
  <si>
    <t>CNHM-2 (Dec-2013)</t>
  </si>
  <si>
    <t>Back Sakib</t>
  </si>
  <si>
    <t>Backbencher Sakib</t>
  </si>
  <si>
    <t>RI Akash</t>
  </si>
  <si>
    <t>Raihan Islam Akash</t>
  </si>
  <si>
    <t>SA Shuvo</t>
  </si>
  <si>
    <t>Sabbir Ahmed Shuvo</t>
  </si>
  <si>
    <t>FCL-1 (Mar-2013)</t>
  </si>
  <si>
    <t>Himu</t>
  </si>
  <si>
    <t>Tuhin</t>
  </si>
  <si>
    <t>Nasir Ahmed Tuhin</t>
  </si>
  <si>
    <t>Yahya</t>
  </si>
  <si>
    <t>Yahya Riyad</t>
  </si>
  <si>
    <t>Rahat</t>
  </si>
  <si>
    <t>Saiful Rahat</t>
  </si>
  <si>
    <t>Ruvel</t>
  </si>
  <si>
    <t>Md Ruvel</t>
  </si>
  <si>
    <t>FCL-2 (Aug-2013)</t>
  </si>
  <si>
    <t>Arif</t>
  </si>
  <si>
    <t>Arif Ziad</t>
  </si>
  <si>
    <t>Tawhid</t>
  </si>
  <si>
    <t>S M Tawhid Zihad</t>
  </si>
  <si>
    <t>Sujan</t>
  </si>
  <si>
    <t>Sujan Boss</t>
  </si>
  <si>
    <t>Rafi</t>
  </si>
  <si>
    <t>Rafi Islam</t>
  </si>
  <si>
    <t>Firoz</t>
  </si>
  <si>
    <t>Firoz Khan</t>
  </si>
  <si>
    <t>FCT-1 (Jun-2013)</t>
  </si>
  <si>
    <t>Manik</t>
  </si>
  <si>
    <t>GM Manik</t>
  </si>
  <si>
    <t>Mehedi</t>
  </si>
  <si>
    <t>Mehedi Hasan Shovon</t>
  </si>
  <si>
    <t>Joy Ullash</t>
  </si>
  <si>
    <t>CNHM-1 (May-2013)</t>
  </si>
  <si>
    <t>Akram Himal</t>
  </si>
  <si>
    <t>Akram Hosen Himal</t>
  </si>
  <si>
    <t>C Sabbir</t>
  </si>
  <si>
    <t>Cryptic Sabbir II</t>
  </si>
  <si>
    <t>NFCL-1 (Apr-2013)</t>
  </si>
  <si>
    <t>NayEem</t>
  </si>
  <si>
    <t>Saiful NayEem</t>
  </si>
  <si>
    <t>FIC-2 (May-2015)</t>
  </si>
  <si>
    <t>Parvaj</t>
  </si>
  <si>
    <t>Tanvir Mahatab Parvaj</t>
  </si>
  <si>
    <t>Jubayer</t>
  </si>
  <si>
    <t>Jubayer Hossen</t>
  </si>
  <si>
    <t>Shakib Hasan</t>
  </si>
  <si>
    <t>Shakib Al Hasan</t>
  </si>
  <si>
    <t>Afzal</t>
  </si>
  <si>
    <t>Afzal Hussain Shuhag</t>
  </si>
  <si>
    <t>Shawon</t>
  </si>
  <si>
    <t>Arif Abdullah Shawon</t>
  </si>
  <si>
    <t>FCC-1 (Jul-2013)</t>
  </si>
  <si>
    <t>Anamul</t>
  </si>
  <si>
    <t>Anamul Haq</t>
  </si>
  <si>
    <t>Jabir</t>
  </si>
  <si>
    <t>Raian Jabir</t>
  </si>
  <si>
    <t>Badsha</t>
  </si>
  <si>
    <t>Badrul Hossain Badsha</t>
  </si>
  <si>
    <t>Alo</t>
  </si>
  <si>
    <t>Shesh Bikaler Alo</t>
  </si>
  <si>
    <t>Imtiaz</t>
  </si>
  <si>
    <t>Imtiaz Mir</t>
  </si>
  <si>
    <t>Tanzim</t>
  </si>
  <si>
    <t>Tanzim Hasan Rahat</t>
  </si>
  <si>
    <t>Aneek</t>
  </si>
  <si>
    <t>Md Aneek Rashid</t>
  </si>
  <si>
    <t>FVC-2 (Dec-2015)</t>
  </si>
  <si>
    <t>Kawser</t>
  </si>
  <si>
    <t>Ahmed Kawser Da Neymar</t>
  </si>
  <si>
    <t>FCC STAR CUP (Mar-2014)</t>
  </si>
  <si>
    <t>Md. Asif</t>
  </si>
  <si>
    <t>Mohammad Asif</t>
  </si>
  <si>
    <t>LoveLo</t>
  </si>
  <si>
    <t>Alauddin Lovelo</t>
  </si>
  <si>
    <t>FIC-1 (Jul-2013)</t>
  </si>
  <si>
    <t>Sujay</t>
  </si>
  <si>
    <t>Sandipan Sujay</t>
  </si>
  <si>
    <t>Jahid</t>
  </si>
  <si>
    <t>Md. Jahid</t>
  </si>
  <si>
    <t>Taho</t>
  </si>
  <si>
    <t>Taho D. Ace</t>
  </si>
  <si>
    <t>FWC-1 (Jun-2014)</t>
  </si>
  <si>
    <t>Alif</t>
  </si>
  <si>
    <t>Farhanul Habib Alif</t>
  </si>
  <si>
    <t>Zohir</t>
  </si>
  <si>
    <t>Zi Zohir</t>
  </si>
  <si>
    <t>Sahed</t>
  </si>
  <si>
    <t>Sahed Hossain Masum</t>
  </si>
  <si>
    <t>ASHiK</t>
  </si>
  <si>
    <t>Ashikur Rahman Ashik</t>
  </si>
  <si>
    <t>Raihan</t>
  </si>
  <si>
    <t>Raihan Al-maMun</t>
  </si>
  <si>
    <t>Oliy</t>
  </si>
  <si>
    <t>Oliy Saif</t>
  </si>
  <si>
    <t>Shahan</t>
  </si>
  <si>
    <t>Shahan Ahmed</t>
  </si>
  <si>
    <t>Prince</t>
  </si>
  <si>
    <t>Arnab Prince</t>
  </si>
  <si>
    <t>Sami</t>
  </si>
  <si>
    <t>Wasim Al Sami</t>
  </si>
  <si>
    <t>Fahad</t>
  </si>
  <si>
    <t>FaiSal RaHman FaHad</t>
  </si>
  <si>
    <t>Zeeshan</t>
  </si>
  <si>
    <t>Syeed Zeeshan Quadir</t>
  </si>
  <si>
    <t>Yousuf</t>
  </si>
  <si>
    <t>Yousuf Riday</t>
  </si>
  <si>
    <t>Moon</t>
  </si>
  <si>
    <t>Mazharul Islam Moon</t>
  </si>
  <si>
    <t>Atif</t>
  </si>
  <si>
    <t>Abdul Atif</t>
  </si>
  <si>
    <t>Leon</t>
  </si>
  <si>
    <t>Rafeed Leon</t>
  </si>
  <si>
    <t>Tusher</t>
  </si>
  <si>
    <t>JAHIDUL ISLAM TUSHER</t>
  </si>
  <si>
    <t>NFCL-2 (Oct-2013)</t>
  </si>
  <si>
    <t>Fairooz</t>
  </si>
  <si>
    <t>Fairooz Wasif Saiku</t>
  </si>
  <si>
    <t>Morshed</t>
  </si>
  <si>
    <t>Golam Morshed Nahid</t>
  </si>
  <si>
    <t>Rahaman</t>
  </si>
  <si>
    <t>Abdur Rahaman</t>
  </si>
  <si>
    <t>Adnan</t>
  </si>
  <si>
    <t>Mortaza</t>
  </si>
  <si>
    <t>Sakib Mortaza</t>
  </si>
  <si>
    <t>Meraj</t>
  </si>
  <si>
    <t>Samiul Meraj</t>
  </si>
  <si>
    <t>Feni</t>
  </si>
  <si>
    <t>Manik Feni</t>
  </si>
  <si>
    <t>Rafikul</t>
  </si>
  <si>
    <t>Striker Rafikul</t>
  </si>
  <si>
    <t>Siyam</t>
  </si>
  <si>
    <t>Siyam Ahmed</t>
  </si>
  <si>
    <t>Suhel</t>
  </si>
  <si>
    <t>Suhel Ahmed</t>
  </si>
  <si>
    <t>Zamil</t>
  </si>
  <si>
    <t>Zamil Khan</t>
  </si>
  <si>
    <t>Rafiul</t>
  </si>
  <si>
    <t>Rafiul Haque Sanchay</t>
  </si>
  <si>
    <t>Shuvro</t>
  </si>
  <si>
    <t>Shahriar Shuvro</t>
  </si>
  <si>
    <t>Sohan</t>
  </si>
  <si>
    <t>Moksedur RaHman SoHan (Duronto Sohan)</t>
  </si>
  <si>
    <t>Mhk</t>
  </si>
  <si>
    <t>Hridoy Khan Mhk</t>
  </si>
  <si>
    <t>Miraj</t>
  </si>
  <si>
    <t>Shafayat Miraj</t>
  </si>
  <si>
    <t>Shipu</t>
  </si>
  <si>
    <t>Ah Shipu</t>
  </si>
  <si>
    <t>Rico</t>
  </si>
  <si>
    <t>Mamun Hossain Rico</t>
  </si>
  <si>
    <t>Istiak</t>
  </si>
  <si>
    <t>Istiak Ahamed Emon</t>
  </si>
  <si>
    <t>Sabab</t>
  </si>
  <si>
    <t>Sz Sabab</t>
  </si>
  <si>
    <t>FRS-1 (Dec-2018)</t>
  </si>
  <si>
    <t>MD Hridoy</t>
  </si>
  <si>
    <t>MD Hridoy (শুন্য হৃদয়, অবুজ বালক)</t>
  </si>
  <si>
    <t>Mahfuzor</t>
  </si>
  <si>
    <t>মোঃ মাহফুজুর রহমান রাকিব</t>
  </si>
  <si>
    <t>SaJeeb</t>
  </si>
  <si>
    <t>ShaHadat H. SaJeeb</t>
  </si>
  <si>
    <t>Sahad</t>
  </si>
  <si>
    <t>শাহাদাৎ আহমেদ সাহাদ</t>
  </si>
  <si>
    <t>AR Tawhid</t>
  </si>
  <si>
    <t>Prottoy</t>
  </si>
  <si>
    <t>Mahrus Hasan Prottoy</t>
  </si>
  <si>
    <t>Tomal</t>
  </si>
  <si>
    <t>Safiqur Tomal</t>
  </si>
  <si>
    <t>Mridul</t>
  </si>
  <si>
    <t>Mridul Haque</t>
  </si>
  <si>
    <t>Tafshir</t>
  </si>
  <si>
    <t>Tafshir Takib</t>
  </si>
  <si>
    <t>Shadhin</t>
  </si>
  <si>
    <t>Abdullah Al Mamun Shadhin</t>
  </si>
  <si>
    <t>Apurba</t>
  </si>
  <si>
    <t>Apurba Rockz</t>
  </si>
  <si>
    <t>Tofu</t>
  </si>
  <si>
    <t>Oji Vokto Tofu</t>
  </si>
  <si>
    <t>Riad</t>
  </si>
  <si>
    <t>Wahidur Rahman Riad</t>
  </si>
  <si>
    <t>Ruffin</t>
  </si>
  <si>
    <t>Ruffin Remad</t>
  </si>
  <si>
    <t>R Munna</t>
  </si>
  <si>
    <t>রুবেল মুন্না</t>
  </si>
  <si>
    <t>Abidur</t>
  </si>
  <si>
    <t>আবিদুর রহমান</t>
  </si>
  <si>
    <t>Saykat</t>
  </si>
  <si>
    <t>Ahmad Saykat (Mohammad Sheikh Farid Uddin)</t>
  </si>
  <si>
    <t>Roxy</t>
  </si>
  <si>
    <t>Obak Roxy</t>
  </si>
  <si>
    <t>FWIN-2 (Dec-2018)</t>
  </si>
  <si>
    <t>Siyam Islam</t>
  </si>
  <si>
    <t>Md Siyam Islam</t>
  </si>
  <si>
    <t>Ash</t>
  </si>
  <si>
    <t>Ash Saroer</t>
  </si>
  <si>
    <t>Rahib</t>
  </si>
  <si>
    <t xml:space="preserve">RA H IB </t>
  </si>
  <si>
    <t>Karim</t>
  </si>
  <si>
    <t>Karim Al Hasan</t>
  </si>
  <si>
    <t>Apon</t>
  </si>
  <si>
    <t>Al Amin Apon</t>
  </si>
  <si>
    <t>Saniat</t>
  </si>
  <si>
    <t>Saniat Pranto</t>
  </si>
  <si>
    <t>FWIN-1 (Nov-2016)</t>
  </si>
  <si>
    <t>Ashraful</t>
  </si>
  <si>
    <t>Ashraful Islam</t>
  </si>
  <si>
    <t>Rifat Hasan</t>
  </si>
  <si>
    <t>Rifat Al Hasan</t>
  </si>
  <si>
    <t>Saeed</t>
  </si>
  <si>
    <t>Saeed Ahmed</t>
  </si>
  <si>
    <t>Sakib Jr.</t>
  </si>
  <si>
    <t>Sakib Ahmed</t>
  </si>
  <si>
    <t>Rakib Jr.</t>
  </si>
  <si>
    <t>Rakib Hossain</t>
  </si>
  <si>
    <t>Meer</t>
  </si>
  <si>
    <t>Meer Sher Ali</t>
  </si>
  <si>
    <t>Yaro</t>
  </si>
  <si>
    <t>Abu Mohammad Yaro</t>
  </si>
  <si>
    <t>SH Sohan</t>
  </si>
  <si>
    <t>S H Sohan</t>
  </si>
  <si>
    <t>Anik</t>
  </si>
  <si>
    <t>Anik Day Shanto</t>
  </si>
  <si>
    <t>Md Raju</t>
  </si>
  <si>
    <t>Md Raju Islam</t>
  </si>
  <si>
    <t>Sobuz</t>
  </si>
  <si>
    <t>Sobuz Al Setu</t>
  </si>
  <si>
    <t>Durjoy</t>
  </si>
  <si>
    <t>Naieem Islam Durjoy</t>
  </si>
  <si>
    <t>Nuruzzaman</t>
  </si>
  <si>
    <t>Md Nuruzzaman Ahmed</t>
  </si>
  <si>
    <t>Ridoy</t>
  </si>
  <si>
    <t>Md Ridoy AR</t>
  </si>
  <si>
    <t>Masud</t>
  </si>
  <si>
    <t>MASUD KARIM</t>
  </si>
  <si>
    <t>Rakibul</t>
  </si>
  <si>
    <t>Rakibul Islam</t>
  </si>
  <si>
    <t>Mahin</t>
  </si>
  <si>
    <t>Mahin Rahman</t>
  </si>
  <si>
    <t>Noman</t>
  </si>
  <si>
    <t>Noman Rafy</t>
  </si>
  <si>
    <t>Naeem</t>
  </si>
  <si>
    <t>Md Naeem</t>
  </si>
  <si>
    <t>Bowling All-Rounder</t>
  </si>
  <si>
    <t>Promising Player</t>
  </si>
  <si>
    <t>Batsman</t>
  </si>
  <si>
    <t>Bowler</t>
  </si>
  <si>
    <t>All-Rounder</t>
  </si>
  <si>
    <t>VIP All-Rounder</t>
  </si>
  <si>
    <t>FCL Player Nick Name</t>
  </si>
  <si>
    <t>Full Name</t>
  </si>
  <si>
    <t>MOT (Man Of The Tournament)</t>
  </si>
  <si>
    <t>CPOT (Cool Player Of The Tournament) 2nd Position Of MOT</t>
  </si>
  <si>
    <t>MOM (Man Of The Match)</t>
  </si>
  <si>
    <t>CPOM (T (Cool Player Of The Match) 2nd Position Of MOM</t>
  </si>
  <si>
    <t>Dabut Year (Month/Year)</t>
  </si>
  <si>
    <t>Dabut Tournament:</t>
  </si>
  <si>
    <t>Dabut Team Name</t>
  </si>
  <si>
    <t>Max Runs In Tournament</t>
  </si>
  <si>
    <t>Max Wickets In Tournament</t>
  </si>
  <si>
    <t>FCC STAR CUP</t>
  </si>
  <si>
    <t>Manik's Monstars</t>
  </si>
  <si>
    <t>Bullet Kings</t>
  </si>
  <si>
    <t>FIC-1</t>
  </si>
  <si>
    <t>TEAM  ROCKET THUNDERS</t>
  </si>
  <si>
    <t>FCC-1</t>
  </si>
  <si>
    <t>BPL TiGERS (BT) Champ</t>
  </si>
  <si>
    <t>CNHM-1</t>
  </si>
  <si>
    <t>JSH</t>
  </si>
  <si>
    <t>Team  GLORY HUNTERS</t>
  </si>
  <si>
    <t>Jahin's Dynamits</t>
  </si>
  <si>
    <t>FCT-1</t>
  </si>
  <si>
    <t>BANGLADESH</t>
  </si>
  <si>
    <t>FWIN-1</t>
  </si>
  <si>
    <t>FCL SUPER KINGS</t>
  </si>
  <si>
    <t>FCL-1</t>
  </si>
  <si>
    <t>BPL TiGERS (BT)</t>
  </si>
  <si>
    <t>TEAM  KNIGHT ROAR</t>
  </si>
  <si>
    <t>TEAM  LUCK RIDERS</t>
  </si>
  <si>
    <t>FCL-2</t>
  </si>
  <si>
    <t>TEAM KNOCKOUT KINGS.</t>
  </si>
  <si>
    <t>FFC-2</t>
  </si>
  <si>
    <t>FCL DFP (RUNNER-UP)</t>
  </si>
  <si>
    <t>FSC-2</t>
  </si>
  <si>
    <t>SPARTAN LOCOMOTIVES</t>
  </si>
  <si>
    <t>NFCL-3</t>
  </si>
  <si>
    <t xml:space="preserve"> সিলেট বুস্টারর্স</t>
  </si>
  <si>
    <t>BPL ALL STAR (BAS)</t>
  </si>
  <si>
    <t>NFCL-2</t>
  </si>
  <si>
    <t>SYLHET CRACKERS</t>
  </si>
  <si>
    <t>CNHM-2</t>
  </si>
  <si>
    <t>THE SEAWOLVES</t>
  </si>
  <si>
    <t>BPL SUPER HEROES (BSH)</t>
  </si>
  <si>
    <t>REMEMBER THE NAME</t>
  </si>
  <si>
    <t>NFCL-1</t>
  </si>
  <si>
    <t>SSC (Shylet Super Cricket)</t>
  </si>
  <si>
    <t>ZHWA</t>
  </si>
  <si>
    <t>Team  DANGEROUS SCORCHERS</t>
  </si>
  <si>
    <t>FWC-1</t>
  </si>
  <si>
    <t>URUGUAY</t>
  </si>
  <si>
    <t>FIC-2</t>
  </si>
  <si>
    <t>Knockout-Kings</t>
  </si>
  <si>
    <t>FRS-1</t>
  </si>
  <si>
    <t>Monotonic-Hitters</t>
  </si>
  <si>
    <t>TiRELES RUNNERS</t>
  </si>
  <si>
    <t>MIGHTY SPARTANS</t>
  </si>
  <si>
    <t>SCREAMING EAGLES</t>
  </si>
  <si>
    <t>Extreme-Boyz</t>
  </si>
  <si>
    <t>SUPER KiNGS</t>
  </si>
  <si>
    <t>BULLET HITTERS</t>
  </si>
  <si>
    <t>GERMANY</t>
  </si>
  <si>
    <t>FVC-2</t>
  </si>
  <si>
    <t>BiJOY THUNDERS</t>
  </si>
  <si>
    <t>Fearless Knight (RUNNER-UP)</t>
  </si>
  <si>
    <t>FCL-3</t>
  </si>
  <si>
    <t>Master Blaster</t>
  </si>
  <si>
    <t>BPL ICONS</t>
  </si>
  <si>
    <t>TEAM  KING STÀRS (1RU)</t>
  </si>
  <si>
    <t>TEAM  EXTREME BOYZ (Champ)</t>
  </si>
  <si>
    <t>FSC-1</t>
  </si>
  <si>
    <t>Razzakiyans-Fasters</t>
  </si>
  <si>
    <t>FREEDOM WARRIORS</t>
  </si>
  <si>
    <t>Atom-Sixers</t>
  </si>
  <si>
    <t>KHULNA CRUSHERS</t>
  </si>
  <si>
    <t>EXOTiC FiGHTERS</t>
  </si>
  <si>
    <t>ATOM SiXERS</t>
  </si>
  <si>
    <t>BiJOY HiTTERS</t>
  </si>
  <si>
    <t>Team  BLEED BLUE</t>
  </si>
  <si>
    <t>CNHM-3</t>
  </si>
  <si>
    <t>Brave-Warriors-(BW)</t>
  </si>
  <si>
    <t>AUSTRALiA</t>
  </si>
  <si>
    <t>BPB (BPL POWER BOYS)</t>
  </si>
  <si>
    <t>Hazardous Hitters</t>
  </si>
  <si>
    <t>FIERCE WARRIORS (CHAMPION)</t>
  </si>
  <si>
    <t>TEAM DANGAROUS DYNAMITS</t>
  </si>
  <si>
    <t>Silent Killers</t>
  </si>
  <si>
    <t>Asif's Sixers</t>
  </si>
  <si>
    <t>XTREME TRITONS</t>
  </si>
  <si>
    <t>Mighty Tigers</t>
  </si>
  <si>
    <t>BPL ICONS (BI) +1RU+</t>
  </si>
  <si>
    <t>FFC-1</t>
  </si>
  <si>
    <t>SWS WARRIORS</t>
  </si>
  <si>
    <t xml:space="preserve">  খুলনা টাইগারর্স </t>
  </si>
  <si>
    <t>FCL LMP</t>
  </si>
  <si>
    <t>BULLY STRING</t>
  </si>
  <si>
    <t>BOSNIA</t>
  </si>
  <si>
    <t>FREEDOM BOYZ</t>
  </si>
  <si>
    <t>HONDURAS</t>
  </si>
  <si>
    <t>Rocket-Thunders</t>
  </si>
  <si>
    <t>NEW ZEALAND (1st Runner-Up)</t>
  </si>
  <si>
    <t>DD (Dhaka Dangers)</t>
  </si>
  <si>
    <t>KSS (Khulna Super Stars)</t>
  </si>
  <si>
    <t>UR (Uronto Rajshahi)</t>
  </si>
  <si>
    <t>RBH</t>
  </si>
  <si>
    <t>SJ GLADIATORS</t>
  </si>
  <si>
    <t>SRAH</t>
  </si>
  <si>
    <t>SSA</t>
  </si>
  <si>
    <t>SJH</t>
  </si>
  <si>
    <t>MRK</t>
  </si>
  <si>
    <t>TAYR</t>
  </si>
  <si>
    <t>SRA</t>
  </si>
  <si>
    <t>CSTAO</t>
  </si>
  <si>
    <t>ENGLAND</t>
  </si>
  <si>
    <t>INDiA (2nd Runner Up)</t>
  </si>
  <si>
    <t>PAKiSTAN</t>
  </si>
  <si>
    <t>BPL POWER BOYS (BPB)</t>
  </si>
  <si>
    <t>Team  SPARKLING FiRE (2RU)</t>
  </si>
  <si>
    <t>Team  BLAZZING STARS</t>
  </si>
  <si>
    <t>Team  DARK HORSE</t>
  </si>
  <si>
    <t>TEAM  HiDDEN DRAGONS</t>
  </si>
  <si>
    <t>TEAM DIAMOND MINERS</t>
  </si>
  <si>
    <t>CHITTAGONG THUNDERS</t>
  </si>
  <si>
    <t>RAJSHAHI RIDERS</t>
  </si>
  <si>
    <t>THE BRAVE ROYALS</t>
  </si>
  <si>
    <t>DHAKA SCORCHERS</t>
  </si>
  <si>
    <t>FLAMiN FiGHTERS</t>
  </si>
  <si>
    <t>EXTREME BLUSTERS</t>
  </si>
  <si>
    <t>SUPER BURNERS</t>
  </si>
  <si>
    <t>CRiCKET WARRiORS</t>
  </si>
  <si>
    <t>Sadrul's Warriors</t>
  </si>
  <si>
    <t>Himal's Lions</t>
  </si>
  <si>
    <t>Zaheed's Strikers</t>
  </si>
  <si>
    <t>ARGENTINA</t>
  </si>
  <si>
    <t>FREEDOM LOVERS</t>
  </si>
  <si>
    <t>FREEDOM SIXER</t>
  </si>
  <si>
    <t>BiJOY RiDERS</t>
  </si>
  <si>
    <t>BiJOY KiNGS</t>
  </si>
  <si>
    <t>BiJOY DYNAMICS</t>
  </si>
  <si>
    <t>Spinal Tappers</t>
  </si>
  <si>
    <t>Dream Chasers</t>
  </si>
  <si>
    <t>Dangerous-Scorchers</t>
  </si>
  <si>
    <t>Hidden-Dragons</t>
  </si>
  <si>
    <t>Diamond-Minners</t>
  </si>
  <si>
    <t>Mustafiziyans-Masters</t>
  </si>
  <si>
    <t xml:space="preserve"> ঢাকা লায়ন্স </t>
  </si>
  <si>
    <t xml:space="preserve"> ঢাকা নাইট রাইডার্স</t>
  </si>
  <si>
    <t>FWIN-2</t>
  </si>
  <si>
    <t xml:space="preserve">THE UNPREDICTABLES </t>
  </si>
  <si>
    <t>Real-Fighters-(RF)</t>
  </si>
  <si>
    <t>Knockout-Punchers-(KP)</t>
  </si>
  <si>
    <t>FCL VIKINGS</t>
  </si>
  <si>
    <t>CRICK FCL</t>
  </si>
  <si>
    <t>Dare-Devil</t>
  </si>
  <si>
    <t>Atomic-Squad</t>
  </si>
  <si>
    <t>Dangerous-Unicorns</t>
  </si>
  <si>
    <t>CREAMERY TRENCHERMAN (Champion)</t>
  </si>
  <si>
    <t>HAAOR EXPRESS</t>
  </si>
  <si>
    <t>The Ultimate Kings</t>
  </si>
  <si>
    <t>The Smashers</t>
  </si>
  <si>
    <t>Blusterous Wolves</t>
  </si>
  <si>
    <t>ULTIMATE SQUADRON</t>
  </si>
  <si>
    <t>FRS-2</t>
  </si>
  <si>
    <t>LAZY BOYS</t>
  </si>
  <si>
    <t>SHADOW  HUNTERS</t>
  </si>
  <si>
    <t>FCL-4</t>
  </si>
  <si>
    <t>SILENT   KILLERS</t>
  </si>
  <si>
    <t>EMPEROR SCORPION</t>
  </si>
  <si>
    <t>FCL        FIGHTERS</t>
  </si>
  <si>
    <t>INFINITY RIDERS</t>
  </si>
  <si>
    <t>BOOM BOOM BASHERS</t>
  </si>
  <si>
    <t>FCL     HUNTERS</t>
  </si>
  <si>
    <t>FCC-2</t>
  </si>
  <si>
    <t>REAL DOMINATORS</t>
  </si>
  <si>
    <t>Player Image</t>
  </si>
  <si>
    <t>Sl</t>
  </si>
  <si>
    <t>Name</t>
  </si>
  <si>
    <t>M</t>
  </si>
  <si>
    <t>RUN</t>
  </si>
  <si>
    <t>W</t>
  </si>
  <si>
    <t>IN</t>
  </si>
  <si>
    <t>NO</t>
  </si>
  <si>
    <t>4's</t>
  </si>
  <si>
    <t>6's</t>
  </si>
  <si>
    <t>MOM</t>
  </si>
  <si>
    <t>CPOM/SAPOM</t>
  </si>
  <si>
    <t>PLAYERS</t>
  </si>
  <si>
    <t>TOURNAMENT</t>
  </si>
  <si>
    <t>Team Name Of The Player</t>
  </si>
  <si>
    <t>Tournament Play</t>
  </si>
  <si>
    <t>Team Serial</t>
  </si>
  <si>
    <t>MOT/CPOT</t>
  </si>
  <si>
    <t>Cham/RU</t>
  </si>
  <si>
    <t>TOURNAMENT TIME (Month-Year)</t>
  </si>
  <si>
    <t>TOP SCORER</t>
  </si>
  <si>
    <t>TOP WICKET</t>
  </si>
  <si>
    <t>Debut</t>
  </si>
  <si>
    <t>CHAMP</t>
  </si>
  <si>
    <t>CPOT</t>
  </si>
  <si>
    <t>RU</t>
  </si>
  <si>
    <t>MOT</t>
  </si>
  <si>
    <t>SH Shanto</t>
  </si>
  <si>
    <t>KOC (Kings Of Chittagong)</t>
  </si>
  <si>
    <t>AN FIRE</t>
  </si>
  <si>
    <t>Md. AsiF</t>
  </si>
  <si>
    <t>RayHaN</t>
  </si>
  <si>
    <t>HeLaL</t>
  </si>
  <si>
    <t>JubayeR</t>
  </si>
  <si>
    <t>SOUTH AFRiCA (Champion)</t>
  </si>
  <si>
    <t>JahiN</t>
  </si>
  <si>
    <t>ImtiaZ</t>
  </si>
  <si>
    <t>Team : INDiA (2nd Runner Up)</t>
  </si>
  <si>
    <t>3RD</t>
  </si>
  <si>
    <t>WEST INDiES</t>
  </si>
  <si>
    <t>RifaT</t>
  </si>
  <si>
    <t>RinkoN</t>
  </si>
  <si>
    <t>FiroZ</t>
  </si>
  <si>
    <t>NiroB</t>
  </si>
  <si>
    <t>REPLACEMENT HiRE</t>
  </si>
  <si>
    <t>INDiA (Higher)</t>
  </si>
  <si>
    <t>RAYHAN</t>
  </si>
  <si>
    <t>JAHiD</t>
  </si>
  <si>
    <t>RiFAT</t>
  </si>
  <si>
    <t>JUMON</t>
  </si>
  <si>
    <t>BPL ALL STAR (BAS) +2RU+</t>
  </si>
  <si>
    <t>JAHiN</t>
  </si>
  <si>
    <t>SHOHAG</t>
  </si>
  <si>
    <t>HELAL</t>
  </si>
  <si>
    <t>TUTUL</t>
  </si>
  <si>
    <t>NiAMUL</t>
  </si>
  <si>
    <t>Akram HiMAL</t>
  </si>
  <si>
    <t>SAKiB sr.</t>
  </si>
  <si>
    <t>TAHO</t>
  </si>
  <si>
    <t>TAWHID</t>
  </si>
  <si>
    <t>OVI</t>
  </si>
  <si>
    <t>YAHYA</t>
  </si>
  <si>
    <t>RiNKON</t>
  </si>
  <si>
    <t>RUVEL</t>
  </si>
  <si>
    <t>SHAWON</t>
  </si>
  <si>
    <t>SAiFUL</t>
  </si>
  <si>
    <t>BPL SiXERS (BS)</t>
  </si>
  <si>
    <t>FAiSAL</t>
  </si>
  <si>
    <t>EMON</t>
  </si>
  <si>
    <t>BiSHAL</t>
  </si>
  <si>
    <t>REXX</t>
  </si>
  <si>
    <t>MANiK</t>
  </si>
  <si>
    <t>LOVELO</t>
  </si>
  <si>
    <t>WASHiM</t>
  </si>
  <si>
    <t>NAYEEM</t>
  </si>
  <si>
    <t>TEAM = #KING #STÀRS (1RU)</t>
  </si>
  <si>
    <t>OVi</t>
  </si>
  <si>
    <t>SABBIR</t>
  </si>
  <si>
    <t>HRiDOY</t>
  </si>
  <si>
    <t>Team = #SPARKLING #FiRE (2RU)</t>
  </si>
  <si>
    <t>ZAHEED</t>
  </si>
  <si>
    <t>ALiF</t>
  </si>
  <si>
    <t>ZOHiR</t>
  </si>
  <si>
    <t>Team = #BLAZZING #STARS</t>
  </si>
  <si>
    <t>SAHED</t>
  </si>
  <si>
    <t>ANEEK</t>
  </si>
  <si>
    <t>SHARiF</t>
  </si>
  <si>
    <t>TEAM = #ROCKET #THUNDERS</t>
  </si>
  <si>
    <t>PAUL</t>
  </si>
  <si>
    <t>OLiy</t>
  </si>
  <si>
    <t>Team = #DARK #HORSE</t>
  </si>
  <si>
    <t>SHAHAN</t>
  </si>
  <si>
    <t>SADRUL</t>
  </si>
  <si>
    <t>SOHANUR</t>
  </si>
  <si>
    <t>Team = #GLORY #HUNTERS</t>
  </si>
  <si>
    <t>JAHIN</t>
  </si>
  <si>
    <t>NAHID</t>
  </si>
  <si>
    <t>FAHAD</t>
  </si>
  <si>
    <t>RAKIB</t>
  </si>
  <si>
    <t>SAMI</t>
  </si>
  <si>
    <t>Team = #BLEED #BLUE</t>
  </si>
  <si>
    <t>SAKiB Sr.</t>
  </si>
  <si>
    <t>ASiF</t>
  </si>
  <si>
    <t>NOVEL</t>
  </si>
  <si>
    <t>Sukamal</t>
  </si>
  <si>
    <t>TEAM = #EXTREME #BOYZ (Champ)</t>
  </si>
  <si>
    <t>MD. Asif</t>
  </si>
  <si>
    <t>TOWKiR</t>
  </si>
  <si>
    <t>SHAKiL Ahmed</t>
  </si>
  <si>
    <t>Team = #DANGEROUS #SCORCHERS</t>
  </si>
  <si>
    <t>INJAMUL</t>
  </si>
  <si>
    <t>ARMAN</t>
  </si>
  <si>
    <t>ARAFAT</t>
  </si>
  <si>
    <t>JOWEL</t>
  </si>
  <si>
    <t>RAFE</t>
  </si>
  <si>
    <t>TEAM = #HiDDEN #DRAGONS</t>
  </si>
  <si>
    <t>ARiF</t>
  </si>
  <si>
    <t>ZEESHAN</t>
  </si>
  <si>
    <t>TEAM = #KNIGHT #ROAR</t>
  </si>
  <si>
    <t>BRiNTO</t>
  </si>
  <si>
    <t>RAHAT</t>
  </si>
  <si>
    <t>ROBIN</t>
  </si>
  <si>
    <t>TEAM = #LUCK #RIDERS</t>
  </si>
  <si>
    <t>RI AKASH</t>
  </si>
  <si>
    <t>REDWAN</t>
  </si>
  <si>
    <t>MOON</t>
  </si>
  <si>
    <t>YOUSUF</t>
  </si>
  <si>
    <t>TEAM #KNOCKOUT KINGS.</t>
  </si>
  <si>
    <t>AL Mamun</t>
  </si>
  <si>
    <t>TEAM #STABBORN VIPERZ</t>
  </si>
  <si>
    <t>TEAM STABBORN VIPERZ</t>
  </si>
  <si>
    <t>TEAM #DIAMOND MINERS</t>
  </si>
  <si>
    <t>TEAM #EXOTIC RINOS</t>
  </si>
  <si>
    <t>TEAM EXOTIC RINOS</t>
  </si>
  <si>
    <t>Arman</t>
  </si>
  <si>
    <t>TEAM #ROCKING STARS</t>
  </si>
  <si>
    <t>TEAM ROCKING STARS</t>
  </si>
  <si>
    <t>TEAM #DANGAROUS DYNAMITS</t>
  </si>
  <si>
    <t>Ashik</t>
  </si>
  <si>
    <t>TEAM #SUPER SPARKS</t>
  </si>
  <si>
    <t>TEAM SUPER SPARKS</t>
  </si>
  <si>
    <t>GREEN SPIDER</t>
  </si>
  <si>
    <t>CHITTAGONG SMASHER</t>
  </si>
  <si>
    <t>DHAKA AVIATORS</t>
  </si>
  <si>
    <t>Abutaleb</t>
  </si>
  <si>
    <t>#THUNDER #CRiCKETERS</t>
  </si>
  <si>
    <t>THUNDER CRiCKETERS</t>
  </si>
  <si>
    <t>#SUPER KiNGS</t>
  </si>
  <si>
    <t>ADNAN</t>
  </si>
  <si>
    <t>#TiRELES RUNNERS</t>
  </si>
  <si>
    <t>#FLAMiN FiGHTERS</t>
  </si>
  <si>
    <t>#THE SEAWOLVES</t>
  </si>
  <si>
    <t>#EXTREME #BLUSTERS</t>
  </si>
  <si>
    <t>#THE ViPERZ</t>
  </si>
  <si>
    <t>THE ViPERZ</t>
  </si>
  <si>
    <t>Azwad</t>
  </si>
  <si>
    <t>Oli</t>
  </si>
  <si>
    <t>#THE BRAVE ROYALS</t>
  </si>
  <si>
    <t>4TH</t>
  </si>
  <si>
    <t>#SUPER BURNERS</t>
  </si>
  <si>
    <t>#CRiCKET #WARRiORS</t>
  </si>
  <si>
    <t>#BULLET HITTERS</t>
  </si>
  <si>
    <t>#CRiCKET LOVERS</t>
  </si>
  <si>
    <t>CRiCKET LOVERS</t>
  </si>
  <si>
    <t>Bappi</t>
  </si>
  <si>
    <t>#SHiNiNG #SUPER FOUR</t>
  </si>
  <si>
    <t>SHiNiNG SUPER FOUR</t>
  </si>
  <si>
    <t>#LEGENDARY DYNAMiCS</t>
  </si>
  <si>
    <t>LEGENDARY DYNAMiCS</t>
  </si>
  <si>
    <t>#EXOTiC FiGHTERS</t>
  </si>
  <si>
    <t>Arif's Fighters</t>
  </si>
  <si>
    <t>-</t>
  </si>
  <si>
    <t>#ARGENTINA</t>
  </si>
  <si>
    <t>Rahin</t>
  </si>
  <si>
    <t>#ENGLAND</t>
  </si>
  <si>
    <t>ShiShir</t>
  </si>
  <si>
    <t>#ITALY</t>
  </si>
  <si>
    <t>ITALY</t>
  </si>
  <si>
    <t>#URUGUAY</t>
  </si>
  <si>
    <t>#GHANA</t>
  </si>
  <si>
    <t>GHANA</t>
  </si>
  <si>
    <t>#IRAN</t>
  </si>
  <si>
    <t>IRAN</t>
  </si>
  <si>
    <t>SPAIN</t>
  </si>
  <si>
    <t>BRAZIL</t>
  </si>
  <si>
    <t>PORTUGAL</t>
  </si>
  <si>
    <t>#FRANCE</t>
  </si>
  <si>
    <t>FRANCE</t>
  </si>
  <si>
    <t>#COLOMBIA</t>
  </si>
  <si>
    <t>COLOMBIA</t>
  </si>
  <si>
    <t>Jowel</t>
  </si>
  <si>
    <t>FREEDOM FiGHTERS</t>
  </si>
  <si>
    <t>FREEDOM GLADIATORS</t>
  </si>
  <si>
    <t>BiJOY BURNERS</t>
  </si>
  <si>
    <t>Soyeb</t>
  </si>
  <si>
    <t>Sajeeb</t>
  </si>
  <si>
    <t>Leading Challengers</t>
  </si>
  <si>
    <t>Vigorous Knights</t>
  </si>
  <si>
    <t>Shafi</t>
  </si>
  <si>
    <t>Roaring Tigers</t>
  </si>
  <si>
    <t>MHK</t>
  </si>
  <si>
    <t>Lightning Thunders</t>
  </si>
  <si>
    <t>Giant Storm</t>
  </si>
  <si>
    <t>Rocking Dynamite</t>
  </si>
  <si>
    <t>Dark-Horse</t>
  </si>
  <si>
    <t>Blazzing-Stars</t>
  </si>
  <si>
    <t>TafShir</t>
  </si>
  <si>
    <t>Luck-Riders</t>
  </si>
  <si>
    <t>Nayeem</t>
  </si>
  <si>
    <t>Glory-Hunters</t>
  </si>
  <si>
    <t>Fantastic-Five</t>
  </si>
  <si>
    <t>Sparkling-Fire</t>
  </si>
  <si>
    <t>Knight-Roar</t>
  </si>
  <si>
    <t>Tamimiyans-Fighter</t>
  </si>
  <si>
    <t>Sabbiriyans-Sixer</t>
  </si>
  <si>
    <t>Sarkariyans-Burners</t>
  </si>
  <si>
    <t>Taskiniyans-Runners</t>
  </si>
  <si>
    <t>Mushfiqiyans-Gunners</t>
  </si>
  <si>
    <t>Mashrafiyans-Riders</t>
  </si>
  <si>
    <t>Rubeliyans-Gangs</t>
  </si>
  <si>
    <t>Riyadiyans-Rollers</t>
  </si>
  <si>
    <t>Shakibiyans-Kings</t>
  </si>
  <si>
    <t>Nasiriyans-Lovers</t>
  </si>
  <si>
    <t>→→ #ঢাকা নাইট রাইডার্স</t>
  </si>
  <si>
    <t>→→ #চিটাগং সানরাইজারর্স</t>
  </si>
  <si>
    <t xml:space="preserve"> চিটাগং সানরাইজারর্স</t>
  </si>
  <si>
    <t>→→ #সিলেট বুস্টারর্স</t>
  </si>
  <si>
    <t>→→ #রংপুরস স্টপারর্স</t>
  </si>
  <si>
    <t xml:space="preserve"> রংপুরস স্টপারর্স</t>
  </si>
  <si>
    <t>→→ #রাজশাহী গ্যাংগ্যেরর্স</t>
  </si>
  <si>
    <t xml:space="preserve"> রাজশাহী গ্যাংগ্যেরর্স</t>
  </si>
  <si>
    <t>→→ # খুলনা টাইগারর্স ←←</t>
  </si>
  <si>
    <t>→→ #চিটাগং ভিক্টোরিয়ান্স ←←</t>
  </si>
  <si>
    <t xml:space="preserve"> চিটাগং ভিক্টোরিয়ান্স </t>
  </si>
  <si>
    <t>→→ #ঢাকা লায়ন্স ←←</t>
  </si>
  <si>
    <t>Googly-Gang-(GG)</t>
  </si>
  <si>
    <t>Sawon</t>
  </si>
  <si>
    <t>Gaint-Killers-(GK)</t>
  </si>
  <si>
    <t>Mountain-Builders-(MB)</t>
  </si>
  <si>
    <t>Solid-Sixers-(SS)</t>
  </si>
  <si>
    <t>AB Mamun</t>
  </si>
  <si>
    <t>Handsome-Hitters-(HH)</t>
  </si>
  <si>
    <t>#FCL LMP</t>
  </si>
  <si>
    <t>#FCL KINGS</t>
  </si>
  <si>
    <t>FCL KINGS</t>
  </si>
  <si>
    <t>#FCL VIKINGS</t>
  </si>
  <si>
    <t>#FCL CHELLENGERS</t>
  </si>
  <si>
    <t>FCL CHELLENGERS</t>
  </si>
  <si>
    <t>#FCL SUPERSTARS</t>
  </si>
  <si>
    <t>FCL SUPERSTARS</t>
  </si>
  <si>
    <t>#CRICK FCL</t>
  </si>
  <si>
    <t>#FCL SUPER KINGS</t>
  </si>
  <si>
    <t>#DURONTO FCL</t>
  </si>
  <si>
    <t>DURONTO FCL</t>
  </si>
  <si>
    <t>#FCL DYNAMITES</t>
  </si>
  <si>
    <t>FCL DYNAMITES</t>
  </si>
  <si>
    <t>#FCL PHENOMENAL</t>
  </si>
  <si>
    <t>FCL PHENOMENAL</t>
  </si>
  <si>
    <t>SUPER RISING KING</t>
  </si>
  <si>
    <t>LEGEND STARS</t>
  </si>
  <si>
    <t>FIGHTER BOYS</t>
  </si>
  <si>
    <t>FCL PTS</t>
  </si>
  <si>
    <t>YOUNG STAR 3</t>
  </si>
  <si>
    <t>GiGANTiC UNICORNS</t>
  </si>
  <si>
    <t xml:space="preserve">FCL SUPER KING </t>
  </si>
  <si>
    <t>ROARING KINGS</t>
  </si>
  <si>
    <t>FCL DHAKA KINGS</t>
  </si>
  <si>
    <t>KHM KILLER</t>
  </si>
  <si>
    <t>FCL KNIGHT</t>
  </si>
  <si>
    <t>SILENT KILLER</t>
  </si>
  <si>
    <t>THE FEARLESS KNIGHTS</t>
  </si>
  <si>
    <t>ViGOROUS KNIGHTS (RUNNERS-UP)</t>
  </si>
  <si>
    <t>CONFIDENCE SPLASH (CHAMPION)</t>
  </si>
  <si>
    <t>THE FIERCE GREENHORNS</t>
  </si>
  <si>
    <t>Gaint-Assasins</t>
  </si>
  <si>
    <t>Encounter-Hitters</t>
  </si>
  <si>
    <t>Final-Fury-V</t>
  </si>
  <si>
    <t>Gourgious-Gangs</t>
  </si>
  <si>
    <t>Fire-Crackers</t>
  </si>
  <si>
    <t>GangStar-Wizerd</t>
  </si>
  <si>
    <t xml:space="preserve">FCL STARS </t>
  </si>
  <si>
    <t>0</t>
  </si>
  <si>
    <t xml:space="preserve">PARLE THEKAO </t>
  </si>
  <si>
    <t>O</t>
  </si>
  <si>
    <t>BENGAL TIGERS</t>
  </si>
  <si>
    <t>FCL BLUSTERS</t>
  </si>
  <si>
    <t>BLEED BLUE</t>
  </si>
  <si>
    <t xml:space="preserve">THE FOUR MASKETEERS </t>
  </si>
  <si>
    <t>Galaxy-V</t>
  </si>
  <si>
    <t>Longlasting-Finishers</t>
  </si>
  <si>
    <t>COVID19-VICTORIOUS</t>
  </si>
  <si>
    <t>FQ-20</t>
  </si>
  <si>
    <t>CORONA-SAFETY-UNIT</t>
  </si>
  <si>
    <t>ANTI-CORONA-FIGHTERS</t>
  </si>
  <si>
    <t>VIRUS-BLOCKERS</t>
  </si>
  <si>
    <t>TROPHY FIGHTES</t>
  </si>
  <si>
    <t>FWIN-3</t>
  </si>
  <si>
    <t>FURIOUS FALCONS</t>
  </si>
  <si>
    <t>POWERFUL SUPEERGIANTS</t>
  </si>
  <si>
    <t>TERRIFIC HITTERS</t>
  </si>
  <si>
    <t>OLD IS GOLD</t>
  </si>
  <si>
    <t>BANGLADESH TIGERS</t>
  </si>
  <si>
    <t>GREEN GALAXY</t>
  </si>
  <si>
    <t>CONFIDENT BOYS</t>
  </si>
  <si>
    <t>FLYING BIRDS</t>
  </si>
  <si>
    <t>NETA EXPRESS</t>
  </si>
  <si>
    <t>RUNNERS FOR VICTORY</t>
  </si>
  <si>
    <t>GAME SWINGERS</t>
  </si>
  <si>
    <t>LEADING STARS</t>
  </si>
  <si>
    <t>ARIF</t>
  </si>
  <si>
    <t>FLAME BOYS</t>
  </si>
  <si>
    <t>MAJESTIC ASSASSIN'S</t>
  </si>
  <si>
    <t>GOLDEN HAWKS</t>
  </si>
  <si>
    <t>Champ</t>
  </si>
  <si>
    <t>Eminent Blood-Slayers</t>
  </si>
  <si>
    <t>TM SHUVRO</t>
  </si>
  <si>
    <t>*</t>
  </si>
  <si>
    <t>Mh Nayem</t>
  </si>
  <si>
    <t>Fortune Strikers</t>
  </si>
  <si>
    <t>Googly Gang</t>
  </si>
  <si>
    <t>DESPERATE SCORERS</t>
  </si>
  <si>
    <t>TONMOY</t>
  </si>
  <si>
    <t>TANVIR</t>
  </si>
  <si>
    <t>SHAMIM</t>
  </si>
  <si>
    <t>MD. ASIF</t>
  </si>
  <si>
    <t>KILLER  KING</t>
  </si>
  <si>
    <t>KHOKON</t>
  </si>
  <si>
    <t>RASHED</t>
  </si>
  <si>
    <t>MUNNA</t>
  </si>
  <si>
    <t>FIGHTER   FIVE</t>
  </si>
  <si>
    <t>KAMAL</t>
  </si>
  <si>
    <t>NUR</t>
  </si>
  <si>
    <t>MITHU</t>
  </si>
  <si>
    <t>HIMEL</t>
  </si>
  <si>
    <t>PRANTO</t>
  </si>
  <si>
    <t>TAREK</t>
  </si>
  <si>
    <t>AL MAMUN</t>
  </si>
  <si>
    <t>AYAN</t>
  </si>
  <si>
    <t>DURJOY</t>
  </si>
  <si>
    <t>INVINCIBLE  FIGHTERS</t>
  </si>
  <si>
    <t>AKASH</t>
  </si>
  <si>
    <t>SA SHANTO</t>
  </si>
  <si>
    <t>JOY</t>
  </si>
  <si>
    <t>JOY BANGLA FIGHTERS</t>
  </si>
  <si>
    <t>JHONY</t>
  </si>
  <si>
    <t>NIAMUL</t>
  </si>
  <si>
    <t>DULAL</t>
  </si>
  <si>
    <t>LAISUL</t>
  </si>
  <si>
    <t>MIGHTY CHALLENGERS</t>
  </si>
  <si>
    <t>ARIFUL</t>
  </si>
  <si>
    <t>HRIDOY</t>
  </si>
  <si>
    <t>SHAKIL</t>
  </si>
  <si>
    <t>TOFAYEL</t>
  </si>
  <si>
    <t>SCORING  WILLOWS</t>
  </si>
  <si>
    <t>SAAJ</t>
  </si>
  <si>
    <t>FARUQUE</t>
  </si>
  <si>
    <t>MEER</t>
  </si>
  <si>
    <t>ADOR</t>
  </si>
  <si>
    <t>BANGLA SUPERBOYS</t>
  </si>
  <si>
    <t>YARO</t>
  </si>
  <si>
    <t>SH SHANTO</t>
  </si>
  <si>
    <t>ARISTOCRATIC  BROTHERS</t>
  </si>
  <si>
    <t>SHOVON</t>
  </si>
  <si>
    <t>SHAFIQUL</t>
  </si>
  <si>
    <t>SAJID</t>
  </si>
  <si>
    <t>SAGAR</t>
  </si>
  <si>
    <t>BRAVE HEART WARRIORS</t>
  </si>
  <si>
    <t>FIROJ</t>
  </si>
  <si>
    <t>SHISHIR</t>
  </si>
  <si>
    <t>PRITOM</t>
  </si>
  <si>
    <t>KAMIL</t>
  </si>
  <si>
    <t>FCL  SUPERHEROES</t>
  </si>
  <si>
    <t>sHOHAG</t>
  </si>
  <si>
    <t>TOWKIR</t>
  </si>
  <si>
    <t>TUHIN</t>
  </si>
  <si>
    <t>RAKIBUL</t>
  </si>
  <si>
    <t>MRIDUL</t>
  </si>
  <si>
    <t>TEAM   XTREAM</t>
  </si>
  <si>
    <t>MANIK</t>
  </si>
  <si>
    <t>WASIQ</t>
  </si>
  <si>
    <t>WASHIM</t>
  </si>
  <si>
    <t>NURUZZAMAN</t>
  </si>
  <si>
    <t>BANGALI  BLASTERS</t>
  </si>
  <si>
    <t>SOBUZ</t>
  </si>
  <si>
    <t>NETA    EXPRESS</t>
  </si>
  <si>
    <t>MONSUR</t>
  </si>
  <si>
    <t>MEYAZ</t>
  </si>
  <si>
    <t>RIDOY</t>
  </si>
  <si>
    <t>STAR      BOYS</t>
  </si>
  <si>
    <t>RANA</t>
  </si>
  <si>
    <t>RAGING     BULLS</t>
  </si>
  <si>
    <t>ASIF</t>
  </si>
  <si>
    <t>RAGING BULLS</t>
  </si>
  <si>
    <t>SHUVRO</t>
  </si>
  <si>
    <t>NAEEM</t>
  </si>
  <si>
    <t>SILENT WARRIORS</t>
  </si>
  <si>
    <t>MAHIN</t>
  </si>
  <si>
    <t>KILLER KING</t>
  </si>
  <si>
    <t>KNIGHT HUNTERS</t>
  </si>
  <si>
    <t>GOLDEN TROPHY</t>
  </si>
  <si>
    <t>SKY WALKER</t>
  </si>
  <si>
    <t>FANTASTIC BOYZ</t>
  </si>
  <si>
    <t>RUBEL</t>
  </si>
  <si>
    <t>01</t>
  </si>
  <si>
    <t>FRS-3</t>
  </si>
  <si>
    <t>Ballastic Bouncers</t>
  </si>
  <si>
    <t>02</t>
  </si>
  <si>
    <t>03</t>
  </si>
  <si>
    <t>04</t>
  </si>
  <si>
    <t>05</t>
  </si>
  <si>
    <t>Crown Swingers</t>
  </si>
  <si>
    <t>06</t>
  </si>
  <si>
    <t>07</t>
  </si>
  <si>
    <t>08</t>
  </si>
  <si>
    <t>09</t>
  </si>
  <si>
    <t>The Invicibles</t>
  </si>
  <si>
    <t>10</t>
  </si>
  <si>
    <t>11</t>
  </si>
  <si>
    <t>12</t>
  </si>
  <si>
    <t>13</t>
  </si>
  <si>
    <t>Indomitable Cyclopeans</t>
  </si>
  <si>
    <t>14</t>
  </si>
  <si>
    <t>15</t>
  </si>
  <si>
    <t>16</t>
  </si>
  <si>
    <t>17</t>
  </si>
  <si>
    <t>Four Fighters</t>
  </si>
  <si>
    <t>18</t>
  </si>
  <si>
    <t>19</t>
  </si>
  <si>
    <t>20</t>
  </si>
  <si>
    <t>21</t>
  </si>
  <si>
    <t>22</t>
  </si>
  <si>
    <t>23</t>
  </si>
  <si>
    <t>24</t>
  </si>
  <si>
    <t>25</t>
  </si>
  <si>
    <t>Lion King</t>
  </si>
  <si>
    <t>26</t>
  </si>
  <si>
    <t>27</t>
  </si>
  <si>
    <t>28</t>
  </si>
  <si>
    <t>29</t>
  </si>
  <si>
    <t>Frozen Wolves</t>
  </si>
  <si>
    <t>30</t>
  </si>
  <si>
    <t>31</t>
  </si>
  <si>
    <t>32</t>
  </si>
  <si>
    <t>CNHM-4</t>
  </si>
  <si>
    <t>Silent Thunderlords</t>
  </si>
  <si>
    <t>Snow Leopards</t>
  </si>
  <si>
    <t>The Gunners</t>
  </si>
  <si>
    <t>Thunder Titans</t>
  </si>
  <si>
    <t>Desert Tigers</t>
  </si>
  <si>
    <t>Royal Phoenix</t>
  </si>
  <si>
    <t>Capricorn Chargers</t>
  </si>
  <si>
    <t>Mighty Mavericks</t>
  </si>
  <si>
    <t>Furious Falcons</t>
  </si>
  <si>
    <t>Crown Warriors</t>
  </si>
  <si>
    <t>arif.jpg</t>
  </si>
  <si>
    <t>sadrul.jpg</t>
  </si>
  <si>
    <t>tanvir.jpeg</t>
  </si>
  <si>
    <t>.jpeg</t>
  </si>
  <si>
    <t>zaheed.jpeg</t>
  </si>
  <si>
    <t>tonmoy.jpeg</t>
  </si>
  <si>
    <t>Birthday</t>
  </si>
  <si>
    <t>Mohammed Al Mamun</t>
  </si>
  <si>
    <t>Azwad Awsaf</t>
  </si>
  <si>
    <t>Shah Abi Talib Adnan</t>
  </si>
  <si>
    <t>tofayel.jpeg</t>
  </si>
  <si>
    <t>md siyam islam.jpeg</t>
  </si>
  <si>
    <t>sumon ab.jpeg</t>
  </si>
  <si>
    <t>helal.jpeg</t>
  </si>
  <si>
    <t>Mahbubur Rahman Akash.jpeg</t>
  </si>
  <si>
    <t>Shah Abi Talib Adnan.jpeg</t>
  </si>
  <si>
    <t>Towkir Ahmed Siddique.jpeg</t>
  </si>
  <si>
    <t>Md Dulal Miah.jpeg</t>
  </si>
  <si>
    <t>Sabbir Ahmed.jpeg</t>
  </si>
  <si>
    <t>Sakhawat Hossain Shanto.jpeg</t>
  </si>
  <si>
    <t>Rubel Hossain.jpeg</t>
  </si>
  <si>
    <t>Ador Hasan.jpeg</t>
  </si>
  <si>
    <t>Ahammed Ariful Haq.jpeg</t>
  </si>
  <si>
    <t>Mohammad Haris Mullah.jpeg</t>
  </si>
  <si>
    <t>M R Shakil.jpeg</t>
  </si>
  <si>
    <t>Rakibul Islam.jpeg</t>
  </si>
  <si>
    <t>Sayed Anowar Shanto</t>
  </si>
  <si>
    <t>Sayed Anowar Shanto.jpeg</t>
  </si>
  <si>
    <t>Foysal Ahmed Jumon.jpeg</t>
  </si>
  <si>
    <t>Abu Mohammad Yaro.jpeg</t>
  </si>
  <si>
    <t>Nur Muhammad.jpeg</t>
  </si>
  <si>
    <t>Fahim Shahrear Emon.jpeg</t>
  </si>
  <si>
    <t>Mahin Rahman.jpeg</t>
  </si>
  <si>
    <t>Susmoy Paul.jpeg</t>
  </si>
  <si>
    <t>Faisal Ahmed Jhony.jpeg</t>
  </si>
  <si>
    <t>Zi Zohir.jpeg</t>
  </si>
  <si>
    <t>Md Aneek Rashid.jpeg</t>
  </si>
  <si>
    <t>Jahin Shahriar Chowdhury.jpeg</t>
  </si>
  <si>
    <t>Sajjadul Haque Sagar.jpeg</t>
  </si>
  <si>
    <t>Akram Husan (Washim).jpeg</t>
  </si>
  <si>
    <t>Akram Hosen Himal.jpeg</t>
  </si>
  <si>
    <t>KM Rashedul Islam Rashed.jpeg</t>
  </si>
  <si>
    <t>Jøwël Chý</t>
  </si>
  <si>
    <t>DANGEROUS SCORCHERS</t>
  </si>
  <si>
    <t xml:space="preserve">  ROCKET THUNDERS</t>
  </si>
  <si>
    <t xml:space="preserve">  GLORY HUNTERS</t>
  </si>
  <si>
    <t xml:space="preserve">  KNIGHT ROAR</t>
  </si>
  <si>
    <t xml:space="preserve">  LUCK RIDERS</t>
  </si>
  <si>
    <t xml:space="preserve"> KNOCKOUT KINGS.</t>
  </si>
  <si>
    <t xml:space="preserve">  DANGEROUS SCORCHERS</t>
  </si>
  <si>
    <t xml:space="preserve">  KING STÀRS (1RU)</t>
  </si>
  <si>
    <t xml:space="preserve">  EXTREME BOYZ (Champ)</t>
  </si>
  <si>
    <t xml:space="preserve">  BLEED BLUE</t>
  </si>
  <si>
    <t xml:space="preserve"> DANGAROUS DYNAMITS</t>
  </si>
  <si>
    <t xml:space="preserve">  SPARKLING FiRE (2RU)</t>
  </si>
  <si>
    <t xml:space="preserve">  BLAZZING STARS</t>
  </si>
  <si>
    <t xml:space="preserve">  DARK HORSE</t>
  </si>
  <si>
    <t xml:space="preserve">  HiDDEN DRAGONS</t>
  </si>
  <si>
    <t xml:space="preserve"> DIAMOND MINERS</t>
  </si>
  <si>
    <t>FCL FIGHTERS</t>
  </si>
  <si>
    <t>Oli Ullah</t>
  </si>
  <si>
    <t>Sixer Bappi</t>
  </si>
  <si>
    <t>Rahin Superb</t>
  </si>
  <si>
    <t>Mohammed Shafi</t>
  </si>
  <si>
    <t>Md. Abutaleb</t>
  </si>
  <si>
    <t>Soyeb Hossain</t>
  </si>
  <si>
    <t>Cricket Pagla Arman</t>
  </si>
  <si>
    <t>Sukamal Mahajan</t>
  </si>
  <si>
    <t>Neaimul Novel</t>
  </si>
  <si>
    <t>Ahmad Sakib Abdullah.jpg</t>
  </si>
  <si>
    <t>Tanzim Hasan Rahat.jpeg</t>
  </si>
  <si>
    <t>Rafiul Haque Sanchay.jpeg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</si>
</sst>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.000_);_(* \(#,##0.000\);_(* &quot;-&quot;??_);_(@_)"/>
    <numFmt numFmtId="165" formatCode="[$-409]mmmm\-yy;@"/>
    <numFmt numFmtId="166" formatCode="_(* #,##0_);_(* \(#,##0\);_(* &quot;-&quot;??_);_(@_)"/>
    <numFmt numFmtId="167" formatCode="00"/>
    <numFmt numFmtId="168" formatCode="[$-409]d\-m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D2129"/>
      <name val="Arial"/>
      <family val="2"/>
    </font>
    <font>
      <b/>
      <sz val="9"/>
      <color indexed="81"/>
      <name val="Tahoma"/>
      <family val="2"/>
    </font>
    <font>
      <b/>
      <sz val="12"/>
      <color rgb="FF000000"/>
      <name val="Bodoni MT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3" fillId="3" borderId="0" xfId="0" applyFont="1" applyFill="1"/>
    <xf numFmtId="0" fontId="0" fillId="3" borderId="0" xfId="0" applyFill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/>
    <xf numFmtId="167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168" fontId="0" fillId="0" borderId="0" xfId="0" applyNumberFormat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" fontId="0" fillId="0" borderId="0" xfId="0" applyNumberFormat="1"/>
    <xf numFmtId="165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l\1st%20to%20Last%20FINAL%20FC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"/>
      <sheetName val="Data"/>
      <sheetName val="All Player"/>
      <sheetName val="Soft"/>
      <sheetName val="FRS--3 d"/>
      <sheetName val="Sheet1"/>
      <sheetName val="Draft"/>
      <sheetName val="Fcc 2 d"/>
      <sheetName val="Sheet3"/>
      <sheetName val="My Team Mate"/>
      <sheetName val="Arif"/>
      <sheetName val="Sadrul"/>
      <sheetName val="Jahin"/>
      <sheetName val="Extra Data"/>
      <sheetName val="cnhm 4 draft"/>
      <sheetName val="CNHM-4"/>
      <sheetName val="FRS-3"/>
      <sheetName val="FCL-4"/>
      <sheetName val="FCC-2"/>
      <sheetName val="FRS-2"/>
      <sheetName val="FRS-2 d"/>
      <sheetName val="FSC-2"/>
      <sheetName val="FFC-2"/>
      <sheetName val="FWIN-3"/>
      <sheetName val="FQ-20"/>
      <sheetName val="FWin-2"/>
      <sheetName val="FRS-1"/>
      <sheetName val="FFC-1"/>
      <sheetName val="FWin-1"/>
      <sheetName val="NFCL-3"/>
      <sheetName val="CNHM-3"/>
      <sheetName val="SUPER CUP-1"/>
      <sheetName val="FCL-3"/>
      <sheetName val="FIC-2"/>
      <sheetName val="FVC-2"/>
      <sheetName val="Fcl World-1"/>
      <sheetName val="fcc star"/>
      <sheetName val="CNHM-2"/>
      <sheetName val="NFCL-2"/>
      <sheetName val="FCL-2"/>
      <sheetName val="Fic 1"/>
      <sheetName val="fcc 1"/>
      <sheetName val="fct 13"/>
      <sheetName val="cnhm 1"/>
      <sheetName val="nfcl -1 "/>
      <sheetName val="fcl 1"/>
    </sheetNames>
    <sheetDataSet>
      <sheetData sheetId="0"/>
      <sheetData sheetId="1"/>
      <sheetData sheetId="2">
        <row r="2">
          <cell r="B2" t="str">
            <v>Jhony</v>
          </cell>
          <cell r="C2" t="str">
            <v>Faisal Ahmed Jhony</v>
          </cell>
        </row>
        <row r="3">
          <cell r="B3" t="str">
            <v>Nur</v>
          </cell>
          <cell r="C3" t="str">
            <v>Nur Muhammad</v>
          </cell>
        </row>
        <row r="4">
          <cell r="B4" t="str">
            <v>Paul</v>
          </cell>
          <cell r="C4" t="str">
            <v>Susmoy Paul</v>
          </cell>
        </row>
        <row r="5">
          <cell r="B5" t="str">
            <v>Jumon</v>
          </cell>
          <cell r="C5" t="str">
            <v>Foysal Ahmed Jumon</v>
          </cell>
        </row>
        <row r="6">
          <cell r="B6" t="str">
            <v>Shohag</v>
          </cell>
          <cell r="C6" t="str">
            <v>Hetlar Shohag</v>
          </cell>
        </row>
        <row r="7">
          <cell r="B7" t="str">
            <v>Rakib</v>
          </cell>
          <cell r="C7" t="str">
            <v>Rakib Hasan</v>
          </cell>
        </row>
        <row r="8">
          <cell r="B8" t="str">
            <v>SD Nath</v>
          </cell>
          <cell r="C8" t="str">
            <v>Sagor Dev Nath</v>
          </cell>
        </row>
        <row r="9">
          <cell r="B9" t="str">
            <v>Nayem</v>
          </cell>
          <cell r="C9" t="str">
            <v>Neyem khan</v>
          </cell>
        </row>
        <row r="10">
          <cell r="B10" t="str">
            <v>Mahadi</v>
          </cell>
          <cell r="C10" t="str">
            <v>JH Mahadi Sharker</v>
          </cell>
        </row>
        <row r="11">
          <cell r="B11" t="str">
            <v>Rayhan</v>
          </cell>
          <cell r="C11" t="str">
            <v>Rayhan Rahman</v>
          </cell>
        </row>
        <row r="12">
          <cell r="B12" t="str">
            <v>Firoj</v>
          </cell>
          <cell r="C12" t="str">
            <v>Firoj alam</v>
          </cell>
        </row>
        <row r="13">
          <cell r="B13" t="str">
            <v>Sh Shanto</v>
          </cell>
          <cell r="C13" t="str">
            <v>Sakhawat Hossain Shanto</v>
          </cell>
        </row>
        <row r="14">
          <cell r="B14" t="str">
            <v>Roman</v>
          </cell>
          <cell r="C14" t="str">
            <v>Roman mahamud Arko</v>
          </cell>
        </row>
        <row r="15">
          <cell r="B15" t="str">
            <v>Redwan</v>
          </cell>
          <cell r="C15" t="str">
            <v>Redwan Ahmed</v>
          </cell>
        </row>
        <row r="16">
          <cell r="B16" t="str">
            <v>Al Mamun</v>
          </cell>
          <cell r="C16" t="str">
            <v>Mohammed Al Mamun</v>
          </cell>
        </row>
        <row r="17">
          <cell r="B17" t="str">
            <v>Samiul</v>
          </cell>
          <cell r="C17" t="str">
            <v>Samilul Khan</v>
          </cell>
        </row>
        <row r="18">
          <cell r="B18" t="str">
            <v>Rana</v>
          </cell>
          <cell r="C18" t="str">
            <v>Rana Md Masud</v>
          </cell>
        </row>
        <row r="19">
          <cell r="B19" t="str">
            <v>Mahi</v>
          </cell>
          <cell r="C19" t="str">
            <v>মাহি উদ্দিন শুভ্র</v>
          </cell>
        </row>
        <row r="20">
          <cell r="B20" t="str">
            <v>Jahin</v>
          </cell>
          <cell r="C20" t="str">
            <v>Jahin Shahriar Chowdhury</v>
          </cell>
        </row>
        <row r="21">
          <cell r="B21" t="str">
            <v>Tofayel</v>
          </cell>
          <cell r="C21" t="str">
            <v>MD Tofayel Ahmed</v>
          </cell>
        </row>
        <row r="22">
          <cell r="B22" t="str">
            <v>Sumon</v>
          </cell>
          <cell r="C22" t="str">
            <v>Sumon Ab</v>
          </cell>
        </row>
        <row r="23">
          <cell r="B23" t="str">
            <v>Sakib Sr.</v>
          </cell>
          <cell r="C23" t="str">
            <v>Ahmad Sakib Abdullah</v>
          </cell>
        </row>
        <row r="24">
          <cell r="B24" t="str">
            <v>Sajid</v>
          </cell>
          <cell r="C24" t="str">
            <v>Ahmad Sajid Abdullah</v>
          </cell>
        </row>
        <row r="25">
          <cell r="B25" t="str">
            <v>Helal</v>
          </cell>
          <cell r="C25" t="str">
            <v>Sheik Helal Ahmed</v>
          </cell>
        </row>
        <row r="26">
          <cell r="B26" t="str">
            <v>Washim</v>
          </cell>
          <cell r="C26" t="str">
            <v>Akram Husan (Washim)</v>
          </cell>
        </row>
        <row r="27">
          <cell r="B27" t="str">
            <v>Arafat</v>
          </cell>
          <cell r="C27" t="str">
            <v>Sakib Arafat</v>
          </cell>
        </row>
        <row r="28">
          <cell r="B28" t="str">
            <v>Kamil</v>
          </cell>
          <cell r="C28" t="str">
            <v>Kamil Ahmed</v>
          </cell>
        </row>
        <row r="29">
          <cell r="B29" t="str">
            <v>Rashed</v>
          </cell>
          <cell r="C29" t="str">
            <v>KM Rashedul Islam Rashed</v>
          </cell>
        </row>
        <row r="30">
          <cell r="B30" t="str">
            <v>Tutul</v>
          </cell>
          <cell r="C30" t="str">
            <v>Kamrul Hasan Tutul</v>
          </cell>
        </row>
        <row r="31">
          <cell r="B31" t="str">
            <v>Raju</v>
          </cell>
          <cell r="C31" t="str">
            <v>Radoyan Raju</v>
          </cell>
        </row>
        <row r="32">
          <cell r="B32" t="str">
            <v>Tonmoy</v>
          </cell>
          <cell r="C32" t="str">
            <v>Asik Hassan Tonmoy</v>
          </cell>
        </row>
        <row r="33">
          <cell r="B33" t="str">
            <v>Rubel</v>
          </cell>
          <cell r="C33" t="str">
            <v>Anisur Islam (Rubel Hossain)</v>
          </cell>
        </row>
        <row r="34">
          <cell r="B34" t="str">
            <v>Ador</v>
          </cell>
          <cell r="C34" t="str">
            <v>Ador Hasan</v>
          </cell>
        </row>
        <row r="35">
          <cell r="B35" t="str">
            <v>Ab Mamun</v>
          </cell>
          <cell r="C35" t="str">
            <v>Abdullah Al Mamun</v>
          </cell>
        </row>
        <row r="36">
          <cell r="B36" t="str">
            <v>Zaheed</v>
          </cell>
          <cell r="C36" t="str">
            <v>Zaheed Hasan</v>
          </cell>
        </row>
        <row r="37">
          <cell r="B37" t="str">
            <v>Sadrul</v>
          </cell>
          <cell r="C37" t="str">
            <v>Sadrul Anam</v>
          </cell>
        </row>
        <row r="38">
          <cell r="B38" t="str">
            <v>Pritom</v>
          </cell>
          <cell r="C38" t="str">
            <v>Sanju Pritom</v>
          </cell>
        </row>
        <row r="39">
          <cell r="B39" t="str">
            <v>Rexx</v>
          </cell>
          <cell r="C39" t="str">
            <v>Bishwajit Sarkar</v>
          </cell>
        </row>
        <row r="40">
          <cell r="B40" t="str">
            <v>Mashuk</v>
          </cell>
          <cell r="C40" t="str">
            <v>Mustofa Muddassir Mahmud Mashuk</v>
          </cell>
        </row>
        <row r="41">
          <cell r="B41" t="str">
            <v>Pranto</v>
          </cell>
          <cell r="C41" t="str">
            <v>Bandhon Podder Pranto</v>
          </cell>
        </row>
        <row r="42">
          <cell r="B42" t="str">
            <v>SA Shanto</v>
          </cell>
          <cell r="C42" t="str">
            <v>Sayed Anowar Shanto</v>
          </cell>
        </row>
        <row r="43">
          <cell r="B43" t="str">
            <v>Shafiqul</v>
          </cell>
          <cell r="C43" t="str">
            <v>Shafiqul Islam</v>
          </cell>
        </row>
        <row r="44">
          <cell r="B44" t="str">
            <v>Laisul</v>
          </cell>
          <cell r="C44" t="str">
            <v>Laisul Morshed</v>
          </cell>
        </row>
        <row r="45">
          <cell r="B45" t="str">
            <v>Shovon</v>
          </cell>
          <cell r="C45" t="str">
            <v>Shahriar Khan Shovon</v>
          </cell>
        </row>
        <row r="46">
          <cell r="B46" t="str">
            <v>Tanvir</v>
          </cell>
          <cell r="C46" t="str">
            <v>Tanvir Shakib</v>
          </cell>
        </row>
        <row r="47">
          <cell r="B47" t="str">
            <v>Ariful</v>
          </cell>
          <cell r="C47" t="str">
            <v>Ahammed Ariful Haq</v>
          </cell>
        </row>
        <row r="48">
          <cell r="B48" t="str">
            <v>Rinkon</v>
          </cell>
          <cell r="C48" t="str">
            <v>Rinkon Khan</v>
          </cell>
        </row>
        <row r="49">
          <cell r="B49" t="str">
            <v>Hridoy</v>
          </cell>
          <cell r="C49" t="str">
            <v>Kamrul Hasan Hridoy</v>
          </cell>
        </row>
        <row r="50">
          <cell r="B50" t="str">
            <v>Towkir</v>
          </cell>
          <cell r="C50" t="str">
            <v>Towkir Ahmed Siddique</v>
          </cell>
        </row>
        <row r="51">
          <cell r="B51" t="str">
            <v>Akash</v>
          </cell>
          <cell r="C51" t="str">
            <v>Mahbubur Rahman Akash</v>
          </cell>
        </row>
        <row r="52">
          <cell r="B52" t="str">
            <v>Shakil</v>
          </cell>
          <cell r="C52" t="str">
            <v>M R Shakil</v>
          </cell>
        </row>
        <row r="53">
          <cell r="B53" t="str">
            <v>Monsur</v>
          </cell>
          <cell r="C53" t="str">
            <v>Monsur Rahman</v>
          </cell>
        </row>
        <row r="54">
          <cell r="B54" t="str">
            <v>Khokon</v>
          </cell>
          <cell r="C54" t="str">
            <v>Shahriar Khokon</v>
          </cell>
        </row>
        <row r="55">
          <cell r="B55" t="str">
            <v>Shishir</v>
          </cell>
          <cell r="C55" t="str">
            <v>ShiShir Hossain</v>
          </cell>
        </row>
        <row r="56">
          <cell r="B56" t="str">
            <v>Dulal</v>
          </cell>
          <cell r="C56" t="str">
            <v>Md Dulal Miah</v>
          </cell>
        </row>
        <row r="57">
          <cell r="B57" t="str">
            <v>Kamal</v>
          </cell>
          <cell r="C57" t="str">
            <v>MD Kamal Hossain Kamal</v>
          </cell>
        </row>
        <row r="58">
          <cell r="B58" t="str">
            <v>Asif</v>
          </cell>
          <cell r="C58" t="str">
            <v>Asif Iqbal Khan</v>
          </cell>
        </row>
        <row r="59">
          <cell r="B59" t="str">
            <v>Munna</v>
          </cell>
          <cell r="C59" t="str">
            <v>Monowar Hossain Munna</v>
          </cell>
        </row>
        <row r="60">
          <cell r="B60" t="str">
            <v>Joy</v>
          </cell>
          <cell r="C60" t="str">
            <v>Mehedi Hasan Joy</v>
          </cell>
        </row>
        <row r="61">
          <cell r="B61" t="str">
            <v>Ovi</v>
          </cell>
          <cell r="C61" t="str">
            <v>Toufiq Ahmed Ovi</v>
          </cell>
        </row>
        <row r="62">
          <cell r="B62" t="str">
            <v>Nahid</v>
          </cell>
          <cell r="C62" t="str">
            <v>Nahid Saifullah</v>
          </cell>
        </row>
        <row r="63">
          <cell r="B63" t="str">
            <v>Saaj</v>
          </cell>
          <cell r="C63" t="str">
            <v>AB Saaj</v>
          </cell>
        </row>
        <row r="64">
          <cell r="B64" t="str">
            <v>Ayan</v>
          </cell>
          <cell r="C64" t="str">
            <v>Md. Tanveer Mahmud Ayan</v>
          </cell>
        </row>
        <row r="65">
          <cell r="B65" t="str">
            <v>Niamul</v>
          </cell>
          <cell r="C65" t="str">
            <v>Niamul Habib Setu</v>
          </cell>
        </row>
        <row r="66">
          <cell r="B66" t="str">
            <v>Meyaz</v>
          </cell>
          <cell r="C66" t="str">
            <v>Meyaz Al Emon</v>
          </cell>
        </row>
        <row r="67">
          <cell r="B67" t="str">
            <v>Tarek</v>
          </cell>
          <cell r="C67" t="str">
            <v>Prince Tarek</v>
          </cell>
        </row>
        <row r="68">
          <cell r="B68" t="str">
            <v>Sabbir</v>
          </cell>
          <cell r="C68" t="str">
            <v>Sabbir Ahmed</v>
          </cell>
        </row>
        <row r="69">
          <cell r="B69" t="str">
            <v>Tanbir</v>
          </cell>
          <cell r="C69" t="str">
            <v>Tanbir Hasan</v>
          </cell>
        </row>
        <row r="70">
          <cell r="B70" t="str">
            <v>MH Nayem</v>
          </cell>
          <cell r="C70" t="str">
            <v>মাহমুদুল হক নাইম</v>
          </cell>
        </row>
        <row r="71">
          <cell r="B71" t="str">
            <v>TM Shuvro</v>
          </cell>
          <cell r="C71" t="str">
            <v>তন্ময় মজুমদার শুভ্র</v>
          </cell>
        </row>
        <row r="72">
          <cell r="B72" t="str">
            <v>Sakif</v>
          </cell>
          <cell r="C72" t="str">
            <v>Sakif Rahaman</v>
          </cell>
        </row>
        <row r="73">
          <cell r="B73" t="str">
            <v>Saiful</v>
          </cell>
          <cell r="C73" t="str">
            <v>Saiful Islam</v>
          </cell>
        </row>
        <row r="74">
          <cell r="B74" t="str">
            <v>Ruhin</v>
          </cell>
          <cell r="C74" t="str">
            <v>Md. Ruhin</v>
          </cell>
        </row>
        <row r="75">
          <cell r="B75" t="str">
            <v>Sagar</v>
          </cell>
          <cell r="C75" t="str">
            <v>Sajjadul Haque Sagar</v>
          </cell>
        </row>
        <row r="76">
          <cell r="B76" t="str">
            <v>Wasiq</v>
          </cell>
          <cell r="C76" t="str">
            <v>Wasiq Rahman</v>
          </cell>
        </row>
        <row r="77">
          <cell r="B77" t="str">
            <v>Tanjir</v>
          </cell>
          <cell r="C77" t="str">
            <v>Tanjir Rahman</v>
          </cell>
        </row>
        <row r="78">
          <cell r="B78" t="str">
            <v>Brinto</v>
          </cell>
          <cell r="C78" t="str">
            <v>Shuvayan Saha Brinto</v>
          </cell>
        </row>
        <row r="79">
          <cell r="B79" t="str">
            <v>Shamim</v>
          </cell>
          <cell r="C79" t="str">
            <v>SH Shamim</v>
          </cell>
        </row>
        <row r="80">
          <cell r="B80" t="str">
            <v>Faisal</v>
          </cell>
          <cell r="C80" t="str">
            <v>Red Heart Faisal (Fayze Ahamed)</v>
          </cell>
        </row>
        <row r="81">
          <cell r="B81" t="str">
            <v>Tahmid</v>
          </cell>
          <cell r="C81" t="str">
            <v>Galaxsy Prince Tahmid (Tahmid Rahman)</v>
          </cell>
        </row>
        <row r="82">
          <cell r="B82" t="str">
            <v>Kafi</v>
          </cell>
          <cell r="C82" t="str">
            <v>Kafi Mazharul Islam</v>
          </cell>
        </row>
        <row r="83">
          <cell r="B83" t="str">
            <v>CR Siyam</v>
          </cell>
          <cell r="C83" t="str">
            <v>CR Siyam</v>
          </cell>
        </row>
        <row r="84">
          <cell r="B84" t="str">
            <v>Mullah</v>
          </cell>
          <cell r="C84" t="str">
            <v>Mohammad Haris Mullah</v>
          </cell>
        </row>
        <row r="85">
          <cell r="B85" t="str">
            <v>Mithu</v>
          </cell>
          <cell r="C85" t="str">
            <v>Mostafizur Rahman Mithu</v>
          </cell>
        </row>
        <row r="86">
          <cell r="B86" t="str">
            <v>Himel</v>
          </cell>
          <cell r="C86" t="str">
            <v>Hj Himel</v>
          </cell>
        </row>
        <row r="87">
          <cell r="B87" t="str">
            <v>Mijan</v>
          </cell>
          <cell r="C87" t="str">
            <v>Noushed Mijan</v>
          </cell>
        </row>
        <row r="88">
          <cell r="B88" t="str">
            <v>Faruque</v>
          </cell>
          <cell r="C88" t="str">
            <v>Mohammad Faruque</v>
          </cell>
        </row>
        <row r="89">
          <cell r="B89" t="str">
            <v>AR Shohag</v>
          </cell>
          <cell r="C89" t="str">
            <v>A.R. Shohag</v>
          </cell>
        </row>
        <row r="90">
          <cell r="B90" t="str">
            <v>Rifat</v>
          </cell>
          <cell r="C90" t="str">
            <v>Rifat Ullah</v>
          </cell>
        </row>
        <row r="91">
          <cell r="B91" t="str">
            <v>Injamul</v>
          </cell>
          <cell r="C91" t="str">
            <v>Injamul Haque (Syed Injamul Haque)</v>
          </cell>
        </row>
        <row r="92">
          <cell r="B92" t="str">
            <v>Emon</v>
          </cell>
          <cell r="C92" t="str">
            <v>Fahim Shahrear Emon</v>
          </cell>
        </row>
        <row r="93">
          <cell r="B93" t="str">
            <v>Back Sakib</v>
          </cell>
          <cell r="C93" t="str">
            <v>Backbencher Sakib</v>
          </cell>
        </row>
        <row r="94">
          <cell r="B94" t="str">
            <v>RI Akash</v>
          </cell>
          <cell r="C94" t="str">
            <v>Raihan Islam Akash</v>
          </cell>
        </row>
        <row r="95">
          <cell r="B95" t="str">
            <v>SA Shuvo</v>
          </cell>
          <cell r="C95" t="str">
            <v>Sabbir Ahmed Shuvo</v>
          </cell>
        </row>
        <row r="96">
          <cell r="B96" t="str">
            <v>Himu</v>
          </cell>
          <cell r="C96" t="str">
            <v>Himu</v>
          </cell>
        </row>
        <row r="97">
          <cell r="B97" t="str">
            <v>Tuhin</v>
          </cell>
          <cell r="C97" t="str">
            <v>Nasir Ahmed Tuhin</v>
          </cell>
        </row>
        <row r="98">
          <cell r="B98" t="str">
            <v>Yahya</v>
          </cell>
          <cell r="C98" t="str">
            <v>Yahya Riyad</v>
          </cell>
        </row>
        <row r="99">
          <cell r="B99" t="str">
            <v>Rahat</v>
          </cell>
          <cell r="C99" t="str">
            <v>Saiful Rahat</v>
          </cell>
        </row>
        <row r="100">
          <cell r="B100" t="str">
            <v>Ruvel</v>
          </cell>
          <cell r="C100" t="str">
            <v>Md Ruvel</v>
          </cell>
        </row>
        <row r="101">
          <cell r="B101" t="str">
            <v>Arif</v>
          </cell>
          <cell r="C101" t="str">
            <v>Arif Ziad</v>
          </cell>
        </row>
        <row r="102">
          <cell r="B102" t="str">
            <v>Tawhid</v>
          </cell>
          <cell r="C102" t="str">
            <v>S M Tawhid Zihad</v>
          </cell>
        </row>
        <row r="103">
          <cell r="B103" t="str">
            <v>Sujan</v>
          </cell>
          <cell r="C103" t="str">
            <v>Sujan Boss</v>
          </cell>
        </row>
        <row r="104">
          <cell r="B104" t="str">
            <v>Rafi</v>
          </cell>
          <cell r="C104" t="str">
            <v>Rafi Islam</v>
          </cell>
        </row>
        <row r="105">
          <cell r="B105" t="str">
            <v>Firoz</v>
          </cell>
          <cell r="C105" t="str">
            <v>Firoz Khan</v>
          </cell>
        </row>
        <row r="106">
          <cell r="B106" t="str">
            <v>Manik</v>
          </cell>
          <cell r="C106" t="str">
            <v>GM Manik</v>
          </cell>
        </row>
        <row r="107">
          <cell r="B107" t="str">
            <v>Mehedi</v>
          </cell>
          <cell r="C107" t="str">
            <v>Mehedi Hasan Shovon</v>
          </cell>
        </row>
        <row r="108">
          <cell r="B108" t="str">
            <v>Joy Ullash</v>
          </cell>
          <cell r="C108" t="str">
            <v>Joy Ullash</v>
          </cell>
        </row>
        <row r="109">
          <cell r="B109" t="str">
            <v>Akram Himal</v>
          </cell>
          <cell r="C109" t="str">
            <v>Akram Hosen Himal</v>
          </cell>
        </row>
        <row r="110">
          <cell r="B110" t="str">
            <v>C Sabbir</v>
          </cell>
          <cell r="C110" t="str">
            <v>Cryptic Sabbir II</v>
          </cell>
        </row>
        <row r="111">
          <cell r="B111" t="str">
            <v>NayEem</v>
          </cell>
          <cell r="C111" t="str">
            <v>Saiful NayEem</v>
          </cell>
        </row>
        <row r="112">
          <cell r="B112" t="str">
            <v>Parvaj</v>
          </cell>
          <cell r="C112" t="str">
            <v>Tanvir Mahatab Parvaj</v>
          </cell>
        </row>
        <row r="113">
          <cell r="B113" t="str">
            <v>Jubayer</v>
          </cell>
          <cell r="C113" t="str">
            <v>Jubayer Hossen</v>
          </cell>
        </row>
        <row r="114">
          <cell r="B114" t="str">
            <v>Shakib Hasan</v>
          </cell>
          <cell r="C114" t="str">
            <v>Shakib Al Hasan</v>
          </cell>
        </row>
        <row r="115">
          <cell r="B115" t="str">
            <v>Afzal</v>
          </cell>
          <cell r="C115" t="str">
            <v>Afzal Hussain Shuhag</v>
          </cell>
        </row>
        <row r="116">
          <cell r="B116" t="str">
            <v>Shawon</v>
          </cell>
          <cell r="C116" t="str">
            <v>Arif Abdullah Shawon</v>
          </cell>
        </row>
        <row r="117">
          <cell r="B117" t="str">
            <v>Anamul</v>
          </cell>
          <cell r="C117" t="str">
            <v>Anamul Haq</v>
          </cell>
        </row>
        <row r="118">
          <cell r="B118" t="str">
            <v>Jabir</v>
          </cell>
          <cell r="C118" t="str">
            <v>Raian Jabir</v>
          </cell>
        </row>
        <row r="119">
          <cell r="B119" t="str">
            <v>Badsha</v>
          </cell>
          <cell r="C119" t="str">
            <v>Badrul Hossain Badsha</v>
          </cell>
        </row>
        <row r="120">
          <cell r="B120" t="str">
            <v>Alo</v>
          </cell>
          <cell r="C120" t="str">
            <v>Shesh Bikaler Alo</v>
          </cell>
        </row>
        <row r="121">
          <cell r="B121" t="str">
            <v>Imtiaz</v>
          </cell>
          <cell r="C121" t="str">
            <v>Imtiaz Mir</v>
          </cell>
        </row>
        <row r="122">
          <cell r="B122" t="str">
            <v>Tanzim</v>
          </cell>
          <cell r="C122" t="str">
            <v>Tanzim Hasan Rahat</v>
          </cell>
        </row>
        <row r="123">
          <cell r="B123" t="str">
            <v>Aneek</v>
          </cell>
          <cell r="C123" t="str">
            <v>Md Aneek Rashid</v>
          </cell>
        </row>
        <row r="124">
          <cell r="B124" t="str">
            <v>Kawser</v>
          </cell>
          <cell r="C124" t="str">
            <v>Ahmed Kawser Da Neymar</v>
          </cell>
        </row>
        <row r="125">
          <cell r="B125" t="str">
            <v>Md. Asif</v>
          </cell>
          <cell r="C125" t="str">
            <v>Mohammad Asif</v>
          </cell>
        </row>
        <row r="126">
          <cell r="B126" t="str">
            <v>LoveLo</v>
          </cell>
          <cell r="C126" t="str">
            <v>Alauddin Lovelo</v>
          </cell>
        </row>
        <row r="127">
          <cell r="B127" t="str">
            <v>Sujay</v>
          </cell>
          <cell r="C127" t="str">
            <v>Sandipan Sujay</v>
          </cell>
        </row>
        <row r="128">
          <cell r="B128" t="str">
            <v>NiroB</v>
          </cell>
          <cell r="C128" t="str">
            <v>NiroB Sagor</v>
          </cell>
        </row>
        <row r="129">
          <cell r="B129" t="str">
            <v>Jahid</v>
          </cell>
          <cell r="C129" t="str">
            <v>Md. Jahid</v>
          </cell>
        </row>
        <row r="130">
          <cell r="B130" t="str">
            <v>Taho</v>
          </cell>
          <cell r="C130" t="str">
            <v>Taho D. Ace</v>
          </cell>
        </row>
        <row r="131">
          <cell r="B131" t="str">
            <v>Bishal</v>
          </cell>
          <cell r="C131" t="str">
            <v>Bishal Khan Ctg</v>
          </cell>
        </row>
        <row r="132">
          <cell r="B132" t="str">
            <v>Alif</v>
          </cell>
          <cell r="C132" t="str">
            <v>Farhanul Habib Alif</v>
          </cell>
        </row>
        <row r="133">
          <cell r="B133" t="str">
            <v>Zohir</v>
          </cell>
          <cell r="C133" t="str">
            <v>Zi Zohir</v>
          </cell>
        </row>
        <row r="134">
          <cell r="B134" t="str">
            <v>Sahed</v>
          </cell>
          <cell r="C134" t="str">
            <v>Sahed Hossain Masum</v>
          </cell>
        </row>
        <row r="135">
          <cell r="B135" t="str">
            <v>Sharif</v>
          </cell>
          <cell r="C135" t="str">
            <v>MD Sharif All Hasan</v>
          </cell>
        </row>
        <row r="136">
          <cell r="B136" t="str">
            <v>ASHiK</v>
          </cell>
          <cell r="C136" t="str">
            <v>Ashikur Rahman Ashik</v>
          </cell>
        </row>
        <row r="137">
          <cell r="B137" t="str">
            <v>Raihan</v>
          </cell>
          <cell r="C137" t="str">
            <v>Raihan Al-maMun</v>
          </cell>
        </row>
        <row r="138">
          <cell r="B138" t="str">
            <v>Oliy</v>
          </cell>
          <cell r="C138" t="str">
            <v>Oliy Saif</v>
          </cell>
        </row>
        <row r="139">
          <cell r="B139" t="str">
            <v>Shahan</v>
          </cell>
          <cell r="C139" t="str">
            <v>Shahan Ahmed</v>
          </cell>
        </row>
        <row r="140">
          <cell r="B140" t="str">
            <v>Prince</v>
          </cell>
          <cell r="C140" t="str">
            <v>Arnab Prince</v>
          </cell>
        </row>
        <row r="141">
          <cell r="B141" t="str">
            <v>Sohanur</v>
          </cell>
          <cell r="C141" t="str">
            <v>Sohanur Rahman Sakib</v>
          </cell>
        </row>
        <row r="142">
          <cell r="B142" t="str">
            <v>Sami</v>
          </cell>
          <cell r="C142" t="str">
            <v>Wasim Al Sami</v>
          </cell>
        </row>
        <row r="143">
          <cell r="B143" t="str">
            <v>Fahad</v>
          </cell>
          <cell r="C143" t="str">
            <v>FaiSal RaHman FaHad</v>
          </cell>
        </row>
        <row r="144">
          <cell r="B144" t="str">
            <v>Novel</v>
          </cell>
          <cell r="C144" t="str">
            <v>Neaimul Novel</v>
          </cell>
        </row>
        <row r="145">
          <cell r="B145" t="str">
            <v>Sukamal</v>
          </cell>
          <cell r="C145" t="str">
            <v>Sukamal Mahajan</v>
          </cell>
        </row>
        <row r="146">
          <cell r="B146" t="str">
            <v>Arman</v>
          </cell>
          <cell r="C146" t="str">
            <v>Cricket Pagla Arman</v>
          </cell>
        </row>
        <row r="147">
          <cell r="B147" t="str">
            <v>Jowel</v>
          </cell>
          <cell r="C147" t="str">
            <v>Jøwël Chý</v>
          </cell>
        </row>
        <row r="148">
          <cell r="B148" t="str">
            <v>Rafe</v>
          </cell>
          <cell r="C148" t="str">
            <v>Lovely Rafe</v>
          </cell>
        </row>
        <row r="149">
          <cell r="B149" t="str">
            <v>Robin</v>
          </cell>
          <cell r="C149" t="str">
            <v>Robin Emon</v>
          </cell>
        </row>
        <row r="150">
          <cell r="B150" t="str">
            <v>Anowar</v>
          </cell>
          <cell r="C150" t="str">
            <v>Rahat Anowar</v>
          </cell>
        </row>
        <row r="151">
          <cell r="B151" t="str">
            <v>Zeeshan</v>
          </cell>
          <cell r="C151" t="str">
            <v>Syeed Zeeshan Quadir</v>
          </cell>
        </row>
        <row r="152">
          <cell r="B152" t="str">
            <v>Yousuf</v>
          </cell>
          <cell r="C152" t="str">
            <v>Yousuf Riday</v>
          </cell>
        </row>
        <row r="153">
          <cell r="B153" t="str">
            <v>Moon</v>
          </cell>
          <cell r="C153" t="str">
            <v>Mazharul Islam Moon</v>
          </cell>
        </row>
        <row r="154">
          <cell r="B154" t="str">
            <v>Atif</v>
          </cell>
          <cell r="C154" t="str">
            <v>Abdul Atif</v>
          </cell>
        </row>
        <row r="155">
          <cell r="B155" t="str">
            <v>Leon</v>
          </cell>
          <cell r="C155" t="str">
            <v>Rafeed Leon</v>
          </cell>
        </row>
        <row r="156">
          <cell r="B156" t="str">
            <v>Tusher</v>
          </cell>
          <cell r="C156" t="str">
            <v>JAHIDUL ISLAM TUSHER</v>
          </cell>
        </row>
        <row r="157">
          <cell r="B157" t="str">
            <v>Fairooz</v>
          </cell>
          <cell r="C157" t="str">
            <v>Fairooz Wasif Saiku</v>
          </cell>
        </row>
        <row r="158">
          <cell r="B158" t="str">
            <v>Abutaleb</v>
          </cell>
          <cell r="C158" t="str">
            <v>Md. Abutaleb</v>
          </cell>
        </row>
        <row r="159">
          <cell r="B159" t="str">
            <v>Oli</v>
          </cell>
          <cell r="C159" t="str">
            <v>Oli Ullah</v>
          </cell>
        </row>
        <row r="160">
          <cell r="B160" t="str">
            <v>Morshed</v>
          </cell>
          <cell r="C160" t="str">
            <v>Golam Morshed Nahid</v>
          </cell>
        </row>
        <row r="161">
          <cell r="B161" t="str">
            <v>Sorker</v>
          </cell>
          <cell r="C161" t="str">
            <v>Cricket Lover Sorker</v>
          </cell>
        </row>
        <row r="162">
          <cell r="B162" t="str">
            <v>Rahaman</v>
          </cell>
          <cell r="C162" t="str">
            <v>Abdur Rahaman</v>
          </cell>
        </row>
        <row r="163">
          <cell r="B163" t="str">
            <v>Shaon</v>
          </cell>
          <cell r="C163" t="str">
            <v>Md. Shaon Khan</v>
          </cell>
        </row>
        <row r="164">
          <cell r="B164" t="str">
            <v>Adnan</v>
          </cell>
          <cell r="C164" t="str">
            <v>Shah Abi Talib Adnan</v>
          </cell>
        </row>
        <row r="165">
          <cell r="B165" t="str">
            <v>Mortaza</v>
          </cell>
          <cell r="C165" t="str">
            <v>Sakib Mortaza</v>
          </cell>
        </row>
        <row r="166">
          <cell r="B166" t="str">
            <v>Meraj</v>
          </cell>
          <cell r="C166" t="str">
            <v>Samiul Meraj</v>
          </cell>
        </row>
        <row r="167">
          <cell r="B167" t="str">
            <v>Feni</v>
          </cell>
          <cell r="C167" t="str">
            <v>Manik Feni</v>
          </cell>
        </row>
        <row r="168">
          <cell r="B168" t="str">
            <v>Azwad</v>
          </cell>
          <cell r="C168" t="str">
            <v>Azwad Awsaf</v>
          </cell>
        </row>
        <row r="169">
          <cell r="B169" t="str">
            <v>Rafikul</v>
          </cell>
          <cell r="C169" t="str">
            <v>Striker Rafikul</v>
          </cell>
        </row>
        <row r="170">
          <cell r="B170" t="str">
            <v>Siyam</v>
          </cell>
          <cell r="C170" t="str">
            <v>Siyam Ahmed</v>
          </cell>
        </row>
        <row r="171">
          <cell r="B171" t="str">
            <v>Suhel</v>
          </cell>
          <cell r="C171" t="str">
            <v>Suhel Ahmed</v>
          </cell>
        </row>
        <row r="172">
          <cell r="B172" t="str">
            <v>Bappi</v>
          </cell>
          <cell r="C172" t="str">
            <v>Sixer Bappi</v>
          </cell>
        </row>
        <row r="173">
          <cell r="B173" t="str">
            <v>Shanjed</v>
          </cell>
          <cell r="C173" t="str">
            <v>Shanjed Nur (Md. Nur)</v>
          </cell>
        </row>
        <row r="174">
          <cell r="B174" t="str">
            <v>Zamil</v>
          </cell>
          <cell r="C174" t="str">
            <v>Zamil Khan</v>
          </cell>
        </row>
        <row r="175">
          <cell r="B175" t="str">
            <v>Rafiul</v>
          </cell>
          <cell r="C175" t="str">
            <v>Rafiul Haque Sanchay</v>
          </cell>
        </row>
        <row r="176">
          <cell r="B176" t="str">
            <v>Shuvro</v>
          </cell>
          <cell r="C176" t="str">
            <v>Shahriar Shuvro</v>
          </cell>
        </row>
        <row r="177">
          <cell r="B177" t="str">
            <v>Sagor</v>
          </cell>
          <cell r="C177" t="str">
            <v>Sazzadul Haque Sagor</v>
          </cell>
        </row>
        <row r="178">
          <cell r="B178" t="str">
            <v>Sohan</v>
          </cell>
          <cell r="C178" t="str">
            <v>Moksedur RaHman SoHan (Duronto Sohan)</v>
          </cell>
        </row>
        <row r="179">
          <cell r="B179" t="str">
            <v>Rahin</v>
          </cell>
          <cell r="C179" t="str">
            <v>Rahin Superb</v>
          </cell>
        </row>
        <row r="180">
          <cell r="B180" t="str">
            <v>Mhk</v>
          </cell>
          <cell r="C180" t="str">
            <v>Hridoy Khan Mhk</v>
          </cell>
        </row>
        <row r="181">
          <cell r="B181" t="str">
            <v>Miraj</v>
          </cell>
          <cell r="C181" t="str">
            <v>Shafayat Miraj</v>
          </cell>
        </row>
        <row r="182">
          <cell r="B182" t="str">
            <v>Shipu</v>
          </cell>
          <cell r="C182" t="str">
            <v>Ah Shipu</v>
          </cell>
        </row>
        <row r="183">
          <cell r="B183" t="str">
            <v>Rico</v>
          </cell>
          <cell r="C183" t="str">
            <v>Mamun Hossain Rico</v>
          </cell>
        </row>
        <row r="184">
          <cell r="B184" t="str">
            <v>Istiak</v>
          </cell>
          <cell r="C184" t="str">
            <v>Istiak Ahamed Emon</v>
          </cell>
        </row>
        <row r="185">
          <cell r="B185" t="str">
            <v>KB Shohag</v>
          </cell>
          <cell r="C185" t="str">
            <v>কালো বক সোহাগ</v>
          </cell>
        </row>
        <row r="186">
          <cell r="B186" t="str">
            <v>Sabab</v>
          </cell>
          <cell r="C186" t="str">
            <v>Sz Sabab</v>
          </cell>
        </row>
        <row r="187">
          <cell r="B187" t="str">
            <v>Soyeb</v>
          </cell>
          <cell r="C187" t="str">
            <v>Soyeb Hossain</v>
          </cell>
        </row>
        <row r="188">
          <cell r="B188" t="str">
            <v>MD Hridoy</v>
          </cell>
          <cell r="C188" t="str">
            <v>MD Hridoy (শুন্য হৃদয়, অবুজ বালক)</v>
          </cell>
        </row>
        <row r="189">
          <cell r="B189" t="str">
            <v>Mahfuzor</v>
          </cell>
          <cell r="C189" t="str">
            <v>মোঃ মাহফুজুর রহমান রাকিব</v>
          </cell>
        </row>
        <row r="190">
          <cell r="B190" t="str">
            <v>SaJeeb</v>
          </cell>
          <cell r="C190" t="str">
            <v>ShaHadat H. SaJeeb</v>
          </cell>
        </row>
        <row r="191">
          <cell r="B191" t="str">
            <v>Sahad</v>
          </cell>
          <cell r="C191" t="str">
            <v>শাহাদাৎ আহমেদ সাহাদ</v>
          </cell>
        </row>
        <row r="192">
          <cell r="B192" t="str">
            <v>AR Tawhid</v>
          </cell>
          <cell r="C192" t="str">
            <v>AR Tawhid</v>
          </cell>
        </row>
        <row r="193">
          <cell r="B193" t="str">
            <v>Sharil</v>
          </cell>
          <cell r="C193" t="str">
            <v>Sharil Shahediyen</v>
          </cell>
        </row>
        <row r="194">
          <cell r="B194" t="str">
            <v>Prottoy</v>
          </cell>
          <cell r="C194" t="str">
            <v>Mahrus Hasan Prottoy</v>
          </cell>
        </row>
        <row r="195">
          <cell r="B195" t="str">
            <v>Shafi</v>
          </cell>
          <cell r="C195" t="str">
            <v>Mohammed Shafi</v>
          </cell>
        </row>
        <row r="196">
          <cell r="B196" t="str">
            <v>Tomal</v>
          </cell>
          <cell r="C196" t="str">
            <v>Safiqur Tomal</v>
          </cell>
        </row>
        <row r="197">
          <cell r="B197" t="str">
            <v>Mridul</v>
          </cell>
          <cell r="C197" t="str">
            <v>Mridul Haque</v>
          </cell>
        </row>
        <row r="198">
          <cell r="B198" t="str">
            <v>Tafshir</v>
          </cell>
          <cell r="C198" t="str">
            <v>Tafshir Takib</v>
          </cell>
        </row>
        <row r="199">
          <cell r="B199" t="str">
            <v>Shadhin</v>
          </cell>
          <cell r="C199" t="str">
            <v>Abdullah Al Mamun Shadhin</v>
          </cell>
        </row>
        <row r="200">
          <cell r="B200" t="str">
            <v>Apurba</v>
          </cell>
          <cell r="C200" t="str">
            <v>Apurba Rockz</v>
          </cell>
        </row>
        <row r="201">
          <cell r="B201" t="str">
            <v>Shakir</v>
          </cell>
          <cell r="C201" t="str">
            <v>Azmal Tanjim Shakir</v>
          </cell>
        </row>
        <row r="202">
          <cell r="B202" t="str">
            <v>Tofu</v>
          </cell>
          <cell r="C202" t="str">
            <v>Oji Vokto Tofu</v>
          </cell>
        </row>
        <row r="203">
          <cell r="B203" t="str">
            <v>Riad</v>
          </cell>
          <cell r="C203" t="str">
            <v>Wahidur Rahman Riad</v>
          </cell>
        </row>
        <row r="204">
          <cell r="B204" t="str">
            <v>Ruffin</v>
          </cell>
          <cell r="C204" t="str">
            <v>Ruffin Remad</v>
          </cell>
        </row>
        <row r="205">
          <cell r="B205" t="str">
            <v>R Munna</v>
          </cell>
          <cell r="C205" t="str">
            <v>রুবেল মুন্না</v>
          </cell>
        </row>
        <row r="206">
          <cell r="B206" t="str">
            <v>Abidur</v>
          </cell>
          <cell r="C206" t="str">
            <v>আবিদুর রহমান</v>
          </cell>
        </row>
        <row r="207">
          <cell r="B207" t="str">
            <v>Saykat</v>
          </cell>
          <cell r="C207" t="str">
            <v>Ahmad Saykat (Mohammad Sheikh Farid Uddin)</v>
          </cell>
        </row>
        <row r="208">
          <cell r="B208" t="str">
            <v>Roxy</v>
          </cell>
          <cell r="C208" t="str">
            <v>Obak Roxy</v>
          </cell>
        </row>
        <row r="209">
          <cell r="B209" t="str">
            <v>Jakir</v>
          </cell>
          <cell r="C209" t="str">
            <v xml:space="preserve"> Jakir Ali Ruhin</v>
          </cell>
        </row>
        <row r="210">
          <cell r="B210" t="str">
            <v>Siyam Islam</v>
          </cell>
          <cell r="C210" t="str">
            <v>Md Siyam Islam</v>
          </cell>
        </row>
        <row r="211">
          <cell r="B211" t="str">
            <v>Ash</v>
          </cell>
          <cell r="C211" t="str">
            <v>Ash Saroer</v>
          </cell>
        </row>
        <row r="212">
          <cell r="B212" t="str">
            <v>Rahib</v>
          </cell>
          <cell r="C212" t="str">
            <v xml:space="preserve">RA H IB </v>
          </cell>
        </row>
        <row r="213">
          <cell r="B213" t="str">
            <v>Sawon</v>
          </cell>
          <cell r="C213" t="str">
            <v>Sawon Ahmed</v>
          </cell>
        </row>
        <row r="214">
          <cell r="B214" t="str">
            <v>Karim</v>
          </cell>
          <cell r="C214" t="str">
            <v>Karim Al Hasan</v>
          </cell>
        </row>
        <row r="215">
          <cell r="B215" t="str">
            <v>Apon</v>
          </cell>
          <cell r="C215" t="str">
            <v>Al Amin Apon</v>
          </cell>
        </row>
        <row r="216">
          <cell r="B216" t="str">
            <v>Saniat</v>
          </cell>
          <cell r="C216" t="str">
            <v>Saniat Pranto</v>
          </cell>
        </row>
        <row r="217">
          <cell r="B217" t="str">
            <v>Ashraful</v>
          </cell>
          <cell r="C217" t="str">
            <v>Ashraful Islam</v>
          </cell>
        </row>
        <row r="218">
          <cell r="B218" t="str">
            <v>Rifat Hasan</v>
          </cell>
          <cell r="C218" t="str">
            <v>Rifat Al Hasan</v>
          </cell>
        </row>
        <row r="219">
          <cell r="B219" t="str">
            <v>Saeed</v>
          </cell>
          <cell r="C219" t="str">
            <v>Saeed Ahmed</v>
          </cell>
        </row>
        <row r="220">
          <cell r="B220" t="str">
            <v>Sakib Jr.</v>
          </cell>
          <cell r="C220" t="str">
            <v>Sakib Ahmed</v>
          </cell>
        </row>
        <row r="221">
          <cell r="B221" t="str">
            <v>Rakib Jr.</v>
          </cell>
          <cell r="C221" t="str">
            <v>Rakib Hossain</v>
          </cell>
        </row>
        <row r="222">
          <cell r="B222" t="str">
            <v>Meer</v>
          </cell>
          <cell r="C222" t="str">
            <v>Meer Sher Ali</v>
          </cell>
        </row>
        <row r="223">
          <cell r="B223" t="str">
            <v>Yaro</v>
          </cell>
          <cell r="C223" t="str">
            <v>Abu Mohammad Yaro</v>
          </cell>
        </row>
        <row r="224">
          <cell r="B224" t="str">
            <v>SH Sohan</v>
          </cell>
          <cell r="C224" t="str">
            <v>S H Sohan</v>
          </cell>
        </row>
        <row r="225">
          <cell r="B225" t="str">
            <v>Anik</v>
          </cell>
          <cell r="C225" t="str">
            <v>Anik Day Shanto</v>
          </cell>
        </row>
        <row r="226">
          <cell r="B226" t="str">
            <v>Md Raju</v>
          </cell>
          <cell r="C226" t="str">
            <v>Md Raju Islam</v>
          </cell>
        </row>
        <row r="227">
          <cell r="B227" t="str">
            <v>Sobuz</v>
          </cell>
          <cell r="C227" t="str">
            <v>Sobuz Al Setu</v>
          </cell>
        </row>
        <row r="228">
          <cell r="B228" t="str">
            <v>Durjoy</v>
          </cell>
          <cell r="C228" t="str">
            <v>Naieem Islam Durjoy</v>
          </cell>
        </row>
        <row r="229">
          <cell r="B229" t="str">
            <v>Nuruzzaman</v>
          </cell>
          <cell r="C229" t="str">
            <v>Md Nuruzzaman Ahmed</v>
          </cell>
        </row>
        <row r="230">
          <cell r="B230" t="str">
            <v>Ridoy</v>
          </cell>
          <cell r="C230" t="str">
            <v>Md Ridoy AR</v>
          </cell>
        </row>
        <row r="231">
          <cell r="B231" t="str">
            <v>Masud</v>
          </cell>
          <cell r="C231" t="str">
            <v>MASUD KARIM</v>
          </cell>
        </row>
        <row r="232">
          <cell r="B232" t="str">
            <v>Rakibul</v>
          </cell>
          <cell r="C232" t="str">
            <v>Rakibul Islam</v>
          </cell>
        </row>
        <row r="233">
          <cell r="B233" t="str">
            <v>Mahin</v>
          </cell>
          <cell r="C233" t="str">
            <v>Mahin Rahman</v>
          </cell>
        </row>
        <row r="234">
          <cell r="B234" t="str">
            <v>Noman</v>
          </cell>
          <cell r="C234" t="str">
            <v>Noman Rafy</v>
          </cell>
        </row>
        <row r="235">
          <cell r="B235" t="str">
            <v>Naeem</v>
          </cell>
          <cell r="C235" t="str">
            <v>Md Naeem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7"/>
  <sheetViews>
    <sheetView tabSelected="1" zoomScaleNormal="100" workbookViewId="0">
      <pane xSplit="3" ySplit="1" topLeftCell="D162" activePane="bottomRight" state="frozen"/>
      <selection pane="topRight" activeCell="D1" sqref="D1"/>
      <selection pane="bottomLeft" activeCell="A2" sqref="A2"/>
      <selection pane="bottomRight" activeCell="AH1" sqref="A1:AH1"/>
    </sheetView>
  </sheetViews>
  <sheetFormatPr defaultRowHeight="15" x14ac:dyDescent="0.25"/>
  <cols>
    <col min="1" max="1" width="8.42578125" style="9" bestFit="1" customWidth="1"/>
    <col min="2" max="2" width="13.85546875" style="9" bestFit="1" customWidth="1"/>
    <col min="3" max="3" width="29.5703125" style="9" customWidth="1"/>
    <col min="4" max="4" width="22" style="9" customWidth="1"/>
    <col min="5" max="5" width="17.28515625" style="9" customWidth="1"/>
    <col min="6" max="6" width="16.28515625" style="9" customWidth="1"/>
    <col min="7" max="7" width="19.140625" style="9" customWidth="1"/>
    <col min="8" max="9" width="13.42578125" style="9" customWidth="1"/>
    <col min="10" max="11" width="14.28515625" style="9" customWidth="1"/>
    <col min="12" max="12" width="14.5703125" style="9" customWidth="1"/>
    <col min="13" max="13" width="11.28515625" style="9" customWidth="1"/>
    <col min="14" max="14" width="16" style="9" customWidth="1"/>
    <col min="15" max="15" width="15.85546875" style="9" customWidth="1"/>
    <col min="16" max="16" width="17.140625" style="9" customWidth="1"/>
    <col min="17" max="18" width="13.42578125" style="9" customWidth="1"/>
    <col min="19" max="19" width="20.42578125" style="9" customWidth="1"/>
    <col min="20" max="20" width="10.85546875" style="9" customWidth="1"/>
    <col min="21" max="21" width="12.7109375" style="9" customWidth="1"/>
    <col min="22" max="22" width="3.28515625" style="9" customWidth="1"/>
    <col min="23" max="23" width="13.7109375" style="9" customWidth="1"/>
    <col min="24" max="24" width="10.140625" style="39" customWidth="1"/>
    <col min="25" max="25" width="10.140625" style="9" customWidth="1"/>
    <col min="26" max="26" width="23" style="9" customWidth="1"/>
    <col min="27" max="27" width="9.7109375" style="9" customWidth="1"/>
    <col min="28" max="28" width="16.7109375" style="38" customWidth="1"/>
    <col min="29" max="29" width="16.28515625" style="9" customWidth="1"/>
    <col min="30" max="30" width="30.85546875" style="9" customWidth="1"/>
    <col min="31" max="31" width="14.42578125" style="2" customWidth="1"/>
    <col min="32" max="32" width="14.28515625" style="2" customWidth="1"/>
    <col min="33" max="33" width="19.140625" style="3" customWidth="1"/>
    <col min="34" max="34" width="16.140625" style="34" customWidth="1"/>
  </cols>
  <sheetData>
    <row r="1" spans="1:36" s="3" customFormat="1" ht="86.25" customHeight="1" x14ac:dyDescent="0.25">
      <c r="A1" s="5" t="s">
        <v>0</v>
      </c>
      <c r="B1" s="5" t="s">
        <v>460</v>
      </c>
      <c r="C1" s="5" t="s">
        <v>461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464</v>
      </c>
      <c r="N1" s="5" t="s">
        <v>465</v>
      </c>
      <c r="O1" s="5" t="s">
        <v>462</v>
      </c>
      <c r="P1" s="5" t="s">
        <v>463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  <c r="X1" s="6" t="s">
        <v>17</v>
      </c>
      <c r="Y1" s="5" t="s">
        <v>18</v>
      </c>
      <c r="Z1" s="5" t="s">
        <v>19</v>
      </c>
      <c r="AA1" s="5" t="s">
        <v>20</v>
      </c>
      <c r="AB1" s="7" t="s">
        <v>466</v>
      </c>
      <c r="AC1" s="6" t="s">
        <v>467</v>
      </c>
      <c r="AD1" s="5" t="s">
        <v>468</v>
      </c>
      <c r="AE1" s="5" t="s">
        <v>469</v>
      </c>
      <c r="AF1" s="5" t="s">
        <v>470</v>
      </c>
      <c r="AG1" s="5" t="s">
        <v>634</v>
      </c>
      <c r="AH1" s="35" t="s">
        <v>1094</v>
      </c>
      <c r="AJ1" s="3" t="s">
        <v>1091</v>
      </c>
    </row>
    <row r="2" spans="1:36" ht="15" customHeight="1" x14ac:dyDescent="0.25">
      <c r="A2" s="9">
        <v>1</v>
      </c>
      <c r="B2" s="9" t="s">
        <v>21</v>
      </c>
      <c r="C2" s="9" t="s">
        <v>22</v>
      </c>
      <c r="D2" s="9">
        <v>13</v>
      </c>
      <c r="E2" s="9">
        <v>75</v>
      </c>
      <c r="F2" s="9">
        <v>935</v>
      </c>
      <c r="G2" s="9">
        <v>126</v>
      </c>
      <c r="H2" s="9">
        <v>95</v>
      </c>
      <c r="I2" s="9">
        <v>8</v>
      </c>
      <c r="J2" s="9">
        <v>91</v>
      </c>
      <c r="K2" s="9">
        <v>58</v>
      </c>
      <c r="L2" s="9">
        <v>4</v>
      </c>
      <c r="M2" s="9">
        <v>1</v>
      </c>
      <c r="N2" s="9">
        <v>3</v>
      </c>
      <c r="O2" s="9">
        <v>0</v>
      </c>
      <c r="P2" s="9">
        <v>0</v>
      </c>
      <c r="Q2" s="9">
        <v>1</v>
      </c>
      <c r="R2" s="9">
        <v>1</v>
      </c>
      <c r="S2" s="9" t="s">
        <v>23</v>
      </c>
      <c r="T2" s="9">
        <v>0</v>
      </c>
      <c r="U2" s="9">
        <v>3</v>
      </c>
      <c r="V2" s="9" t="s">
        <v>15</v>
      </c>
      <c r="W2" s="9" t="s">
        <v>21</v>
      </c>
      <c r="X2" s="36">
        <v>1.68</v>
      </c>
      <c r="Y2" s="37">
        <v>10.74712643678161</v>
      </c>
      <c r="Z2" s="9" t="s">
        <v>454</v>
      </c>
      <c r="AA2" s="9">
        <v>2</v>
      </c>
      <c r="AB2" s="38">
        <v>41699</v>
      </c>
      <c r="AC2" s="9" t="s">
        <v>471</v>
      </c>
      <c r="AD2" s="9" t="s">
        <v>472</v>
      </c>
      <c r="AE2" s="2">
        <v>134</v>
      </c>
      <c r="AF2" s="2">
        <v>27</v>
      </c>
      <c r="AG2" t="s">
        <v>1122</v>
      </c>
      <c r="AH2" s="34">
        <v>32952</v>
      </c>
    </row>
    <row r="3" spans="1:36" ht="15" customHeight="1" x14ac:dyDescent="0.25">
      <c r="A3" s="9">
        <v>2</v>
      </c>
      <c r="B3" s="9" t="s">
        <v>24</v>
      </c>
      <c r="C3" s="9" t="s">
        <v>25</v>
      </c>
      <c r="D3" s="9">
        <v>19</v>
      </c>
      <c r="E3" s="9">
        <v>124</v>
      </c>
      <c r="F3" s="9">
        <v>2318</v>
      </c>
      <c r="G3" s="9">
        <v>173</v>
      </c>
      <c r="H3" s="9">
        <v>185</v>
      </c>
      <c r="I3" s="9">
        <v>18</v>
      </c>
      <c r="J3" s="9">
        <v>212</v>
      </c>
      <c r="K3" s="9">
        <v>136</v>
      </c>
      <c r="L3" s="9">
        <v>1</v>
      </c>
      <c r="M3" s="9">
        <v>2</v>
      </c>
      <c r="N3" s="9">
        <v>1</v>
      </c>
      <c r="O3" s="9">
        <v>1</v>
      </c>
      <c r="P3" s="9">
        <v>0</v>
      </c>
      <c r="Q3" s="9">
        <v>1</v>
      </c>
      <c r="R3" s="9">
        <v>1</v>
      </c>
      <c r="S3" s="9" t="s">
        <v>26</v>
      </c>
      <c r="T3" s="9">
        <v>3</v>
      </c>
      <c r="U3" s="9">
        <v>0</v>
      </c>
      <c r="V3" s="9" t="s">
        <v>15</v>
      </c>
      <c r="W3" s="9" t="s">
        <v>24</v>
      </c>
      <c r="X3" s="9">
        <v>1.3951612903225807</v>
      </c>
      <c r="Y3" s="37">
        <v>13.880239520958083</v>
      </c>
      <c r="Z3" s="9" t="s">
        <v>454</v>
      </c>
      <c r="AA3" s="9">
        <v>2</v>
      </c>
      <c r="AB3" s="38">
        <v>41699</v>
      </c>
      <c r="AC3" s="9" t="s">
        <v>471</v>
      </c>
      <c r="AD3" s="9" t="s">
        <v>473</v>
      </c>
      <c r="AE3" s="2">
        <v>253</v>
      </c>
      <c r="AF3" s="2">
        <v>22</v>
      </c>
      <c r="AG3" t="s">
        <v>1118</v>
      </c>
      <c r="AH3" s="34">
        <v>46215</v>
      </c>
    </row>
    <row r="4" spans="1:36" ht="15" customHeight="1" x14ac:dyDescent="0.25">
      <c r="A4" s="9">
        <v>3</v>
      </c>
      <c r="B4" s="9" t="s">
        <v>27</v>
      </c>
      <c r="C4" s="9" t="s">
        <v>28</v>
      </c>
      <c r="D4" s="9">
        <v>9</v>
      </c>
      <c r="E4" s="9">
        <v>54</v>
      </c>
      <c r="F4" s="9">
        <v>877</v>
      </c>
      <c r="G4" s="9">
        <v>72</v>
      </c>
      <c r="H4" s="9">
        <v>78</v>
      </c>
      <c r="I4" s="9">
        <v>7</v>
      </c>
      <c r="J4" s="9">
        <v>61</v>
      </c>
      <c r="K4" s="9">
        <v>45</v>
      </c>
      <c r="L4" s="9">
        <v>0</v>
      </c>
      <c r="M4" s="9">
        <v>0</v>
      </c>
      <c r="N4" s="9">
        <v>2</v>
      </c>
      <c r="O4" s="9">
        <v>0</v>
      </c>
      <c r="P4" s="9">
        <v>0</v>
      </c>
      <c r="Q4" s="9">
        <v>1</v>
      </c>
      <c r="R4" s="9">
        <v>0</v>
      </c>
      <c r="S4" s="9" t="s">
        <v>26</v>
      </c>
      <c r="T4" s="9">
        <v>0</v>
      </c>
      <c r="U4" s="9">
        <v>0</v>
      </c>
      <c r="V4" s="9" t="s">
        <v>15</v>
      </c>
      <c r="W4" s="9" t="s">
        <v>27</v>
      </c>
      <c r="X4" s="9">
        <v>1.3333333333333333</v>
      </c>
      <c r="Y4" s="37">
        <v>12.352112676056338</v>
      </c>
      <c r="Z4" s="9" t="s">
        <v>454</v>
      </c>
      <c r="AA4" s="9">
        <v>1</v>
      </c>
      <c r="AB4" s="38">
        <v>41456</v>
      </c>
      <c r="AC4" s="9" t="s">
        <v>474</v>
      </c>
      <c r="AD4" s="9" t="s">
        <v>1132</v>
      </c>
      <c r="AE4" s="2">
        <v>301</v>
      </c>
      <c r="AF4" s="2">
        <v>19</v>
      </c>
      <c r="AG4" t="s">
        <v>1121</v>
      </c>
      <c r="AH4" s="34">
        <v>46149</v>
      </c>
    </row>
    <row r="5" spans="1:36" ht="15" customHeight="1" x14ac:dyDescent="0.25">
      <c r="A5" s="9">
        <v>4</v>
      </c>
      <c r="B5" s="9" t="s">
        <v>29</v>
      </c>
      <c r="C5" s="9" t="s">
        <v>30</v>
      </c>
      <c r="D5" s="9">
        <v>20</v>
      </c>
      <c r="E5" s="9">
        <v>128</v>
      </c>
      <c r="F5" s="9">
        <v>2141</v>
      </c>
      <c r="G5" s="9">
        <v>141</v>
      </c>
      <c r="H5" s="9">
        <v>180</v>
      </c>
      <c r="I5" s="9">
        <v>16</v>
      </c>
      <c r="J5" s="9">
        <v>174</v>
      </c>
      <c r="K5" s="9">
        <v>80</v>
      </c>
      <c r="L5" s="9">
        <v>0</v>
      </c>
      <c r="M5" s="9">
        <v>1</v>
      </c>
      <c r="N5" s="9">
        <v>1</v>
      </c>
      <c r="O5" s="9">
        <v>2</v>
      </c>
      <c r="P5" s="9">
        <v>0</v>
      </c>
      <c r="Q5" s="9">
        <v>3</v>
      </c>
      <c r="R5" s="9">
        <v>0</v>
      </c>
      <c r="S5" s="9" t="s">
        <v>26</v>
      </c>
      <c r="T5" s="9">
        <v>1</v>
      </c>
      <c r="U5" s="9">
        <v>1</v>
      </c>
      <c r="V5" s="9" t="s">
        <v>15</v>
      </c>
      <c r="W5" s="9" t="s">
        <v>29</v>
      </c>
      <c r="X5" s="9">
        <v>1.1015625</v>
      </c>
      <c r="Y5" s="37">
        <v>13.054878048780488</v>
      </c>
      <c r="Z5" s="9" t="s">
        <v>454</v>
      </c>
      <c r="AA5" s="9">
        <v>3</v>
      </c>
      <c r="AB5" s="38">
        <v>41456</v>
      </c>
      <c r="AC5" s="9" t="s">
        <v>476</v>
      </c>
      <c r="AD5" s="9" t="s">
        <v>477</v>
      </c>
      <c r="AE5" s="2">
        <v>208</v>
      </c>
      <c r="AF5" s="2">
        <v>19</v>
      </c>
      <c r="AG5" t="s">
        <v>1116</v>
      </c>
      <c r="AH5" s="34">
        <v>46357</v>
      </c>
    </row>
    <row r="6" spans="1:36" ht="15" customHeight="1" x14ac:dyDescent="0.25">
      <c r="A6" s="9">
        <v>5</v>
      </c>
      <c r="B6" s="9" t="s">
        <v>31</v>
      </c>
      <c r="C6" s="9" t="s">
        <v>32</v>
      </c>
      <c r="D6" s="9">
        <v>17</v>
      </c>
      <c r="E6" s="9">
        <v>84</v>
      </c>
      <c r="F6" s="9">
        <v>895</v>
      </c>
      <c r="G6" s="9">
        <v>80</v>
      </c>
      <c r="H6" s="9">
        <v>105</v>
      </c>
      <c r="I6" s="9">
        <v>8</v>
      </c>
      <c r="J6" s="9">
        <v>48</v>
      </c>
      <c r="K6" s="9">
        <v>49</v>
      </c>
      <c r="L6" s="9">
        <v>0</v>
      </c>
      <c r="M6" s="9">
        <v>1</v>
      </c>
      <c r="N6" s="9">
        <v>1</v>
      </c>
      <c r="O6" s="9">
        <v>0</v>
      </c>
      <c r="P6" s="9">
        <v>0</v>
      </c>
      <c r="Q6" s="9">
        <v>2</v>
      </c>
      <c r="R6" s="9">
        <v>3</v>
      </c>
      <c r="S6" s="9" t="s">
        <v>26</v>
      </c>
      <c r="T6" s="9">
        <v>0</v>
      </c>
      <c r="U6" s="9">
        <v>0</v>
      </c>
      <c r="V6" s="9" t="s">
        <v>15</v>
      </c>
      <c r="W6" s="9" t="s">
        <v>31</v>
      </c>
      <c r="X6" s="9">
        <v>0.95238095238095233</v>
      </c>
      <c r="Y6" s="37">
        <v>9.2268041237113394</v>
      </c>
      <c r="Z6" s="9" t="s">
        <v>455</v>
      </c>
      <c r="AA6" s="9">
        <v>5</v>
      </c>
      <c r="AB6" s="38">
        <v>41395</v>
      </c>
      <c r="AC6" s="9" t="s">
        <v>478</v>
      </c>
      <c r="AD6" s="9" t="s">
        <v>479</v>
      </c>
      <c r="AE6" s="2">
        <v>103</v>
      </c>
      <c r="AF6" s="2">
        <v>12</v>
      </c>
      <c r="AG6"/>
    </row>
    <row r="7" spans="1:36" ht="15" customHeight="1" x14ac:dyDescent="0.25">
      <c r="A7" s="9">
        <v>6</v>
      </c>
      <c r="B7" s="9" t="s">
        <v>33</v>
      </c>
      <c r="C7" s="9" t="s">
        <v>34</v>
      </c>
      <c r="D7" s="9">
        <v>12</v>
      </c>
      <c r="E7" s="9">
        <v>66</v>
      </c>
      <c r="F7" s="9">
        <v>781</v>
      </c>
      <c r="G7" s="9">
        <v>68</v>
      </c>
      <c r="H7" s="9">
        <v>70</v>
      </c>
      <c r="I7" s="9">
        <v>4</v>
      </c>
      <c r="J7" s="9">
        <v>49</v>
      </c>
      <c r="K7" s="9">
        <v>57</v>
      </c>
      <c r="L7" s="9">
        <v>1</v>
      </c>
      <c r="M7" s="9">
        <v>1</v>
      </c>
      <c r="N7" s="9">
        <v>0</v>
      </c>
      <c r="O7" s="9">
        <v>0</v>
      </c>
      <c r="P7" s="9">
        <v>0</v>
      </c>
      <c r="Q7" s="9">
        <v>1</v>
      </c>
      <c r="R7" s="9">
        <v>1</v>
      </c>
      <c r="S7" s="9" t="s">
        <v>26</v>
      </c>
      <c r="T7" s="9">
        <v>0</v>
      </c>
      <c r="U7" s="9">
        <v>0</v>
      </c>
      <c r="V7" s="9" t="s">
        <v>15</v>
      </c>
      <c r="W7" s="9" t="s">
        <v>33</v>
      </c>
      <c r="X7" s="9">
        <v>1.0303030303030303</v>
      </c>
      <c r="Y7" s="37">
        <v>11.833333333333334</v>
      </c>
      <c r="Z7" s="9" t="s">
        <v>454</v>
      </c>
      <c r="AA7" s="9">
        <v>2</v>
      </c>
      <c r="AB7" s="38">
        <v>41456</v>
      </c>
      <c r="AC7" s="9" t="s">
        <v>474</v>
      </c>
      <c r="AD7" s="9" t="s">
        <v>1133</v>
      </c>
      <c r="AE7" s="2">
        <v>125</v>
      </c>
      <c r="AF7" s="2">
        <v>13</v>
      </c>
      <c r="AG7"/>
    </row>
    <row r="8" spans="1:36" ht="15" customHeight="1" x14ac:dyDescent="0.25">
      <c r="A8" s="9">
        <v>7</v>
      </c>
      <c r="B8" s="9" t="s">
        <v>35</v>
      </c>
      <c r="C8" s="9" t="s">
        <v>36</v>
      </c>
      <c r="D8" s="9">
        <v>3</v>
      </c>
      <c r="E8" s="9">
        <v>19</v>
      </c>
      <c r="F8" s="9">
        <v>251</v>
      </c>
      <c r="G8" s="9">
        <v>18</v>
      </c>
      <c r="H8" s="9">
        <v>25</v>
      </c>
      <c r="I8" s="9">
        <v>1</v>
      </c>
      <c r="J8" s="9">
        <v>11</v>
      </c>
      <c r="K8" s="9">
        <v>19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 t="s">
        <v>37</v>
      </c>
      <c r="T8" s="9">
        <v>0</v>
      </c>
      <c r="U8" s="9">
        <v>0</v>
      </c>
      <c r="V8" s="9" t="s">
        <v>15</v>
      </c>
      <c r="W8" s="9" t="s">
        <v>35</v>
      </c>
      <c r="X8" s="9">
        <v>0.94736842105263153</v>
      </c>
      <c r="Y8" s="37">
        <v>10.458333333333334</v>
      </c>
      <c r="Z8" s="9" t="s">
        <v>456</v>
      </c>
      <c r="AA8" s="9">
        <v>0</v>
      </c>
      <c r="AB8" s="38">
        <v>41699</v>
      </c>
      <c r="AC8" s="9" t="s">
        <v>471</v>
      </c>
      <c r="AD8" s="9" t="s">
        <v>481</v>
      </c>
      <c r="AE8" s="2">
        <v>141</v>
      </c>
      <c r="AF8" s="2">
        <v>12</v>
      </c>
      <c r="AG8"/>
    </row>
    <row r="9" spans="1:36" ht="15" customHeight="1" x14ac:dyDescent="0.25">
      <c r="A9" s="9">
        <v>8</v>
      </c>
      <c r="B9" s="9" t="s">
        <v>38</v>
      </c>
      <c r="C9" s="9" t="s">
        <v>39</v>
      </c>
      <c r="D9" s="9">
        <v>14</v>
      </c>
      <c r="E9" s="9">
        <v>48</v>
      </c>
      <c r="F9" s="9">
        <v>469</v>
      </c>
      <c r="G9" s="9">
        <v>53</v>
      </c>
      <c r="H9" s="9">
        <v>55</v>
      </c>
      <c r="I9" s="9">
        <v>3</v>
      </c>
      <c r="J9" s="9">
        <v>23</v>
      </c>
      <c r="K9" s="9">
        <v>14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3</v>
      </c>
      <c r="R9" s="9">
        <v>0</v>
      </c>
      <c r="S9" s="9" t="s">
        <v>40</v>
      </c>
      <c r="T9" s="9">
        <v>0</v>
      </c>
      <c r="U9" s="9">
        <v>0</v>
      </c>
      <c r="V9" s="9" t="s">
        <v>15</v>
      </c>
      <c r="W9" s="9" t="s">
        <v>38</v>
      </c>
      <c r="X9" s="9">
        <v>1.1041666666666667</v>
      </c>
      <c r="Y9" s="37">
        <v>9.0192307692307701</v>
      </c>
      <c r="Z9" s="9" t="s">
        <v>457</v>
      </c>
      <c r="AA9" s="9">
        <v>3</v>
      </c>
      <c r="AB9" s="38">
        <v>41426</v>
      </c>
      <c r="AC9" s="9" t="s">
        <v>482</v>
      </c>
      <c r="AD9" s="9" t="s">
        <v>483</v>
      </c>
      <c r="AE9" s="2">
        <v>82</v>
      </c>
      <c r="AF9" s="2">
        <v>18</v>
      </c>
      <c r="AG9"/>
    </row>
    <row r="10" spans="1:36" ht="15" customHeight="1" x14ac:dyDescent="0.25">
      <c r="A10" s="9">
        <v>9</v>
      </c>
      <c r="B10" s="9" t="s">
        <v>41</v>
      </c>
      <c r="C10" s="9" t="s">
        <v>42</v>
      </c>
      <c r="D10" s="9">
        <v>5</v>
      </c>
      <c r="E10" s="9">
        <v>25</v>
      </c>
      <c r="F10" s="9">
        <v>426</v>
      </c>
      <c r="G10" s="9">
        <v>20</v>
      </c>
      <c r="H10" s="9">
        <v>33</v>
      </c>
      <c r="I10" s="9">
        <v>4</v>
      </c>
      <c r="J10" s="9">
        <v>36</v>
      </c>
      <c r="K10" s="9">
        <v>27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 t="s">
        <v>43</v>
      </c>
      <c r="T10" s="9">
        <v>0</v>
      </c>
      <c r="U10" s="9">
        <v>0</v>
      </c>
      <c r="V10" s="9" t="s">
        <v>15</v>
      </c>
      <c r="W10" s="9" t="s">
        <v>41</v>
      </c>
      <c r="X10" s="9">
        <v>0.8</v>
      </c>
      <c r="Y10" s="37">
        <v>14.689655172413794</v>
      </c>
      <c r="Z10" s="9" t="s">
        <v>456</v>
      </c>
      <c r="AA10" s="9">
        <v>0</v>
      </c>
      <c r="AB10" s="38">
        <v>42675</v>
      </c>
      <c r="AC10" s="9" t="s">
        <v>484</v>
      </c>
      <c r="AD10" s="9" t="s">
        <v>485</v>
      </c>
      <c r="AE10" s="2">
        <v>145</v>
      </c>
      <c r="AF10" s="2">
        <v>6</v>
      </c>
      <c r="AG10"/>
    </row>
    <row r="11" spans="1:36" ht="15" customHeight="1" x14ac:dyDescent="0.25">
      <c r="A11" s="9">
        <v>10</v>
      </c>
      <c r="B11" s="9" t="s">
        <v>44</v>
      </c>
      <c r="C11" s="9" t="s">
        <v>45</v>
      </c>
      <c r="D11" s="9">
        <v>15</v>
      </c>
      <c r="E11" s="9">
        <v>114</v>
      </c>
      <c r="F11" s="9">
        <v>1853</v>
      </c>
      <c r="G11" s="9">
        <v>164</v>
      </c>
      <c r="H11" s="9">
        <v>150</v>
      </c>
      <c r="I11" s="9">
        <v>14</v>
      </c>
      <c r="J11" s="9">
        <v>89</v>
      </c>
      <c r="K11" s="9">
        <v>91</v>
      </c>
      <c r="L11" s="9">
        <v>6</v>
      </c>
      <c r="M11" s="9">
        <v>0</v>
      </c>
      <c r="N11" s="9">
        <v>0</v>
      </c>
      <c r="O11" s="9">
        <v>0</v>
      </c>
      <c r="P11" s="9">
        <v>1</v>
      </c>
      <c r="Q11" s="9">
        <v>3</v>
      </c>
      <c r="R11" s="9">
        <v>2</v>
      </c>
      <c r="S11" s="9" t="s">
        <v>40</v>
      </c>
      <c r="T11" s="9">
        <v>0</v>
      </c>
      <c r="U11" s="9">
        <v>1</v>
      </c>
      <c r="V11" s="9" t="s">
        <v>15</v>
      </c>
      <c r="W11" s="9" t="s">
        <v>44</v>
      </c>
      <c r="X11" s="9">
        <v>1.4385964912280702</v>
      </c>
      <c r="Y11" s="37">
        <v>13.625</v>
      </c>
      <c r="Z11" s="9" t="s">
        <v>454</v>
      </c>
      <c r="AA11" s="9">
        <v>5</v>
      </c>
      <c r="AB11" s="38">
        <v>41334</v>
      </c>
      <c r="AC11" s="9" t="s">
        <v>486</v>
      </c>
      <c r="AD11" s="9" t="s">
        <v>487</v>
      </c>
      <c r="AE11" s="2">
        <v>251</v>
      </c>
      <c r="AF11" s="2">
        <v>26</v>
      </c>
      <c r="AG11" s="16" t="s">
        <v>1107</v>
      </c>
      <c r="AH11" s="34">
        <v>46307</v>
      </c>
    </row>
    <row r="12" spans="1:36" ht="15" customHeight="1" x14ac:dyDescent="0.25">
      <c r="A12" s="9">
        <v>11</v>
      </c>
      <c r="B12" s="9" t="s">
        <v>46</v>
      </c>
      <c r="C12" s="9" t="s">
        <v>47</v>
      </c>
      <c r="D12" s="9">
        <v>13</v>
      </c>
      <c r="E12" s="9">
        <v>86</v>
      </c>
      <c r="F12" s="9">
        <v>1853</v>
      </c>
      <c r="G12" s="9">
        <v>141</v>
      </c>
      <c r="H12" s="9">
        <v>161</v>
      </c>
      <c r="I12" s="9">
        <v>16</v>
      </c>
      <c r="J12" s="9">
        <v>130</v>
      </c>
      <c r="K12" s="9">
        <v>82</v>
      </c>
      <c r="L12" s="9">
        <v>0</v>
      </c>
      <c r="M12" s="9">
        <v>0</v>
      </c>
      <c r="N12" s="9">
        <v>0</v>
      </c>
      <c r="O12" s="9">
        <v>0</v>
      </c>
      <c r="P12" s="9">
        <v>1</v>
      </c>
      <c r="Q12" s="9">
        <v>2</v>
      </c>
      <c r="R12" s="9">
        <v>2</v>
      </c>
      <c r="S12" s="9" t="s">
        <v>48</v>
      </c>
      <c r="T12" s="9">
        <v>1</v>
      </c>
      <c r="U12" s="9">
        <v>1</v>
      </c>
      <c r="V12" s="9" t="s">
        <v>15</v>
      </c>
      <c r="W12" s="9" t="s">
        <v>46</v>
      </c>
      <c r="X12" s="36">
        <v>1.6395348837209303</v>
      </c>
      <c r="Y12" s="37">
        <v>12.779310344827586</v>
      </c>
      <c r="Z12" s="9" t="s">
        <v>454</v>
      </c>
      <c r="AA12" s="9">
        <v>4</v>
      </c>
      <c r="AB12" s="38">
        <v>41456</v>
      </c>
      <c r="AC12" s="9" t="s">
        <v>474</v>
      </c>
      <c r="AD12" s="9" t="s">
        <v>1134</v>
      </c>
      <c r="AE12" s="2">
        <v>314</v>
      </c>
      <c r="AF12" s="2">
        <v>26</v>
      </c>
      <c r="AG12"/>
    </row>
    <row r="13" spans="1:36" ht="15" customHeight="1" x14ac:dyDescent="0.25">
      <c r="A13" s="9">
        <v>12</v>
      </c>
      <c r="B13" s="9" t="s">
        <v>49</v>
      </c>
      <c r="C13" s="9" t="s">
        <v>50</v>
      </c>
      <c r="D13" s="9">
        <v>3</v>
      </c>
      <c r="E13" s="9">
        <v>11</v>
      </c>
      <c r="F13" s="9">
        <v>113</v>
      </c>
      <c r="G13" s="9">
        <v>10</v>
      </c>
      <c r="H13" s="9">
        <v>15</v>
      </c>
      <c r="I13" s="9">
        <v>0</v>
      </c>
      <c r="J13" s="9">
        <v>7</v>
      </c>
      <c r="K13" s="9">
        <v>3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 t="s">
        <v>51</v>
      </c>
      <c r="T13" s="9">
        <v>0</v>
      </c>
      <c r="U13" s="9">
        <v>0</v>
      </c>
      <c r="V13" s="9" t="s">
        <v>15</v>
      </c>
      <c r="W13" s="9" t="s">
        <v>49</v>
      </c>
      <c r="X13" s="9">
        <v>0.90909090909090906</v>
      </c>
      <c r="Y13" s="37">
        <v>7.5333333333333332</v>
      </c>
      <c r="Z13" s="9" t="s">
        <v>455</v>
      </c>
      <c r="AA13" s="9">
        <v>0</v>
      </c>
      <c r="AB13" s="38">
        <v>41456</v>
      </c>
      <c r="AC13" s="9" t="s">
        <v>474</v>
      </c>
      <c r="AD13" s="9" t="s">
        <v>1135</v>
      </c>
      <c r="AE13" s="2">
        <v>53</v>
      </c>
      <c r="AF13" s="2">
        <v>4</v>
      </c>
      <c r="AG13"/>
    </row>
    <row r="14" spans="1:36" ht="15" customHeight="1" x14ac:dyDescent="0.25">
      <c r="A14" s="9">
        <v>13</v>
      </c>
      <c r="B14" s="9" t="s">
        <v>52</v>
      </c>
      <c r="C14" s="9" t="s">
        <v>1095</v>
      </c>
      <c r="D14" s="9">
        <v>23</v>
      </c>
      <c r="E14" s="9">
        <v>131</v>
      </c>
      <c r="F14" s="9">
        <v>1619</v>
      </c>
      <c r="G14" s="9">
        <v>118</v>
      </c>
      <c r="H14" s="9">
        <v>172</v>
      </c>
      <c r="I14" s="9">
        <v>8</v>
      </c>
      <c r="J14" s="9">
        <v>121</v>
      </c>
      <c r="K14" s="9">
        <v>84</v>
      </c>
      <c r="L14" s="9">
        <v>0</v>
      </c>
      <c r="M14" s="9">
        <v>1</v>
      </c>
      <c r="N14" s="9">
        <v>1</v>
      </c>
      <c r="O14" s="9">
        <v>0</v>
      </c>
      <c r="P14" s="9">
        <v>0</v>
      </c>
      <c r="Q14" s="9">
        <v>3</v>
      </c>
      <c r="R14" s="9">
        <v>1</v>
      </c>
      <c r="S14" s="9" t="s">
        <v>26</v>
      </c>
      <c r="T14" s="9">
        <v>0</v>
      </c>
      <c r="U14" s="9">
        <v>0</v>
      </c>
      <c r="V14" s="9" t="s">
        <v>15</v>
      </c>
      <c r="W14" s="9" t="s">
        <v>52</v>
      </c>
      <c r="X14" s="9">
        <v>0.9007633587786259</v>
      </c>
      <c r="Y14" s="37">
        <v>9.8719512195121943</v>
      </c>
      <c r="Z14" s="9" t="s">
        <v>455</v>
      </c>
      <c r="AA14" s="9">
        <v>4</v>
      </c>
      <c r="AB14" s="38">
        <v>41487</v>
      </c>
      <c r="AC14" s="9" t="s">
        <v>490</v>
      </c>
      <c r="AD14" s="9" t="s">
        <v>1136</v>
      </c>
      <c r="AE14" s="2">
        <v>248</v>
      </c>
      <c r="AF14" s="2">
        <v>21</v>
      </c>
      <c r="AG14"/>
      <c r="AH14" s="34">
        <v>46309</v>
      </c>
    </row>
    <row r="15" spans="1:36" ht="15" customHeight="1" x14ac:dyDescent="0.25">
      <c r="A15" s="9">
        <v>14</v>
      </c>
      <c r="B15" s="9" t="s">
        <v>53</v>
      </c>
      <c r="C15" s="9" t="s">
        <v>54</v>
      </c>
      <c r="D15" s="9">
        <v>1</v>
      </c>
      <c r="E15" s="9">
        <v>8</v>
      </c>
      <c r="F15" s="9">
        <v>78</v>
      </c>
      <c r="G15" s="9">
        <v>7</v>
      </c>
      <c r="H15" s="9">
        <v>8</v>
      </c>
      <c r="I15" s="9">
        <v>0</v>
      </c>
      <c r="J15" s="9">
        <v>3</v>
      </c>
      <c r="K15" s="9">
        <v>6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1</v>
      </c>
      <c r="S15" s="9" t="s">
        <v>51</v>
      </c>
      <c r="T15" s="9">
        <v>0</v>
      </c>
      <c r="U15" s="9">
        <v>0</v>
      </c>
      <c r="V15" s="9" t="s">
        <v>15</v>
      </c>
      <c r="W15" s="9" t="s">
        <v>53</v>
      </c>
      <c r="X15" s="9">
        <v>0.875</v>
      </c>
      <c r="Y15" s="37">
        <v>9.75</v>
      </c>
      <c r="Z15" s="9" t="s">
        <v>455</v>
      </c>
      <c r="AA15" s="9">
        <v>1</v>
      </c>
      <c r="AB15" s="38">
        <v>43952</v>
      </c>
      <c r="AC15" s="9" t="s">
        <v>492</v>
      </c>
      <c r="AD15" s="9" t="s">
        <v>493</v>
      </c>
      <c r="AE15" s="2">
        <v>78</v>
      </c>
      <c r="AF15" s="2">
        <v>7</v>
      </c>
      <c r="AG15"/>
    </row>
    <row r="16" spans="1:36" ht="15" customHeight="1" x14ac:dyDescent="0.25">
      <c r="A16" s="9">
        <v>15</v>
      </c>
      <c r="B16" s="9" t="s">
        <v>55</v>
      </c>
      <c r="C16" s="9" t="s">
        <v>56</v>
      </c>
      <c r="D16" s="9">
        <v>3</v>
      </c>
      <c r="E16" s="9">
        <v>20</v>
      </c>
      <c r="F16" s="9">
        <v>292</v>
      </c>
      <c r="G16" s="9">
        <v>16</v>
      </c>
      <c r="H16" s="9">
        <v>34</v>
      </c>
      <c r="I16" s="9">
        <v>2</v>
      </c>
      <c r="J16" s="9">
        <v>19</v>
      </c>
      <c r="K16" s="9">
        <v>19</v>
      </c>
      <c r="L16" s="9">
        <v>1</v>
      </c>
      <c r="M16" s="9">
        <v>1</v>
      </c>
      <c r="N16" s="9">
        <v>1</v>
      </c>
      <c r="O16" s="9">
        <v>0</v>
      </c>
      <c r="P16" s="9">
        <v>0</v>
      </c>
      <c r="Q16" s="9">
        <v>0</v>
      </c>
      <c r="R16" s="9">
        <v>0</v>
      </c>
      <c r="S16" s="9" t="s">
        <v>40</v>
      </c>
      <c r="T16" s="9">
        <v>0</v>
      </c>
      <c r="U16" s="9">
        <v>0</v>
      </c>
      <c r="V16" s="9" t="s">
        <v>15</v>
      </c>
      <c r="W16" s="9" t="s">
        <v>55</v>
      </c>
      <c r="X16" s="9">
        <v>0.8</v>
      </c>
      <c r="Y16" s="37">
        <v>9.125</v>
      </c>
      <c r="Z16" s="9" t="s">
        <v>455</v>
      </c>
      <c r="AA16" s="9">
        <v>0</v>
      </c>
      <c r="AB16" s="38">
        <v>44013</v>
      </c>
      <c r="AC16" s="9" t="s">
        <v>494</v>
      </c>
      <c r="AD16" s="9" t="s">
        <v>495</v>
      </c>
      <c r="AE16" s="2">
        <v>186</v>
      </c>
      <c r="AF16" s="2">
        <v>11</v>
      </c>
      <c r="AG16"/>
    </row>
    <row r="17" spans="1:34" ht="15" customHeight="1" x14ac:dyDescent="0.25">
      <c r="A17" s="9">
        <v>16</v>
      </c>
      <c r="B17" s="9" t="s">
        <v>57</v>
      </c>
      <c r="C17" s="9" t="s">
        <v>58</v>
      </c>
      <c r="D17" s="9">
        <v>1</v>
      </c>
      <c r="E17" s="9">
        <v>5</v>
      </c>
      <c r="F17" s="9">
        <v>66</v>
      </c>
      <c r="G17" s="9">
        <v>4</v>
      </c>
      <c r="H17" s="9">
        <v>6</v>
      </c>
      <c r="I17" s="9">
        <v>0</v>
      </c>
      <c r="J17" s="9">
        <v>7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 t="s">
        <v>59</v>
      </c>
      <c r="T17" s="9">
        <v>0</v>
      </c>
      <c r="U17" s="9">
        <v>0</v>
      </c>
      <c r="V17" s="9" t="s">
        <v>15</v>
      </c>
      <c r="W17" s="9" t="s">
        <v>57</v>
      </c>
      <c r="X17" s="9">
        <v>0.8</v>
      </c>
      <c r="Y17" s="37">
        <v>11</v>
      </c>
      <c r="Z17" s="9" t="s">
        <v>456</v>
      </c>
      <c r="AA17" s="9">
        <v>0</v>
      </c>
      <c r="AB17" s="38">
        <v>42401</v>
      </c>
      <c r="AC17" s="9" t="s">
        <v>496</v>
      </c>
      <c r="AD17" s="9" t="s">
        <v>497</v>
      </c>
      <c r="AE17" s="2">
        <v>66</v>
      </c>
      <c r="AF17" s="2">
        <v>4</v>
      </c>
      <c r="AG17"/>
    </row>
    <row r="18" spans="1:34" ht="15" customHeight="1" x14ac:dyDescent="0.25">
      <c r="A18" s="9">
        <v>17</v>
      </c>
      <c r="B18" s="9" t="s">
        <v>60</v>
      </c>
      <c r="C18" s="9" t="s">
        <v>61</v>
      </c>
      <c r="D18" s="9">
        <v>25</v>
      </c>
      <c r="E18" s="9">
        <v>168</v>
      </c>
      <c r="F18" s="9">
        <v>3317</v>
      </c>
      <c r="G18" s="9">
        <v>219</v>
      </c>
      <c r="H18" s="9">
        <v>248</v>
      </c>
      <c r="I18" s="9">
        <v>30</v>
      </c>
      <c r="J18" s="9">
        <v>200</v>
      </c>
      <c r="K18" s="9">
        <v>142</v>
      </c>
      <c r="L18" s="9">
        <v>3</v>
      </c>
      <c r="M18" s="9">
        <v>2</v>
      </c>
      <c r="N18" s="9">
        <v>2</v>
      </c>
      <c r="O18" s="9">
        <v>1</v>
      </c>
      <c r="P18" s="9">
        <v>1</v>
      </c>
      <c r="Q18" s="9">
        <v>2</v>
      </c>
      <c r="R18" s="9">
        <v>5</v>
      </c>
      <c r="S18" s="9" t="s">
        <v>26</v>
      </c>
      <c r="T18" s="9">
        <v>2</v>
      </c>
      <c r="U18" s="9">
        <v>1</v>
      </c>
      <c r="V18" s="9" t="s">
        <v>15</v>
      </c>
      <c r="W18" s="9" t="s">
        <v>60</v>
      </c>
      <c r="X18" s="39">
        <v>1.3035714285714286</v>
      </c>
      <c r="Y18" s="37">
        <v>15.215596330275229</v>
      </c>
      <c r="Z18" s="9" t="s">
        <v>458</v>
      </c>
      <c r="AA18" s="9">
        <v>7</v>
      </c>
      <c r="AB18" s="38">
        <v>41334</v>
      </c>
      <c r="AC18" s="9" t="s">
        <v>486</v>
      </c>
      <c r="AD18" s="9" t="s">
        <v>498</v>
      </c>
      <c r="AE18" s="2">
        <v>301</v>
      </c>
      <c r="AF18" s="2">
        <v>23</v>
      </c>
      <c r="AG18" t="s">
        <v>1125</v>
      </c>
      <c r="AH18" s="34">
        <v>46233</v>
      </c>
    </row>
    <row r="19" spans="1:34" ht="15" customHeight="1" x14ac:dyDescent="0.25">
      <c r="A19" s="9">
        <v>18</v>
      </c>
      <c r="B19" s="9" t="s">
        <v>62</v>
      </c>
      <c r="C19" s="9" t="s">
        <v>63</v>
      </c>
      <c r="D19" s="9">
        <v>22</v>
      </c>
      <c r="E19" s="9">
        <v>143</v>
      </c>
      <c r="F19" s="9">
        <v>1921</v>
      </c>
      <c r="G19" s="9">
        <v>219</v>
      </c>
      <c r="H19" s="9">
        <v>185</v>
      </c>
      <c r="I19" s="9">
        <v>38</v>
      </c>
      <c r="J19" s="9">
        <v>147</v>
      </c>
      <c r="K19" s="9">
        <v>130</v>
      </c>
      <c r="L19" s="9">
        <v>5</v>
      </c>
      <c r="M19" s="9">
        <v>2</v>
      </c>
      <c r="N19" s="9">
        <v>3</v>
      </c>
      <c r="O19" s="9">
        <v>1</v>
      </c>
      <c r="P19" s="9">
        <v>0</v>
      </c>
      <c r="Q19" s="9">
        <v>1</v>
      </c>
      <c r="R19" s="9">
        <v>4</v>
      </c>
      <c r="S19" s="9" t="s">
        <v>26</v>
      </c>
      <c r="T19" s="9">
        <v>0</v>
      </c>
      <c r="U19" s="9">
        <v>0</v>
      </c>
      <c r="V19" s="9" t="s">
        <v>15</v>
      </c>
      <c r="W19" s="9" t="s">
        <v>62</v>
      </c>
      <c r="X19" s="36">
        <v>1.5314685314685315</v>
      </c>
      <c r="Y19" s="37">
        <v>13.068027210884354</v>
      </c>
      <c r="Z19" s="9" t="s">
        <v>454</v>
      </c>
      <c r="AA19" s="9">
        <v>5</v>
      </c>
      <c r="AB19" s="38">
        <v>41548</v>
      </c>
      <c r="AC19" s="9" t="s">
        <v>499</v>
      </c>
      <c r="AD19" s="9" t="s">
        <v>500</v>
      </c>
      <c r="AE19" s="2">
        <v>278</v>
      </c>
      <c r="AF19" s="2">
        <v>22</v>
      </c>
      <c r="AG19" s="16" t="s">
        <v>1098</v>
      </c>
      <c r="AH19" s="34">
        <v>46041</v>
      </c>
    </row>
    <row r="20" spans="1:34" ht="15" customHeight="1" x14ac:dyDescent="0.25">
      <c r="A20" s="9">
        <v>19</v>
      </c>
      <c r="B20" s="9" t="s">
        <v>64</v>
      </c>
      <c r="C20" s="40" t="s">
        <v>65</v>
      </c>
      <c r="D20" s="9">
        <v>18</v>
      </c>
      <c r="E20" s="9">
        <v>100</v>
      </c>
      <c r="F20" s="9">
        <v>1679</v>
      </c>
      <c r="G20" s="9">
        <v>151</v>
      </c>
      <c r="H20" s="9">
        <v>153</v>
      </c>
      <c r="I20" s="9">
        <v>12</v>
      </c>
      <c r="J20" s="9">
        <v>149</v>
      </c>
      <c r="K20" s="9">
        <v>114</v>
      </c>
      <c r="L20" s="9">
        <v>4</v>
      </c>
      <c r="M20" s="9">
        <v>3</v>
      </c>
      <c r="N20" s="9">
        <v>1</v>
      </c>
      <c r="O20" s="9">
        <v>1</v>
      </c>
      <c r="P20" s="9">
        <v>0</v>
      </c>
      <c r="Q20" s="9">
        <v>0</v>
      </c>
      <c r="R20" s="9">
        <v>1</v>
      </c>
      <c r="S20" s="9" t="s">
        <v>26</v>
      </c>
      <c r="T20" s="9">
        <v>1</v>
      </c>
      <c r="U20" s="9">
        <v>1</v>
      </c>
      <c r="V20" s="9" t="s">
        <v>15</v>
      </c>
      <c r="W20" s="9" t="s">
        <v>64</v>
      </c>
      <c r="X20" s="9">
        <v>1.51</v>
      </c>
      <c r="Y20" s="37">
        <v>11.907801418439716</v>
      </c>
      <c r="Z20" s="9" t="s">
        <v>454</v>
      </c>
      <c r="AA20" s="9">
        <v>1</v>
      </c>
      <c r="AB20" s="38">
        <v>41609</v>
      </c>
      <c r="AC20" s="9" t="s">
        <v>501</v>
      </c>
      <c r="AD20" s="9" t="s">
        <v>502</v>
      </c>
      <c r="AE20" s="2">
        <v>301</v>
      </c>
      <c r="AF20" s="2">
        <v>19</v>
      </c>
      <c r="AG20" s="16" t="s">
        <v>1100</v>
      </c>
      <c r="AH20" s="34">
        <v>46054</v>
      </c>
    </row>
    <row r="21" spans="1:34" ht="15" customHeight="1" x14ac:dyDescent="0.25">
      <c r="A21" s="9">
        <v>20</v>
      </c>
      <c r="B21" s="9" t="s">
        <v>66</v>
      </c>
      <c r="C21" s="9" t="s">
        <v>67</v>
      </c>
      <c r="D21" s="9">
        <v>21</v>
      </c>
      <c r="E21" s="9">
        <v>128</v>
      </c>
      <c r="F21" s="9">
        <v>2152</v>
      </c>
      <c r="G21" s="9">
        <v>163</v>
      </c>
      <c r="H21" s="9">
        <v>190</v>
      </c>
      <c r="I21" s="9">
        <v>15</v>
      </c>
      <c r="J21" s="9">
        <v>120</v>
      </c>
      <c r="K21" s="9">
        <v>80</v>
      </c>
      <c r="L21" s="9">
        <v>0</v>
      </c>
      <c r="M21" s="9">
        <v>0</v>
      </c>
      <c r="N21" s="9">
        <v>2.5</v>
      </c>
      <c r="O21" s="9">
        <v>0</v>
      </c>
      <c r="P21" s="9">
        <v>0</v>
      </c>
      <c r="Q21" s="9">
        <v>1</v>
      </c>
      <c r="R21" s="9">
        <v>2</v>
      </c>
      <c r="S21" s="9" t="s">
        <v>26</v>
      </c>
      <c r="T21" s="9">
        <v>0</v>
      </c>
      <c r="U21" s="9">
        <v>1</v>
      </c>
      <c r="V21" s="9" t="s">
        <v>15</v>
      </c>
      <c r="W21" s="9" t="s">
        <v>66</v>
      </c>
      <c r="X21" s="9">
        <v>1.2734375</v>
      </c>
      <c r="Y21" s="37">
        <v>12.297142857142857</v>
      </c>
      <c r="Z21" s="9" t="s">
        <v>454</v>
      </c>
      <c r="AA21" s="9">
        <v>3</v>
      </c>
      <c r="AB21" s="38">
        <v>41334</v>
      </c>
      <c r="AC21" s="9" t="s">
        <v>486</v>
      </c>
      <c r="AD21" s="9" t="s">
        <v>503</v>
      </c>
      <c r="AE21" s="2">
        <v>298</v>
      </c>
      <c r="AF21" s="2">
        <v>23</v>
      </c>
      <c r="AG21" t="s">
        <v>1157</v>
      </c>
      <c r="AH21" s="34">
        <v>46333</v>
      </c>
    </row>
    <row r="22" spans="1:34" ht="15" customHeight="1" x14ac:dyDescent="0.25">
      <c r="A22" s="9">
        <v>21</v>
      </c>
      <c r="B22" s="9" t="s">
        <v>68</v>
      </c>
      <c r="C22" s="40" t="s">
        <v>69</v>
      </c>
      <c r="D22" s="9">
        <v>5</v>
      </c>
      <c r="E22" s="9">
        <v>27</v>
      </c>
      <c r="F22" s="9">
        <v>242</v>
      </c>
      <c r="G22" s="9">
        <v>31</v>
      </c>
      <c r="H22" s="9">
        <v>28</v>
      </c>
      <c r="I22" s="9">
        <v>0</v>
      </c>
      <c r="J22" s="9">
        <v>15</v>
      </c>
      <c r="K22" s="9">
        <v>16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 t="s">
        <v>26</v>
      </c>
      <c r="T22" s="9">
        <v>0</v>
      </c>
      <c r="U22" s="9">
        <v>0</v>
      </c>
      <c r="V22" s="9" t="s">
        <v>15</v>
      </c>
      <c r="W22" s="9" t="s">
        <v>68</v>
      </c>
      <c r="X22" s="9">
        <v>1.1481481481481481</v>
      </c>
      <c r="Y22" s="37">
        <v>8.6428571428571423</v>
      </c>
      <c r="Z22" s="9" t="s">
        <v>457</v>
      </c>
      <c r="AA22" s="9">
        <v>1</v>
      </c>
      <c r="AB22" s="38">
        <v>43952</v>
      </c>
      <c r="AC22" s="9" t="s">
        <v>492</v>
      </c>
      <c r="AD22" s="9" t="s">
        <v>504</v>
      </c>
      <c r="AE22" s="2">
        <v>62</v>
      </c>
      <c r="AF22" s="2">
        <v>10</v>
      </c>
      <c r="AG22"/>
    </row>
    <row r="23" spans="1:34" ht="15" customHeight="1" x14ac:dyDescent="0.25">
      <c r="A23" s="9">
        <v>22</v>
      </c>
      <c r="B23" s="9" t="s">
        <v>70</v>
      </c>
      <c r="C23" s="40" t="s">
        <v>71</v>
      </c>
      <c r="D23" s="9">
        <v>23</v>
      </c>
      <c r="E23" s="9">
        <v>143</v>
      </c>
      <c r="F23" s="9">
        <v>2477</v>
      </c>
      <c r="G23" s="9">
        <v>176</v>
      </c>
      <c r="H23" s="9">
        <v>209</v>
      </c>
      <c r="I23" s="9">
        <v>10</v>
      </c>
      <c r="J23" s="9">
        <v>116</v>
      </c>
      <c r="K23" s="9">
        <v>134</v>
      </c>
      <c r="L23" s="9">
        <v>1</v>
      </c>
      <c r="M23" s="9">
        <v>2</v>
      </c>
      <c r="N23" s="9">
        <v>0</v>
      </c>
      <c r="O23" s="9">
        <v>0</v>
      </c>
      <c r="P23" s="9">
        <v>1</v>
      </c>
      <c r="Q23" s="9">
        <v>0</v>
      </c>
      <c r="R23" s="9">
        <v>5</v>
      </c>
      <c r="S23" s="9" t="s">
        <v>40</v>
      </c>
      <c r="T23" s="9">
        <v>0</v>
      </c>
      <c r="U23" s="9">
        <v>1</v>
      </c>
      <c r="V23" s="9" t="s">
        <v>15</v>
      </c>
      <c r="W23" s="9" t="s">
        <v>70</v>
      </c>
      <c r="X23" s="9">
        <v>1.2307692307692308</v>
      </c>
      <c r="Y23" s="37">
        <v>12.447236180904522</v>
      </c>
      <c r="Z23" s="9" t="s">
        <v>454</v>
      </c>
      <c r="AA23" s="9">
        <v>5</v>
      </c>
      <c r="AB23" s="38">
        <v>41365</v>
      </c>
      <c r="AC23" s="9" t="s">
        <v>505</v>
      </c>
      <c r="AD23" s="9" t="s">
        <v>506</v>
      </c>
      <c r="AE23" s="2">
        <v>256</v>
      </c>
      <c r="AF23" s="2">
        <v>23</v>
      </c>
      <c r="AG23" s="16" t="s">
        <v>1101</v>
      </c>
      <c r="AH23" s="34">
        <v>46032</v>
      </c>
    </row>
    <row r="24" spans="1:34" ht="15" customHeight="1" x14ac:dyDescent="0.25">
      <c r="A24" s="9">
        <v>23</v>
      </c>
      <c r="B24" s="9" t="s">
        <v>72</v>
      </c>
      <c r="C24" s="9" t="s">
        <v>73</v>
      </c>
      <c r="D24" s="9">
        <v>14</v>
      </c>
      <c r="E24" s="9">
        <v>80</v>
      </c>
      <c r="F24" s="9">
        <v>1642</v>
      </c>
      <c r="G24" s="9">
        <v>74</v>
      </c>
      <c r="H24" s="9">
        <v>124</v>
      </c>
      <c r="I24" s="9">
        <v>11</v>
      </c>
      <c r="J24" s="9">
        <v>71</v>
      </c>
      <c r="K24" s="9">
        <v>82</v>
      </c>
      <c r="L24" s="9">
        <v>0</v>
      </c>
      <c r="M24" s="9">
        <v>1</v>
      </c>
      <c r="N24" s="9">
        <v>2</v>
      </c>
      <c r="O24" s="9">
        <v>0</v>
      </c>
      <c r="P24" s="9">
        <v>0</v>
      </c>
      <c r="Q24" s="9">
        <v>1</v>
      </c>
      <c r="R24" s="9">
        <v>3</v>
      </c>
      <c r="S24" s="9" t="s">
        <v>26</v>
      </c>
      <c r="T24" s="9">
        <v>1</v>
      </c>
      <c r="U24" s="9">
        <v>0</v>
      </c>
      <c r="V24" s="9" t="s">
        <v>15</v>
      </c>
      <c r="W24" s="9" t="s">
        <v>72</v>
      </c>
      <c r="X24" s="9">
        <v>0.92500000000000004</v>
      </c>
      <c r="Y24" s="37">
        <v>14.530973451327434</v>
      </c>
      <c r="Z24" s="9" t="s">
        <v>456</v>
      </c>
      <c r="AA24" s="9">
        <v>4</v>
      </c>
      <c r="AB24" s="38">
        <v>41395</v>
      </c>
      <c r="AC24" s="9" t="s">
        <v>478</v>
      </c>
      <c r="AD24" s="9" t="s">
        <v>507</v>
      </c>
      <c r="AE24" s="2">
        <v>268</v>
      </c>
      <c r="AF24" s="2">
        <v>12</v>
      </c>
      <c r="AG24" t="s">
        <v>1127</v>
      </c>
      <c r="AH24" s="34">
        <v>46380</v>
      </c>
    </row>
    <row r="25" spans="1:34" ht="15" customHeight="1" x14ac:dyDescent="0.25">
      <c r="A25" s="9">
        <v>24</v>
      </c>
      <c r="B25" s="9" t="s">
        <v>74</v>
      </c>
      <c r="C25" s="9" t="s">
        <v>75</v>
      </c>
      <c r="D25" s="9">
        <v>13</v>
      </c>
      <c r="E25" s="9">
        <v>67</v>
      </c>
      <c r="F25" s="9">
        <v>1013</v>
      </c>
      <c r="G25" s="9">
        <v>59</v>
      </c>
      <c r="H25" s="9">
        <v>94</v>
      </c>
      <c r="I25" s="9">
        <v>5</v>
      </c>
      <c r="J25" s="9">
        <v>56</v>
      </c>
      <c r="K25" s="9">
        <v>40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</v>
      </c>
      <c r="R25" s="9">
        <v>0</v>
      </c>
      <c r="S25" s="9" t="s">
        <v>23</v>
      </c>
      <c r="T25" s="9">
        <v>1</v>
      </c>
      <c r="U25" s="9">
        <v>0</v>
      </c>
      <c r="V25" s="9" t="s">
        <v>15</v>
      </c>
      <c r="W25" s="9" t="s">
        <v>74</v>
      </c>
      <c r="X25" s="9">
        <v>0.88059701492537312</v>
      </c>
      <c r="Y25" s="37">
        <v>11.382022471910112</v>
      </c>
      <c r="Z25" s="9" t="s">
        <v>456</v>
      </c>
      <c r="AA25" s="9">
        <v>1</v>
      </c>
      <c r="AB25" s="38">
        <v>41456</v>
      </c>
      <c r="AC25" s="9" t="s">
        <v>474</v>
      </c>
      <c r="AD25" s="9" t="s">
        <v>1137</v>
      </c>
      <c r="AE25" s="2">
        <v>271</v>
      </c>
      <c r="AF25" s="2">
        <v>12</v>
      </c>
      <c r="AG25"/>
    </row>
    <row r="26" spans="1:34" ht="15" customHeight="1" x14ac:dyDescent="0.25">
      <c r="A26" s="9">
        <v>25</v>
      </c>
      <c r="B26" s="9" t="s">
        <v>76</v>
      </c>
      <c r="C26" s="40" t="s">
        <v>77</v>
      </c>
      <c r="D26" s="9">
        <v>18</v>
      </c>
      <c r="E26" s="9">
        <v>95</v>
      </c>
      <c r="F26" s="9">
        <v>1431</v>
      </c>
      <c r="G26" s="9">
        <v>95</v>
      </c>
      <c r="H26" s="9">
        <v>126</v>
      </c>
      <c r="I26" s="9">
        <v>10</v>
      </c>
      <c r="J26" s="9">
        <v>122</v>
      </c>
      <c r="K26" s="9">
        <v>87</v>
      </c>
      <c r="L26" s="9">
        <v>1</v>
      </c>
      <c r="M26" s="9">
        <v>4</v>
      </c>
      <c r="N26" s="9">
        <v>1</v>
      </c>
      <c r="O26" s="9">
        <v>0</v>
      </c>
      <c r="P26" s="9">
        <v>0</v>
      </c>
      <c r="Q26" s="9">
        <v>0</v>
      </c>
      <c r="R26" s="9">
        <v>2</v>
      </c>
      <c r="S26" s="9" t="s">
        <v>26</v>
      </c>
      <c r="T26" s="9">
        <v>1</v>
      </c>
      <c r="U26" s="9">
        <v>0</v>
      </c>
      <c r="V26" s="9" t="s">
        <v>15</v>
      </c>
      <c r="W26" s="9" t="s">
        <v>76</v>
      </c>
      <c r="X26" s="9">
        <v>1</v>
      </c>
      <c r="Y26" s="37">
        <v>12.336206896551724</v>
      </c>
      <c r="Z26" s="9" t="s">
        <v>454</v>
      </c>
      <c r="AA26" s="9">
        <v>2</v>
      </c>
      <c r="AB26" s="38">
        <v>41791</v>
      </c>
      <c r="AC26" s="9" t="s">
        <v>509</v>
      </c>
      <c r="AD26" s="9" t="s">
        <v>510</v>
      </c>
      <c r="AE26" s="2">
        <v>226</v>
      </c>
      <c r="AF26" s="2">
        <v>14</v>
      </c>
      <c r="AG26"/>
    </row>
    <row r="27" spans="1:34" ht="15" customHeight="1" x14ac:dyDescent="0.25">
      <c r="A27" s="9">
        <v>26</v>
      </c>
      <c r="B27" s="9" t="s">
        <v>78</v>
      </c>
      <c r="C27" s="9" t="s">
        <v>79</v>
      </c>
      <c r="D27" s="9">
        <v>15</v>
      </c>
      <c r="E27" s="9">
        <v>86</v>
      </c>
      <c r="F27" s="9">
        <v>1187</v>
      </c>
      <c r="G27" s="9">
        <v>87</v>
      </c>
      <c r="H27" s="9">
        <v>103</v>
      </c>
      <c r="I27" s="9">
        <v>14</v>
      </c>
      <c r="J27" s="9">
        <v>89</v>
      </c>
      <c r="K27" s="9">
        <v>84</v>
      </c>
      <c r="L27" s="9">
        <v>2</v>
      </c>
      <c r="M27" s="9">
        <v>3</v>
      </c>
      <c r="N27" s="9">
        <v>4.5</v>
      </c>
      <c r="O27" s="9">
        <v>0</v>
      </c>
      <c r="P27" s="9">
        <v>0</v>
      </c>
      <c r="Q27" s="9">
        <v>4</v>
      </c>
      <c r="R27" s="9">
        <v>0</v>
      </c>
      <c r="S27" s="9" t="s">
        <v>26</v>
      </c>
      <c r="T27" s="9">
        <v>0</v>
      </c>
      <c r="U27" s="9">
        <v>0</v>
      </c>
      <c r="V27" s="9" t="s">
        <v>15</v>
      </c>
      <c r="W27" s="9" t="s">
        <v>78</v>
      </c>
      <c r="X27" s="9">
        <v>1.0116279069767442</v>
      </c>
      <c r="Y27" s="37">
        <v>13.337078651685394</v>
      </c>
      <c r="Z27" s="9" t="s">
        <v>454</v>
      </c>
      <c r="AA27" s="9">
        <v>4</v>
      </c>
      <c r="AB27" s="38">
        <v>42125</v>
      </c>
      <c r="AC27" s="9" t="s">
        <v>511</v>
      </c>
      <c r="AD27" s="9" t="s">
        <v>512</v>
      </c>
      <c r="AE27" s="2">
        <v>230</v>
      </c>
      <c r="AF27" s="2">
        <v>18</v>
      </c>
      <c r="AG27" t="s">
        <v>1129</v>
      </c>
      <c r="AH27" s="34">
        <v>46255</v>
      </c>
    </row>
    <row r="28" spans="1:34" ht="15" customHeight="1" x14ac:dyDescent="0.25">
      <c r="A28" s="9">
        <v>27</v>
      </c>
      <c r="B28" s="9" t="s">
        <v>80</v>
      </c>
      <c r="C28" s="9" t="s">
        <v>81</v>
      </c>
      <c r="D28" s="9">
        <v>24</v>
      </c>
      <c r="E28" s="9">
        <v>161</v>
      </c>
      <c r="F28" s="9">
        <v>2641</v>
      </c>
      <c r="G28" s="9">
        <v>235</v>
      </c>
      <c r="H28" s="9">
        <v>233</v>
      </c>
      <c r="I28" s="9">
        <v>22</v>
      </c>
      <c r="J28" s="9">
        <v>198</v>
      </c>
      <c r="K28" s="9">
        <v>129</v>
      </c>
      <c r="L28" s="9">
        <v>2</v>
      </c>
      <c r="M28" s="9">
        <v>1</v>
      </c>
      <c r="N28" s="9">
        <v>0</v>
      </c>
      <c r="O28" s="9">
        <v>1</v>
      </c>
      <c r="P28" s="9">
        <v>0</v>
      </c>
      <c r="Q28" s="9">
        <v>3</v>
      </c>
      <c r="R28" s="9">
        <v>3</v>
      </c>
      <c r="S28" s="9" t="s">
        <v>40</v>
      </c>
      <c r="T28" s="9">
        <v>1</v>
      </c>
      <c r="U28" s="9">
        <v>3</v>
      </c>
      <c r="V28" s="9" t="s">
        <v>15</v>
      </c>
      <c r="W28" s="9" t="s">
        <v>80</v>
      </c>
      <c r="X28" s="9">
        <v>1.4596273291925466</v>
      </c>
      <c r="Y28" s="37">
        <v>12.516587677725118</v>
      </c>
      <c r="Z28" s="9" t="s">
        <v>454</v>
      </c>
      <c r="AA28" s="9">
        <v>6</v>
      </c>
      <c r="AB28" s="38">
        <v>41395</v>
      </c>
      <c r="AC28" s="9" t="s">
        <v>478</v>
      </c>
      <c r="AD28" s="9" t="s">
        <v>507</v>
      </c>
      <c r="AE28" s="2">
        <v>242</v>
      </c>
      <c r="AF28" s="2">
        <v>23</v>
      </c>
      <c r="AG28"/>
    </row>
    <row r="29" spans="1:34" ht="15" customHeight="1" x14ac:dyDescent="0.25">
      <c r="A29" s="9">
        <v>28</v>
      </c>
      <c r="B29" s="9" t="s">
        <v>82</v>
      </c>
      <c r="C29" s="9" t="s">
        <v>83</v>
      </c>
      <c r="D29" s="9">
        <v>1</v>
      </c>
      <c r="E29" s="9">
        <v>11</v>
      </c>
      <c r="F29" s="9">
        <v>47</v>
      </c>
      <c r="G29" s="9">
        <v>12</v>
      </c>
      <c r="H29" s="9">
        <v>11</v>
      </c>
      <c r="I29" s="9">
        <v>0</v>
      </c>
      <c r="J29" s="9">
        <v>4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1</v>
      </c>
      <c r="R29" s="9">
        <v>0</v>
      </c>
      <c r="S29" s="9" t="s">
        <v>84</v>
      </c>
      <c r="T29" s="9">
        <v>0</v>
      </c>
      <c r="U29" s="9">
        <v>0</v>
      </c>
      <c r="V29" s="9" t="s">
        <v>15</v>
      </c>
      <c r="W29" s="9" t="s">
        <v>82</v>
      </c>
      <c r="X29" s="9">
        <v>1.0909090909090908</v>
      </c>
      <c r="Y29" s="37">
        <v>4.2727272727272725</v>
      </c>
      <c r="Z29" s="9" t="s">
        <v>457</v>
      </c>
      <c r="AA29" s="9">
        <v>1</v>
      </c>
      <c r="AB29" s="38">
        <v>43040</v>
      </c>
      <c r="AC29" s="9" t="s">
        <v>513</v>
      </c>
      <c r="AD29" s="9" t="s">
        <v>514</v>
      </c>
      <c r="AE29" s="2">
        <v>47</v>
      </c>
      <c r="AF29" s="2">
        <v>12</v>
      </c>
      <c r="AG29"/>
    </row>
    <row r="30" spans="1:34" ht="15" customHeight="1" x14ac:dyDescent="0.25">
      <c r="A30" s="9">
        <v>29</v>
      </c>
      <c r="B30" s="9" t="s">
        <v>85</v>
      </c>
      <c r="C30" s="9" t="s">
        <v>86</v>
      </c>
      <c r="D30" s="9">
        <v>20</v>
      </c>
      <c r="E30" s="9">
        <v>137</v>
      </c>
      <c r="F30" s="9">
        <v>2080</v>
      </c>
      <c r="G30" s="9">
        <v>190</v>
      </c>
      <c r="H30" s="9">
        <v>189</v>
      </c>
      <c r="I30" s="9">
        <v>12</v>
      </c>
      <c r="J30" s="9">
        <v>147</v>
      </c>
      <c r="K30" s="9">
        <v>126</v>
      </c>
      <c r="L30" s="9">
        <v>3</v>
      </c>
      <c r="M30" s="9">
        <v>3</v>
      </c>
      <c r="N30" s="9">
        <v>3</v>
      </c>
      <c r="O30" s="9">
        <v>0</v>
      </c>
      <c r="P30" s="9">
        <v>1</v>
      </c>
      <c r="Q30" s="9">
        <v>1</v>
      </c>
      <c r="R30" s="9">
        <v>2</v>
      </c>
      <c r="S30" s="9" t="s">
        <v>26</v>
      </c>
      <c r="T30" s="9">
        <v>0</v>
      </c>
      <c r="U30" s="9">
        <v>1</v>
      </c>
      <c r="V30" s="9" t="s">
        <v>15</v>
      </c>
      <c r="W30" s="9" t="s">
        <v>85</v>
      </c>
      <c r="X30" s="9">
        <v>1.3868613138686132</v>
      </c>
      <c r="Y30" s="37">
        <v>11.751412429378531</v>
      </c>
      <c r="Z30" s="9" t="s">
        <v>454</v>
      </c>
      <c r="AA30" s="9">
        <v>3</v>
      </c>
      <c r="AB30" s="38">
        <v>41609</v>
      </c>
      <c r="AC30" s="9" t="s">
        <v>501</v>
      </c>
      <c r="AD30" s="9" t="s">
        <v>515</v>
      </c>
      <c r="AE30" s="2">
        <v>224</v>
      </c>
      <c r="AF30" s="2">
        <v>22</v>
      </c>
      <c r="AG30" s="16" t="s">
        <v>1093</v>
      </c>
      <c r="AH30" s="34">
        <v>46155</v>
      </c>
    </row>
    <row r="31" spans="1:34" ht="15" customHeight="1" x14ac:dyDescent="0.25">
      <c r="A31" s="9">
        <v>30</v>
      </c>
      <c r="B31" s="9" t="s">
        <v>87</v>
      </c>
      <c r="C31" s="9" t="s">
        <v>88</v>
      </c>
      <c r="D31" s="9">
        <v>6</v>
      </c>
      <c r="E31" s="9">
        <v>36</v>
      </c>
      <c r="F31" s="9">
        <v>611</v>
      </c>
      <c r="G31" s="9">
        <v>46</v>
      </c>
      <c r="H31" s="9">
        <v>52</v>
      </c>
      <c r="I31" s="9">
        <v>4</v>
      </c>
      <c r="J31" s="9">
        <v>57</v>
      </c>
      <c r="K31" s="9">
        <v>36</v>
      </c>
      <c r="L31" s="9">
        <v>0</v>
      </c>
      <c r="M31" s="9">
        <v>1</v>
      </c>
      <c r="N31" s="9">
        <v>2.5</v>
      </c>
      <c r="O31" s="9">
        <v>0</v>
      </c>
      <c r="P31" s="9">
        <v>0</v>
      </c>
      <c r="Q31" s="9">
        <v>0</v>
      </c>
      <c r="R31" s="9">
        <v>0</v>
      </c>
      <c r="S31" s="9" t="s">
        <v>26</v>
      </c>
      <c r="T31" s="9">
        <v>0</v>
      </c>
      <c r="U31" s="9">
        <v>0</v>
      </c>
      <c r="V31" s="9" t="s">
        <v>15</v>
      </c>
      <c r="W31" s="9" t="s">
        <v>87</v>
      </c>
      <c r="X31" s="9">
        <v>1.2777777777777777</v>
      </c>
      <c r="Y31" s="37">
        <v>12.729166666666666</v>
      </c>
      <c r="Z31" s="9" t="s">
        <v>454</v>
      </c>
      <c r="AA31" s="9">
        <v>0</v>
      </c>
      <c r="AB31" s="38">
        <v>44013</v>
      </c>
      <c r="AC31" s="9" t="s">
        <v>494</v>
      </c>
      <c r="AD31" s="9" t="s">
        <v>516</v>
      </c>
      <c r="AE31" s="2">
        <v>178</v>
      </c>
      <c r="AF31" s="2">
        <v>14</v>
      </c>
      <c r="AG31" s="16" t="s">
        <v>1108</v>
      </c>
      <c r="AH31" s="34">
        <v>46309</v>
      </c>
    </row>
    <row r="32" spans="1:34" ht="15" customHeight="1" x14ac:dyDescent="0.25">
      <c r="A32" s="9">
        <v>31</v>
      </c>
      <c r="B32" s="9" t="s">
        <v>89</v>
      </c>
      <c r="C32" s="9" t="s">
        <v>90</v>
      </c>
      <c r="D32" s="9">
        <v>3</v>
      </c>
      <c r="E32" s="9">
        <v>24</v>
      </c>
      <c r="F32" s="9">
        <v>414</v>
      </c>
      <c r="G32" s="9">
        <v>26</v>
      </c>
      <c r="H32" s="9">
        <v>34</v>
      </c>
      <c r="I32" s="9">
        <v>2</v>
      </c>
      <c r="J32" s="9">
        <v>39</v>
      </c>
      <c r="K32" s="9">
        <v>25</v>
      </c>
      <c r="L32" s="9">
        <v>0</v>
      </c>
      <c r="M32" s="9">
        <v>0</v>
      </c>
      <c r="N32" s="9">
        <v>1</v>
      </c>
      <c r="O32" s="9">
        <v>0</v>
      </c>
      <c r="P32" s="9">
        <v>0</v>
      </c>
      <c r="Q32" s="9">
        <v>0</v>
      </c>
      <c r="R32" s="9">
        <v>0</v>
      </c>
      <c r="S32" s="9" t="s">
        <v>40</v>
      </c>
      <c r="T32" s="9">
        <v>0</v>
      </c>
      <c r="U32" s="9">
        <v>0</v>
      </c>
      <c r="V32" s="9" t="s">
        <v>15</v>
      </c>
      <c r="W32" s="9" t="s">
        <v>89</v>
      </c>
      <c r="X32" s="9">
        <v>1.0833333333333333</v>
      </c>
      <c r="Y32" s="37">
        <v>12.9375</v>
      </c>
      <c r="Z32" s="9" t="s">
        <v>454</v>
      </c>
      <c r="AA32" s="9">
        <v>0</v>
      </c>
      <c r="AB32" s="38">
        <v>44013</v>
      </c>
      <c r="AC32" s="9" t="s">
        <v>494</v>
      </c>
      <c r="AD32" s="9" t="s">
        <v>517</v>
      </c>
      <c r="AE32" s="2">
        <v>162</v>
      </c>
      <c r="AF32" s="2">
        <v>11</v>
      </c>
      <c r="AG32" s="16" t="s">
        <v>1109</v>
      </c>
      <c r="AH32" s="34">
        <v>46357</v>
      </c>
    </row>
    <row r="33" spans="1:34" ht="15" customHeight="1" x14ac:dyDescent="0.25">
      <c r="A33" s="9">
        <v>32</v>
      </c>
      <c r="B33" s="9" t="s">
        <v>91</v>
      </c>
      <c r="C33" s="9" t="s">
        <v>92</v>
      </c>
      <c r="D33" s="9">
        <v>7</v>
      </c>
      <c r="E33" s="9">
        <v>37</v>
      </c>
      <c r="F33" s="9">
        <v>426</v>
      </c>
      <c r="G33" s="9">
        <v>52</v>
      </c>
      <c r="H33" s="9">
        <v>38</v>
      </c>
      <c r="I33" s="9">
        <v>3</v>
      </c>
      <c r="J33" s="9">
        <v>40</v>
      </c>
      <c r="K33" s="9">
        <v>23</v>
      </c>
      <c r="L33" s="9">
        <v>2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2</v>
      </c>
      <c r="S33" s="9" t="s">
        <v>51</v>
      </c>
      <c r="T33" s="9">
        <v>0</v>
      </c>
      <c r="U33" s="9">
        <v>0</v>
      </c>
      <c r="V33" s="9" t="s">
        <v>15</v>
      </c>
      <c r="W33" s="9" t="s">
        <v>91</v>
      </c>
      <c r="X33" s="9">
        <v>1.4054054054054055</v>
      </c>
      <c r="Y33" s="37">
        <v>12.171428571428571</v>
      </c>
      <c r="Z33" s="9" t="s">
        <v>454</v>
      </c>
      <c r="AA33" s="9">
        <v>2</v>
      </c>
      <c r="AB33" s="38">
        <v>42125</v>
      </c>
      <c r="AC33" s="9" t="s">
        <v>511</v>
      </c>
      <c r="AD33" s="9" t="s">
        <v>518</v>
      </c>
      <c r="AE33" s="2">
        <v>103</v>
      </c>
      <c r="AF33" s="2">
        <v>16</v>
      </c>
      <c r="AG33"/>
    </row>
    <row r="34" spans="1:34" ht="15" customHeight="1" x14ac:dyDescent="0.25">
      <c r="A34" s="9">
        <v>33</v>
      </c>
      <c r="B34" s="9" t="s">
        <v>93</v>
      </c>
      <c r="C34" s="9" t="s">
        <v>94</v>
      </c>
      <c r="D34" s="9">
        <v>26</v>
      </c>
      <c r="E34" s="9">
        <v>167</v>
      </c>
      <c r="F34" s="9">
        <v>2837</v>
      </c>
      <c r="G34" s="9">
        <v>332</v>
      </c>
      <c r="H34" s="9">
        <v>234</v>
      </c>
      <c r="I34" s="9">
        <v>22</v>
      </c>
      <c r="J34" s="9">
        <v>192</v>
      </c>
      <c r="K34" s="9">
        <v>130</v>
      </c>
      <c r="L34" s="9">
        <v>12</v>
      </c>
      <c r="M34" s="9">
        <v>4</v>
      </c>
      <c r="N34" s="9">
        <v>3.5</v>
      </c>
      <c r="O34" s="9">
        <v>2</v>
      </c>
      <c r="P34" s="9">
        <v>0</v>
      </c>
      <c r="Q34" s="9">
        <v>4</v>
      </c>
      <c r="R34" s="9">
        <v>3</v>
      </c>
      <c r="S34" s="9" t="s">
        <v>26</v>
      </c>
      <c r="T34" s="9">
        <v>2</v>
      </c>
      <c r="U34" s="9">
        <v>4</v>
      </c>
      <c r="V34" s="9" t="s">
        <v>15</v>
      </c>
      <c r="W34" s="9" t="s">
        <v>93</v>
      </c>
      <c r="X34" s="36">
        <v>1.9880239520958083</v>
      </c>
      <c r="Y34" s="37">
        <v>13.382075471698114</v>
      </c>
      <c r="Z34" s="9" t="s">
        <v>454</v>
      </c>
      <c r="AA34" s="9">
        <v>7</v>
      </c>
      <c r="AB34" s="38">
        <v>41334</v>
      </c>
      <c r="AC34" s="9" t="s">
        <v>486</v>
      </c>
      <c r="AD34" s="9" t="s">
        <v>498</v>
      </c>
      <c r="AE34" s="2">
        <v>411</v>
      </c>
      <c r="AF34" s="2">
        <v>36</v>
      </c>
      <c r="AG34" s="16" t="s">
        <v>1092</v>
      </c>
      <c r="AH34" s="34">
        <v>46178</v>
      </c>
    </row>
    <row r="35" spans="1:34" ht="15" customHeight="1" x14ac:dyDescent="0.25">
      <c r="A35" s="9">
        <v>34</v>
      </c>
      <c r="B35" s="9" t="s">
        <v>95</v>
      </c>
      <c r="C35" s="9" t="s">
        <v>96</v>
      </c>
      <c r="D35" s="9">
        <v>29</v>
      </c>
      <c r="E35" s="9">
        <v>171</v>
      </c>
      <c r="F35" s="9">
        <v>2368</v>
      </c>
      <c r="G35" s="9">
        <v>261</v>
      </c>
      <c r="H35" s="9">
        <v>223</v>
      </c>
      <c r="I35" s="9">
        <v>20</v>
      </c>
      <c r="J35" s="9">
        <v>146</v>
      </c>
      <c r="K35" s="9">
        <v>125</v>
      </c>
      <c r="L35" s="9">
        <v>1</v>
      </c>
      <c r="M35" s="9">
        <v>3</v>
      </c>
      <c r="N35" s="9">
        <v>0</v>
      </c>
      <c r="O35" s="9">
        <v>0</v>
      </c>
      <c r="P35" s="9">
        <v>1</v>
      </c>
      <c r="Q35" s="9">
        <v>1</v>
      </c>
      <c r="R35" s="9">
        <v>4</v>
      </c>
      <c r="S35" s="9" t="s">
        <v>26</v>
      </c>
      <c r="T35" s="9">
        <v>0</v>
      </c>
      <c r="U35" s="9">
        <v>3</v>
      </c>
      <c r="V35" s="9" t="s">
        <v>15</v>
      </c>
      <c r="W35" s="9" t="s">
        <v>95</v>
      </c>
      <c r="X35" s="36">
        <v>1.5263157894736843</v>
      </c>
      <c r="Y35" s="37">
        <v>11.665024630541872</v>
      </c>
      <c r="Z35" s="9" t="s">
        <v>454</v>
      </c>
      <c r="AA35" s="9">
        <v>5</v>
      </c>
      <c r="AB35" s="38">
        <v>41334</v>
      </c>
      <c r="AC35" s="9" t="s">
        <v>486</v>
      </c>
      <c r="AD35" s="9" t="s">
        <v>503</v>
      </c>
      <c r="AE35" s="2">
        <v>241</v>
      </c>
      <c r="AF35" s="2">
        <v>29</v>
      </c>
      <c r="AG35" s="16" t="s">
        <v>1089</v>
      </c>
      <c r="AH35" s="34">
        <v>46062</v>
      </c>
    </row>
    <row r="36" spans="1:34" ht="15" customHeight="1" x14ac:dyDescent="0.25">
      <c r="A36" s="9">
        <v>35</v>
      </c>
      <c r="B36" s="9" t="s">
        <v>97</v>
      </c>
      <c r="C36" s="9" t="s">
        <v>98</v>
      </c>
      <c r="D36" s="9">
        <v>9</v>
      </c>
      <c r="E36" s="9">
        <v>45</v>
      </c>
      <c r="F36" s="9">
        <v>766</v>
      </c>
      <c r="G36" s="9">
        <v>42</v>
      </c>
      <c r="H36" s="9">
        <v>61</v>
      </c>
      <c r="I36" s="9">
        <v>3</v>
      </c>
      <c r="J36" s="9">
        <v>44</v>
      </c>
      <c r="K36" s="9">
        <v>42</v>
      </c>
      <c r="L36" s="9">
        <v>0</v>
      </c>
      <c r="M36" s="9">
        <v>0</v>
      </c>
      <c r="N36" s="9">
        <v>0</v>
      </c>
      <c r="O36" s="9">
        <v>0</v>
      </c>
      <c r="P36" s="9">
        <v>1</v>
      </c>
      <c r="Q36" s="9">
        <v>1</v>
      </c>
      <c r="R36" s="9">
        <v>1</v>
      </c>
      <c r="S36" s="9" t="s">
        <v>40</v>
      </c>
      <c r="T36" s="9">
        <v>0</v>
      </c>
      <c r="U36" s="9">
        <v>0</v>
      </c>
      <c r="V36" s="9" t="s">
        <v>15</v>
      </c>
      <c r="W36" s="9" t="s">
        <v>97</v>
      </c>
      <c r="X36" s="9">
        <v>0.93333333333333335</v>
      </c>
      <c r="Y36" s="37">
        <v>13.206896551724139</v>
      </c>
      <c r="Z36" s="9" t="s">
        <v>456</v>
      </c>
      <c r="AA36" s="9">
        <v>2</v>
      </c>
      <c r="AB36" s="38">
        <v>41609</v>
      </c>
      <c r="AC36" s="9" t="s">
        <v>501</v>
      </c>
      <c r="AD36" s="9" t="s">
        <v>519</v>
      </c>
      <c r="AE36" s="2">
        <v>268</v>
      </c>
      <c r="AF36" s="2">
        <v>9</v>
      </c>
      <c r="AG36"/>
    </row>
    <row r="37" spans="1:34" ht="15" customHeight="1" x14ac:dyDescent="0.25">
      <c r="A37" s="9">
        <v>36</v>
      </c>
      <c r="B37" s="9" t="s">
        <v>99</v>
      </c>
      <c r="C37" s="9" t="s">
        <v>100</v>
      </c>
      <c r="D37" s="9">
        <v>22</v>
      </c>
      <c r="E37" s="9">
        <v>135</v>
      </c>
      <c r="F37" s="9">
        <v>2202</v>
      </c>
      <c r="G37" s="9">
        <v>178</v>
      </c>
      <c r="H37" s="9">
        <v>191</v>
      </c>
      <c r="I37" s="9">
        <v>15</v>
      </c>
      <c r="J37" s="9">
        <v>131</v>
      </c>
      <c r="K37" s="9">
        <v>97</v>
      </c>
      <c r="L37" s="9">
        <v>1</v>
      </c>
      <c r="M37" s="9">
        <v>0</v>
      </c>
      <c r="N37" s="9">
        <v>0</v>
      </c>
      <c r="O37" s="9">
        <v>0</v>
      </c>
      <c r="P37" s="9">
        <v>0</v>
      </c>
      <c r="Q37" s="9">
        <v>1</v>
      </c>
      <c r="R37" s="9">
        <v>4</v>
      </c>
      <c r="S37" s="9" t="s">
        <v>101</v>
      </c>
      <c r="T37" s="9">
        <v>1</v>
      </c>
      <c r="U37" s="9">
        <v>1</v>
      </c>
      <c r="V37" s="9" t="s">
        <v>15</v>
      </c>
      <c r="W37" s="9" t="s">
        <v>99</v>
      </c>
      <c r="X37" s="9">
        <v>1.3185185185185184</v>
      </c>
      <c r="Y37" s="37">
        <v>12.511363636363637</v>
      </c>
      <c r="Z37" s="9" t="s">
        <v>454</v>
      </c>
      <c r="AA37" s="9">
        <v>5</v>
      </c>
      <c r="AB37" s="38">
        <v>41334</v>
      </c>
      <c r="AC37" s="9" t="s">
        <v>486</v>
      </c>
      <c r="AD37" s="9" t="s">
        <v>498</v>
      </c>
      <c r="AE37" s="2">
        <v>302</v>
      </c>
      <c r="AF37" s="2">
        <v>18</v>
      </c>
      <c r="AG37"/>
    </row>
    <row r="38" spans="1:34" ht="15" customHeight="1" x14ac:dyDescent="0.25">
      <c r="A38" s="9">
        <v>37</v>
      </c>
      <c r="B38" s="9" t="s">
        <v>102</v>
      </c>
      <c r="C38" s="9" t="s">
        <v>103</v>
      </c>
      <c r="D38" s="9">
        <v>13</v>
      </c>
      <c r="E38" s="9">
        <v>64</v>
      </c>
      <c r="F38" s="9">
        <v>740</v>
      </c>
      <c r="G38" s="9">
        <v>84</v>
      </c>
      <c r="H38" s="9">
        <v>67</v>
      </c>
      <c r="I38" s="9">
        <v>6</v>
      </c>
      <c r="J38" s="9">
        <v>58</v>
      </c>
      <c r="K38" s="9">
        <v>53</v>
      </c>
      <c r="L38" s="9">
        <v>1</v>
      </c>
      <c r="M38" s="9">
        <v>0</v>
      </c>
      <c r="N38" s="9">
        <v>2</v>
      </c>
      <c r="O38" s="9">
        <v>1</v>
      </c>
      <c r="P38" s="9">
        <v>0</v>
      </c>
      <c r="Q38" s="9">
        <v>1</v>
      </c>
      <c r="R38" s="9">
        <v>1</v>
      </c>
      <c r="S38" s="9" t="s">
        <v>26</v>
      </c>
      <c r="T38" s="9">
        <v>0</v>
      </c>
      <c r="U38" s="9">
        <v>1</v>
      </c>
      <c r="V38" s="9" t="s">
        <v>15</v>
      </c>
      <c r="W38" s="9" t="s">
        <v>102</v>
      </c>
      <c r="X38" s="9">
        <v>1.3125</v>
      </c>
      <c r="Y38" s="37">
        <v>12.131147540983607</v>
      </c>
      <c r="Z38" s="9" t="s">
        <v>454</v>
      </c>
      <c r="AA38" s="9">
        <v>2</v>
      </c>
      <c r="AB38" s="38">
        <v>41609</v>
      </c>
      <c r="AC38" s="9" t="s">
        <v>501</v>
      </c>
      <c r="AD38" s="9" t="s">
        <v>520</v>
      </c>
      <c r="AE38" s="2">
        <v>203</v>
      </c>
      <c r="AF38" s="2">
        <v>16</v>
      </c>
      <c r="AG38"/>
    </row>
    <row r="39" spans="1:34" ht="15" customHeight="1" x14ac:dyDescent="0.25">
      <c r="A39" s="9">
        <v>38</v>
      </c>
      <c r="B39" s="9" t="s">
        <v>104</v>
      </c>
      <c r="C39" s="40" t="s">
        <v>105</v>
      </c>
      <c r="D39" s="9">
        <v>11</v>
      </c>
      <c r="E39" s="9">
        <v>76</v>
      </c>
      <c r="F39" s="9">
        <v>1360</v>
      </c>
      <c r="G39" s="9">
        <v>111</v>
      </c>
      <c r="H39" s="9">
        <v>104</v>
      </c>
      <c r="I39" s="9">
        <v>11</v>
      </c>
      <c r="J39" s="9">
        <v>113</v>
      </c>
      <c r="K39" s="9">
        <v>81</v>
      </c>
      <c r="L39" s="9">
        <v>1</v>
      </c>
      <c r="M39" s="9">
        <v>0</v>
      </c>
      <c r="N39" s="9">
        <v>0</v>
      </c>
      <c r="O39" s="9">
        <v>1</v>
      </c>
      <c r="P39" s="9">
        <v>0</v>
      </c>
      <c r="Q39" s="9">
        <v>0</v>
      </c>
      <c r="R39" s="9">
        <v>1</v>
      </c>
      <c r="S39" s="9" t="s">
        <v>43</v>
      </c>
      <c r="T39" s="9">
        <v>0</v>
      </c>
      <c r="U39" s="9">
        <v>0</v>
      </c>
      <c r="V39" s="9" t="s">
        <v>15</v>
      </c>
      <c r="W39" s="9" t="s">
        <v>104</v>
      </c>
      <c r="X39" s="9">
        <v>1.4605263157894737</v>
      </c>
      <c r="Y39" s="37">
        <v>14.623655913978494</v>
      </c>
      <c r="Z39" s="9" t="s">
        <v>458</v>
      </c>
      <c r="AA39" s="9">
        <v>1</v>
      </c>
      <c r="AB39" s="38">
        <v>41791</v>
      </c>
      <c r="AC39" s="9" t="s">
        <v>509</v>
      </c>
      <c r="AD39" s="9" t="s">
        <v>521</v>
      </c>
      <c r="AE39" s="2">
        <v>375</v>
      </c>
      <c r="AF39" s="2">
        <v>28</v>
      </c>
      <c r="AG39"/>
    </row>
    <row r="40" spans="1:34" ht="15" customHeight="1" x14ac:dyDescent="0.25">
      <c r="A40" s="9">
        <v>39</v>
      </c>
      <c r="B40" s="9" t="s">
        <v>106</v>
      </c>
      <c r="C40" s="9" t="s">
        <v>1114</v>
      </c>
      <c r="D40" s="9">
        <v>17</v>
      </c>
      <c r="E40" s="9">
        <v>116</v>
      </c>
      <c r="F40" s="9">
        <v>1773</v>
      </c>
      <c r="G40" s="9">
        <v>138</v>
      </c>
      <c r="H40" s="9">
        <v>155</v>
      </c>
      <c r="I40" s="9">
        <v>12</v>
      </c>
      <c r="J40" s="9">
        <v>123</v>
      </c>
      <c r="K40" s="9">
        <v>106</v>
      </c>
      <c r="L40" s="9">
        <v>2</v>
      </c>
      <c r="M40" s="9">
        <v>3</v>
      </c>
      <c r="N40" s="9">
        <v>0.5</v>
      </c>
      <c r="O40" s="9">
        <v>0</v>
      </c>
      <c r="P40" s="9">
        <v>1</v>
      </c>
      <c r="Q40" s="9">
        <v>2</v>
      </c>
      <c r="R40" s="9">
        <v>3</v>
      </c>
      <c r="S40" s="9" t="s">
        <v>107</v>
      </c>
      <c r="T40" s="9">
        <v>0</v>
      </c>
      <c r="U40" s="9">
        <v>0</v>
      </c>
      <c r="V40" s="9" t="s">
        <v>15</v>
      </c>
      <c r="W40" s="9" t="s">
        <v>106</v>
      </c>
      <c r="X40" s="9">
        <v>1.1896551724137931</v>
      </c>
      <c r="Y40" s="37">
        <v>12.398601398601398</v>
      </c>
      <c r="Z40" s="9" t="s">
        <v>454</v>
      </c>
      <c r="AA40" s="9">
        <v>5</v>
      </c>
      <c r="AB40" s="38">
        <v>42339</v>
      </c>
      <c r="AC40" s="9" t="s">
        <v>522</v>
      </c>
      <c r="AD40" s="9" t="s">
        <v>523</v>
      </c>
      <c r="AE40" s="2">
        <v>337</v>
      </c>
      <c r="AF40" s="2">
        <v>15</v>
      </c>
      <c r="AG40" s="16" t="s">
        <v>1115</v>
      </c>
      <c r="AH40" s="34">
        <v>46276</v>
      </c>
    </row>
    <row r="41" spans="1:34" ht="15" customHeight="1" x14ac:dyDescent="0.25">
      <c r="A41" s="9">
        <v>40</v>
      </c>
      <c r="B41" s="9" t="s">
        <v>108</v>
      </c>
      <c r="C41" s="9" t="s">
        <v>109</v>
      </c>
      <c r="D41" s="9">
        <v>4</v>
      </c>
      <c r="E41" s="9">
        <v>29</v>
      </c>
      <c r="F41" s="9">
        <v>438</v>
      </c>
      <c r="G41" s="9">
        <v>28</v>
      </c>
      <c r="H41" s="9">
        <v>35</v>
      </c>
      <c r="I41" s="9">
        <v>5</v>
      </c>
      <c r="J41" s="9">
        <v>28</v>
      </c>
      <c r="K41" s="9">
        <v>30</v>
      </c>
      <c r="L41" s="9">
        <v>0</v>
      </c>
      <c r="M41" s="9">
        <v>1</v>
      </c>
      <c r="N41" s="9">
        <v>0</v>
      </c>
      <c r="O41" s="9">
        <v>0</v>
      </c>
      <c r="P41" s="9">
        <v>1</v>
      </c>
      <c r="Q41" s="9">
        <v>0</v>
      </c>
      <c r="R41" s="9">
        <v>1</v>
      </c>
      <c r="S41" s="9" t="s">
        <v>26</v>
      </c>
      <c r="T41" s="9">
        <v>0</v>
      </c>
      <c r="U41" s="9">
        <v>0</v>
      </c>
      <c r="V41" s="9" t="s">
        <v>15</v>
      </c>
      <c r="W41" s="9" t="s">
        <v>108</v>
      </c>
      <c r="X41" s="9">
        <v>0.96551724137931039</v>
      </c>
      <c r="Y41" s="37">
        <v>14.6</v>
      </c>
      <c r="Z41" s="9" t="s">
        <v>456</v>
      </c>
      <c r="AA41" s="9">
        <v>1</v>
      </c>
      <c r="AB41" s="38">
        <v>44013</v>
      </c>
      <c r="AC41" s="9" t="s">
        <v>494</v>
      </c>
      <c r="AD41" s="9" t="s">
        <v>524</v>
      </c>
      <c r="AE41" s="2">
        <v>251</v>
      </c>
      <c r="AF41" s="2">
        <v>15</v>
      </c>
      <c r="AG41"/>
    </row>
    <row r="42" spans="1:34" ht="15" customHeight="1" x14ac:dyDescent="0.25">
      <c r="A42" s="9">
        <v>41</v>
      </c>
      <c r="B42" s="9" t="s">
        <v>110</v>
      </c>
      <c r="C42" s="9" t="s">
        <v>111</v>
      </c>
      <c r="D42" s="9">
        <v>3</v>
      </c>
      <c r="E42" s="9">
        <v>23</v>
      </c>
      <c r="F42" s="9">
        <v>306</v>
      </c>
      <c r="G42" s="9">
        <v>30</v>
      </c>
      <c r="H42" s="9">
        <v>33</v>
      </c>
      <c r="I42" s="9">
        <v>0</v>
      </c>
      <c r="J42" s="9">
        <v>30</v>
      </c>
      <c r="K42" s="9">
        <v>15</v>
      </c>
      <c r="L42" s="9">
        <v>0</v>
      </c>
      <c r="M42" s="9">
        <v>2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 t="s">
        <v>40</v>
      </c>
      <c r="T42" s="9">
        <v>0</v>
      </c>
      <c r="U42" s="9">
        <v>0</v>
      </c>
      <c r="V42" s="9" t="s">
        <v>15</v>
      </c>
      <c r="W42" s="9" t="s">
        <v>110</v>
      </c>
      <c r="X42" s="9">
        <v>1.3043478260869565</v>
      </c>
      <c r="Y42" s="37">
        <v>9.2727272727272734</v>
      </c>
      <c r="Z42" s="9" t="s">
        <v>457</v>
      </c>
      <c r="AA42" s="9">
        <v>0</v>
      </c>
      <c r="AB42" s="38">
        <v>44013</v>
      </c>
      <c r="AC42" s="9" t="s">
        <v>494</v>
      </c>
      <c r="AD42" s="9" t="s">
        <v>495</v>
      </c>
      <c r="AE42" s="2">
        <v>143</v>
      </c>
      <c r="AF42" s="2">
        <v>20</v>
      </c>
      <c r="AG42"/>
    </row>
    <row r="43" spans="1:34" ht="15" customHeight="1" x14ac:dyDescent="0.25">
      <c r="A43" s="9">
        <v>42</v>
      </c>
      <c r="B43" s="9" t="s">
        <v>112</v>
      </c>
      <c r="C43" s="9" t="s">
        <v>113</v>
      </c>
      <c r="D43" s="9">
        <v>11</v>
      </c>
      <c r="E43" s="9">
        <v>67</v>
      </c>
      <c r="F43" s="9">
        <v>995</v>
      </c>
      <c r="G43" s="9">
        <v>123</v>
      </c>
      <c r="H43" s="9">
        <v>89</v>
      </c>
      <c r="I43" s="9">
        <v>7</v>
      </c>
      <c r="J43" s="9">
        <v>59</v>
      </c>
      <c r="K43" s="9">
        <v>40</v>
      </c>
      <c r="L43" s="9">
        <v>3</v>
      </c>
      <c r="M43" s="9">
        <v>3</v>
      </c>
      <c r="N43" s="9">
        <v>3</v>
      </c>
      <c r="O43" s="9">
        <v>1</v>
      </c>
      <c r="P43" s="9">
        <v>0</v>
      </c>
      <c r="Q43" s="9">
        <v>1</v>
      </c>
      <c r="R43" s="9">
        <v>1</v>
      </c>
      <c r="S43" s="9" t="s">
        <v>26</v>
      </c>
      <c r="T43" s="9">
        <v>0</v>
      </c>
      <c r="U43" s="9">
        <v>1</v>
      </c>
      <c r="V43" s="9" t="s">
        <v>15</v>
      </c>
      <c r="W43" s="9" t="s">
        <v>112</v>
      </c>
      <c r="X43" s="36">
        <v>1.835820895522388</v>
      </c>
      <c r="Y43" s="37">
        <v>12.134146341463415</v>
      </c>
      <c r="Z43" s="9" t="s">
        <v>454</v>
      </c>
      <c r="AA43" s="9">
        <v>2</v>
      </c>
      <c r="AB43" s="38">
        <v>41334</v>
      </c>
      <c r="AC43" s="9" t="s">
        <v>486</v>
      </c>
      <c r="AD43" s="9" t="s">
        <v>487</v>
      </c>
      <c r="AE43" s="2">
        <v>164</v>
      </c>
      <c r="AF43" s="2">
        <v>24</v>
      </c>
      <c r="AG43"/>
    </row>
    <row r="44" spans="1:34" ht="15" customHeight="1" x14ac:dyDescent="0.25">
      <c r="A44" s="9">
        <v>43</v>
      </c>
      <c r="B44" s="9" t="s">
        <v>114</v>
      </c>
      <c r="C44" s="9" t="s">
        <v>115</v>
      </c>
      <c r="D44" s="9">
        <v>20</v>
      </c>
      <c r="E44" s="9">
        <v>140</v>
      </c>
      <c r="F44" s="9">
        <v>2443</v>
      </c>
      <c r="G44" s="9">
        <v>176</v>
      </c>
      <c r="H44" s="9">
        <v>207</v>
      </c>
      <c r="I44" s="9">
        <v>23</v>
      </c>
      <c r="J44" s="9">
        <v>216</v>
      </c>
      <c r="K44" s="9">
        <v>150</v>
      </c>
      <c r="L44" s="9">
        <v>4</v>
      </c>
      <c r="M44" s="9">
        <v>0</v>
      </c>
      <c r="N44" s="9">
        <v>5.5</v>
      </c>
      <c r="O44" s="9">
        <v>0</v>
      </c>
      <c r="P44" s="9">
        <v>2</v>
      </c>
      <c r="Q44" s="9">
        <v>5</v>
      </c>
      <c r="R44" s="9">
        <v>4</v>
      </c>
      <c r="S44" s="9" t="s">
        <v>26</v>
      </c>
      <c r="T44" s="9">
        <v>0</v>
      </c>
      <c r="U44" s="9">
        <v>0</v>
      </c>
      <c r="V44" s="9" t="s">
        <v>15</v>
      </c>
      <c r="W44" s="9" t="s">
        <v>114</v>
      </c>
      <c r="X44" s="9">
        <v>1.2571428571428571</v>
      </c>
      <c r="Y44" s="37">
        <v>13.277173913043478</v>
      </c>
      <c r="Z44" s="9" t="s">
        <v>454</v>
      </c>
      <c r="AA44" s="9">
        <v>9</v>
      </c>
      <c r="AB44" s="38">
        <v>41699</v>
      </c>
      <c r="AC44" s="9" t="s">
        <v>471</v>
      </c>
      <c r="AD44" s="9" t="s">
        <v>472</v>
      </c>
      <c r="AE44" s="2">
        <v>340</v>
      </c>
      <c r="AF44" s="2">
        <v>16</v>
      </c>
      <c r="AG44" s="16" t="s">
        <v>1090</v>
      </c>
      <c r="AH44" s="34">
        <v>46031</v>
      </c>
    </row>
    <row r="45" spans="1:34" ht="15" customHeight="1" x14ac:dyDescent="0.25">
      <c r="A45" s="9">
        <v>44</v>
      </c>
      <c r="B45" s="9" t="s">
        <v>116</v>
      </c>
      <c r="C45" s="9" t="s">
        <v>117</v>
      </c>
      <c r="D45" s="9">
        <v>16</v>
      </c>
      <c r="E45" s="9">
        <v>108</v>
      </c>
      <c r="F45" s="9">
        <v>1336</v>
      </c>
      <c r="G45" s="9">
        <v>148</v>
      </c>
      <c r="H45" s="9">
        <v>140</v>
      </c>
      <c r="I45" s="9">
        <v>13</v>
      </c>
      <c r="J45" s="9">
        <v>108</v>
      </c>
      <c r="K45" s="9">
        <v>89</v>
      </c>
      <c r="L45" s="9">
        <v>3</v>
      </c>
      <c r="M45" s="9">
        <v>4</v>
      </c>
      <c r="N45" s="9">
        <v>3</v>
      </c>
      <c r="O45" s="9">
        <v>0</v>
      </c>
      <c r="P45" s="9">
        <v>0</v>
      </c>
      <c r="Q45" s="9">
        <v>1</v>
      </c>
      <c r="R45" s="9">
        <v>1</v>
      </c>
      <c r="S45" s="9" t="s">
        <v>26</v>
      </c>
      <c r="T45" s="9">
        <v>0</v>
      </c>
      <c r="U45" s="9">
        <v>1</v>
      </c>
      <c r="V45" s="9" t="s">
        <v>15</v>
      </c>
      <c r="W45" s="9" t="s">
        <v>116</v>
      </c>
      <c r="X45" s="9">
        <v>1.3703703703703705</v>
      </c>
      <c r="Y45" s="37">
        <v>10.51968503937008</v>
      </c>
      <c r="Z45" s="9" t="s">
        <v>454</v>
      </c>
      <c r="AA45" s="9">
        <v>2</v>
      </c>
      <c r="AB45" s="38">
        <v>42036</v>
      </c>
      <c r="AC45" s="9" t="s">
        <v>525</v>
      </c>
      <c r="AD45" s="9" t="s">
        <v>526</v>
      </c>
      <c r="AE45" s="2">
        <v>218</v>
      </c>
      <c r="AF45" s="2">
        <v>26</v>
      </c>
      <c r="AG45" s="14" t="s">
        <v>1110</v>
      </c>
      <c r="AH45" s="34">
        <v>46318</v>
      </c>
    </row>
    <row r="46" spans="1:34" ht="15" customHeight="1" x14ac:dyDescent="0.25">
      <c r="A46" s="9">
        <v>45</v>
      </c>
      <c r="B46" s="9" t="s">
        <v>118</v>
      </c>
      <c r="C46" s="9" t="s">
        <v>119</v>
      </c>
      <c r="D46" s="9">
        <v>12</v>
      </c>
      <c r="E46" s="9">
        <v>54</v>
      </c>
      <c r="F46" s="9">
        <v>880</v>
      </c>
      <c r="G46" s="9">
        <v>63</v>
      </c>
      <c r="H46" s="9">
        <v>80</v>
      </c>
      <c r="I46" s="9">
        <v>4</v>
      </c>
      <c r="J46" s="9">
        <v>45</v>
      </c>
      <c r="K46" s="9">
        <v>37</v>
      </c>
      <c r="L46" s="9">
        <v>0</v>
      </c>
      <c r="M46" s="9">
        <v>0</v>
      </c>
      <c r="N46" s="9">
        <v>1</v>
      </c>
      <c r="O46" s="9">
        <v>0</v>
      </c>
      <c r="P46" s="9">
        <v>0</v>
      </c>
      <c r="Q46" s="9">
        <v>1</v>
      </c>
      <c r="R46" s="9">
        <v>1</v>
      </c>
      <c r="S46" s="9" t="s">
        <v>26</v>
      </c>
      <c r="T46" s="9">
        <v>0</v>
      </c>
      <c r="U46" s="9">
        <v>0</v>
      </c>
      <c r="V46" s="9" t="s">
        <v>15</v>
      </c>
      <c r="W46" s="9" t="s">
        <v>118</v>
      </c>
      <c r="X46" s="9">
        <v>1.1666666666666667</v>
      </c>
      <c r="Y46" s="37">
        <v>11.578947368421053</v>
      </c>
      <c r="Z46" s="9" t="s">
        <v>454</v>
      </c>
      <c r="AA46" s="9">
        <v>2</v>
      </c>
      <c r="AB46" s="38">
        <v>41334</v>
      </c>
      <c r="AC46" s="9" t="s">
        <v>486</v>
      </c>
      <c r="AD46" s="9" t="s">
        <v>527</v>
      </c>
      <c r="AE46" s="2">
        <v>311</v>
      </c>
      <c r="AF46" s="2">
        <v>12</v>
      </c>
      <c r="AG46"/>
    </row>
    <row r="47" spans="1:34" ht="15" customHeight="1" x14ac:dyDescent="0.25">
      <c r="A47" s="9">
        <v>46</v>
      </c>
      <c r="B47" s="9" t="s">
        <v>120</v>
      </c>
      <c r="C47" s="40" t="s">
        <v>121</v>
      </c>
      <c r="D47" s="9">
        <v>18</v>
      </c>
      <c r="E47" s="9">
        <v>120</v>
      </c>
      <c r="F47" s="9">
        <v>2091</v>
      </c>
      <c r="G47" s="9">
        <v>129</v>
      </c>
      <c r="H47" s="9">
        <v>179</v>
      </c>
      <c r="I47" s="9">
        <v>15</v>
      </c>
      <c r="J47" s="9">
        <v>110</v>
      </c>
      <c r="K47" s="9">
        <v>125</v>
      </c>
      <c r="L47" s="9">
        <v>1</v>
      </c>
      <c r="M47" s="9">
        <v>0</v>
      </c>
      <c r="N47" s="9">
        <v>2</v>
      </c>
      <c r="O47" s="9">
        <v>0</v>
      </c>
      <c r="P47" s="9">
        <v>1</v>
      </c>
      <c r="Q47" s="9">
        <v>0</v>
      </c>
      <c r="R47" s="9">
        <v>4</v>
      </c>
      <c r="S47" s="9" t="s">
        <v>26</v>
      </c>
      <c r="T47" s="9">
        <v>0</v>
      </c>
      <c r="U47" s="9">
        <v>0</v>
      </c>
      <c r="V47" s="9" t="s">
        <v>15</v>
      </c>
      <c r="W47" s="9" t="s">
        <v>120</v>
      </c>
      <c r="X47" s="9">
        <v>1.075</v>
      </c>
      <c r="Y47" s="37">
        <v>12.75</v>
      </c>
      <c r="Z47" s="9" t="s">
        <v>454</v>
      </c>
      <c r="AA47" s="9">
        <v>4</v>
      </c>
      <c r="AB47" s="38">
        <v>41456</v>
      </c>
      <c r="AC47" s="9" t="s">
        <v>474</v>
      </c>
      <c r="AD47" s="9" t="s">
        <v>1138</v>
      </c>
      <c r="AE47" s="2">
        <v>207</v>
      </c>
      <c r="AF47" s="2">
        <v>15</v>
      </c>
      <c r="AG47"/>
      <c r="AH47" s="34">
        <v>46366</v>
      </c>
    </row>
    <row r="48" spans="1:34" ht="15" customHeight="1" x14ac:dyDescent="0.25">
      <c r="A48" s="9">
        <v>47</v>
      </c>
      <c r="B48" s="9" t="s">
        <v>122</v>
      </c>
      <c r="C48" s="9" t="s">
        <v>123</v>
      </c>
      <c r="D48" s="9">
        <v>16</v>
      </c>
      <c r="E48" s="9">
        <v>111</v>
      </c>
      <c r="F48" s="9">
        <v>1573</v>
      </c>
      <c r="G48" s="9">
        <v>133</v>
      </c>
      <c r="H48" s="9">
        <v>138</v>
      </c>
      <c r="I48" s="9">
        <v>17</v>
      </c>
      <c r="J48" s="9">
        <v>103</v>
      </c>
      <c r="K48" s="9">
        <v>59</v>
      </c>
      <c r="L48" s="9">
        <v>2</v>
      </c>
      <c r="M48" s="9">
        <v>1</v>
      </c>
      <c r="N48" s="9">
        <v>0</v>
      </c>
      <c r="O48" s="9">
        <v>0</v>
      </c>
      <c r="P48" s="9">
        <v>1</v>
      </c>
      <c r="Q48" s="9">
        <v>3</v>
      </c>
      <c r="R48" s="9">
        <v>0</v>
      </c>
      <c r="S48" s="9" t="s">
        <v>40</v>
      </c>
      <c r="T48" s="9">
        <v>0</v>
      </c>
      <c r="U48" s="9">
        <v>0</v>
      </c>
      <c r="V48" s="9" t="s">
        <v>15</v>
      </c>
      <c r="W48" s="9" t="s">
        <v>122</v>
      </c>
      <c r="X48" s="9">
        <v>1.1981981981981982</v>
      </c>
      <c r="Y48" s="37">
        <v>13</v>
      </c>
      <c r="Z48" s="9" t="s">
        <v>454</v>
      </c>
      <c r="AA48" s="9">
        <v>3</v>
      </c>
      <c r="AB48" s="38">
        <v>41456</v>
      </c>
      <c r="AC48" s="9" t="s">
        <v>474</v>
      </c>
      <c r="AD48" s="9" t="s">
        <v>1139</v>
      </c>
      <c r="AE48" s="2">
        <v>237</v>
      </c>
      <c r="AF48" s="2">
        <v>19</v>
      </c>
      <c r="AG48" s="16" t="s">
        <v>1104</v>
      </c>
      <c r="AH48" s="34">
        <v>46312</v>
      </c>
    </row>
    <row r="49" spans="1:34" ht="15" customHeight="1" x14ac:dyDescent="0.25">
      <c r="A49" s="9">
        <v>48</v>
      </c>
      <c r="B49" s="9" t="s">
        <v>124</v>
      </c>
      <c r="C49" s="40" t="s">
        <v>125</v>
      </c>
      <c r="D49" s="9">
        <v>13</v>
      </c>
      <c r="E49" s="9">
        <v>74</v>
      </c>
      <c r="F49" s="9">
        <v>970</v>
      </c>
      <c r="G49" s="9">
        <v>65</v>
      </c>
      <c r="H49" s="9">
        <v>94</v>
      </c>
      <c r="I49" s="9">
        <v>6</v>
      </c>
      <c r="J49" s="9">
        <v>87</v>
      </c>
      <c r="K49" s="9">
        <v>57</v>
      </c>
      <c r="L49" s="9">
        <v>2</v>
      </c>
      <c r="M49" s="9">
        <v>2</v>
      </c>
      <c r="N49" s="9">
        <v>3</v>
      </c>
      <c r="O49" s="9">
        <v>0</v>
      </c>
      <c r="P49" s="9">
        <v>0</v>
      </c>
      <c r="Q49" s="9">
        <v>0</v>
      </c>
      <c r="R49" s="9">
        <v>1</v>
      </c>
      <c r="S49" s="9" t="s">
        <v>26</v>
      </c>
      <c r="T49" s="9">
        <v>0</v>
      </c>
      <c r="U49" s="9">
        <v>0</v>
      </c>
      <c r="V49" s="9" t="s">
        <v>15</v>
      </c>
      <c r="W49" s="9" t="s">
        <v>124</v>
      </c>
      <c r="X49" s="9">
        <v>0.8783783783783784</v>
      </c>
      <c r="Y49" s="37">
        <v>11.022727272727273</v>
      </c>
      <c r="Z49" s="9" t="s">
        <v>456</v>
      </c>
      <c r="AA49" s="9">
        <v>1</v>
      </c>
      <c r="AB49" s="38">
        <v>42248</v>
      </c>
      <c r="AC49" s="9" t="s">
        <v>530</v>
      </c>
      <c r="AD49" s="9" t="s">
        <v>531</v>
      </c>
      <c r="AE49" s="2">
        <v>198</v>
      </c>
      <c r="AF49" s="2">
        <v>15</v>
      </c>
      <c r="AG49" s="16" t="s">
        <v>1102</v>
      </c>
      <c r="AH49" s="34">
        <v>46317</v>
      </c>
    </row>
    <row r="50" spans="1:34" ht="15" customHeight="1" x14ac:dyDescent="0.25">
      <c r="A50" s="9">
        <v>49</v>
      </c>
      <c r="B50" s="9" t="s">
        <v>126</v>
      </c>
      <c r="C50" s="40" t="s">
        <v>127</v>
      </c>
      <c r="D50" s="9">
        <v>14</v>
      </c>
      <c r="E50" s="9">
        <v>90</v>
      </c>
      <c r="F50" s="9">
        <v>1026</v>
      </c>
      <c r="G50" s="9">
        <v>87</v>
      </c>
      <c r="H50" s="9">
        <v>112</v>
      </c>
      <c r="I50" s="9">
        <v>4</v>
      </c>
      <c r="J50" s="9">
        <v>88</v>
      </c>
      <c r="K50" s="9">
        <v>77</v>
      </c>
      <c r="L50" s="9">
        <v>1</v>
      </c>
      <c r="M50" s="9">
        <v>0</v>
      </c>
      <c r="N50" s="9">
        <v>1.5</v>
      </c>
      <c r="O50" s="9">
        <v>0</v>
      </c>
      <c r="P50" s="9">
        <v>0</v>
      </c>
      <c r="Q50" s="9">
        <v>0</v>
      </c>
      <c r="R50" s="9">
        <v>3</v>
      </c>
      <c r="S50" s="9" t="s">
        <v>26</v>
      </c>
      <c r="T50" s="9">
        <v>0</v>
      </c>
      <c r="U50" s="9">
        <v>0</v>
      </c>
      <c r="V50" s="9" t="s">
        <v>15</v>
      </c>
      <c r="W50" s="9" t="s">
        <v>126</v>
      </c>
      <c r="X50" s="9">
        <v>0.96666666666666667</v>
      </c>
      <c r="Y50" s="37">
        <v>9.5</v>
      </c>
      <c r="Z50" s="9" t="s">
        <v>455</v>
      </c>
      <c r="AA50" s="9">
        <v>3</v>
      </c>
      <c r="AB50" s="38">
        <v>42339</v>
      </c>
      <c r="AC50" s="9" t="s">
        <v>522</v>
      </c>
      <c r="AD50" s="9" t="s">
        <v>532</v>
      </c>
      <c r="AE50" s="2">
        <v>150</v>
      </c>
      <c r="AF50" s="2">
        <v>14</v>
      </c>
      <c r="AG50" s="16" t="s">
        <v>1112</v>
      </c>
      <c r="AH50" s="34">
        <v>46080</v>
      </c>
    </row>
    <row r="51" spans="1:34" ht="15" customHeight="1" x14ac:dyDescent="0.25">
      <c r="A51" s="9">
        <v>50</v>
      </c>
      <c r="B51" s="9" t="s">
        <v>128</v>
      </c>
      <c r="C51" s="9" t="s">
        <v>129</v>
      </c>
      <c r="D51" s="9">
        <v>5</v>
      </c>
      <c r="E51" s="9">
        <v>26</v>
      </c>
      <c r="F51" s="9">
        <v>271</v>
      </c>
      <c r="G51" s="9">
        <v>12</v>
      </c>
      <c r="H51" s="9">
        <v>26</v>
      </c>
      <c r="I51" s="9">
        <v>0</v>
      </c>
      <c r="J51" s="9">
        <v>14</v>
      </c>
      <c r="K51" s="9">
        <v>24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1</v>
      </c>
      <c r="R51" s="9">
        <v>0</v>
      </c>
      <c r="S51" s="9" t="s">
        <v>40</v>
      </c>
      <c r="T51" s="9">
        <v>0</v>
      </c>
      <c r="U51" s="9">
        <v>0</v>
      </c>
      <c r="V51" s="9" t="s">
        <v>15</v>
      </c>
      <c r="W51" s="9" t="s">
        <v>128</v>
      </c>
      <c r="X51" s="9">
        <v>0.46153846153846156</v>
      </c>
      <c r="Y51" s="37">
        <v>10.423076923076923</v>
      </c>
      <c r="Z51" s="9" t="s">
        <v>456</v>
      </c>
      <c r="AA51" s="9">
        <v>1</v>
      </c>
      <c r="AB51" s="38">
        <v>42125</v>
      </c>
      <c r="AC51" s="9" t="s">
        <v>511</v>
      </c>
      <c r="AD51" s="9" t="s">
        <v>533</v>
      </c>
      <c r="AE51" s="2">
        <v>81</v>
      </c>
      <c r="AF51" s="2">
        <v>4</v>
      </c>
      <c r="AG51"/>
    </row>
    <row r="52" spans="1:34" ht="15" customHeight="1" x14ac:dyDescent="0.25">
      <c r="A52" s="9">
        <v>51</v>
      </c>
      <c r="B52" s="9" t="s">
        <v>130</v>
      </c>
      <c r="C52" s="9" t="s">
        <v>131</v>
      </c>
      <c r="D52" s="9">
        <v>21</v>
      </c>
      <c r="E52" s="9">
        <v>129</v>
      </c>
      <c r="F52" s="9">
        <v>2745</v>
      </c>
      <c r="G52" s="9">
        <v>185</v>
      </c>
      <c r="H52" s="9">
        <v>206</v>
      </c>
      <c r="I52" s="9">
        <v>27</v>
      </c>
      <c r="J52" s="9">
        <v>212</v>
      </c>
      <c r="K52" s="9">
        <v>176</v>
      </c>
      <c r="L52" s="9">
        <v>3</v>
      </c>
      <c r="M52" s="9">
        <v>2.5</v>
      </c>
      <c r="N52" s="9">
        <v>3</v>
      </c>
      <c r="O52" s="9">
        <v>2</v>
      </c>
      <c r="P52" s="9">
        <v>1</v>
      </c>
      <c r="Q52" s="9">
        <v>2</v>
      </c>
      <c r="R52" s="9">
        <v>0</v>
      </c>
      <c r="S52" s="9" t="s">
        <v>26</v>
      </c>
      <c r="T52" s="9">
        <v>2</v>
      </c>
      <c r="U52" s="9">
        <v>0</v>
      </c>
      <c r="V52" s="9" t="s">
        <v>15</v>
      </c>
      <c r="W52" s="9" t="s">
        <v>130</v>
      </c>
      <c r="X52" s="39">
        <v>1.4341085271317831</v>
      </c>
      <c r="Y52" s="37">
        <v>15.335195530726256</v>
      </c>
      <c r="Z52" s="9" t="s">
        <v>458</v>
      </c>
      <c r="AA52" s="9">
        <v>2</v>
      </c>
      <c r="AB52" s="38">
        <v>41548</v>
      </c>
      <c r="AC52" s="9" t="s">
        <v>499</v>
      </c>
      <c r="AD52" s="9" t="s">
        <v>534</v>
      </c>
      <c r="AE52" s="2">
        <v>363</v>
      </c>
      <c r="AF52" s="2">
        <v>24</v>
      </c>
      <c r="AG52"/>
    </row>
    <row r="53" spans="1:34" ht="15" customHeight="1" x14ac:dyDescent="0.25">
      <c r="A53" s="9">
        <v>52</v>
      </c>
      <c r="B53" s="9" t="s">
        <v>132</v>
      </c>
      <c r="C53" s="9" t="s">
        <v>133</v>
      </c>
      <c r="D53" s="9">
        <v>21</v>
      </c>
      <c r="E53" s="9">
        <v>129</v>
      </c>
      <c r="F53" s="9">
        <v>1697</v>
      </c>
      <c r="G53" s="9">
        <v>172</v>
      </c>
      <c r="H53" s="9">
        <v>173</v>
      </c>
      <c r="I53" s="9">
        <v>18</v>
      </c>
      <c r="J53" s="9">
        <v>128</v>
      </c>
      <c r="K53" s="9">
        <v>112</v>
      </c>
      <c r="L53" s="9">
        <v>2</v>
      </c>
      <c r="M53" s="9">
        <v>0</v>
      </c>
      <c r="N53" s="9">
        <v>2</v>
      </c>
      <c r="O53" s="9">
        <v>0</v>
      </c>
      <c r="P53" s="9">
        <v>0</v>
      </c>
      <c r="Q53" s="9">
        <v>1</v>
      </c>
      <c r="R53" s="9">
        <v>0</v>
      </c>
      <c r="S53" s="9" t="s">
        <v>26</v>
      </c>
      <c r="T53" s="9">
        <v>0</v>
      </c>
      <c r="U53" s="9">
        <v>1</v>
      </c>
      <c r="V53" s="9" t="s">
        <v>15</v>
      </c>
      <c r="W53" s="9" t="s">
        <v>132</v>
      </c>
      <c r="X53" s="9">
        <v>1.3333333333333333</v>
      </c>
      <c r="Y53" s="37">
        <v>10.948387096774194</v>
      </c>
      <c r="Z53" s="9" t="s">
        <v>454</v>
      </c>
      <c r="AA53" s="9">
        <v>1</v>
      </c>
      <c r="AB53" s="38">
        <v>41609</v>
      </c>
      <c r="AC53" s="9" t="s">
        <v>501</v>
      </c>
      <c r="AD53" s="9" t="s">
        <v>535</v>
      </c>
      <c r="AE53" s="2">
        <v>260</v>
      </c>
      <c r="AF53" s="2">
        <v>23</v>
      </c>
      <c r="AG53"/>
    </row>
    <row r="54" spans="1:34" ht="15" customHeight="1" x14ac:dyDescent="0.25">
      <c r="A54" s="9">
        <v>53</v>
      </c>
      <c r="B54" s="9" t="s">
        <v>134</v>
      </c>
      <c r="C54" s="40" t="s">
        <v>135</v>
      </c>
      <c r="D54" s="9">
        <v>8</v>
      </c>
      <c r="E54" s="9">
        <v>42</v>
      </c>
      <c r="F54" s="9">
        <v>769</v>
      </c>
      <c r="G54" s="9">
        <v>49</v>
      </c>
      <c r="H54" s="9">
        <v>54</v>
      </c>
      <c r="I54" s="9">
        <v>3</v>
      </c>
      <c r="J54" s="9">
        <v>60</v>
      </c>
      <c r="K54" s="9">
        <v>53</v>
      </c>
      <c r="L54" s="9">
        <v>1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2</v>
      </c>
      <c r="S54" s="9" t="s">
        <v>43</v>
      </c>
      <c r="T54" s="9">
        <v>0</v>
      </c>
      <c r="U54" s="9">
        <v>0</v>
      </c>
      <c r="V54" s="9" t="s">
        <v>15</v>
      </c>
      <c r="W54" s="9" t="s">
        <v>134</v>
      </c>
      <c r="X54" s="39">
        <v>1.1666666666666667</v>
      </c>
      <c r="Y54" s="37">
        <v>15.078431372549019</v>
      </c>
      <c r="Z54" s="9" t="s">
        <v>455</v>
      </c>
      <c r="AA54" s="9">
        <v>2</v>
      </c>
      <c r="AB54" s="38">
        <v>41609</v>
      </c>
      <c r="AC54" s="9" t="s">
        <v>501</v>
      </c>
      <c r="AD54" s="9" t="s">
        <v>536</v>
      </c>
      <c r="AE54" s="2">
        <v>181</v>
      </c>
      <c r="AF54" s="2">
        <v>12</v>
      </c>
      <c r="AG54" s="16" t="s">
        <v>1105</v>
      </c>
      <c r="AH54" s="34">
        <v>46321</v>
      </c>
    </row>
    <row r="55" spans="1:34" ht="15" customHeight="1" x14ac:dyDescent="0.25">
      <c r="A55" s="9">
        <v>54</v>
      </c>
      <c r="B55" s="9" t="s">
        <v>136</v>
      </c>
      <c r="C55" s="9" t="s">
        <v>137</v>
      </c>
      <c r="D55" s="9">
        <v>19</v>
      </c>
      <c r="E55" s="9">
        <v>123</v>
      </c>
      <c r="F55" s="9">
        <v>2568</v>
      </c>
      <c r="G55" s="9">
        <v>182</v>
      </c>
      <c r="H55" s="9">
        <v>202</v>
      </c>
      <c r="I55" s="9">
        <v>33</v>
      </c>
      <c r="J55" s="9">
        <v>185</v>
      </c>
      <c r="K55" s="9">
        <v>161</v>
      </c>
      <c r="L55" s="9">
        <v>1</v>
      </c>
      <c r="M55" s="9">
        <v>5</v>
      </c>
      <c r="N55" s="9">
        <v>8</v>
      </c>
      <c r="O55" s="9">
        <v>2</v>
      </c>
      <c r="P55" s="9">
        <v>1</v>
      </c>
      <c r="Q55" s="9">
        <v>1</v>
      </c>
      <c r="R55" s="9">
        <v>1</v>
      </c>
      <c r="S55" s="9" t="s">
        <v>26</v>
      </c>
      <c r="T55" s="9">
        <v>3</v>
      </c>
      <c r="U55" s="9">
        <v>2</v>
      </c>
      <c r="V55" s="9" t="s">
        <v>15</v>
      </c>
      <c r="W55" s="9" t="s">
        <v>136</v>
      </c>
      <c r="X55" s="39">
        <v>1.4796747967479675</v>
      </c>
      <c r="Y55" s="37">
        <v>15.195266272189349</v>
      </c>
      <c r="Z55" s="9" t="s">
        <v>458</v>
      </c>
      <c r="AA55" s="9">
        <v>2</v>
      </c>
      <c r="AB55" s="38">
        <v>42339</v>
      </c>
      <c r="AC55" s="9" t="s">
        <v>522</v>
      </c>
      <c r="AD55" s="9" t="s">
        <v>537</v>
      </c>
      <c r="AE55" s="2">
        <v>325</v>
      </c>
      <c r="AF55" s="2">
        <v>22</v>
      </c>
      <c r="AG55"/>
    </row>
    <row r="56" spans="1:34" ht="15" customHeight="1" x14ac:dyDescent="0.25">
      <c r="A56" s="9">
        <v>55</v>
      </c>
      <c r="B56" s="9" t="s">
        <v>138</v>
      </c>
      <c r="C56" s="9" t="s">
        <v>139</v>
      </c>
      <c r="D56" s="9">
        <v>24</v>
      </c>
      <c r="E56" s="9">
        <v>136</v>
      </c>
      <c r="F56" s="9">
        <v>1845</v>
      </c>
      <c r="G56" s="9">
        <v>131</v>
      </c>
      <c r="H56" s="9">
        <v>175</v>
      </c>
      <c r="I56" s="9">
        <v>10</v>
      </c>
      <c r="J56" s="9">
        <v>129</v>
      </c>
      <c r="K56" s="9">
        <v>110</v>
      </c>
      <c r="L56" s="9">
        <v>0</v>
      </c>
      <c r="M56" s="9">
        <v>4</v>
      </c>
      <c r="N56" s="9">
        <v>4</v>
      </c>
      <c r="O56" s="9">
        <v>0</v>
      </c>
      <c r="P56" s="9">
        <v>0</v>
      </c>
      <c r="Q56" s="9">
        <v>3</v>
      </c>
      <c r="R56" s="9">
        <v>2</v>
      </c>
      <c r="S56" s="9" t="s">
        <v>26</v>
      </c>
      <c r="T56" s="9">
        <v>0</v>
      </c>
      <c r="U56" s="9">
        <v>0</v>
      </c>
      <c r="V56" s="9" t="s">
        <v>15</v>
      </c>
      <c r="W56" s="9" t="s">
        <v>138</v>
      </c>
      <c r="X56" s="9">
        <v>0.96323529411764708</v>
      </c>
      <c r="Y56" s="37">
        <v>11.181818181818182</v>
      </c>
      <c r="Z56" s="9" t="s">
        <v>456</v>
      </c>
      <c r="AA56" s="9">
        <v>5</v>
      </c>
      <c r="AB56" s="38">
        <v>41456</v>
      </c>
      <c r="AC56" s="9" t="s">
        <v>474</v>
      </c>
      <c r="AD56" s="9" t="s">
        <v>1140</v>
      </c>
      <c r="AE56" s="2">
        <v>221</v>
      </c>
      <c r="AF56" s="2">
        <v>16</v>
      </c>
      <c r="AG56"/>
      <c r="AH56" s="34">
        <v>46368</v>
      </c>
    </row>
    <row r="57" spans="1:34" ht="15" customHeight="1" x14ac:dyDescent="0.25">
      <c r="A57" s="9">
        <v>56</v>
      </c>
      <c r="B57" s="9" t="s">
        <v>140</v>
      </c>
      <c r="C57" s="9" t="s">
        <v>141</v>
      </c>
      <c r="D57" s="9">
        <v>13</v>
      </c>
      <c r="E57" s="9">
        <v>76</v>
      </c>
      <c r="F57" s="9">
        <v>905</v>
      </c>
      <c r="G57" s="9">
        <v>82</v>
      </c>
      <c r="H57" s="9">
        <v>83</v>
      </c>
      <c r="I57" s="9">
        <v>5</v>
      </c>
      <c r="J57" s="9">
        <v>70</v>
      </c>
      <c r="K57" s="9">
        <v>57</v>
      </c>
      <c r="L57" s="9">
        <v>2</v>
      </c>
      <c r="M57" s="9">
        <v>1</v>
      </c>
      <c r="N57" s="9">
        <v>1.5</v>
      </c>
      <c r="O57" s="9">
        <v>0</v>
      </c>
      <c r="P57" s="9">
        <v>0</v>
      </c>
      <c r="Q57" s="9">
        <v>2</v>
      </c>
      <c r="R57" s="9">
        <v>1</v>
      </c>
      <c r="S57" s="9" t="s">
        <v>26</v>
      </c>
      <c r="T57" s="9">
        <v>0</v>
      </c>
      <c r="U57" s="9">
        <v>0</v>
      </c>
      <c r="V57" s="9" t="s">
        <v>15</v>
      </c>
      <c r="W57" s="9" t="s">
        <v>140</v>
      </c>
      <c r="X57" s="9">
        <v>1.0789473684210527</v>
      </c>
      <c r="Y57" s="37">
        <v>11.602564102564102</v>
      </c>
      <c r="Z57" s="9" t="s">
        <v>454</v>
      </c>
      <c r="AA57" s="9">
        <v>3</v>
      </c>
      <c r="AB57" s="38">
        <v>42339</v>
      </c>
      <c r="AC57" s="9" t="s">
        <v>539</v>
      </c>
      <c r="AD57" s="9" t="s">
        <v>540</v>
      </c>
      <c r="AE57" s="2">
        <v>188</v>
      </c>
      <c r="AF57" s="2">
        <v>20</v>
      </c>
      <c r="AG57"/>
    </row>
    <row r="58" spans="1:34" ht="15" customHeight="1" x14ac:dyDescent="0.25">
      <c r="A58" s="9">
        <v>57</v>
      </c>
      <c r="B58" s="9" t="s">
        <v>142</v>
      </c>
      <c r="C58" s="9" t="s">
        <v>143</v>
      </c>
      <c r="D58" s="9">
        <v>10</v>
      </c>
      <c r="E58" s="9">
        <v>45</v>
      </c>
      <c r="F58" s="9">
        <v>689</v>
      </c>
      <c r="G58" s="9">
        <v>32</v>
      </c>
      <c r="H58" s="9">
        <v>54</v>
      </c>
      <c r="I58" s="9">
        <v>3</v>
      </c>
      <c r="J58" s="9">
        <v>47</v>
      </c>
      <c r="K58" s="9">
        <v>41</v>
      </c>
      <c r="L58" s="9">
        <v>0</v>
      </c>
      <c r="M58" s="9">
        <v>4.5</v>
      </c>
      <c r="N58" s="9">
        <v>4</v>
      </c>
      <c r="O58" s="9">
        <v>1</v>
      </c>
      <c r="P58" s="9">
        <v>1</v>
      </c>
      <c r="Q58" s="9">
        <v>2</v>
      </c>
      <c r="R58" s="9">
        <v>1</v>
      </c>
      <c r="S58" s="9" t="s">
        <v>26</v>
      </c>
      <c r="T58" s="9">
        <v>1</v>
      </c>
      <c r="U58" s="9">
        <v>0</v>
      </c>
      <c r="V58" s="9" t="s">
        <v>15</v>
      </c>
      <c r="W58" s="9" t="s">
        <v>142</v>
      </c>
      <c r="X58" s="9">
        <v>0.71111111111111114</v>
      </c>
      <c r="Y58" s="37">
        <v>13.509803921568627</v>
      </c>
      <c r="Z58" s="9" t="s">
        <v>456</v>
      </c>
      <c r="AA58" s="9">
        <v>3</v>
      </c>
      <c r="AB58" s="38">
        <v>41426</v>
      </c>
      <c r="AC58" s="9" t="s">
        <v>482</v>
      </c>
      <c r="AD58" s="9" t="s">
        <v>541</v>
      </c>
      <c r="AE58" s="2">
        <v>189</v>
      </c>
      <c r="AF58" s="2">
        <v>11</v>
      </c>
      <c r="AG58"/>
      <c r="AH58" s="34">
        <v>46303</v>
      </c>
    </row>
    <row r="59" spans="1:34" ht="15" customHeight="1" x14ac:dyDescent="0.25">
      <c r="A59" s="9">
        <v>58</v>
      </c>
      <c r="B59" s="9" t="s">
        <v>144</v>
      </c>
      <c r="C59" s="9" t="s">
        <v>145</v>
      </c>
      <c r="D59" s="9">
        <v>18</v>
      </c>
      <c r="E59" s="9">
        <v>102</v>
      </c>
      <c r="F59" s="9">
        <v>2167</v>
      </c>
      <c r="G59" s="9">
        <v>181</v>
      </c>
      <c r="H59" s="9">
        <v>161</v>
      </c>
      <c r="I59" s="9">
        <v>20</v>
      </c>
      <c r="J59" s="9">
        <v>122</v>
      </c>
      <c r="K59" s="9">
        <v>78</v>
      </c>
      <c r="L59" s="9">
        <v>0</v>
      </c>
      <c r="M59" s="9">
        <v>0</v>
      </c>
      <c r="N59" s="9">
        <v>0</v>
      </c>
      <c r="O59" s="9">
        <v>2</v>
      </c>
      <c r="P59" s="9">
        <v>4</v>
      </c>
      <c r="Q59" s="9">
        <v>4</v>
      </c>
      <c r="R59" s="9">
        <v>2</v>
      </c>
      <c r="S59" s="9" t="s">
        <v>101</v>
      </c>
      <c r="T59" s="9">
        <v>0</v>
      </c>
      <c r="U59" s="9">
        <v>0</v>
      </c>
      <c r="V59" s="9" t="s">
        <v>15</v>
      </c>
      <c r="W59" s="9" t="s">
        <v>144</v>
      </c>
      <c r="X59" s="39">
        <v>1.7745098039215685</v>
      </c>
      <c r="Y59" s="37">
        <v>15.368794326241135</v>
      </c>
      <c r="Z59" s="9" t="s">
        <v>459</v>
      </c>
      <c r="AA59" s="9">
        <v>6</v>
      </c>
      <c r="AB59" s="38">
        <v>41334</v>
      </c>
      <c r="AC59" s="9" t="s">
        <v>486</v>
      </c>
      <c r="AD59" s="9" t="s">
        <v>542</v>
      </c>
      <c r="AE59" s="2">
        <v>257</v>
      </c>
      <c r="AF59" s="2">
        <v>24</v>
      </c>
      <c r="AG59"/>
      <c r="AH59" s="34">
        <v>46329</v>
      </c>
    </row>
    <row r="60" spans="1:34" ht="15" customHeight="1" x14ac:dyDescent="0.25">
      <c r="A60" s="9">
        <v>59</v>
      </c>
      <c r="B60" s="9" t="s">
        <v>146</v>
      </c>
      <c r="C60" s="9" t="s">
        <v>147</v>
      </c>
      <c r="D60" s="9">
        <v>20</v>
      </c>
      <c r="E60" s="9">
        <v>136</v>
      </c>
      <c r="F60" s="9">
        <v>1773</v>
      </c>
      <c r="G60" s="9">
        <v>149</v>
      </c>
      <c r="H60" s="9">
        <v>174</v>
      </c>
      <c r="I60" s="9">
        <v>6</v>
      </c>
      <c r="J60" s="9">
        <v>125</v>
      </c>
      <c r="K60" s="9">
        <v>98</v>
      </c>
      <c r="L60" s="9">
        <v>1</v>
      </c>
      <c r="M60" s="9">
        <v>3</v>
      </c>
      <c r="N60" s="9">
        <v>4</v>
      </c>
      <c r="O60" s="9">
        <v>0</v>
      </c>
      <c r="P60" s="9">
        <v>0</v>
      </c>
      <c r="Q60" s="9">
        <v>3</v>
      </c>
      <c r="R60" s="9">
        <v>2</v>
      </c>
      <c r="S60" s="9" t="s">
        <v>26</v>
      </c>
      <c r="T60" s="9">
        <v>0</v>
      </c>
      <c r="U60" s="9">
        <v>2</v>
      </c>
      <c r="V60" s="9" t="s">
        <v>15</v>
      </c>
      <c r="W60" s="9" t="s">
        <v>146</v>
      </c>
      <c r="X60" s="9">
        <v>1.0955882352941178</v>
      </c>
      <c r="Y60" s="37">
        <v>10.553571428571429</v>
      </c>
      <c r="Z60" s="9" t="s">
        <v>454</v>
      </c>
      <c r="AA60" s="9">
        <v>5</v>
      </c>
      <c r="AB60" s="38">
        <v>41456</v>
      </c>
      <c r="AC60" s="9" t="s">
        <v>474</v>
      </c>
      <c r="AD60" s="9" t="s">
        <v>1133</v>
      </c>
      <c r="AE60" s="2">
        <v>222</v>
      </c>
      <c r="AF60" s="2">
        <v>27</v>
      </c>
      <c r="AG60"/>
    </row>
    <row r="61" spans="1:34" ht="15" customHeight="1" x14ac:dyDescent="0.25">
      <c r="A61" s="9">
        <v>60</v>
      </c>
      <c r="B61" s="9" t="s">
        <v>148</v>
      </c>
      <c r="C61" s="9" t="s">
        <v>149</v>
      </c>
      <c r="D61" s="9">
        <v>17</v>
      </c>
      <c r="E61" s="9">
        <v>122</v>
      </c>
      <c r="F61" s="9">
        <v>2083</v>
      </c>
      <c r="G61" s="9">
        <v>180</v>
      </c>
      <c r="H61" s="9">
        <v>170</v>
      </c>
      <c r="I61" s="9">
        <v>14</v>
      </c>
      <c r="J61" s="9">
        <v>166</v>
      </c>
      <c r="K61" s="9">
        <v>142</v>
      </c>
      <c r="L61" s="9">
        <v>1</v>
      </c>
      <c r="M61" s="9">
        <v>0</v>
      </c>
      <c r="N61" s="9">
        <v>4.5</v>
      </c>
      <c r="O61" s="9">
        <v>1</v>
      </c>
      <c r="P61" s="9">
        <v>1</v>
      </c>
      <c r="Q61" s="9">
        <v>1</v>
      </c>
      <c r="R61" s="9">
        <v>3</v>
      </c>
      <c r="S61" s="9" t="s">
        <v>26</v>
      </c>
      <c r="T61" s="9">
        <v>1</v>
      </c>
      <c r="U61" s="9">
        <v>2</v>
      </c>
      <c r="V61" s="9" t="s">
        <v>15</v>
      </c>
      <c r="W61" s="9" t="s">
        <v>148</v>
      </c>
      <c r="X61" s="36">
        <v>1.4754098360655739</v>
      </c>
      <c r="Y61" s="37">
        <v>13.352564102564102</v>
      </c>
      <c r="Z61" s="9" t="s">
        <v>454</v>
      </c>
      <c r="AA61" s="9">
        <v>4</v>
      </c>
      <c r="AB61" s="38">
        <v>42036</v>
      </c>
      <c r="AC61" s="9" t="s">
        <v>525</v>
      </c>
      <c r="AD61" s="9" t="s">
        <v>543</v>
      </c>
      <c r="AE61" s="2">
        <v>321</v>
      </c>
      <c r="AF61" s="2">
        <v>30</v>
      </c>
      <c r="AG61"/>
      <c r="AH61" s="34">
        <v>46083</v>
      </c>
    </row>
    <row r="62" spans="1:34" ht="15" customHeight="1" x14ac:dyDescent="0.25">
      <c r="A62" s="9">
        <v>61</v>
      </c>
      <c r="B62" s="9" t="s">
        <v>150</v>
      </c>
      <c r="C62" s="9" t="s">
        <v>151</v>
      </c>
      <c r="D62" s="9">
        <v>4</v>
      </c>
      <c r="E62" s="9">
        <v>29</v>
      </c>
      <c r="F62" s="9">
        <v>434</v>
      </c>
      <c r="G62" s="9">
        <v>41</v>
      </c>
      <c r="H62" s="9">
        <v>35</v>
      </c>
      <c r="I62" s="9">
        <v>5</v>
      </c>
      <c r="J62" s="9">
        <v>46</v>
      </c>
      <c r="K62" s="9">
        <v>21</v>
      </c>
      <c r="L62" s="9">
        <v>1</v>
      </c>
      <c r="M62" s="9">
        <v>2</v>
      </c>
      <c r="N62" s="9">
        <v>1</v>
      </c>
      <c r="O62" s="9">
        <v>0</v>
      </c>
      <c r="P62" s="9">
        <v>1</v>
      </c>
      <c r="Q62" s="9">
        <v>2</v>
      </c>
      <c r="R62" s="9">
        <v>0</v>
      </c>
      <c r="S62" s="9" t="s">
        <v>40</v>
      </c>
      <c r="T62" s="9">
        <v>0</v>
      </c>
      <c r="U62" s="9">
        <v>0</v>
      </c>
      <c r="V62" s="9" t="s">
        <v>15</v>
      </c>
      <c r="W62" s="9" t="s">
        <v>150</v>
      </c>
      <c r="X62" s="9">
        <v>1.4137931034482758</v>
      </c>
      <c r="Y62" s="37">
        <v>14.466666666666667</v>
      </c>
      <c r="Z62" s="9" t="s">
        <v>458</v>
      </c>
      <c r="AA62" s="9">
        <v>2</v>
      </c>
      <c r="AB62" s="38">
        <v>43952</v>
      </c>
      <c r="AC62" s="9" t="s">
        <v>492</v>
      </c>
      <c r="AD62" s="9" t="s">
        <v>544</v>
      </c>
      <c r="AE62" s="2">
        <v>169</v>
      </c>
      <c r="AF62" s="2">
        <v>11</v>
      </c>
      <c r="AG62"/>
    </row>
    <row r="63" spans="1:34" ht="15" customHeight="1" x14ac:dyDescent="0.25">
      <c r="A63" s="9">
        <v>62</v>
      </c>
      <c r="B63" s="9" t="s">
        <v>152</v>
      </c>
      <c r="C63" s="9" t="s">
        <v>153</v>
      </c>
      <c r="D63" s="9">
        <v>25</v>
      </c>
      <c r="E63" s="9">
        <v>146</v>
      </c>
      <c r="F63" s="9">
        <v>2540</v>
      </c>
      <c r="G63" s="9">
        <v>213</v>
      </c>
      <c r="H63" s="9">
        <v>215</v>
      </c>
      <c r="I63" s="9">
        <v>28</v>
      </c>
      <c r="J63" s="9">
        <v>138</v>
      </c>
      <c r="K63" s="9">
        <v>129</v>
      </c>
      <c r="L63" s="9">
        <v>1</v>
      </c>
      <c r="M63" s="9">
        <v>6</v>
      </c>
      <c r="N63" s="9">
        <v>2</v>
      </c>
      <c r="O63" s="9">
        <v>1</v>
      </c>
      <c r="P63" s="9">
        <v>0</v>
      </c>
      <c r="Q63" s="9">
        <v>3</v>
      </c>
      <c r="R63" s="9">
        <v>0</v>
      </c>
      <c r="S63" s="9" t="s">
        <v>26</v>
      </c>
      <c r="T63" s="9">
        <v>1</v>
      </c>
      <c r="U63" s="9">
        <v>0</v>
      </c>
      <c r="V63" s="9" t="s">
        <v>15</v>
      </c>
      <c r="W63" s="9" t="s">
        <v>152</v>
      </c>
      <c r="X63" s="9">
        <v>1.4589041095890412</v>
      </c>
      <c r="Y63" s="37">
        <v>13.582887700534759</v>
      </c>
      <c r="Z63" s="9" t="s">
        <v>454</v>
      </c>
      <c r="AA63" s="9">
        <v>3</v>
      </c>
      <c r="AB63" s="38">
        <v>41334</v>
      </c>
      <c r="AC63" s="9" t="s">
        <v>486</v>
      </c>
      <c r="AD63" s="9" t="s">
        <v>542</v>
      </c>
      <c r="AE63" s="2">
        <v>270</v>
      </c>
      <c r="AF63" s="2">
        <v>26</v>
      </c>
      <c r="AG63"/>
    </row>
    <row r="64" spans="1:34" ht="15" customHeight="1" x14ac:dyDescent="0.25">
      <c r="A64" s="9">
        <v>63</v>
      </c>
      <c r="B64" s="9" t="s">
        <v>154</v>
      </c>
      <c r="C64" s="40" t="s">
        <v>155</v>
      </c>
      <c r="D64" s="9">
        <v>14</v>
      </c>
      <c r="E64" s="9">
        <v>74</v>
      </c>
      <c r="F64" s="9">
        <v>1161</v>
      </c>
      <c r="G64" s="9">
        <v>67</v>
      </c>
      <c r="H64" s="9">
        <v>105</v>
      </c>
      <c r="I64" s="9">
        <v>5</v>
      </c>
      <c r="J64" s="9">
        <v>84</v>
      </c>
      <c r="K64" s="9">
        <v>79</v>
      </c>
      <c r="L64" s="9">
        <v>0</v>
      </c>
      <c r="M64" s="9">
        <v>1</v>
      </c>
      <c r="N64" s="9">
        <v>1</v>
      </c>
      <c r="O64" s="9">
        <v>0</v>
      </c>
      <c r="P64" s="9">
        <v>0</v>
      </c>
      <c r="Q64" s="9">
        <v>0</v>
      </c>
      <c r="R64" s="9">
        <v>1</v>
      </c>
      <c r="S64" s="9" t="s">
        <v>40</v>
      </c>
      <c r="T64" s="9">
        <v>1</v>
      </c>
      <c r="U64" s="9">
        <v>0</v>
      </c>
      <c r="V64" s="9" t="s">
        <v>15</v>
      </c>
      <c r="W64" s="9" t="s">
        <v>154</v>
      </c>
      <c r="X64" s="9">
        <v>0.90540540540540537</v>
      </c>
      <c r="Y64" s="37">
        <v>11.61</v>
      </c>
      <c r="Z64" s="9" t="s">
        <v>456</v>
      </c>
      <c r="AA64" s="9">
        <v>1</v>
      </c>
      <c r="AB64" s="38">
        <v>41487</v>
      </c>
      <c r="AC64" s="9" t="s">
        <v>490</v>
      </c>
      <c r="AD64" s="9" t="s">
        <v>1141</v>
      </c>
      <c r="AE64" s="2">
        <v>287</v>
      </c>
      <c r="AF64" s="2">
        <v>14</v>
      </c>
      <c r="AG64"/>
    </row>
    <row r="65" spans="1:34" ht="15" customHeight="1" x14ac:dyDescent="0.25">
      <c r="A65" s="9">
        <v>64</v>
      </c>
      <c r="B65" s="9" t="s">
        <v>156</v>
      </c>
      <c r="C65" s="9" t="s">
        <v>157</v>
      </c>
      <c r="D65" s="9">
        <v>18</v>
      </c>
      <c r="E65" s="9">
        <v>108</v>
      </c>
      <c r="F65" s="9">
        <v>1604</v>
      </c>
      <c r="G65" s="9">
        <v>124</v>
      </c>
      <c r="H65" s="9">
        <v>131</v>
      </c>
      <c r="I65" s="9">
        <v>18</v>
      </c>
      <c r="J65" s="9">
        <v>90</v>
      </c>
      <c r="K65" s="9">
        <v>112</v>
      </c>
      <c r="L65" s="9">
        <v>4</v>
      </c>
      <c r="M65" s="9">
        <v>3</v>
      </c>
      <c r="N65" s="9">
        <v>2</v>
      </c>
      <c r="O65" s="9">
        <v>1</v>
      </c>
      <c r="P65" s="9">
        <v>0</v>
      </c>
      <c r="Q65" s="9">
        <v>2</v>
      </c>
      <c r="R65" s="9">
        <v>2</v>
      </c>
      <c r="S65" s="9" t="s">
        <v>26</v>
      </c>
      <c r="T65" s="9">
        <v>0</v>
      </c>
      <c r="U65" s="9">
        <v>1</v>
      </c>
      <c r="V65" s="9" t="s">
        <v>15</v>
      </c>
      <c r="W65" s="9" t="s">
        <v>156</v>
      </c>
      <c r="X65" s="9">
        <v>1.1481481481481481</v>
      </c>
      <c r="Y65" s="37">
        <v>14.194690265486726</v>
      </c>
      <c r="Z65" s="9" t="s">
        <v>455</v>
      </c>
      <c r="AA65" s="9">
        <v>4</v>
      </c>
      <c r="AB65" s="38">
        <v>41609</v>
      </c>
      <c r="AC65" s="9" t="s">
        <v>501</v>
      </c>
      <c r="AD65" s="9" t="s">
        <v>520</v>
      </c>
      <c r="AE65" s="2">
        <v>237</v>
      </c>
      <c r="AF65" s="2">
        <v>29</v>
      </c>
      <c r="AG65"/>
    </row>
    <row r="66" spans="1:34" ht="15" customHeight="1" x14ac:dyDescent="0.25">
      <c r="A66" s="9">
        <v>65</v>
      </c>
      <c r="B66" s="9" t="s">
        <v>158</v>
      </c>
      <c r="C66" s="9" t="s">
        <v>159</v>
      </c>
      <c r="D66" s="9">
        <v>14</v>
      </c>
      <c r="E66" s="9">
        <v>85</v>
      </c>
      <c r="F66" s="9">
        <v>1179</v>
      </c>
      <c r="G66" s="9">
        <v>121</v>
      </c>
      <c r="H66" s="9">
        <v>116</v>
      </c>
      <c r="I66" s="9">
        <v>7</v>
      </c>
      <c r="J66" s="9">
        <v>75</v>
      </c>
      <c r="K66" s="9">
        <v>58</v>
      </c>
      <c r="L66" s="9">
        <v>0</v>
      </c>
      <c r="M66" s="9">
        <v>2</v>
      </c>
      <c r="N66" s="9">
        <v>1.5</v>
      </c>
      <c r="O66" s="9">
        <v>0</v>
      </c>
      <c r="P66" s="9">
        <v>0</v>
      </c>
      <c r="Q66" s="9">
        <v>1</v>
      </c>
      <c r="R66" s="9">
        <v>2</v>
      </c>
      <c r="S66" s="9" t="s">
        <v>26</v>
      </c>
      <c r="T66" s="9">
        <v>0</v>
      </c>
      <c r="U66" s="9">
        <v>0</v>
      </c>
      <c r="V66" s="9" t="s">
        <v>15</v>
      </c>
      <c r="W66" s="9" t="s">
        <v>158</v>
      </c>
      <c r="X66" s="9">
        <v>1.4235294117647059</v>
      </c>
      <c r="Y66" s="37">
        <v>10.81651376146789</v>
      </c>
      <c r="Z66" s="9" t="s">
        <v>454</v>
      </c>
      <c r="AA66" s="9">
        <v>3</v>
      </c>
      <c r="AB66" s="38">
        <v>41456</v>
      </c>
      <c r="AC66" s="9" t="s">
        <v>474</v>
      </c>
      <c r="AD66" s="9" t="s">
        <v>1138</v>
      </c>
      <c r="AE66" s="2">
        <v>288</v>
      </c>
      <c r="AF66" s="2">
        <v>23</v>
      </c>
      <c r="AG66" s="16" t="s">
        <v>1106</v>
      </c>
      <c r="AH66" s="34">
        <v>46312</v>
      </c>
    </row>
    <row r="67" spans="1:34" ht="15" customHeight="1" x14ac:dyDescent="0.25">
      <c r="A67" s="9">
        <v>66</v>
      </c>
      <c r="B67" s="9" t="s">
        <v>160</v>
      </c>
      <c r="C67" s="9" t="s">
        <v>161</v>
      </c>
      <c r="D67" s="9">
        <v>2</v>
      </c>
      <c r="E67" s="9">
        <v>15</v>
      </c>
      <c r="F67" s="9">
        <v>97</v>
      </c>
      <c r="G67" s="9">
        <v>13</v>
      </c>
      <c r="H67" s="9">
        <v>14</v>
      </c>
      <c r="I67" s="9">
        <v>0</v>
      </c>
      <c r="J67" s="9">
        <v>4</v>
      </c>
      <c r="K67" s="9">
        <v>5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1</v>
      </c>
      <c r="R67" s="9">
        <v>0</v>
      </c>
      <c r="S67" s="9" t="s">
        <v>162</v>
      </c>
      <c r="T67" s="9">
        <v>0</v>
      </c>
      <c r="U67" s="9">
        <v>0</v>
      </c>
      <c r="V67" s="9" t="s">
        <v>15</v>
      </c>
      <c r="W67" s="9" t="s">
        <v>160</v>
      </c>
      <c r="X67" s="9">
        <v>0.8666666666666667</v>
      </c>
      <c r="Y67" s="37">
        <v>6.9285714285714288</v>
      </c>
      <c r="Z67" s="9" t="s">
        <v>455</v>
      </c>
      <c r="AA67" s="9">
        <v>1</v>
      </c>
      <c r="AB67" s="38">
        <v>42036</v>
      </c>
      <c r="AC67" s="9" t="s">
        <v>525</v>
      </c>
      <c r="AD67" s="9" t="s">
        <v>546</v>
      </c>
      <c r="AE67" s="2">
        <v>74</v>
      </c>
      <c r="AF67" s="2">
        <v>12</v>
      </c>
      <c r="AG67"/>
    </row>
    <row r="68" spans="1:34" ht="15" customHeight="1" x14ac:dyDescent="0.25">
      <c r="A68" s="9">
        <v>67</v>
      </c>
      <c r="B68" s="9" t="s">
        <v>163</v>
      </c>
      <c r="C68" s="40" t="s">
        <v>164</v>
      </c>
      <c r="D68" s="9">
        <v>3</v>
      </c>
      <c r="E68" s="9">
        <v>19</v>
      </c>
      <c r="F68" s="9">
        <v>317</v>
      </c>
      <c r="G68" s="9">
        <v>22</v>
      </c>
      <c r="H68" s="9">
        <v>28</v>
      </c>
      <c r="I68" s="9">
        <v>3</v>
      </c>
      <c r="J68" s="9">
        <v>27</v>
      </c>
      <c r="K68" s="9">
        <v>15</v>
      </c>
      <c r="L68" s="9">
        <v>2</v>
      </c>
      <c r="M68" s="9">
        <v>3</v>
      </c>
      <c r="N68" s="9">
        <v>1</v>
      </c>
      <c r="O68" s="9">
        <v>0</v>
      </c>
      <c r="P68" s="9">
        <v>0</v>
      </c>
      <c r="Q68" s="9">
        <v>0</v>
      </c>
      <c r="R68" s="9">
        <v>0</v>
      </c>
      <c r="S68" s="9" t="s">
        <v>40</v>
      </c>
      <c r="T68" s="9">
        <v>0</v>
      </c>
      <c r="U68" s="9">
        <v>0</v>
      </c>
      <c r="V68" s="9" t="s">
        <v>15</v>
      </c>
      <c r="W68" s="9" t="s">
        <v>163</v>
      </c>
      <c r="X68" s="9">
        <v>1.1578947368421053</v>
      </c>
      <c r="Y68" s="37">
        <v>12.68</v>
      </c>
      <c r="Z68" s="9" t="s">
        <v>454</v>
      </c>
      <c r="AA68" s="9">
        <v>0</v>
      </c>
      <c r="AB68" s="38">
        <v>41699</v>
      </c>
      <c r="AC68" s="9" t="s">
        <v>471</v>
      </c>
      <c r="AD68" s="9" t="s">
        <v>547</v>
      </c>
      <c r="AE68" s="2">
        <v>225</v>
      </c>
      <c r="AF68" s="2">
        <v>17</v>
      </c>
      <c r="AG68"/>
    </row>
    <row r="69" spans="1:34" ht="15" customHeight="1" x14ac:dyDescent="0.25">
      <c r="A69" s="9">
        <v>68</v>
      </c>
      <c r="B69" s="9" t="s">
        <v>165</v>
      </c>
      <c r="C69" s="9" t="s">
        <v>166</v>
      </c>
      <c r="D69" s="9">
        <v>1</v>
      </c>
      <c r="E69" s="9">
        <v>8</v>
      </c>
      <c r="F69" s="9">
        <v>81</v>
      </c>
      <c r="G69" s="9">
        <v>3</v>
      </c>
      <c r="H69" s="9">
        <v>8</v>
      </c>
      <c r="I69" s="9">
        <v>0</v>
      </c>
      <c r="J69" s="9">
        <v>2</v>
      </c>
      <c r="K69" s="9">
        <v>4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 t="s">
        <v>101</v>
      </c>
      <c r="T69" s="9">
        <v>0</v>
      </c>
      <c r="U69" s="9">
        <v>0</v>
      </c>
      <c r="V69" s="9" t="s">
        <v>15</v>
      </c>
      <c r="W69" s="9" t="s">
        <v>165</v>
      </c>
      <c r="X69" s="9">
        <v>0.375</v>
      </c>
      <c r="Y69" s="37">
        <v>10.125</v>
      </c>
      <c r="Z69" s="9" t="s">
        <v>456</v>
      </c>
      <c r="AA69" s="9">
        <v>0</v>
      </c>
      <c r="AB69" s="38">
        <v>44013</v>
      </c>
      <c r="AC69" s="9" t="s">
        <v>494</v>
      </c>
      <c r="AD69" s="9" t="s">
        <v>548</v>
      </c>
      <c r="AE69" s="2">
        <v>81</v>
      </c>
      <c r="AF69" s="2">
        <v>3</v>
      </c>
      <c r="AG69"/>
    </row>
    <row r="70" spans="1:34" ht="15" customHeight="1" x14ac:dyDescent="0.25">
      <c r="A70" s="9">
        <v>69</v>
      </c>
      <c r="B70" s="9" t="s">
        <v>167</v>
      </c>
      <c r="C70" s="9" t="s">
        <v>168</v>
      </c>
      <c r="D70" s="9">
        <v>5</v>
      </c>
      <c r="E70" s="9">
        <v>32</v>
      </c>
      <c r="F70" s="9">
        <v>610</v>
      </c>
      <c r="G70" s="9">
        <v>12</v>
      </c>
      <c r="H70" s="9">
        <v>40</v>
      </c>
      <c r="I70" s="9">
        <v>4</v>
      </c>
      <c r="J70" s="9">
        <v>37</v>
      </c>
      <c r="K70" s="9">
        <v>31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2</v>
      </c>
      <c r="R70" s="9">
        <v>0</v>
      </c>
      <c r="S70" s="9" t="s">
        <v>51</v>
      </c>
      <c r="T70" s="9">
        <v>0</v>
      </c>
      <c r="U70" s="9">
        <v>0</v>
      </c>
      <c r="V70" s="9" t="s">
        <v>15</v>
      </c>
      <c r="W70" s="9" t="s">
        <v>167</v>
      </c>
      <c r="X70" s="9">
        <v>0.375</v>
      </c>
      <c r="Y70" s="37">
        <v>16.944444444444443</v>
      </c>
      <c r="Z70" s="9" t="s">
        <v>456</v>
      </c>
      <c r="AA70" s="9">
        <v>2</v>
      </c>
      <c r="AB70" s="38">
        <v>42036</v>
      </c>
      <c r="AC70" s="9" t="s">
        <v>525</v>
      </c>
      <c r="AD70" s="9" t="s">
        <v>549</v>
      </c>
      <c r="AE70" s="2">
        <v>319</v>
      </c>
      <c r="AF70" s="2">
        <v>6</v>
      </c>
      <c r="AG70"/>
    </row>
    <row r="71" spans="1:34" ht="15" customHeight="1" x14ac:dyDescent="0.25">
      <c r="A71" s="9">
        <v>70</v>
      </c>
      <c r="B71" s="9" t="s">
        <v>169</v>
      </c>
      <c r="C71" s="9" t="s">
        <v>170</v>
      </c>
      <c r="D71" s="9">
        <v>10</v>
      </c>
      <c r="E71" s="9">
        <v>59</v>
      </c>
      <c r="F71" s="9">
        <v>624</v>
      </c>
      <c r="G71" s="9">
        <v>69</v>
      </c>
      <c r="H71" s="9">
        <v>70</v>
      </c>
      <c r="I71" s="9">
        <v>9</v>
      </c>
      <c r="J71" s="9">
        <v>35</v>
      </c>
      <c r="K71" s="9">
        <v>39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3</v>
      </c>
      <c r="R71" s="9">
        <v>1</v>
      </c>
      <c r="S71" s="9" t="s">
        <v>84</v>
      </c>
      <c r="T71" s="9">
        <v>0</v>
      </c>
      <c r="U71" s="9">
        <v>0</v>
      </c>
      <c r="V71" s="9" t="s">
        <v>15</v>
      </c>
      <c r="W71" s="9" t="s">
        <v>169</v>
      </c>
      <c r="X71" s="9">
        <v>1.1694915254237288</v>
      </c>
      <c r="Y71" s="37">
        <v>10.229508196721312</v>
      </c>
      <c r="Z71" s="9" t="s">
        <v>454</v>
      </c>
      <c r="AA71" s="9">
        <v>4</v>
      </c>
      <c r="AB71" s="38">
        <v>41456</v>
      </c>
      <c r="AC71" s="9" t="s">
        <v>476</v>
      </c>
      <c r="AD71" s="9" t="s">
        <v>550</v>
      </c>
      <c r="AE71" s="2">
        <v>198</v>
      </c>
      <c r="AF71" s="2">
        <v>15</v>
      </c>
      <c r="AG71"/>
      <c r="AH71" s="34">
        <v>46305</v>
      </c>
    </row>
    <row r="72" spans="1:34" ht="15" customHeight="1" x14ac:dyDescent="0.25">
      <c r="A72" s="9">
        <v>71</v>
      </c>
      <c r="B72" s="9" t="s">
        <v>171</v>
      </c>
      <c r="C72" s="9" t="s">
        <v>172</v>
      </c>
      <c r="D72" s="9">
        <v>10</v>
      </c>
      <c r="E72" s="9">
        <v>67</v>
      </c>
      <c r="F72" s="9">
        <v>774</v>
      </c>
      <c r="G72" s="9">
        <v>66</v>
      </c>
      <c r="H72" s="9">
        <v>69</v>
      </c>
      <c r="I72" s="9">
        <v>29</v>
      </c>
      <c r="J72" s="9">
        <v>59</v>
      </c>
      <c r="K72" s="9">
        <v>34</v>
      </c>
      <c r="L72" s="9">
        <v>1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1</v>
      </c>
      <c r="S72" s="9" t="s">
        <v>51</v>
      </c>
      <c r="T72" s="9">
        <v>0</v>
      </c>
      <c r="U72" s="9">
        <v>0</v>
      </c>
      <c r="V72" s="9" t="s">
        <v>15</v>
      </c>
      <c r="W72" s="9" t="s">
        <v>171</v>
      </c>
      <c r="X72" s="9">
        <v>0.9850746268656716</v>
      </c>
      <c r="Y72" s="37">
        <v>19.350000000000001</v>
      </c>
      <c r="Z72" s="9" t="s">
        <v>456</v>
      </c>
      <c r="AA72" s="9">
        <v>1</v>
      </c>
      <c r="AB72" s="38">
        <v>42036</v>
      </c>
      <c r="AC72" s="9" t="s">
        <v>525</v>
      </c>
      <c r="AD72" s="9" t="s">
        <v>526</v>
      </c>
      <c r="AE72" s="2">
        <v>153</v>
      </c>
      <c r="AF72" s="2">
        <v>14</v>
      </c>
      <c r="AG72"/>
    </row>
    <row r="73" spans="1:34" ht="15" customHeight="1" x14ac:dyDescent="0.25">
      <c r="A73" s="9">
        <v>72</v>
      </c>
      <c r="B73" s="9" t="s">
        <v>173</v>
      </c>
      <c r="C73" s="9" t="s">
        <v>174</v>
      </c>
      <c r="D73" s="9">
        <v>15</v>
      </c>
      <c r="E73" s="9">
        <v>96</v>
      </c>
      <c r="F73" s="9">
        <v>1298</v>
      </c>
      <c r="G73" s="9">
        <v>97</v>
      </c>
      <c r="H73" s="9">
        <v>113</v>
      </c>
      <c r="I73" s="9">
        <v>5</v>
      </c>
      <c r="J73" s="9">
        <v>94</v>
      </c>
      <c r="K73" s="9">
        <v>70</v>
      </c>
      <c r="L73" s="9">
        <v>0</v>
      </c>
      <c r="M73" s="9">
        <v>2</v>
      </c>
      <c r="N73" s="9">
        <v>0</v>
      </c>
      <c r="O73" s="9">
        <v>0</v>
      </c>
      <c r="P73" s="9">
        <v>0</v>
      </c>
      <c r="Q73" s="9">
        <v>2</v>
      </c>
      <c r="R73" s="9">
        <v>1</v>
      </c>
      <c r="S73" s="9" t="s">
        <v>26</v>
      </c>
      <c r="T73" s="9">
        <v>0</v>
      </c>
      <c r="U73" s="9">
        <v>0</v>
      </c>
      <c r="V73" s="9" t="s">
        <v>15</v>
      </c>
      <c r="W73" s="9" t="s">
        <v>173</v>
      </c>
      <c r="X73" s="9">
        <v>1.0104166666666667</v>
      </c>
      <c r="Y73" s="37">
        <v>12.018518518518519</v>
      </c>
      <c r="Z73" s="9" t="s">
        <v>454</v>
      </c>
      <c r="AA73" s="9">
        <v>3</v>
      </c>
      <c r="AB73" s="38">
        <v>41699</v>
      </c>
      <c r="AC73" s="9" t="s">
        <v>471</v>
      </c>
      <c r="AD73" s="9" t="s">
        <v>547</v>
      </c>
      <c r="AE73" s="2">
        <v>196</v>
      </c>
      <c r="AF73" s="2">
        <v>16</v>
      </c>
      <c r="AG73" t="s">
        <v>1126</v>
      </c>
      <c r="AH73" s="34">
        <v>46097</v>
      </c>
    </row>
    <row r="74" spans="1:34" ht="15" customHeight="1" x14ac:dyDescent="0.25">
      <c r="A74" s="9">
        <v>73</v>
      </c>
      <c r="B74" s="9" t="s">
        <v>175</v>
      </c>
      <c r="C74" s="9" t="s">
        <v>176</v>
      </c>
      <c r="D74" s="9">
        <v>5</v>
      </c>
      <c r="E74" s="9">
        <v>33</v>
      </c>
      <c r="F74" s="9">
        <v>346</v>
      </c>
      <c r="G74" s="9">
        <v>31</v>
      </c>
      <c r="H74" s="9">
        <v>42</v>
      </c>
      <c r="I74" s="9">
        <v>5</v>
      </c>
      <c r="J74" s="9">
        <v>36</v>
      </c>
      <c r="K74" s="9">
        <v>14</v>
      </c>
      <c r="L74" s="9">
        <v>2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 t="s">
        <v>40</v>
      </c>
      <c r="T74" s="9">
        <v>0</v>
      </c>
      <c r="U74" s="9">
        <v>0</v>
      </c>
      <c r="V74" s="9" t="s">
        <v>15</v>
      </c>
      <c r="W74" s="9" t="s">
        <v>175</v>
      </c>
      <c r="X74" s="9">
        <v>0.93939393939393945</v>
      </c>
      <c r="Y74" s="37">
        <v>9.3513513513513509</v>
      </c>
      <c r="Z74" s="9" t="s">
        <v>455</v>
      </c>
      <c r="AA74" s="9">
        <v>0</v>
      </c>
      <c r="AB74" s="38">
        <v>42795</v>
      </c>
      <c r="AC74" s="9" t="s">
        <v>551</v>
      </c>
      <c r="AD74" s="9" t="s">
        <v>552</v>
      </c>
      <c r="AE74" s="2">
        <v>83</v>
      </c>
      <c r="AF74" s="2">
        <v>13</v>
      </c>
      <c r="AG74"/>
    </row>
    <row r="75" spans="1:34" ht="15" customHeight="1" x14ac:dyDescent="0.25">
      <c r="A75" s="9">
        <v>74</v>
      </c>
      <c r="B75" s="9" t="s">
        <v>177</v>
      </c>
      <c r="C75" s="9" t="s">
        <v>178</v>
      </c>
      <c r="D75" s="9">
        <v>3</v>
      </c>
      <c r="E75" s="9">
        <v>20</v>
      </c>
      <c r="F75" s="9">
        <v>263</v>
      </c>
      <c r="G75" s="9">
        <v>19</v>
      </c>
      <c r="H75" s="9">
        <v>27</v>
      </c>
      <c r="I75" s="9">
        <v>2</v>
      </c>
      <c r="J75" s="9">
        <v>24</v>
      </c>
      <c r="K75" s="9">
        <v>13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 t="s">
        <v>48</v>
      </c>
      <c r="T75" s="9">
        <v>0</v>
      </c>
      <c r="U75" s="9">
        <v>0</v>
      </c>
      <c r="V75" s="9" t="s">
        <v>15</v>
      </c>
      <c r="W75" s="9" t="s">
        <v>177</v>
      </c>
      <c r="X75" s="9">
        <v>0.95</v>
      </c>
      <c r="Y75" s="37">
        <v>10.52</v>
      </c>
      <c r="Z75" s="9" t="s">
        <v>456</v>
      </c>
      <c r="AA75" s="9">
        <v>0</v>
      </c>
      <c r="AB75" s="38">
        <v>42401</v>
      </c>
      <c r="AC75" s="9" t="s">
        <v>496</v>
      </c>
      <c r="AD75" s="9" t="s">
        <v>553</v>
      </c>
      <c r="AE75" s="2">
        <v>129</v>
      </c>
      <c r="AF75" s="2">
        <v>11</v>
      </c>
      <c r="AG75"/>
    </row>
    <row r="76" spans="1:34" ht="15" customHeight="1" x14ac:dyDescent="0.25">
      <c r="A76" s="9">
        <v>75</v>
      </c>
      <c r="B76" s="9" t="s">
        <v>179</v>
      </c>
      <c r="C76" s="9" t="s">
        <v>180</v>
      </c>
      <c r="D76" s="9">
        <v>10</v>
      </c>
      <c r="E76" s="9">
        <v>63</v>
      </c>
      <c r="F76" s="9">
        <v>882</v>
      </c>
      <c r="G76" s="9">
        <v>84</v>
      </c>
      <c r="H76" s="9">
        <v>80</v>
      </c>
      <c r="I76" s="9">
        <v>7</v>
      </c>
      <c r="J76" s="9">
        <v>65</v>
      </c>
      <c r="K76" s="9">
        <v>48</v>
      </c>
      <c r="L76" s="9">
        <v>1</v>
      </c>
      <c r="M76" s="9">
        <v>0</v>
      </c>
      <c r="N76" s="9">
        <v>0</v>
      </c>
      <c r="O76" s="9">
        <v>0</v>
      </c>
      <c r="P76" s="9">
        <v>0</v>
      </c>
      <c r="Q76" s="9">
        <v>1</v>
      </c>
      <c r="R76" s="9">
        <v>1</v>
      </c>
      <c r="S76" s="9" t="s">
        <v>48</v>
      </c>
      <c r="T76" s="9">
        <v>0</v>
      </c>
      <c r="U76" s="9">
        <v>0</v>
      </c>
      <c r="V76" s="9" t="s">
        <v>15</v>
      </c>
      <c r="W76" s="9" t="s">
        <v>179</v>
      </c>
      <c r="X76" s="9">
        <v>1.3333333333333333</v>
      </c>
      <c r="Y76" s="37">
        <v>12.082191780821917</v>
      </c>
      <c r="Z76" s="9" t="s">
        <v>454</v>
      </c>
      <c r="AA76" s="9">
        <v>2</v>
      </c>
      <c r="AB76" s="38">
        <v>41456</v>
      </c>
      <c r="AC76" s="9" t="s">
        <v>474</v>
      </c>
      <c r="AD76" s="9" t="s">
        <v>1134</v>
      </c>
      <c r="AE76" s="2">
        <v>222</v>
      </c>
      <c r="AF76" s="2">
        <v>16</v>
      </c>
      <c r="AG76"/>
    </row>
    <row r="77" spans="1:34" ht="15" customHeight="1" x14ac:dyDescent="0.25">
      <c r="A77" s="9">
        <v>76</v>
      </c>
      <c r="B77" s="9" t="s">
        <v>181</v>
      </c>
      <c r="C77" s="9" t="s">
        <v>182</v>
      </c>
      <c r="D77" s="9">
        <v>8</v>
      </c>
      <c r="E77" s="9">
        <v>49</v>
      </c>
      <c r="F77" s="9">
        <v>566</v>
      </c>
      <c r="G77" s="9">
        <v>34</v>
      </c>
      <c r="H77" s="9">
        <v>53</v>
      </c>
      <c r="I77" s="9">
        <v>1</v>
      </c>
      <c r="J77" s="9">
        <v>43</v>
      </c>
      <c r="K77" s="9">
        <v>34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1</v>
      </c>
      <c r="S77" s="9" t="s">
        <v>43</v>
      </c>
      <c r="T77" s="9">
        <v>0</v>
      </c>
      <c r="U77" s="9">
        <v>0</v>
      </c>
      <c r="V77" s="9" t="s">
        <v>15</v>
      </c>
      <c r="W77" s="9" t="s">
        <v>181</v>
      </c>
      <c r="X77" s="9">
        <v>0.69387755102040816</v>
      </c>
      <c r="Y77" s="37">
        <v>10.884615384615385</v>
      </c>
      <c r="Z77" s="9" t="s">
        <v>456</v>
      </c>
      <c r="AA77" s="9">
        <v>1</v>
      </c>
      <c r="AB77" s="38">
        <v>42339</v>
      </c>
      <c r="AC77" s="9" t="s">
        <v>522</v>
      </c>
      <c r="AD77" s="9" t="s">
        <v>537</v>
      </c>
      <c r="AE77" s="2">
        <v>176</v>
      </c>
      <c r="AF77" s="2">
        <v>7</v>
      </c>
      <c r="AG77"/>
    </row>
    <row r="78" spans="1:34" ht="15" customHeight="1" x14ac:dyDescent="0.25">
      <c r="A78" s="9">
        <v>77</v>
      </c>
      <c r="B78" s="9" t="s">
        <v>183</v>
      </c>
      <c r="C78" s="9" t="s">
        <v>184</v>
      </c>
      <c r="D78" s="9">
        <v>16</v>
      </c>
      <c r="E78" s="9">
        <v>59</v>
      </c>
      <c r="F78" s="9">
        <v>1085</v>
      </c>
      <c r="G78" s="9">
        <v>100</v>
      </c>
      <c r="H78" s="9">
        <v>81</v>
      </c>
      <c r="I78" s="9">
        <v>5</v>
      </c>
      <c r="J78" s="9">
        <v>28</v>
      </c>
      <c r="K78" s="9">
        <v>44</v>
      </c>
      <c r="L78" s="9">
        <v>0</v>
      </c>
      <c r="M78" s="9">
        <v>0</v>
      </c>
      <c r="N78" s="9">
        <v>0</v>
      </c>
      <c r="O78" s="9">
        <v>1</v>
      </c>
      <c r="P78" s="9">
        <v>0</v>
      </c>
      <c r="Q78" s="9">
        <v>4</v>
      </c>
      <c r="R78" s="9">
        <v>0</v>
      </c>
      <c r="S78" s="9" t="s">
        <v>185</v>
      </c>
      <c r="T78" s="9">
        <v>1</v>
      </c>
      <c r="U78" s="9">
        <v>2</v>
      </c>
      <c r="V78" s="9" t="s">
        <v>15</v>
      </c>
      <c r="W78" s="9" t="s">
        <v>183</v>
      </c>
      <c r="X78" s="36">
        <v>1.6949152542372881</v>
      </c>
      <c r="Y78" s="37">
        <v>14.276315789473685</v>
      </c>
      <c r="Z78" s="9" t="s">
        <v>458</v>
      </c>
      <c r="AA78" s="9">
        <v>4</v>
      </c>
      <c r="AB78" s="38">
        <v>41334</v>
      </c>
      <c r="AC78" s="9" t="s">
        <v>486</v>
      </c>
      <c r="AD78" s="9" t="s">
        <v>503</v>
      </c>
      <c r="AE78" s="2">
        <v>333</v>
      </c>
      <c r="AF78" s="2">
        <v>22</v>
      </c>
      <c r="AG78"/>
      <c r="AH78" s="34">
        <v>46335</v>
      </c>
    </row>
    <row r="79" spans="1:34" ht="15" customHeight="1" x14ac:dyDescent="0.25">
      <c r="A79" s="9">
        <v>78</v>
      </c>
      <c r="B79" s="9" t="s">
        <v>186</v>
      </c>
      <c r="C79" s="9" t="s">
        <v>187</v>
      </c>
      <c r="D79" s="9">
        <v>3</v>
      </c>
      <c r="E79" s="9">
        <v>19</v>
      </c>
      <c r="F79" s="9">
        <v>262</v>
      </c>
      <c r="G79" s="9">
        <v>19</v>
      </c>
      <c r="H79" s="9">
        <v>24</v>
      </c>
      <c r="I79" s="9">
        <v>1</v>
      </c>
      <c r="J79" s="9">
        <v>22</v>
      </c>
      <c r="K79" s="9">
        <v>16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 t="s">
        <v>84</v>
      </c>
      <c r="T79" s="9">
        <v>0</v>
      </c>
      <c r="U79" s="9">
        <v>0</v>
      </c>
      <c r="V79" s="9" t="s">
        <v>15</v>
      </c>
      <c r="W79" s="9" t="s">
        <v>186</v>
      </c>
      <c r="X79" s="9">
        <v>1</v>
      </c>
      <c r="Y79" s="37">
        <v>11.391304347826088</v>
      </c>
      <c r="Z79" s="9" t="s">
        <v>454</v>
      </c>
      <c r="AA79" s="9">
        <v>0</v>
      </c>
      <c r="AB79" s="38">
        <v>42401</v>
      </c>
      <c r="AC79" s="9" t="s">
        <v>496</v>
      </c>
      <c r="AD79" s="9" t="s">
        <v>553</v>
      </c>
      <c r="AE79" s="2">
        <v>150</v>
      </c>
      <c r="AF79" s="2">
        <v>12</v>
      </c>
      <c r="AG79"/>
    </row>
    <row r="80" spans="1:34" ht="15" customHeight="1" x14ac:dyDescent="0.25">
      <c r="A80" s="9">
        <v>79</v>
      </c>
      <c r="B80" s="9" t="s">
        <v>188</v>
      </c>
      <c r="C80" s="9" t="s">
        <v>189</v>
      </c>
      <c r="D80" s="9">
        <v>2</v>
      </c>
      <c r="E80" s="9">
        <v>7</v>
      </c>
      <c r="F80" s="9">
        <v>80</v>
      </c>
      <c r="G80" s="9">
        <v>7</v>
      </c>
      <c r="H80" s="9">
        <v>11</v>
      </c>
      <c r="I80" s="9">
        <v>1</v>
      </c>
      <c r="J80" s="9">
        <v>11</v>
      </c>
      <c r="K80" s="9">
        <v>3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1</v>
      </c>
      <c r="R80" s="9">
        <v>0</v>
      </c>
      <c r="S80" s="9" t="s">
        <v>48</v>
      </c>
      <c r="T80" s="9">
        <v>0</v>
      </c>
      <c r="U80" s="9">
        <v>0</v>
      </c>
      <c r="V80" s="9" t="s">
        <v>15</v>
      </c>
      <c r="W80" s="9" t="s">
        <v>188</v>
      </c>
      <c r="X80" s="9">
        <v>1</v>
      </c>
      <c r="Y80" s="37">
        <v>8</v>
      </c>
      <c r="Z80" s="9" t="s">
        <v>457</v>
      </c>
      <c r="AA80" s="9">
        <v>1</v>
      </c>
      <c r="AB80" s="38">
        <v>42675</v>
      </c>
      <c r="AC80" s="9" t="s">
        <v>484</v>
      </c>
      <c r="AD80" s="9" t="s">
        <v>554</v>
      </c>
      <c r="AE80" s="2">
        <v>50</v>
      </c>
      <c r="AF80" s="2">
        <v>5</v>
      </c>
      <c r="AG80"/>
    </row>
    <row r="81" spans="1:34" ht="15" customHeight="1" x14ac:dyDescent="0.25">
      <c r="A81" s="9">
        <v>80</v>
      </c>
      <c r="B81" s="9" t="s">
        <v>190</v>
      </c>
      <c r="C81" s="9" t="s">
        <v>190</v>
      </c>
      <c r="D81" s="9">
        <v>1</v>
      </c>
      <c r="E81" s="9">
        <v>7</v>
      </c>
      <c r="F81" s="9">
        <v>80</v>
      </c>
      <c r="G81" s="9">
        <v>7</v>
      </c>
      <c r="H81" s="9">
        <v>9</v>
      </c>
      <c r="I81" s="9">
        <v>2</v>
      </c>
      <c r="J81" s="9">
        <v>7</v>
      </c>
      <c r="K81" s="9">
        <v>7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 t="s">
        <v>48</v>
      </c>
      <c r="T81" s="9">
        <v>0</v>
      </c>
      <c r="U81" s="9">
        <v>0</v>
      </c>
      <c r="V81" s="9" t="s">
        <v>15</v>
      </c>
      <c r="W81" s="9" t="s">
        <v>190</v>
      </c>
      <c r="X81" s="9">
        <v>1</v>
      </c>
      <c r="Y81" s="37">
        <v>11.428571428571429</v>
      </c>
      <c r="Z81" s="9" t="s">
        <v>454</v>
      </c>
      <c r="AA81" s="9">
        <v>0</v>
      </c>
      <c r="AB81" s="38">
        <v>42795</v>
      </c>
      <c r="AC81" s="9" t="s">
        <v>551</v>
      </c>
      <c r="AD81" s="9" t="s">
        <v>555</v>
      </c>
      <c r="AE81" s="2">
        <v>80</v>
      </c>
      <c r="AF81" s="2">
        <v>7</v>
      </c>
      <c r="AG81"/>
    </row>
    <row r="82" spans="1:34" ht="15" customHeight="1" x14ac:dyDescent="0.25">
      <c r="A82" s="9">
        <v>81</v>
      </c>
      <c r="B82" s="9" t="s">
        <v>191</v>
      </c>
      <c r="C82" s="9" t="s">
        <v>192</v>
      </c>
      <c r="D82" s="9">
        <v>10</v>
      </c>
      <c r="E82" s="9">
        <v>74</v>
      </c>
      <c r="F82" s="9">
        <v>989</v>
      </c>
      <c r="G82" s="9">
        <v>60</v>
      </c>
      <c r="H82" s="9">
        <v>85</v>
      </c>
      <c r="I82" s="9">
        <v>4</v>
      </c>
      <c r="J82" s="9">
        <v>92</v>
      </c>
      <c r="K82" s="9">
        <v>47</v>
      </c>
      <c r="L82" s="9">
        <v>0</v>
      </c>
      <c r="M82" s="9">
        <v>1</v>
      </c>
      <c r="N82" s="9">
        <v>1</v>
      </c>
      <c r="O82" s="9">
        <v>0</v>
      </c>
      <c r="P82" s="9">
        <v>0</v>
      </c>
      <c r="Q82" s="9">
        <v>2</v>
      </c>
      <c r="R82" s="9">
        <v>3</v>
      </c>
      <c r="S82" s="9" t="s">
        <v>26</v>
      </c>
      <c r="T82" s="9">
        <v>0</v>
      </c>
      <c r="U82" s="9">
        <v>0</v>
      </c>
      <c r="V82" s="9" t="s">
        <v>15</v>
      </c>
      <c r="W82" s="9" t="s">
        <v>191</v>
      </c>
      <c r="X82" s="9">
        <v>0.81081081081081086</v>
      </c>
      <c r="Y82" s="37">
        <v>12.209876543209877</v>
      </c>
      <c r="Z82" s="9" t="s">
        <v>456</v>
      </c>
      <c r="AA82" s="9">
        <v>5</v>
      </c>
      <c r="AB82" s="38">
        <v>41791</v>
      </c>
      <c r="AC82" s="9" t="s">
        <v>509</v>
      </c>
      <c r="AD82" s="9" t="s">
        <v>556</v>
      </c>
      <c r="AE82" s="2">
        <v>207</v>
      </c>
      <c r="AF82" s="2">
        <v>20</v>
      </c>
      <c r="AG82" s="16" t="s">
        <v>1111</v>
      </c>
      <c r="AH82" s="34">
        <v>46208</v>
      </c>
    </row>
    <row r="83" spans="1:34" ht="15" customHeight="1" x14ac:dyDescent="0.25">
      <c r="A83" s="9">
        <v>82</v>
      </c>
      <c r="B83" s="9" t="s">
        <v>193</v>
      </c>
      <c r="C83" s="9" t="s">
        <v>194</v>
      </c>
      <c r="D83" s="9">
        <v>10</v>
      </c>
      <c r="E83" s="9">
        <v>46</v>
      </c>
      <c r="F83" s="9">
        <v>443</v>
      </c>
      <c r="G83" s="9">
        <v>46</v>
      </c>
      <c r="H83" s="9">
        <v>51</v>
      </c>
      <c r="I83" s="9">
        <v>2</v>
      </c>
      <c r="J83" s="9">
        <v>32</v>
      </c>
      <c r="K83" s="9">
        <v>28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1</v>
      </c>
      <c r="S83" s="9" t="s">
        <v>23</v>
      </c>
      <c r="T83" s="9">
        <v>0</v>
      </c>
      <c r="U83" s="9">
        <v>0</v>
      </c>
      <c r="V83" s="9" t="s">
        <v>15</v>
      </c>
      <c r="W83" s="9" t="s">
        <v>193</v>
      </c>
      <c r="X83" s="9">
        <v>1</v>
      </c>
      <c r="Y83" s="37">
        <v>9.0408163265306118</v>
      </c>
      <c r="Z83" s="9" t="s">
        <v>457</v>
      </c>
      <c r="AA83" s="9">
        <v>1</v>
      </c>
      <c r="AB83" s="38">
        <v>42339</v>
      </c>
      <c r="AC83" s="9" t="s">
        <v>522</v>
      </c>
      <c r="AD83" s="9" t="s">
        <v>557</v>
      </c>
      <c r="AE83" s="2">
        <v>145</v>
      </c>
      <c r="AF83" s="2">
        <v>12</v>
      </c>
      <c r="AG83"/>
    </row>
    <row r="84" spans="1:34" ht="15" customHeight="1" x14ac:dyDescent="0.25">
      <c r="A84" s="9">
        <v>83</v>
      </c>
      <c r="B84" s="9" t="s">
        <v>195</v>
      </c>
      <c r="C84" s="9" t="s">
        <v>196</v>
      </c>
      <c r="D84" s="9">
        <v>8</v>
      </c>
      <c r="E84" s="9">
        <v>41</v>
      </c>
      <c r="F84" s="9">
        <v>730</v>
      </c>
      <c r="G84" s="9">
        <v>42</v>
      </c>
      <c r="H84" s="9">
        <v>56</v>
      </c>
      <c r="I84" s="9">
        <v>4</v>
      </c>
      <c r="J84" s="9">
        <v>64</v>
      </c>
      <c r="K84" s="9">
        <v>35</v>
      </c>
      <c r="L84" s="9">
        <v>0</v>
      </c>
      <c r="M84" s="9">
        <v>0</v>
      </c>
      <c r="N84" s="9">
        <v>0</v>
      </c>
      <c r="O84" s="9">
        <v>1</v>
      </c>
      <c r="P84" s="9">
        <v>0</v>
      </c>
      <c r="Q84" s="9">
        <v>1</v>
      </c>
      <c r="R84" s="9">
        <v>0</v>
      </c>
      <c r="S84" s="9" t="s">
        <v>23</v>
      </c>
      <c r="T84" s="9">
        <v>1</v>
      </c>
      <c r="U84" s="9">
        <v>0</v>
      </c>
      <c r="V84" s="9" t="s">
        <v>15</v>
      </c>
      <c r="W84" s="9" t="s">
        <v>195</v>
      </c>
      <c r="X84" s="9">
        <v>1.024390243902439</v>
      </c>
      <c r="Y84" s="37">
        <v>14.038461538461538</v>
      </c>
      <c r="Z84" s="9" t="s">
        <v>455</v>
      </c>
      <c r="AA84" s="9">
        <v>1</v>
      </c>
      <c r="AB84" s="38">
        <v>41791</v>
      </c>
      <c r="AC84" s="9" t="s">
        <v>509</v>
      </c>
      <c r="AD84" s="9" t="s">
        <v>558</v>
      </c>
      <c r="AE84" s="2">
        <v>217</v>
      </c>
      <c r="AF84" s="2">
        <v>12</v>
      </c>
      <c r="AG84"/>
    </row>
    <row r="85" spans="1:34" ht="15" customHeight="1" x14ac:dyDescent="0.25">
      <c r="A85" s="9">
        <v>84</v>
      </c>
      <c r="B85" s="9" t="s">
        <v>197</v>
      </c>
      <c r="C85" s="9" t="s">
        <v>198</v>
      </c>
      <c r="D85" s="9">
        <v>11</v>
      </c>
      <c r="E85" s="9">
        <v>50</v>
      </c>
      <c r="F85" s="9">
        <v>778</v>
      </c>
      <c r="G85" s="9">
        <v>51</v>
      </c>
      <c r="H85" s="9">
        <v>60</v>
      </c>
      <c r="I85" s="9">
        <v>11</v>
      </c>
      <c r="J85" s="9">
        <v>67</v>
      </c>
      <c r="K85" s="9">
        <v>42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2</v>
      </c>
      <c r="R85" s="9">
        <v>2</v>
      </c>
      <c r="S85" s="9" t="s">
        <v>26</v>
      </c>
      <c r="T85" s="9">
        <v>0</v>
      </c>
      <c r="U85" s="9">
        <v>0</v>
      </c>
      <c r="V85" s="9" t="s">
        <v>15</v>
      </c>
      <c r="W85" s="9" t="s">
        <v>197</v>
      </c>
      <c r="X85" s="39">
        <v>1.02</v>
      </c>
      <c r="Y85" s="37">
        <v>15.877551020408163</v>
      </c>
      <c r="Z85" s="9" t="s">
        <v>455</v>
      </c>
      <c r="AA85" s="9">
        <v>4</v>
      </c>
      <c r="AB85" s="38">
        <v>41699</v>
      </c>
      <c r="AC85" s="9" t="s">
        <v>471</v>
      </c>
      <c r="AD85" s="9" t="s">
        <v>472</v>
      </c>
      <c r="AE85" s="2">
        <v>181</v>
      </c>
      <c r="AF85" s="2">
        <v>8</v>
      </c>
      <c r="AG85"/>
    </row>
    <row r="86" spans="1:34" ht="15" customHeight="1" x14ac:dyDescent="0.25">
      <c r="A86" s="9">
        <v>85</v>
      </c>
      <c r="B86" s="9" t="s">
        <v>199</v>
      </c>
      <c r="C86" s="9" t="s">
        <v>200</v>
      </c>
      <c r="D86" s="9">
        <v>8</v>
      </c>
      <c r="E86" s="9">
        <v>53</v>
      </c>
      <c r="F86" s="9">
        <v>985</v>
      </c>
      <c r="G86" s="9">
        <v>50</v>
      </c>
      <c r="H86" s="9">
        <v>75</v>
      </c>
      <c r="I86" s="9">
        <v>9</v>
      </c>
      <c r="J86" s="9">
        <v>73</v>
      </c>
      <c r="K86" s="9">
        <v>61</v>
      </c>
      <c r="L86" s="9">
        <v>0</v>
      </c>
      <c r="M86" s="9">
        <v>0</v>
      </c>
      <c r="N86" s="9">
        <v>0</v>
      </c>
      <c r="O86" s="9">
        <v>0</v>
      </c>
      <c r="P86" s="9">
        <v>1</v>
      </c>
      <c r="Q86" s="9">
        <v>1</v>
      </c>
      <c r="R86" s="9">
        <v>1</v>
      </c>
      <c r="S86" s="9" t="s">
        <v>40</v>
      </c>
      <c r="T86" s="9">
        <v>1</v>
      </c>
      <c r="U86" s="9">
        <v>0</v>
      </c>
      <c r="V86" s="9" t="s">
        <v>15</v>
      </c>
      <c r="W86" s="9" t="s">
        <v>199</v>
      </c>
      <c r="X86" s="9">
        <v>0.94339622641509435</v>
      </c>
      <c r="Y86" s="37">
        <v>14.924242424242424</v>
      </c>
      <c r="Z86" s="9" t="s">
        <v>456</v>
      </c>
      <c r="AA86" s="9">
        <v>2</v>
      </c>
      <c r="AB86" s="38">
        <v>42125</v>
      </c>
      <c r="AC86" s="9" t="s">
        <v>511</v>
      </c>
      <c r="AD86" s="9" t="s">
        <v>559</v>
      </c>
      <c r="AE86" s="2">
        <v>169</v>
      </c>
      <c r="AF86" s="2">
        <v>11</v>
      </c>
      <c r="AG86"/>
    </row>
    <row r="87" spans="1:34" ht="15" customHeight="1" x14ac:dyDescent="0.25">
      <c r="A87" s="9">
        <v>86</v>
      </c>
      <c r="B87" s="9" t="s">
        <v>201</v>
      </c>
      <c r="C87" s="9" t="s">
        <v>202</v>
      </c>
      <c r="D87" s="9">
        <v>9</v>
      </c>
      <c r="E87" s="9">
        <v>67</v>
      </c>
      <c r="F87" s="9">
        <v>949</v>
      </c>
      <c r="G87" s="9">
        <v>82</v>
      </c>
      <c r="H87" s="9">
        <v>90</v>
      </c>
      <c r="I87" s="9">
        <v>6</v>
      </c>
      <c r="J87" s="9">
        <v>54</v>
      </c>
      <c r="K87" s="9">
        <v>52</v>
      </c>
      <c r="L87" s="9">
        <v>0</v>
      </c>
      <c r="M87" s="9">
        <v>0</v>
      </c>
      <c r="N87" s="9">
        <v>0</v>
      </c>
      <c r="O87" s="9">
        <v>0</v>
      </c>
      <c r="P87" s="9">
        <v>1</v>
      </c>
      <c r="Q87" s="9">
        <v>0</v>
      </c>
      <c r="R87" s="9">
        <v>3</v>
      </c>
      <c r="S87" s="9" t="s">
        <v>48</v>
      </c>
      <c r="T87" s="9">
        <v>0</v>
      </c>
      <c r="U87" s="9">
        <v>0</v>
      </c>
      <c r="V87" s="9" t="s">
        <v>15</v>
      </c>
      <c r="W87" s="9" t="s">
        <v>201</v>
      </c>
      <c r="X87" s="9">
        <v>1.2238805970149254</v>
      </c>
      <c r="Y87" s="37">
        <v>11.297619047619047</v>
      </c>
      <c r="Z87" s="9" t="s">
        <v>454</v>
      </c>
      <c r="AA87" s="9">
        <v>3</v>
      </c>
      <c r="AB87" s="38">
        <v>41426</v>
      </c>
      <c r="AC87" s="9" t="s">
        <v>482</v>
      </c>
      <c r="AD87" s="9" t="s">
        <v>560</v>
      </c>
      <c r="AE87" s="2">
        <v>265</v>
      </c>
      <c r="AF87" s="2">
        <v>17</v>
      </c>
      <c r="AG87"/>
    </row>
    <row r="88" spans="1:34" ht="15" customHeight="1" x14ac:dyDescent="0.25">
      <c r="A88" s="9">
        <v>87</v>
      </c>
      <c r="B88" s="9" t="s">
        <v>203</v>
      </c>
      <c r="C88" s="9" t="s">
        <v>204</v>
      </c>
      <c r="D88" s="9">
        <v>9</v>
      </c>
      <c r="E88" s="9">
        <v>29</v>
      </c>
      <c r="F88" s="9">
        <v>561</v>
      </c>
      <c r="G88" s="9">
        <v>42</v>
      </c>
      <c r="H88" s="9">
        <v>43</v>
      </c>
      <c r="I88" s="9">
        <v>4</v>
      </c>
      <c r="J88" s="9">
        <v>14</v>
      </c>
      <c r="K88" s="9">
        <v>11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1</v>
      </c>
      <c r="R88" s="9">
        <v>1</v>
      </c>
      <c r="S88" s="9" t="s">
        <v>48</v>
      </c>
      <c r="T88" s="9">
        <v>0</v>
      </c>
      <c r="U88" s="9">
        <v>0</v>
      </c>
      <c r="V88" s="9" t="s">
        <v>15</v>
      </c>
      <c r="W88" s="9" t="s">
        <v>203</v>
      </c>
      <c r="X88" s="9">
        <v>1.4482758620689655</v>
      </c>
      <c r="Y88" s="37">
        <v>14.384615384615385</v>
      </c>
      <c r="Z88" s="9" t="s">
        <v>458</v>
      </c>
      <c r="AA88" s="9">
        <v>2</v>
      </c>
      <c r="AB88" s="38">
        <v>41334</v>
      </c>
      <c r="AC88" s="9" t="s">
        <v>486</v>
      </c>
      <c r="AD88" s="9" t="s">
        <v>487</v>
      </c>
      <c r="AE88" s="2">
        <v>168</v>
      </c>
      <c r="AF88" s="2">
        <v>8</v>
      </c>
      <c r="AG88"/>
    </row>
    <row r="89" spans="1:34" ht="15" customHeight="1" x14ac:dyDescent="0.25">
      <c r="A89" s="9">
        <v>88</v>
      </c>
      <c r="B89" s="9" t="s">
        <v>205</v>
      </c>
      <c r="C89" s="9" t="s">
        <v>206</v>
      </c>
      <c r="D89" s="9">
        <v>9</v>
      </c>
      <c r="E89" s="9">
        <v>37</v>
      </c>
      <c r="F89" s="9">
        <v>693</v>
      </c>
      <c r="G89" s="9">
        <v>32</v>
      </c>
      <c r="H89" s="9">
        <v>57</v>
      </c>
      <c r="I89" s="9">
        <v>4</v>
      </c>
      <c r="J89" s="9">
        <v>6</v>
      </c>
      <c r="K89" s="9">
        <v>6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1</v>
      </c>
      <c r="R89" s="9">
        <v>0</v>
      </c>
      <c r="S89" s="9" t="s">
        <v>207</v>
      </c>
      <c r="T89" s="9">
        <v>0</v>
      </c>
      <c r="U89" s="9">
        <v>0</v>
      </c>
      <c r="V89" s="9" t="s">
        <v>15</v>
      </c>
      <c r="W89" s="9" t="s">
        <v>205</v>
      </c>
      <c r="X89" s="9">
        <v>0.86486486486486491</v>
      </c>
      <c r="Y89" s="37">
        <v>13.075471698113208</v>
      </c>
      <c r="Z89" s="9" t="s">
        <v>456</v>
      </c>
      <c r="AA89" s="9">
        <v>1</v>
      </c>
      <c r="AB89" s="38">
        <v>41334</v>
      </c>
      <c r="AC89" s="9" t="s">
        <v>486</v>
      </c>
      <c r="AD89" s="9" t="s">
        <v>542</v>
      </c>
      <c r="AE89" s="2">
        <v>183</v>
      </c>
      <c r="AF89" s="2">
        <v>14</v>
      </c>
      <c r="AG89"/>
    </row>
    <row r="90" spans="1:34" ht="15" customHeight="1" x14ac:dyDescent="0.25">
      <c r="A90" s="9">
        <v>89</v>
      </c>
      <c r="B90" s="9" t="s">
        <v>208</v>
      </c>
      <c r="C90" s="9" t="s">
        <v>209</v>
      </c>
      <c r="D90" s="9">
        <v>7</v>
      </c>
      <c r="E90" s="9">
        <v>31</v>
      </c>
      <c r="F90" s="9">
        <v>390</v>
      </c>
      <c r="G90" s="9">
        <v>34</v>
      </c>
      <c r="H90" s="9">
        <v>40</v>
      </c>
      <c r="I90" s="9">
        <v>3</v>
      </c>
      <c r="J90" s="9">
        <v>4</v>
      </c>
      <c r="K90" s="9">
        <v>3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1</v>
      </c>
      <c r="R90" s="9">
        <v>1</v>
      </c>
      <c r="S90" s="9" t="s">
        <v>210</v>
      </c>
      <c r="T90" s="9">
        <v>0</v>
      </c>
      <c r="U90" s="9">
        <v>0</v>
      </c>
      <c r="V90" s="9" t="s">
        <v>15</v>
      </c>
      <c r="W90" s="9" t="s">
        <v>208</v>
      </c>
      <c r="X90" s="9">
        <v>1.096774193548387</v>
      </c>
      <c r="Y90" s="37">
        <v>10.54054054054054</v>
      </c>
      <c r="Z90" s="9" t="s">
        <v>454</v>
      </c>
      <c r="AA90" s="9">
        <v>2</v>
      </c>
      <c r="AB90" s="38">
        <v>41334</v>
      </c>
      <c r="AC90" s="9" t="s">
        <v>486</v>
      </c>
      <c r="AD90" s="9" t="s">
        <v>542</v>
      </c>
      <c r="AE90" s="2">
        <v>173</v>
      </c>
      <c r="AF90" s="2">
        <v>14</v>
      </c>
      <c r="AG90" t="s">
        <v>1119</v>
      </c>
      <c r="AH90" s="34">
        <v>46106</v>
      </c>
    </row>
    <row r="91" spans="1:34" ht="15" customHeight="1" x14ac:dyDescent="0.25">
      <c r="A91" s="9">
        <v>90</v>
      </c>
      <c r="B91" s="9" t="s">
        <v>211</v>
      </c>
      <c r="C91" s="9" t="s">
        <v>212</v>
      </c>
      <c r="D91" s="9">
        <v>4</v>
      </c>
      <c r="E91" s="9">
        <v>9</v>
      </c>
      <c r="F91" s="9">
        <v>231</v>
      </c>
      <c r="G91" s="9">
        <v>6</v>
      </c>
      <c r="H91" s="9">
        <v>11</v>
      </c>
      <c r="I91" s="9">
        <v>1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1</v>
      </c>
      <c r="R91" s="9">
        <v>1</v>
      </c>
      <c r="S91" s="9" t="s">
        <v>210</v>
      </c>
      <c r="T91" s="9">
        <v>0</v>
      </c>
      <c r="U91" s="9">
        <v>0</v>
      </c>
      <c r="V91" s="9" t="s">
        <v>15</v>
      </c>
      <c r="W91" s="9" t="s">
        <v>211</v>
      </c>
      <c r="X91" s="9">
        <v>0.66666666666666663</v>
      </c>
      <c r="Y91" s="37">
        <v>23.1</v>
      </c>
      <c r="Z91" s="9" t="s">
        <v>456</v>
      </c>
      <c r="AA91" s="9">
        <v>2</v>
      </c>
      <c r="AB91" s="38">
        <v>41334</v>
      </c>
      <c r="AC91" s="9" t="s">
        <v>486</v>
      </c>
      <c r="AD91" s="9" t="s">
        <v>542</v>
      </c>
      <c r="AE91" s="2">
        <v>218</v>
      </c>
      <c r="AF91" s="2">
        <v>6</v>
      </c>
      <c r="AG91"/>
    </row>
    <row r="92" spans="1:34" ht="15" customHeight="1" x14ac:dyDescent="0.25">
      <c r="A92" s="9">
        <v>91</v>
      </c>
      <c r="B92" s="9" t="s">
        <v>213</v>
      </c>
      <c r="C92" s="9" t="s">
        <v>214</v>
      </c>
      <c r="D92" s="9">
        <v>6</v>
      </c>
      <c r="E92" s="9">
        <v>22</v>
      </c>
      <c r="F92" s="9">
        <v>188</v>
      </c>
      <c r="G92" s="9">
        <v>32</v>
      </c>
      <c r="H92" s="9">
        <v>26</v>
      </c>
      <c r="I92" s="9">
        <v>0</v>
      </c>
      <c r="J92" s="9">
        <v>8</v>
      </c>
      <c r="K92" s="9">
        <v>4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3</v>
      </c>
      <c r="R92" s="9">
        <v>1</v>
      </c>
      <c r="S92" s="9" t="s">
        <v>210</v>
      </c>
      <c r="T92" s="9">
        <v>0</v>
      </c>
      <c r="U92" s="9">
        <v>0</v>
      </c>
      <c r="V92" s="9" t="s">
        <v>15</v>
      </c>
      <c r="W92" s="9" t="s">
        <v>213</v>
      </c>
      <c r="X92" s="9">
        <v>1.4545454545454546</v>
      </c>
      <c r="Y92" s="37">
        <v>7.2307692307692308</v>
      </c>
      <c r="Z92" s="9" t="s">
        <v>457</v>
      </c>
      <c r="AA92" s="9">
        <v>4</v>
      </c>
      <c r="AB92" s="38">
        <v>41334</v>
      </c>
      <c r="AC92" s="9" t="s">
        <v>486</v>
      </c>
      <c r="AD92" s="9" t="s">
        <v>542</v>
      </c>
      <c r="AE92" s="2">
        <v>92</v>
      </c>
      <c r="AF92" s="2">
        <v>8</v>
      </c>
      <c r="AG92"/>
    </row>
    <row r="93" spans="1:34" ht="15" customHeight="1" x14ac:dyDescent="0.25">
      <c r="A93" s="9">
        <v>92</v>
      </c>
      <c r="B93" s="9" t="s">
        <v>215</v>
      </c>
      <c r="C93" s="9" t="s">
        <v>216</v>
      </c>
      <c r="D93" s="9">
        <v>1</v>
      </c>
      <c r="E93" s="9">
        <v>1</v>
      </c>
      <c r="F93" s="9">
        <v>13</v>
      </c>
      <c r="G93" s="9">
        <v>2</v>
      </c>
      <c r="H93" s="9">
        <v>1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1</v>
      </c>
      <c r="S93" s="9" t="s">
        <v>217</v>
      </c>
      <c r="T93" s="9">
        <v>0</v>
      </c>
      <c r="U93" s="9">
        <v>0</v>
      </c>
      <c r="V93" s="9" t="s">
        <v>15</v>
      </c>
      <c r="W93" s="9" t="s">
        <v>215</v>
      </c>
      <c r="X93" s="36">
        <v>2</v>
      </c>
      <c r="Y93" s="37">
        <v>13</v>
      </c>
      <c r="Z93" s="9" t="s">
        <v>454</v>
      </c>
      <c r="AA93" s="9">
        <v>1</v>
      </c>
      <c r="AB93" s="38">
        <v>41334</v>
      </c>
      <c r="AC93" s="9" t="s">
        <v>486</v>
      </c>
      <c r="AD93" s="9" t="s">
        <v>498</v>
      </c>
      <c r="AE93" s="2">
        <v>13</v>
      </c>
      <c r="AF93" s="2">
        <v>2</v>
      </c>
      <c r="AG93"/>
    </row>
    <row r="94" spans="1:34" ht="15" customHeight="1" x14ac:dyDescent="0.25">
      <c r="A94" s="9">
        <v>93</v>
      </c>
      <c r="B94" s="9" t="s">
        <v>218</v>
      </c>
      <c r="C94" s="9" t="s">
        <v>218</v>
      </c>
      <c r="D94" s="9">
        <v>1</v>
      </c>
      <c r="E94" s="9">
        <v>1</v>
      </c>
      <c r="F94" s="9">
        <v>2</v>
      </c>
      <c r="G94" s="9">
        <v>0</v>
      </c>
      <c r="H94" s="9">
        <v>1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1</v>
      </c>
      <c r="S94" s="9" t="s">
        <v>217</v>
      </c>
      <c r="T94" s="9">
        <v>0</v>
      </c>
      <c r="U94" s="9">
        <v>0</v>
      </c>
      <c r="V94" s="9" t="s">
        <v>15</v>
      </c>
      <c r="W94" s="9" t="s">
        <v>218</v>
      </c>
      <c r="X94" s="9">
        <v>0</v>
      </c>
      <c r="Y94" s="37">
        <v>2</v>
      </c>
      <c r="Z94" s="9" t="s">
        <v>455</v>
      </c>
      <c r="AA94" s="9">
        <v>1</v>
      </c>
      <c r="AB94" s="38">
        <v>41334</v>
      </c>
      <c r="AC94" s="9" t="s">
        <v>486</v>
      </c>
      <c r="AD94" s="9" t="s">
        <v>498</v>
      </c>
      <c r="AE94" s="2">
        <v>2</v>
      </c>
      <c r="AF94" s="2">
        <v>0</v>
      </c>
      <c r="AG94"/>
    </row>
    <row r="95" spans="1:34" ht="15" customHeight="1" x14ac:dyDescent="0.25">
      <c r="A95" s="9">
        <v>94</v>
      </c>
      <c r="B95" s="9" t="s">
        <v>219</v>
      </c>
      <c r="C95" s="9" t="s">
        <v>220</v>
      </c>
      <c r="D95" s="9">
        <v>4</v>
      </c>
      <c r="E95" s="9">
        <v>21</v>
      </c>
      <c r="F95" s="9">
        <v>259</v>
      </c>
      <c r="G95" s="9">
        <v>19</v>
      </c>
      <c r="H95" s="9">
        <v>25</v>
      </c>
      <c r="I95" s="9">
        <v>1</v>
      </c>
      <c r="J95" s="9">
        <v>13</v>
      </c>
      <c r="K95" s="9">
        <v>18</v>
      </c>
      <c r="L95" s="9">
        <v>0</v>
      </c>
      <c r="M95" s="9">
        <v>2</v>
      </c>
      <c r="N95" s="9">
        <v>0</v>
      </c>
      <c r="O95" s="9">
        <v>0</v>
      </c>
      <c r="P95" s="9">
        <v>0</v>
      </c>
      <c r="Q95" s="9">
        <v>0</v>
      </c>
      <c r="R95" s="9">
        <v>1</v>
      </c>
      <c r="S95" s="9" t="s">
        <v>40</v>
      </c>
      <c r="T95" s="9">
        <v>0</v>
      </c>
      <c r="U95" s="9">
        <v>0</v>
      </c>
      <c r="V95" s="9" t="s">
        <v>15</v>
      </c>
      <c r="W95" s="9" t="s">
        <v>219</v>
      </c>
      <c r="X95" s="9">
        <v>0.90476190476190477</v>
      </c>
      <c r="Y95" s="37">
        <v>10.791666666666666</v>
      </c>
      <c r="Z95" s="9" t="s">
        <v>456</v>
      </c>
      <c r="AA95" s="9">
        <v>1</v>
      </c>
      <c r="AB95" s="38">
        <v>41334</v>
      </c>
      <c r="AC95" s="9" t="s">
        <v>486</v>
      </c>
      <c r="AD95" s="9" t="s">
        <v>498</v>
      </c>
      <c r="AE95" s="2">
        <v>173</v>
      </c>
      <c r="AF95" s="2">
        <v>10</v>
      </c>
      <c r="AG95"/>
    </row>
    <row r="96" spans="1:34" ht="15" customHeight="1" x14ac:dyDescent="0.25">
      <c r="A96" s="9">
        <v>95</v>
      </c>
      <c r="B96" s="9" t="s">
        <v>221</v>
      </c>
      <c r="C96" s="40" t="s">
        <v>222</v>
      </c>
      <c r="D96" s="9">
        <v>10</v>
      </c>
      <c r="E96" s="9">
        <v>30</v>
      </c>
      <c r="F96" s="9">
        <v>449</v>
      </c>
      <c r="G96" s="9">
        <v>28</v>
      </c>
      <c r="H96" s="9">
        <v>34</v>
      </c>
      <c r="I96" s="9">
        <v>1</v>
      </c>
      <c r="J96" s="9">
        <v>8</v>
      </c>
      <c r="K96" s="9">
        <v>7</v>
      </c>
      <c r="L96" s="9">
        <v>0</v>
      </c>
      <c r="M96" s="9">
        <v>0</v>
      </c>
      <c r="N96" s="9">
        <v>0</v>
      </c>
      <c r="O96" s="9">
        <v>0</v>
      </c>
      <c r="P96" s="9">
        <v>1</v>
      </c>
      <c r="Q96" s="9">
        <v>0</v>
      </c>
      <c r="R96" s="9">
        <v>2</v>
      </c>
      <c r="S96" s="9" t="s">
        <v>51</v>
      </c>
      <c r="T96" s="9">
        <v>0</v>
      </c>
      <c r="U96" s="9">
        <v>0</v>
      </c>
      <c r="V96" s="9" t="s">
        <v>15</v>
      </c>
      <c r="W96" s="9" t="s">
        <v>221</v>
      </c>
      <c r="X96" s="9">
        <v>0.93333333333333335</v>
      </c>
      <c r="Y96" s="37">
        <v>13.606060606060606</v>
      </c>
      <c r="Z96" s="9" t="s">
        <v>456</v>
      </c>
      <c r="AA96" s="9">
        <v>2</v>
      </c>
      <c r="AB96" s="38">
        <v>41334</v>
      </c>
      <c r="AC96" s="9" t="s">
        <v>486</v>
      </c>
      <c r="AD96" s="9" t="s">
        <v>527</v>
      </c>
      <c r="AE96" s="2">
        <v>155</v>
      </c>
      <c r="AF96" s="2">
        <v>8</v>
      </c>
      <c r="AG96"/>
    </row>
    <row r="97" spans="1:34" ht="15" customHeight="1" x14ac:dyDescent="0.25">
      <c r="A97" s="9">
        <v>96</v>
      </c>
      <c r="B97" s="9" t="s">
        <v>223</v>
      </c>
      <c r="C97" s="9" t="s">
        <v>224</v>
      </c>
      <c r="D97" s="9">
        <v>8</v>
      </c>
      <c r="E97" s="9">
        <v>35</v>
      </c>
      <c r="F97" s="9">
        <v>525</v>
      </c>
      <c r="G97" s="9">
        <v>51</v>
      </c>
      <c r="H97" s="9">
        <v>46</v>
      </c>
      <c r="I97" s="9">
        <v>0</v>
      </c>
      <c r="J97" s="9">
        <v>22</v>
      </c>
      <c r="K97" s="9">
        <v>19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1</v>
      </c>
      <c r="S97" s="9" t="s">
        <v>37</v>
      </c>
      <c r="T97" s="9">
        <v>0</v>
      </c>
      <c r="U97" s="9">
        <v>0</v>
      </c>
      <c r="V97" s="9" t="s">
        <v>15</v>
      </c>
      <c r="W97" s="9" t="s">
        <v>223</v>
      </c>
      <c r="X97" s="9">
        <v>1.4571428571428571</v>
      </c>
      <c r="Y97" s="37">
        <v>11.413043478260869</v>
      </c>
      <c r="Z97" s="9" t="s">
        <v>454</v>
      </c>
      <c r="AA97" s="9">
        <v>1</v>
      </c>
      <c r="AB97" s="38">
        <v>41334</v>
      </c>
      <c r="AC97" s="9" t="s">
        <v>486</v>
      </c>
      <c r="AD97" s="9" t="s">
        <v>527</v>
      </c>
      <c r="AE97" s="2">
        <v>158</v>
      </c>
      <c r="AF97" s="2">
        <v>12</v>
      </c>
      <c r="AG97"/>
    </row>
    <row r="98" spans="1:34" ht="15" customHeight="1" x14ac:dyDescent="0.25">
      <c r="A98" s="9">
        <v>97</v>
      </c>
      <c r="B98" s="9" t="s">
        <v>225</v>
      </c>
      <c r="C98" s="9" t="s">
        <v>226</v>
      </c>
      <c r="D98" s="9">
        <v>7</v>
      </c>
      <c r="E98" s="9">
        <v>35</v>
      </c>
      <c r="F98" s="9">
        <v>635</v>
      </c>
      <c r="G98" s="9">
        <v>43</v>
      </c>
      <c r="H98" s="9">
        <v>49</v>
      </c>
      <c r="I98" s="9">
        <v>3</v>
      </c>
      <c r="J98" s="9">
        <v>6</v>
      </c>
      <c r="K98" s="9">
        <v>2</v>
      </c>
      <c r="L98" s="9">
        <v>0</v>
      </c>
      <c r="M98" s="9">
        <v>0</v>
      </c>
      <c r="N98" s="9">
        <v>0</v>
      </c>
      <c r="O98" s="9">
        <v>1</v>
      </c>
      <c r="P98" s="9">
        <v>0</v>
      </c>
      <c r="Q98" s="9">
        <v>0</v>
      </c>
      <c r="R98" s="9">
        <v>2</v>
      </c>
      <c r="S98" s="9" t="s">
        <v>227</v>
      </c>
      <c r="T98" s="9">
        <v>0</v>
      </c>
      <c r="U98" s="9">
        <v>0</v>
      </c>
      <c r="V98" s="9" t="s">
        <v>15</v>
      </c>
      <c r="W98" s="9" t="s">
        <v>225</v>
      </c>
      <c r="X98" s="9">
        <v>1.2285714285714286</v>
      </c>
      <c r="Y98" s="37">
        <v>13.804347826086957</v>
      </c>
      <c r="Z98" s="9" t="s">
        <v>454</v>
      </c>
      <c r="AA98" s="9">
        <v>2</v>
      </c>
      <c r="AB98" s="38">
        <v>41334</v>
      </c>
      <c r="AC98" s="9" t="s">
        <v>486</v>
      </c>
      <c r="AD98" s="9" t="s">
        <v>527</v>
      </c>
      <c r="AE98" s="2">
        <v>297</v>
      </c>
      <c r="AF98" s="2">
        <v>14</v>
      </c>
      <c r="AG98"/>
    </row>
    <row r="99" spans="1:34" ht="15" customHeight="1" x14ac:dyDescent="0.25">
      <c r="A99" s="9">
        <v>98</v>
      </c>
      <c r="B99" s="9" t="s">
        <v>228</v>
      </c>
      <c r="C99" s="9" t="s">
        <v>229</v>
      </c>
      <c r="D99" s="9">
        <v>24</v>
      </c>
      <c r="E99" s="9">
        <v>152</v>
      </c>
      <c r="F99" s="9">
        <v>2809</v>
      </c>
      <c r="G99" s="9">
        <v>250</v>
      </c>
      <c r="H99" s="9">
        <v>202</v>
      </c>
      <c r="I99" s="9">
        <v>28</v>
      </c>
      <c r="J99" s="9">
        <v>188</v>
      </c>
      <c r="K99" s="9">
        <v>134</v>
      </c>
      <c r="L99" s="9">
        <v>5</v>
      </c>
      <c r="M99" s="9">
        <v>6</v>
      </c>
      <c r="N99" s="9">
        <v>4</v>
      </c>
      <c r="O99" s="9">
        <v>1</v>
      </c>
      <c r="P99" s="9">
        <v>2</v>
      </c>
      <c r="Q99" s="9">
        <v>6</v>
      </c>
      <c r="R99" s="9">
        <v>2</v>
      </c>
      <c r="S99" s="9" t="s">
        <v>26</v>
      </c>
      <c r="T99" s="9">
        <v>0</v>
      </c>
      <c r="U99" s="9">
        <v>1</v>
      </c>
      <c r="V99" s="9" t="s">
        <v>15</v>
      </c>
      <c r="W99" s="9" t="s">
        <v>228</v>
      </c>
      <c r="X99" s="39">
        <v>1.6447368421052631</v>
      </c>
      <c r="Y99" s="37">
        <v>16.143678160919539</v>
      </c>
      <c r="Z99" s="9" t="s">
        <v>459</v>
      </c>
      <c r="AA99" s="9">
        <v>8</v>
      </c>
      <c r="AB99" s="38">
        <v>41334</v>
      </c>
      <c r="AC99" s="9" t="s">
        <v>486</v>
      </c>
      <c r="AD99" s="9" t="s">
        <v>527</v>
      </c>
      <c r="AE99" s="2">
        <v>253</v>
      </c>
      <c r="AF99" s="2">
        <v>26</v>
      </c>
      <c r="AG99" s="14" t="s">
        <v>1088</v>
      </c>
      <c r="AH99" s="34">
        <v>46101</v>
      </c>
    </row>
    <row r="100" spans="1:34" ht="15" customHeight="1" x14ac:dyDescent="0.25">
      <c r="A100" s="9">
        <v>99</v>
      </c>
      <c r="B100" s="9" t="s">
        <v>230</v>
      </c>
      <c r="C100" s="9" t="s">
        <v>231</v>
      </c>
      <c r="D100" s="9">
        <v>7</v>
      </c>
      <c r="E100" s="9">
        <v>30</v>
      </c>
      <c r="F100" s="9">
        <v>399</v>
      </c>
      <c r="G100" s="9">
        <v>21</v>
      </c>
      <c r="H100" s="9">
        <v>35</v>
      </c>
      <c r="I100" s="9">
        <v>1</v>
      </c>
      <c r="J100" s="9">
        <v>11</v>
      </c>
      <c r="K100" s="9">
        <v>9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1</v>
      </c>
      <c r="R100" s="9">
        <v>0</v>
      </c>
      <c r="S100" s="9" t="s">
        <v>37</v>
      </c>
      <c r="T100" s="9">
        <v>0</v>
      </c>
      <c r="U100" s="9">
        <v>0</v>
      </c>
      <c r="V100" s="9" t="s">
        <v>15</v>
      </c>
      <c r="W100" s="9" t="s">
        <v>230</v>
      </c>
      <c r="X100" s="9">
        <v>0.7</v>
      </c>
      <c r="Y100" s="37">
        <v>11.735294117647058</v>
      </c>
      <c r="Z100" s="9" t="s">
        <v>456</v>
      </c>
      <c r="AA100" s="9">
        <v>1</v>
      </c>
      <c r="AB100" s="38">
        <v>41334</v>
      </c>
      <c r="AC100" s="9" t="s">
        <v>486</v>
      </c>
      <c r="AD100" s="9" t="s">
        <v>503</v>
      </c>
      <c r="AE100" s="2">
        <v>155</v>
      </c>
      <c r="AF100" s="2">
        <v>12</v>
      </c>
      <c r="AG100"/>
    </row>
    <row r="101" spans="1:34" ht="15" customHeight="1" x14ac:dyDescent="0.25">
      <c r="A101" s="9">
        <v>100</v>
      </c>
      <c r="B101" s="9" t="s">
        <v>232</v>
      </c>
      <c r="C101" s="9" t="s">
        <v>233</v>
      </c>
      <c r="D101" s="9">
        <v>1</v>
      </c>
      <c r="E101" s="9">
        <v>5</v>
      </c>
      <c r="F101" s="9">
        <v>28</v>
      </c>
      <c r="G101" s="9">
        <v>7</v>
      </c>
      <c r="H101" s="9">
        <v>5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 t="s">
        <v>217</v>
      </c>
      <c r="T101" s="9">
        <v>0</v>
      </c>
      <c r="U101" s="9">
        <v>0</v>
      </c>
      <c r="V101" s="9" t="s">
        <v>15</v>
      </c>
      <c r="W101" s="9" t="s">
        <v>232</v>
      </c>
      <c r="X101" s="9">
        <v>1.4</v>
      </c>
      <c r="Y101" s="37">
        <v>5.6</v>
      </c>
      <c r="Z101" s="9" t="s">
        <v>457</v>
      </c>
      <c r="AA101" s="9">
        <v>0</v>
      </c>
      <c r="AB101" s="38">
        <v>41334</v>
      </c>
      <c r="AC101" s="9" t="s">
        <v>486</v>
      </c>
      <c r="AD101" s="9" t="s">
        <v>503</v>
      </c>
      <c r="AE101" s="2">
        <v>28</v>
      </c>
      <c r="AF101" s="2">
        <v>7</v>
      </c>
      <c r="AG101"/>
    </row>
    <row r="102" spans="1:34" ht="15" customHeight="1" x14ac:dyDescent="0.25">
      <c r="A102" s="9">
        <v>101</v>
      </c>
      <c r="B102" s="9" t="s">
        <v>234</v>
      </c>
      <c r="C102" s="9" t="s">
        <v>235</v>
      </c>
      <c r="D102" s="9">
        <v>3</v>
      </c>
      <c r="E102" s="9">
        <v>14</v>
      </c>
      <c r="F102" s="9">
        <v>108</v>
      </c>
      <c r="G102" s="9">
        <v>10</v>
      </c>
      <c r="H102" s="9">
        <v>14</v>
      </c>
      <c r="I102" s="9">
        <v>1</v>
      </c>
      <c r="J102" s="9">
        <v>5</v>
      </c>
      <c r="K102" s="9">
        <v>5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1</v>
      </c>
      <c r="S102" s="9" t="s">
        <v>101</v>
      </c>
      <c r="T102" s="9">
        <v>0</v>
      </c>
      <c r="U102" s="9">
        <v>0</v>
      </c>
      <c r="V102" s="9" t="s">
        <v>15</v>
      </c>
      <c r="W102" s="9" t="s">
        <v>234</v>
      </c>
      <c r="X102" s="9">
        <v>0.7142857142857143</v>
      </c>
      <c r="Y102" s="37">
        <v>8.3076923076923084</v>
      </c>
      <c r="Z102" s="9" t="s">
        <v>455</v>
      </c>
      <c r="AA102" s="9">
        <v>1</v>
      </c>
      <c r="AB102" s="38">
        <v>41334</v>
      </c>
      <c r="AC102" s="9" t="s">
        <v>486</v>
      </c>
      <c r="AD102" s="9" t="s">
        <v>503</v>
      </c>
      <c r="AE102" s="2">
        <v>41</v>
      </c>
      <c r="AF102" s="2">
        <v>5</v>
      </c>
      <c r="AG102"/>
    </row>
    <row r="103" spans="1:34" ht="15" customHeight="1" x14ac:dyDescent="0.25">
      <c r="A103" s="9">
        <v>102</v>
      </c>
      <c r="B103" s="9" t="s">
        <v>236</v>
      </c>
      <c r="C103" s="9" t="s">
        <v>237</v>
      </c>
      <c r="D103" s="9">
        <v>2</v>
      </c>
      <c r="E103" s="9">
        <v>1</v>
      </c>
      <c r="F103" s="9">
        <v>2</v>
      </c>
      <c r="G103" s="9">
        <v>0</v>
      </c>
      <c r="H103" s="9">
        <v>1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 t="s">
        <v>238</v>
      </c>
      <c r="T103" s="9">
        <v>0</v>
      </c>
      <c r="U103" s="9">
        <v>0</v>
      </c>
      <c r="V103" s="9" t="s">
        <v>15</v>
      </c>
      <c r="W103" s="9" t="s">
        <v>236</v>
      </c>
      <c r="X103" s="9">
        <v>0</v>
      </c>
      <c r="Y103" s="37">
        <v>2</v>
      </c>
      <c r="Z103" s="9" t="s">
        <v>455</v>
      </c>
      <c r="AA103" s="9">
        <v>0</v>
      </c>
      <c r="AB103" s="38">
        <v>41334</v>
      </c>
      <c r="AC103" s="9" t="s">
        <v>486</v>
      </c>
      <c r="AD103" s="9" t="s">
        <v>487</v>
      </c>
      <c r="AE103" s="2">
        <v>2</v>
      </c>
      <c r="AF103" s="2">
        <v>0</v>
      </c>
      <c r="AG103"/>
    </row>
    <row r="104" spans="1:34" ht="15" customHeight="1" x14ac:dyDescent="0.25">
      <c r="A104" s="9">
        <v>103</v>
      </c>
      <c r="B104" s="9" t="s">
        <v>239</v>
      </c>
      <c r="C104" s="9" t="s">
        <v>240</v>
      </c>
      <c r="D104" s="9">
        <v>14</v>
      </c>
      <c r="E104" s="9">
        <v>69</v>
      </c>
      <c r="F104" s="9">
        <v>1076</v>
      </c>
      <c r="G104" s="9">
        <v>98</v>
      </c>
      <c r="H104" s="9">
        <v>100</v>
      </c>
      <c r="I104" s="9">
        <v>9</v>
      </c>
      <c r="J104" s="9">
        <v>50</v>
      </c>
      <c r="K104" s="9">
        <v>64</v>
      </c>
      <c r="L104" s="9">
        <v>1</v>
      </c>
      <c r="M104" s="9">
        <v>0.5</v>
      </c>
      <c r="N104" s="9">
        <v>0.5</v>
      </c>
      <c r="O104" s="9">
        <v>0</v>
      </c>
      <c r="P104" s="9">
        <v>0</v>
      </c>
      <c r="Q104" s="9">
        <v>1</v>
      </c>
      <c r="R104" s="9">
        <v>1</v>
      </c>
      <c r="S104" s="9" t="s">
        <v>107</v>
      </c>
      <c r="T104" s="9">
        <v>0</v>
      </c>
      <c r="U104" s="9">
        <v>0</v>
      </c>
      <c r="V104" s="9" t="s">
        <v>15</v>
      </c>
      <c r="W104" s="9" t="s">
        <v>239</v>
      </c>
      <c r="X104" s="9">
        <v>1.4202898550724639</v>
      </c>
      <c r="Y104" s="37">
        <v>11.824175824175825</v>
      </c>
      <c r="Z104" s="9" t="s">
        <v>454</v>
      </c>
      <c r="AA104" s="9">
        <v>2</v>
      </c>
      <c r="AB104" s="38">
        <v>41334</v>
      </c>
      <c r="AC104" s="9" t="s">
        <v>486</v>
      </c>
      <c r="AD104" s="9" t="s">
        <v>487</v>
      </c>
      <c r="AE104" s="2">
        <v>206</v>
      </c>
      <c r="AF104" s="2">
        <v>22</v>
      </c>
      <c r="AG104"/>
    </row>
    <row r="105" spans="1:34" ht="15" customHeight="1" x14ac:dyDescent="0.25">
      <c r="A105" s="9">
        <v>104</v>
      </c>
      <c r="B105" s="9" t="s">
        <v>241</v>
      </c>
      <c r="C105" s="9" t="s">
        <v>242</v>
      </c>
      <c r="D105" s="9">
        <v>3</v>
      </c>
      <c r="E105" s="9">
        <v>12</v>
      </c>
      <c r="F105" s="9">
        <v>159</v>
      </c>
      <c r="G105" s="9">
        <v>12</v>
      </c>
      <c r="H105" s="9">
        <v>17</v>
      </c>
      <c r="I105" s="9">
        <v>0</v>
      </c>
      <c r="J105" s="9">
        <v>0</v>
      </c>
      <c r="K105" s="9">
        <v>1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 t="s">
        <v>227</v>
      </c>
      <c r="T105" s="9">
        <v>0</v>
      </c>
      <c r="U105" s="9">
        <v>0</v>
      </c>
      <c r="V105" s="9" t="s">
        <v>15</v>
      </c>
      <c r="W105" s="9" t="s">
        <v>241</v>
      </c>
      <c r="X105" s="9">
        <v>1</v>
      </c>
      <c r="Y105" s="37">
        <v>9.3529411764705888</v>
      </c>
      <c r="Z105" s="9" t="s">
        <v>457</v>
      </c>
      <c r="AA105" s="9">
        <v>0</v>
      </c>
      <c r="AB105" s="38">
        <v>41334</v>
      </c>
      <c r="AC105" s="9" t="s">
        <v>486</v>
      </c>
      <c r="AD105" s="9" t="s">
        <v>487</v>
      </c>
      <c r="AE105" s="2">
        <v>89</v>
      </c>
      <c r="AF105" s="2">
        <v>12</v>
      </c>
      <c r="AG105"/>
    </row>
    <row r="106" spans="1:34" ht="15" customHeight="1" x14ac:dyDescent="0.25">
      <c r="A106" s="9">
        <v>105</v>
      </c>
      <c r="B106" s="9" t="s">
        <v>243</v>
      </c>
      <c r="C106" s="9" t="s">
        <v>243</v>
      </c>
      <c r="D106" s="9">
        <v>2</v>
      </c>
      <c r="E106" s="9">
        <v>11</v>
      </c>
      <c r="F106" s="9">
        <v>267</v>
      </c>
      <c r="G106" s="9">
        <v>20</v>
      </c>
      <c r="H106" s="9">
        <v>22</v>
      </c>
      <c r="I106" s="9">
        <v>3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1</v>
      </c>
      <c r="S106" s="9" t="s">
        <v>244</v>
      </c>
      <c r="T106" s="9">
        <v>0</v>
      </c>
      <c r="U106" s="9">
        <v>0</v>
      </c>
      <c r="V106" s="9" t="s">
        <v>15</v>
      </c>
      <c r="W106" s="9" t="s">
        <v>243</v>
      </c>
      <c r="X106" s="36">
        <v>1.8181818181818181</v>
      </c>
      <c r="Y106" s="37">
        <v>14.052631578947368</v>
      </c>
      <c r="Z106" s="9" t="s">
        <v>458</v>
      </c>
      <c r="AA106" s="9">
        <v>1</v>
      </c>
      <c r="AB106" s="38">
        <v>41365</v>
      </c>
      <c r="AC106" s="9" t="s">
        <v>505</v>
      </c>
      <c r="AD106" s="9" t="s">
        <v>561</v>
      </c>
      <c r="AE106" s="2">
        <v>171</v>
      </c>
      <c r="AF106" s="2">
        <v>11</v>
      </c>
      <c r="AG106"/>
    </row>
    <row r="107" spans="1:34" ht="15" customHeight="1" x14ac:dyDescent="0.25">
      <c r="A107" s="9">
        <v>106</v>
      </c>
      <c r="B107" s="9" t="s">
        <v>245</v>
      </c>
      <c r="C107" s="9" t="s">
        <v>246</v>
      </c>
      <c r="D107" s="9">
        <v>13</v>
      </c>
      <c r="E107" s="9">
        <v>62</v>
      </c>
      <c r="F107" s="9">
        <v>1134</v>
      </c>
      <c r="G107" s="9">
        <v>93</v>
      </c>
      <c r="H107" s="9">
        <v>100</v>
      </c>
      <c r="I107" s="9">
        <v>4</v>
      </c>
      <c r="J107" s="9">
        <v>63</v>
      </c>
      <c r="K107" s="9">
        <v>32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1</v>
      </c>
      <c r="R107" s="9">
        <v>1</v>
      </c>
      <c r="S107" s="9" t="s">
        <v>40</v>
      </c>
      <c r="T107" s="9">
        <v>0</v>
      </c>
      <c r="U107" s="9">
        <v>0</v>
      </c>
      <c r="V107" s="9" t="s">
        <v>15</v>
      </c>
      <c r="W107" s="9" t="s">
        <v>245</v>
      </c>
      <c r="X107" s="36">
        <v>1.5</v>
      </c>
      <c r="Y107" s="37">
        <v>11.8125</v>
      </c>
      <c r="Z107" s="9" t="s">
        <v>454</v>
      </c>
      <c r="AA107" s="9">
        <v>2</v>
      </c>
      <c r="AB107" s="38">
        <v>41365</v>
      </c>
      <c r="AC107" s="9" t="s">
        <v>505</v>
      </c>
      <c r="AD107" s="9" t="s">
        <v>561</v>
      </c>
      <c r="AE107" s="2">
        <v>189</v>
      </c>
      <c r="AF107" s="2">
        <v>14</v>
      </c>
      <c r="AG107" t="s">
        <v>1128</v>
      </c>
      <c r="AH107" s="34">
        <v>46150</v>
      </c>
    </row>
    <row r="108" spans="1:34" ht="15" customHeight="1" x14ac:dyDescent="0.25">
      <c r="A108" s="9">
        <v>107</v>
      </c>
      <c r="B108" s="9" t="s">
        <v>247</v>
      </c>
      <c r="C108" s="9" t="s">
        <v>248</v>
      </c>
      <c r="D108" s="9">
        <v>1</v>
      </c>
      <c r="E108" s="9">
        <v>5</v>
      </c>
      <c r="F108" s="9">
        <v>141</v>
      </c>
      <c r="G108" s="9">
        <v>9</v>
      </c>
      <c r="H108" s="9">
        <v>12</v>
      </c>
      <c r="I108" s="9">
        <v>1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1</v>
      </c>
      <c r="R108" s="9">
        <v>0</v>
      </c>
      <c r="S108" s="9" t="s">
        <v>249</v>
      </c>
      <c r="T108" s="9">
        <v>0</v>
      </c>
      <c r="U108" s="9">
        <v>0</v>
      </c>
      <c r="V108" s="9" t="s">
        <v>15</v>
      </c>
      <c r="W108" s="9" t="s">
        <v>247</v>
      </c>
      <c r="X108" s="36">
        <v>1.8</v>
      </c>
      <c r="Y108" s="37">
        <v>12.818181818181818</v>
      </c>
      <c r="Z108" s="9" t="s">
        <v>454</v>
      </c>
      <c r="AA108" s="9">
        <v>1</v>
      </c>
      <c r="AB108" s="38">
        <v>41365</v>
      </c>
      <c r="AC108" s="9" t="s">
        <v>505</v>
      </c>
      <c r="AD108" s="9" t="s">
        <v>562</v>
      </c>
      <c r="AE108" s="2">
        <v>141</v>
      </c>
      <c r="AF108" s="2">
        <v>9</v>
      </c>
      <c r="AG108"/>
    </row>
    <row r="109" spans="1:34" ht="15" customHeight="1" x14ac:dyDescent="0.25">
      <c r="A109" s="9">
        <v>108</v>
      </c>
      <c r="B109" s="9" t="s">
        <v>250</v>
      </c>
      <c r="C109" s="9" t="s">
        <v>251</v>
      </c>
      <c r="D109" s="9">
        <v>3</v>
      </c>
      <c r="E109" s="9">
        <v>9</v>
      </c>
      <c r="F109" s="9">
        <v>81</v>
      </c>
      <c r="G109" s="9">
        <v>7</v>
      </c>
      <c r="H109" s="9">
        <v>14</v>
      </c>
      <c r="I109" s="9">
        <v>0</v>
      </c>
      <c r="J109" s="9">
        <v>3</v>
      </c>
      <c r="K109" s="9">
        <v>1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1</v>
      </c>
      <c r="R109" s="9">
        <v>1</v>
      </c>
      <c r="S109" s="9" t="s">
        <v>252</v>
      </c>
      <c r="T109" s="9">
        <v>0</v>
      </c>
      <c r="U109" s="9">
        <v>0</v>
      </c>
      <c r="V109" s="9" t="s">
        <v>15</v>
      </c>
      <c r="W109" s="9" t="s">
        <v>250</v>
      </c>
      <c r="X109" s="9">
        <v>0.77777777777777779</v>
      </c>
      <c r="Y109" s="37">
        <v>5.7857142857142856</v>
      </c>
      <c r="Z109" s="9" t="s">
        <v>455</v>
      </c>
      <c r="AA109" s="9">
        <v>2</v>
      </c>
      <c r="AB109" s="38">
        <v>41365</v>
      </c>
      <c r="AC109" s="9" t="s">
        <v>505</v>
      </c>
      <c r="AD109" s="9" t="s">
        <v>562</v>
      </c>
      <c r="AE109" s="2">
        <v>52</v>
      </c>
      <c r="AF109" s="2">
        <v>7</v>
      </c>
      <c r="AG109"/>
    </row>
    <row r="110" spans="1:34" ht="15" customHeight="1" x14ac:dyDescent="0.25">
      <c r="A110" s="9">
        <v>109</v>
      </c>
      <c r="B110" s="9" t="s">
        <v>253</v>
      </c>
      <c r="C110" s="9" t="s">
        <v>254</v>
      </c>
      <c r="D110" s="9">
        <v>1</v>
      </c>
      <c r="E110" s="9">
        <v>5</v>
      </c>
      <c r="F110" s="9">
        <v>7</v>
      </c>
      <c r="G110" s="9">
        <v>15</v>
      </c>
      <c r="H110" s="9">
        <v>2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1</v>
      </c>
      <c r="R110" s="9">
        <v>0</v>
      </c>
      <c r="S110" s="9" t="s">
        <v>249</v>
      </c>
      <c r="T110" s="9">
        <v>0</v>
      </c>
      <c r="U110" s="9">
        <v>0</v>
      </c>
      <c r="V110" s="9" t="s">
        <v>15</v>
      </c>
      <c r="W110" s="9" t="s">
        <v>253</v>
      </c>
      <c r="X110" s="36">
        <v>3</v>
      </c>
      <c r="Y110" s="37">
        <v>3.5</v>
      </c>
      <c r="Z110" s="9" t="s">
        <v>457</v>
      </c>
      <c r="AA110" s="9">
        <v>1</v>
      </c>
      <c r="AB110" s="38">
        <v>41365</v>
      </c>
      <c r="AC110" s="9" t="s">
        <v>505</v>
      </c>
      <c r="AD110" s="9" t="s">
        <v>562</v>
      </c>
      <c r="AE110" s="2">
        <v>7</v>
      </c>
      <c r="AF110" s="2">
        <v>15</v>
      </c>
      <c r="AG110"/>
    </row>
    <row r="111" spans="1:34" ht="15" customHeight="1" x14ac:dyDescent="0.25">
      <c r="A111" s="9">
        <v>110</v>
      </c>
      <c r="B111" s="9" t="s">
        <v>255</v>
      </c>
      <c r="C111" s="9" t="s">
        <v>256</v>
      </c>
      <c r="D111" s="9">
        <v>3</v>
      </c>
      <c r="E111" s="9">
        <v>12</v>
      </c>
      <c r="F111" s="9">
        <v>161</v>
      </c>
      <c r="G111" s="9">
        <v>21</v>
      </c>
      <c r="H111" s="9">
        <v>21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 t="s">
        <v>238</v>
      </c>
      <c r="T111" s="9">
        <v>0</v>
      </c>
      <c r="U111" s="9">
        <v>0</v>
      </c>
      <c r="V111" s="9" t="s">
        <v>15</v>
      </c>
      <c r="W111" s="9" t="s">
        <v>255</v>
      </c>
      <c r="X111" s="36">
        <v>1.75</v>
      </c>
      <c r="Y111" s="37">
        <v>7.666666666666667</v>
      </c>
      <c r="Z111" s="9" t="s">
        <v>457</v>
      </c>
      <c r="AA111" s="9">
        <v>0</v>
      </c>
      <c r="AB111" s="38">
        <v>41365</v>
      </c>
      <c r="AC111" s="9" t="s">
        <v>505</v>
      </c>
      <c r="AD111" s="9" t="s">
        <v>563</v>
      </c>
      <c r="AE111" s="2">
        <v>77</v>
      </c>
      <c r="AF111" s="2">
        <v>10</v>
      </c>
      <c r="AG111"/>
    </row>
    <row r="112" spans="1:34" ht="15" customHeight="1" x14ac:dyDescent="0.25">
      <c r="A112" s="9">
        <v>111</v>
      </c>
      <c r="B112" s="9" t="s">
        <v>257</v>
      </c>
      <c r="C112" s="9" t="s">
        <v>258</v>
      </c>
      <c r="D112" s="9">
        <v>2</v>
      </c>
      <c r="E112" s="9">
        <v>7</v>
      </c>
      <c r="F112" s="9">
        <v>41</v>
      </c>
      <c r="G112" s="9">
        <v>11</v>
      </c>
      <c r="H112" s="9">
        <v>7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1</v>
      </c>
      <c r="S112" s="9" t="s">
        <v>244</v>
      </c>
      <c r="T112" s="9">
        <v>0</v>
      </c>
      <c r="U112" s="9">
        <v>0</v>
      </c>
      <c r="V112" s="9" t="s">
        <v>15</v>
      </c>
      <c r="W112" s="9" t="s">
        <v>257</v>
      </c>
      <c r="X112" s="36">
        <v>1.5714285714285714</v>
      </c>
      <c r="Y112" s="37">
        <v>5.8571428571428568</v>
      </c>
      <c r="Z112" s="9" t="s">
        <v>457</v>
      </c>
      <c r="AA112" s="9">
        <v>1</v>
      </c>
      <c r="AB112" s="38">
        <v>41365</v>
      </c>
      <c r="AC112" s="9" t="s">
        <v>505</v>
      </c>
      <c r="AD112" s="9" t="s">
        <v>563</v>
      </c>
      <c r="AE112" s="2">
        <v>31</v>
      </c>
      <c r="AF112" s="2">
        <v>10</v>
      </c>
      <c r="AG112"/>
    </row>
    <row r="113" spans="1:34" ht="15" customHeight="1" x14ac:dyDescent="0.25">
      <c r="A113" s="9">
        <v>112</v>
      </c>
      <c r="B113" s="9" t="s">
        <v>259</v>
      </c>
      <c r="C113" s="9" t="s">
        <v>260</v>
      </c>
      <c r="D113" s="9">
        <v>3</v>
      </c>
      <c r="E113" s="9">
        <v>1</v>
      </c>
      <c r="F113" s="9">
        <v>0</v>
      </c>
      <c r="G113" s="9">
        <v>2</v>
      </c>
      <c r="H113" s="9">
        <v>1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2</v>
      </c>
      <c r="S113" s="9" t="s">
        <v>84</v>
      </c>
      <c r="T113" s="9">
        <v>0</v>
      </c>
      <c r="U113" s="9">
        <v>0</v>
      </c>
      <c r="V113" s="9" t="s">
        <v>15</v>
      </c>
      <c r="W113" s="9" t="s">
        <v>259</v>
      </c>
      <c r="X113" s="36">
        <v>2</v>
      </c>
      <c r="Y113" s="37">
        <v>0</v>
      </c>
      <c r="Z113" s="9" t="s">
        <v>457</v>
      </c>
      <c r="AA113" s="9">
        <v>2</v>
      </c>
      <c r="AB113" s="38">
        <v>41395</v>
      </c>
      <c r="AC113" s="9" t="s">
        <v>478</v>
      </c>
      <c r="AD113" s="9" t="s">
        <v>564</v>
      </c>
      <c r="AE113" s="2">
        <v>0</v>
      </c>
      <c r="AF113" s="2">
        <v>2</v>
      </c>
      <c r="AG113"/>
    </row>
    <row r="114" spans="1:34" ht="15" customHeight="1" x14ac:dyDescent="0.25">
      <c r="A114" s="9">
        <v>113</v>
      </c>
      <c r="B114" s="9" t="s">
        <v>261</v>
      </c>
      <c r="C114" s="9" t="s">
        <v>262</v>
      </c>
      <c r="D114" s="9">
        <v>3</v>
      </c>
      <c r="E114" s="9">
        <v>9</v>
      </c>
      <c r="F114" s="9">
        <v>75</v>
      </c>
      <c r="G114" s="9">
        <v>9</v>
      </c>
      <c r="H114" s="9">
        <v>12</v>
      </c>
      <c r="I114" s="9">
        <v>1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2</v>
      </c>
      <c r="S114" s="9" t="s">
        <v>263</v>
      </c>
      <c r="T114" s="9">
        <v>0</v>
      </c>
      <c r="U114" s="9">
        <v>0</v>
      </c>
      <c r="V114" s="9" t="s">
        <v>15</v>
      </c>
      <c r="W114" s="9" t="s">
        <v>261</v>
      </c>
      <c r="X114" s="9">
        <v>1</v>
      </c>
      <c r="Y114" s="37">
        <v>6.8181818181818183</v>
      </c>
      <c r="Z114" s="9" t="s">
        <v>457</v>
      </c>
      <c r="AA114" s="9">
        <v>2</v>
      </c>
      <c r="AB114" s="38">
        <v>41395</v>
      </c>
      <c r="AC114" s="9" t="s">
        <v>478</v>
      </c>
      <c r="AD114" s="9" t="s">
        <v>565</v>
      </c>
      <c r="AE114" s="2">
        <v>36</v>
      </c>
      <c r="AF114" s="2">
        <v>5</v>
      </c>
    </row>
    <row r="115" spans="1:34" ht="15" customHeight="1" x14ac:dyDescent="0.25">
      <c r="A115" s="9">
        <v>114</v>
      </c>
      <c r="B115" s="9" t="s">
        <v>264</v>
      </c>
      <c r="C115" s="9" t="s">
        <v>265</v>
      </c>
      <c r="D115" s="9">
        <v>1</v>
      </c>
      <c r="E115" s="9">
        <v>3</v>
      </c>
      <c r="F115" s="9">
        <v>24</v>
      </c>
      <c r="G115" s="9">
        <v>5</v>
      </c>
      <c r="H115" s="9">
        <v>6</v>
      </c>
      <c r="I115" s="9">
        <v>1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 t="s">
        <v>244</v>
      </c>
      <c r="T115" s="9">
        <v>0</v>
      </c>
      <c r="U115" s="9">
        <v>0</v>
      </c>
      <c r="V115" s="9" t="s">
        <v>15</v>
      </c>
      <c r="W115" s="9" t="s">
        <v>264</v>
      </c>
      <c r="X115" s="36">
        <v>1.6666666666666667</v>
      </c>
      <c r="Y115" s="37">
        <v>4.8</v>
      </c>
      <c r="Z115" s="9" t="s">
        <v>457</v>
      </c>
      <c r="AA115" s="9">
        <v>0</v>
      </c>
      <c r="AB115" s="38">
        <v>41395</v>
      </c>
      <c r="AC115" s="9" t="s">
        <v>478</v>
      </c>
      <c r="AD115" s="9" t="s">
        <v>566</v>
      </c>
      <c r="AE115" s="2">
        <v>24</v>
      </c>
      <c r="AF115" s="2">
        <v>5</v>
      </c>
      <c r="AG115"/>
    </row>
    <row r="116" spans="1:34" ht="15" customHeight="1" x14ac:dyDescent="0.25">
      <c r="A116" s="9">
        <v>115</v>
      </c>
      <c r="B116" s="9" t="s">
        <v>266</v>
      </c>
      <c r="C116" s="9" t="s">
        <v>267</v>
      </c>
      <c r="D116" s="9">
        <v>3</v>
      </c>
      <c r="E116" s="9">
        <v>7</v>
      </c>
      <c r="F116" s="9">
        <v>103</v>
      </c>
      <c r="G116" s="9">
        <v>6</v>
      </c>
      <c r="H116" s="9">
        <v>12</v>
      </c>
      <c r="I116" s="9">
        <v>0</v>
      </c>
      <c r="J116" s="9">
        <v>4</v>
      </c>
      <c r="K116" s="9">
        <v>7</v>
      </c>
      <c r="L116" s="9">
        <v>0</v>
      </c>
      <c r="M116" s="9">
        <v>1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 t="s">
        <v>26</v>
      </c>
      <c r="T116" s="9">
        <v>0</v>
      </c>
      <c r="U116" s="9">
        <v>0</v>
      </c>
      <c r="V116" s="9" t="s">
        <v>15</v>
      </c>
      <c r="W116" s="9" t="s">
        <v>266</v>
      </c>
      <c r="X116" s="9">
        <v>0.8571428571428571</v>
      </c>
      <c r="Y116" s="37">
        <v>8.5833333333333339</v>
      </c>
      <c r="Z116" s="9" t="s">
        <v>455</v>
      </c>
      <c r="AA116" s="9">
        <v>0</v>
      </c>
      <c r="AB116" s="38">
        <v>41395</v>
      </c>
      <c r="AC116" s="9" t="s">
        <v>478</v>
      </c>
      <c r="AD116" s="9" t="s">
        <v>566</v>
      </c>
      <c r="AE116" s="2">
        <v>64</v>
      </c>
      <c r="AF116" s="2">
        <v>4</v>
      </c>
      <c r="AG116"/>
    </row>
    <row r="117" spans="1:34" ht="15" customHeight="1" x14ac:dyDescent="0.25">
      <c r="A117" s="9">
        <v>116</v>
      </c>
      <c r="B117" s="9" t="s">
        <v>268</v>
      </c>
      <c r="C117" s="9" t="s">
        <v>269</v>
      </c>
      <c r="D117" s="9">
        <v>1</v>
      </c>
      <c r="E117" s="9">
        <v>3</v>
      </c>
      <c r="F117" s="9">
        <v>32</v>
      </c>
      <c r="G117" s="9">
        <v>3</v>
      </c>
      <c r="H117" s="9">
        <v>5</v>
      </c>
      <c r="I117" s="9">
        <v>1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 t="s">
        <v>244</v>
      </c>
      <c r="T117" s="9">
        <v>0</v>
      </c>
      <c r="U117" s="9">
        <v>0</v>
      </c>
      <c r="V117" s="9" t="s">
        <v>15</v>
      </c>
      <c r="W117" s="9" t="s">
        <v>268</v>
      </c>
      <c r="X117" s="9">
        <v>1</v>
      </c>
      <c r="Y117" s="37">
        <v>8</v>
      </c>
      <c r="Z117" s="9" t="s">
        <v>457</v>
      </c>
      <c r="AA117" s="9">
        <v>0</v>
      </c>
      <c r="AB117" s="38">
        <v>41395</v>
      </c>
      <c r="AC117" s="9" t="s">
        <v>478</v>
      </c>
      <c r="AD117" s="9" t="s">
        <v>567</v>
      </c>
      <c r="AE117" s="2">
        <v>32</v>
      </c>
      <c r="AF117" s="2">
        <v>3</v>
      </c>
      <c r="AG117"/>
    </row>
    <row r="118" spans="1:34" ht="15" customHeight="1" x14ac:dyDescent="0.25">
      <c r="A118" s="9">
        <v>117</v>
      </c>
      <c r="B118" s="9" t="s">
        <v>270</v>
      </c>
      <c r="C118" s="9" t="s">
        <v>271</v>
      </c>
      <c r="D118" s="9">
        <v>1</v>
      </c>
      <c r="E118" s="9">
        <v>1</v>
      </c>
      <c r="F118" s="9">
        <v>7</v>
      </c>
      <c r="G118" s="9">
        <v>0</v>
      </c>
      <c r="H118" s="9">
        <v>1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 t="s">
        <v>244</v>
      </c>
      <c r="T118" s="9">
        <v>0</v>
      </c>
      <c r="U118" s="9">
        <v>0</v>
      </c>
      <c r="V118" s="9" t="s">
        <v>15</v>
      </c>
      <c r="W118" s="9" t="s">
        <v>270</v>
      </c>
      <c r="X118" s="9">
        <v>0</v>
      </c>
      <c r="Y118" s="37">
        <v>7</v>
      </c>
      <c r="Z118" s="9" t="s">
        <v>455</v>
      </c>
      <c r="AA118" s="9">
        <v>0</v>
      </c>
      <c r="AB118" s="38">
        <v>41395</v>
      </c>
      <c r="AC118" s="9" t="s">
        <v>478</v>
      </c>
      <c r="AD118" s="9" t="s">
        <v>568</v>
      </c>
      <c r="AE118" s="2">
        <v>7</v>
      </c>
      <c r="AF118" s="2">
        <v>0</v>
      </c>
      <c r="AG118"/>
    </row>
    <row r="119" spans="1:34" ht="15" customHeight="1" x14ac:dyDescent="0.25">
      <c r="A119" s="9">
        <v>118</v>
      </c>
      <c r="B119" s="9" t="s">
        <v>272</v>
      </c>
      <c r="C119" s="9" t="s">
        <v>273</v>
      </c>
      <c r="D119" s="9">
        <v>2</v>
      </c>
      <c r="E119" s="9">
        <v>5</v>
      </c>
      <c r="F119" s="9">
        <v>43</v>
      </c>
      <c r="G119" s="9">
        <v>5</v>
      </c>
      <c r="H119" s="9">
        <v>5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1</v>
      </c>
      <c r="R119" s="9">
        <v>0</v>
      </c>
      <c r="S119" s="9" t="s">
        <v>238</v>
      </c>
      <c r="T119" s="9">
        <v>0</v>
      </c>
      <c r="U119" s="9">
        <v>0</v>
      </c>
      <c r="V119" s="9" t="s">
        <v>15</v>
      </c>
      <c r="W119" s="9" t="s">
        <v>272</v>
      </c>
      <c r="X119" s="9">
        <v>1</v>
      </c>
      <c r="Y119" s="37">
        <v>8.6</v>
      </c>
      <c r="Z119" s="9" t="s">
        <v>457</v>
      </c>
      <c r="AA119" s="9">
        <v>1</v>
      </c>
      <c r="AB119" s="38">
        <v>41395</v>
      </c>
      <c r="AC119" s="9" t="s">
        <v>478</v>
      </c>
      <c r="AD119" s="9" t="s">
        <v>569</v>
      </c>
      <c r="AE119" s="2">
        <v>43</v>
      </c>
      <c r="AF119" s="2">
        <v>4</v>
      </c>
      <c r="AG119"/>
    </row>
    <row r="120" spans="1:34" ht="15" customHeight="1" x14ac:dyDescent="0.25">
      <c r="A120" s="9">
        <v>119</v>
      </c>
      <c r="B120" s="9" t="s">
        <v>274</v>
      </c>
      <c r="C120" s="9" t="s">
        <v>275</v>
      </c>
      <c r="D120" s="9">
        <v>3</v>
      </c>
      <c r="E120" s="9">
        <v>10</v>
      </c>
      <c r="F120" s="9">
        <v>211</v>
      </c>
      <c r="G120" s="9">
        <v>35</v>
      </c>
      <c r="H120" s="9">
        <v>19</v>
      </c>
      <c r="I120" s="9">
        <v>1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1</v>
      </c>
      <c r="P120" s="9">
        <v>0</v>
      </c>
      <c r="Q120" s="9">
        <v>1</v>
      </c>
      <c r="R120" s="9">
        <v>1</v>
      </c>
      <c r="S120" s="9" t="s">
        <v>263</v>
      </c>
      <c r="T120" s="9">
        <v>1</v>
      </c>
      <c r="U120" s="9">
        <v>1</v>
      </c>
      <c r="V120" s="9" t="s">
        <v>15</v>
      </c>
      <c r="W120" s="9" t="s">
        <v>274</v>
      </c>
      <c r="X120" s="36">
        <v>3.5</v>
      </c>
      <c r="Y120" s="37">
        <v>11.722222222222221</v>
      </c>
      <c r="Z120" s="9" t="s">
        <v>454</v>
      </c>
      <c r="AA120" s="9">
        <v>2</v>
      </c>
      <c r="AB120" s="38">
        <v>41395</v>
      </c>
      <c r="AC120" s="9" t="s">
        <v>478</v>
      </c>
      <c r="AD120" s="9" t="s">
        <v>570</v>
      </c>
      <c r="AE120" s="2">
        <v>148</v>
      </c>
      <c r="AF120" s="2">
        <v>24</v>
      </c>
      <c r="AG120" t="s">
        <v>1158</v>
      </c>
      <c r="AH120" s="34">
        <v>46268</v>
      </c>
    </row>
    <row r="121" spans="1:34" ht="15" customHeight="1" x14ac:dyDescent="0.25">
      <c r="A121" s="9">
        <v>120</v>
      </c>
      <c r="B121" s="9" t="s">
        <v>276</v>
      </c>
      <c r="C121" s="9" t="s">
        <v>277</v>
      </c>
      <c r="D121" s="9">
        <v>5</v>
      </c>
      <c r="E121" s="9">
        <v>18</v>
      </c>
      <c r="F121" s="9">
        <v>293</v>
      </c>
      <c r="G121" s="9">
        <v>17</v>
      </c>
      <c r="H121" s="9">
        <v>24</v>
      </c>
      <c r="I121" s="9">
        <v>3</v>
      </c>
      <c r="J121" s="9">
        <v>4</v>
      </c>
      <c r="K121" s="9">
        <v>4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1</v>
      </c>
      <c r="R121" s="9">
        <v>0</v>
      </c>
      <c r="S121" s="9" t="s">
        <v>278</v>
      </c>
      <c r="T121" s="9">
        <v>0</v>
      </c>
      <c r="U121" s="9">
        <v>0</v>
      </c>
      <c r="V121" s="9" t="s">
        <v>15</v>
      </c>
      <c r="W121" s="9" t="s">
        <v>276</v>
      </c>
      <c r="X121" s="9">
        <v>0.94444444444444442</v>
      </c>
      <c r="Y121" s="37">
        <v>13.952380952380953</v>
      </c>
      <c r="Z121" s="9" t="s">
        <v>456</v>
      </c>
      <c r="AA121" s="9">
        <v>1</v>
      </c>
      <c r="AB121" s="38">
        <v>41395</v>
      </c>
      <c r="AC121" s="9" t="s">
        <v>478</v>
      </c>
      <c r="AD121" s="9" t="s">
        <v>571</v>
      </c>
      <c r="AE121" s="2">
        <v>114</v>
      </c>
      <c r="AF121" s="2">
        <v>6</v>
      </c>
      <c r="AG121" t="s">
        <v>1124</v>
      </c>
      <c r="AH121" s="34">
        <v>46347</v>
      </c>
    </row>
    <row r="122" spans="1:34" ht="15" customHeight="1" x14ac:dyDescent="0.25">
      <c r="A122" s="9">
        <v>121</v>
      </c>
      <c r="B122" s="9" t="s">
        <v>279</v>
      </c>
      <c r="C122" s="9" t="s">
        <v>280</v>
      </c>
      <c r="D122" s="9">
        <v>6</v>
      </c>
      <c r="E122" s="9">
        <v>20</v>
      </c>
      <c r="F122" s="9">
        <v>240</v>
      </c>
      <c r="G122" s="9">
        <v>21</v>
      </c>
      <c r="H122" s="9">
        <v>23</v>
      </c>
      <c r="I122" s="9">
        <v>1</v>
      </c>
      <c r="J122" s="9">
        <v>10</v>
      </c>
      <c r="K122" s="9">
        <v>9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 t="s">
        <v>281</v>
      </c>
      <c r="T122" s="9">
        <v>0</v>
      </c>
      <c r="U122" s="9">
        <v>0</v>
      </c>
      <c r="V122" s="9" t="s">
        <v>15</v>
      </c>
      <c r="W122" s="9" t="s">
        <v>279</v>
      </c>
      <c r="X122" s="9">
        <v>1.05</v>
      </c>
      <c r="Y122" s="37">
        <v>10.909090909090908</v>
      </c>
      <c r="Z122" s="9" t="s">
        <v>454</v>
      </c>
      <c r="AA122" s="9">
        <v>0</v>
      </c>
      <c r="AB122" s="38">
        <v>41426</v>
      </c>
      <c r="AC122" s="9" t="s">
        <v>482</v>
      </c>
      <c r="AD122" s="9" t="s">
        <v>541</v>
      </c>
      <c r="AE122" s="2">
        <v>73</v>
      </c>
      <c r="AF122" s="2">
        <v>8</v>
      </c>
      <c r="AG122"/>
    </row>
    <row r="123" spans="1:34" ht="15" customHeight="1" x14ac:dyDescent="0.25">
      <c r="A123" s="9">
        <v>122</v>
      </c>
      <c r="B123" s="9" t="s">
        <v>282</v>
      </c>
      <c r="C123" s="9" t="s">
        <v>283</v>
      </c>
      <c r="D123" s="9">
        <v>15</v>
      </c>
      <c r="E123" s="9">
        <v>82</v>
      </c>
      <c r="F123" s="9">
        <v>1161</v>
      </c>
      <c r="G123" s="9">
        <v>90</v>
      </c>
      <c r="H123" s="9">
        <v>100</v>
      </c>
      <c r="I123" s="9">
        <v>5</v>
      </c>
      <c r="J123" s="9">
        <v>39</v>
      </c>
      <c r="K123" s="9">
        <v>39</v>
      </c>
      <c r="L123" s="9">
        <v>0</v>
      </c>
      <c r="M123" s="9">
        <v>0</v>
      </c>
      <c r="N123" s="9">
        <v>1</v>
      </c>
      <c r="O123" s="9">
        <v>0</v>
      </c>
      <c r="P123" s="9">
        <v>0</v>
      </c>
      <c r="Q123" s="9">
        <v>2</v>
      </c>
      <c r="R123" s="9">
        <v>1</v>
      </c>
      <c r="S123" s="9" t="s">
        <v>26</v>
      </c>
      <c r="T123" s="9">
        <v>0</v>
      </c>
      <c r="U123" s="9">
        <v>0</v>
      </c>
      <c r="V123" s="9" t="s">
        <v>15</v>
      </c>
      <c r="W123" s="9" t="s">
        <v>282</v>
      </c>
      <c r="X123" s="9">
        <v>1.0975609756097562</v>
      </c>
      <c r="Y123" s="37">
        <v>12.221052631578948</v>
      </c>
      <c r="Z123" s="9" t="s">
        <v>454</v>
      </c>
      <c r="AA123" s="9">
        <v>3</v>
      </c>
      <c r="AB123" s="38">
        <v>41395</v>
      </c>
      <c r="AC123" s="9" t="s">
        <v>478</v>
      </c>
      <c r="AD123" s="9" t="s">
        <v>572</v>
      </c>
      <c r="AE123" s="2">
        <v>242</v>
      </c>
      <c r="AF123" s="2">
        <v>14</v>
      </c>
      <c r="AG123"/>
    </row>
    <row r="124" spans="1:34" ht="15" customHeight="1" x14ac:dyDescent="0.25">
      <c r="A124" s="9">
        <v>123</v>
      </c>
      <c r="B124" s="9" t="s">
        <v>284</v>
      </c>
      <c r="C124" s="9" t="s">
        <v>285</v>
      </c>
      <c r="D124" s="9">
        <v>4</v>
      </c>
      <c r="E124" s="9">
        <v>11</v>
      </c>
      <c r="F124" s="9">
        <v>204</v>
      </c>
      <c r="G124" s="9">
        <v>19</v>
      </c>
      <c r="H124" s="9">
        <v>18</v>
      </c>
      <c r="I124" s="9">
        <v>1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1</v>
      </c>
      <c r="S124" s="9" t="s">
        <v>286</v>
      </c>
      <c r="T124" s="9">
        <v>0</v>
      </c>
      <c r="U124" s="9">
        <v>0</v>
      </c>
      <c r="V124" s="9" t="s">
        <v>15</v>
      </c>
      <c r="W124" s="9" t="s">
        <v>284</v>
      </c>
      <c r="X124" s="36">
        <v>1.7272727272727273</v>
      </c>
      <c r="Y124" s="37">
        <v>12</v>
      </c>
      <c r="Z124" s="9" t="s">
        <v>454</v>
      </c>
      <c r="AA124" s="9">
        <v>1</v>
      </c>
      <c r="AB124" s="38">
        <v>41426</v>
      </c>
      <c r="AC124" s="9" t="s">
        <v>482</v>
      </c>
      <c r="AD124" s="9" t="s">
        <v>573</v>
      </c>
      <c r="AE124" s="2">
        <v>79</v>
      </c>
      <c r="AF124" s="2">
        <v>10</v>
      </c>
      <c r="AG124"/>
    </row>
    <row r="125" spans="1:34" ht="15" customHeight="1" x14ac:dyDescent="0.25">
      <c r="A125" s="9">
        <v>124</v>
      </c>
      <c r="B125" s="9" t="s">
        <v>287</v>
      </c>
      <c r="C125" s="9" t="s">
        <v>288</v>
      </c>
      <c r="D125" s="9">
        <v>1</v>
      </c>
      <c r="E125" s="9">
        <v>2</v>
      </c>
      <c r="F125" s="9">
        <v>71</v>
      </c>
      <c r="G125" s="9">
        <v>3</v>
      </c>
      <c r="H125" s="9">
        <v>3</v>
      </c>
      <c r="I125" s="9">
        <v>1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 t="s">
        <v>238</v>
      </c>
      <c r="T125" s="9">
        <v>0</v>
      </c>
      <c r="U125" s="9">
        <v>0</v>
      </c>
      <c r="V125" s="9" t="s">
        <v>15</v>
      </c>
      <c r="W125" s="9" t="s">
        <v>287</v>
      </c>
      <c r="X125" s="39">
        <v>1.5</v>
      </c>
      <c r="Y125" s="37">
        <v>35.5</v>
      </c>
      <c r="Z125" s="9" t="s">
        <v>459</v>
      </c>
      <c r="AA125" s="9">
        <v>0</v>
      </c>
      <c r="AB125" s="38">
        <v>41426</v>
      </c>
      <c r="AC125" s="9" t="s">
        <v>482</v>
      </c>
      <c r="AD125" s="9" t="s">
        <v>574</v>
      </c>
      <c r="AE125" s="2">
        <v>71</v>
      </c>
      <c r="AF125" s="2">
        <v>3</v>
      </c>
      <c r="AG125"/>
    </row>
    <row r="126" spans="1:34" ht="15" customHeight="1" x14ac:dyDescent="0.25">
      <c r="A126" s="9">
        <v>125</v>
      </c>
      <c r="B126" s="9" t="s">
        <v>289</v>
      </c>
      <c r="C126" s="9" t="s">
        <v>290</v>
      </c>
      <c r="D126" s="9">
        <v>2</v>
      </c>
      <c r="E126" s="9">
        <v>4</v>
      </c>
      <c r="F126" s="9">
        <v>24</v>
      </c>
      <c r="G126" s="9">
        <v>7</v>
      </c>
      <c r="H126" s="9">
        <v>5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1</v>
      </c>
      <c r="R126" s="9">
        <v>0</v>
      </c>
      <c r="S126" s="9" t="s">
        <v>263</v>
      </c>
      <c r="T126" s="9">
        <v>0</v>
      </c>
      <c r="U126" s="9">
        <v>0</v>
      </c>
      <c r="V126" s="9" t="s">
        <v>15</v>
      </c>
      <c r="W126" s="9" t="s">
        <v>289</v>
      </c>
      <c r="X126" s="9">
        <v>1.75</v>
      </c>
      <c r="Y126" s="37">
        <v>4.8</v>
      </c>
      <c r="Z126" s="9" t="s">
        <v>457</v>
      </c>
      <c r="AA126" s="9">
        <v>1</v>
      </c>
      <c r="AB126" s="38">
        <v>41426</v>
      </c>
      <c r="AC126" s="9" t="s">
        <v>482</v>
      </c>
      <c r="AD126" s="9" t="s">
        <v>575</v>
      </c>
      <c r="AE126" s="2">
        <v>21</v>
      </c>
      <c r="AF126" s="2">
        <v>4</v>
      </c>
      <c r="AG126"/>
    </row>
    <row r="127" spans="1:34" ht="15" customHeight="1" x14ac:dyDescent="0.25">
      <c r="A127" s="9">
        <v>126</v>
      </c>
      <c r="B127" s="9" t="s">
        <v>291</v>
      </c>
      <c r="C127" s="9" t="s">
        <v>292</v>
      </c>
      <c r="D127" s="9">
        <v>5</v>
      </c>
      <c r="E127" s="9">
        <v>15</v>
      </c>
      <c r="F127" s="9">
        <v>187</v>
      </c>
      <c r="G127" s="9">
        <v>5</v>
      </c>
      <c r="H127" s="9">
        <v>19</v>
      </c>
      <c r="I127" s="9">
        <v>2</v>
      </c>
      <c r="J127" s="9">
        <v>0</v>
      </c>
      <c r="K127" s="9">
        <v>1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1</v>
      </c>
      <c r="R127" s="9">
        <v>0</v>
      </c>
      <c r="S127" s="9" t="s">
        <v>293</v>
      </c>
      <c r="T127" s="9">
        <v>0</v>
      </c>
      <c r="U127" s="9">
        <v>0</v>
      </c>
      <c r="V127" s="9" t="s">
        <v>15</v>
      </c>
      <c r="W127" s="9" t="s">
        <v>291</v>
      </c>
      <c r="X127" s="9">
        <v>0.33333333333333331</v>
      </c>
      <c r="Y127" s="37">
        <v>11</v>
      </c>
      <c r="Z127" s="9" t="s">
        <v>456</v>
      </c>
      <c r="AA127" s="9">
        <v>1</v>
      </c>
      <c r="AB127" s="38">
        <v>41456</v>
      </c>
      <c r="AC127" s="9" t="s">
        <v>476</v>
      </c>
      <c r="AD127" s="9" t="s">
        <v>576</v>
      </c>
      <c r="AE127" s="2">
        <v>153</v>
      </c>
      <c r="AF127" s="2">
        <v>4</v>
      </c>
      <c r="AG127"/>
    </row>
    <row r="128" spans="1:34" ht="15" customHeight="1" x14ac:dyDescent="0.25">
      <c r="A128" s="9">
        <v>127</v>
      </c>
      <c r="B128" s="9" t="s">
        <v>294</v>
      </c>
      <c r="C128" s="9" t="s">
        <v>295</v>
      </c>
      <c r="D128" s="9">
        <v>2</v>
      </c>
      <c r="E128" s="9">
        <v>13</v>
      </c>
      <c r="F128" s="9">
        <v>190</v>
      </c>
      <c r="G128" s="9">
        <v>10</v>
      </c>
      <c r="H128" s="9">
        <v>19</v>
      </c>
      <c r="I128" s="9">
        <v>0</v>
      </c>
      <c r="J128" s="9">
        <v>3</v>
      </c>
      <c r="K128" s="9">
        <v>10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 t="s">
        <v>227</v>
      </c>
      <c r="T128" s="9">
        <v>0</v>
      </c>
      <c r="U128" s="9">
        <v>0</v>
      </c>
      <c r="V128" s="9" t="s">
        <v>15</v>
      </c>
      <c r="W128" s="9" t="s">
        <v>294</v>
      </c>
      <c r="X128" s="9">
        <v>0.76923076923076927</v>
      </c>
      <c r="Y128" s="37">
        <v>10</v>
      </c>
      <c r="Z128" s="9" t="s">
        <v>455</v>
      </c>
      <c r="AA128" s="9">
        <v>0</v>
      </c>
      <c r="AB128" s="38">
        <v>41456</v>
      </c>
      <c r="AC128" s="9" t="s">
        <v>474</v>
      </c>
      <c r="AD128" s="9" t="s">
        <v>1142</v>
      </c>
      <c r="AE128" s="2">
        <v>115</v>
      </c>
      <c r="AF128" s="2">
        <v>7</v>
      </c>
      <c r="AG128"/>
    </row>
    <row r="129" spans="1:34" ht="15" customHeight="1" x14ac:dyDescent="0.25">
      <c r="A129" s="9">
        <v>128</v>
      </c>
      <c r="B129" s="9" t="s">
        <v>296</v>
      </c>
      <c r="C129" s="9" t="s">
        <v>297</v>
      </c>
      <c r="D129" s="9">
        <v>11</v>
      </c>
      <c r="E129" s="9">
        <v>54</v>
      </c>
      <c r="F129" s="9">
        <v>836</v>
      </c>
      <c r="G129" s="9">
        <v>68</v>
      </c>
      <c r="H129" s="9">
        <v>67</v>
      </c>
      <c r="I129" s="9">
        <v>2</v>
      </c>
      <c r="J129" s="9">
        <v>55</v>
      </c>
      <c r="K129" s="9">
        <v>59</v>
      </c>
      <c r="L129" s="9">
        <v>0</v>
      </c>
      <c r="M129" s="9">
        <v>0</v>
      </c>
      <c r="N129" s="9">
        <v>0</v>
      </c>
      <c r="O129" s="9">
        <v>1</v>
      </c>
      <c r="P129" s="9">
        <v>0</v>
      </c>
      <c r="Q129" s="9">
        <v>0</v>
      </c>
      <c r="R129" s="9">
        <v>1</v>
      </c>
      <c r="S129" s="9" t="s">
        <v>43</v>
      </c>
      <c r="T129" s="9">
        <v>0</v>
      </c>
      <c r="U129" s="9">
        <v>0</v>
      </c>
      <c r="V129" s="9" t="s">
        <v>15</v>
      </c>
      <c r="W129" s="9" t="s">
        <v>296</v>
      </c>
      <c r="X129" s="9">
        <v>1.2592592592592593</v>
      </c>
      <c r="Y129" s="37">
        <v>12.861538461538462</v>
      </c>
      <c r="Z129" s="9" t="s">
        <v>454</v>
      </c>
      <c r="AA129" s="9">
        <v>1</v>
      </c>
      <c r="AB129" s="38">
        <v>41456</v>
      </c>
      <c r="AC129" s="9" t="s">
        <v>474</v>
      </c>
      <c r="AD129" s="9" t="s">
        <v>1142</v>
      </c>
      <c r="AE129" s="2">
        <v>214</v>
      </c>
      <c r="AF129" s="2">
        <v>17</v>
      </c>
      <c r="AG129" t="s">
        <v>1123</v>
      </c>
      <c r="AH129" s="34">
        <v>46127</v>
      </c>
    </row>
    <row r="130" spans="1:34" ht="15" customHeight="1" x14ac:dyDescent="0.25">
      <c r="A130" s="9">
        <v>129</v>
      </c>
      <c r="B130" s="9" t="s">
        <v>298</v>
      </c>
      <c r="C130" s="40" t="s">
        <v>299</v>
      </c>
      <c r="D130" s="9">
        <v>13</v>
      </c>
      <c r="E130" s="9">
        <v>66</v>
      </c>
      <c r="F130" s="9">
        <v>1042</v>
      </c>
      <c r="G130" s="9">
        <v>59</v>
      </c>
      <c r="H130" s="9">
        <v>87</v>
      </c>
      <c r="I130" s="9">
        <v>9</v>
      </c>
      <c r="J130" s="9">
        <v>50</v>
      </c>
      <c r="K130" s="9">
        <v>70</v>
      </c>
      <c r="L130" s="9">
        <v>1</v>
      </c>
      <c r="M130" s="9">
        <v>0</v>
      </c>
      <c r="N130" s="9">
        <v>1</v>
      </c>
      <c r="O130" s="9">
        <v>0</v>
      </c>
      <c r="P130" s="9">
        <v>0</v>
      </c>
      <c r="Q130" s="9">
        <v>0</v>
      </c>
      <c r="R130" s="9">
        <v>1</v>
      </c>
      <c r="S130" s="9" t="s">
        <v>26</v>
      </c>
      <c r="T130" s="9">
        <v>1</v>
      </c>
      <c r="U130" s="9">
        <v>0</v>
      </c>
      <c r="V130" s="9" t="s">
        <v>15</v>
      </c>
      <c r="W130" s="9" t="s">
        <v>298</v>
      </c>
      <c r="X130" s="36">
        <v>0.89393939393939392</v>
      </c>
      <c r="Y130" s="37">
        <v>13.358974358974359</v>
      </c>
      <c r="Z130" s="9" t="s">
        <v>456</v>
      </c>
      <c r="AA130" s="9">
        <v>1</v>
      </c>
      <c r="AB130" s="38">
        <v>41456</v>
      </c>
      <c r="AC130" s="9" t="s">
        <v>474</v>
      </c>
      <c r="AD130" s="9" t="s">
        <v>1143</v>
      </c>
      <c r="AE130" s="2">
        <v>271</v>
      </c>
      <c r="AF130" s="2">
        <v>10</v>
      </c>
      <c r="AG130"/>
    </row>
    <row r="131" spans="1:34" ht="15" customHeight="1" x14ac:dyDescent="0.25">
      <c r="A131" s="9">
        <v>130</v>
      </c>
      <c r="B131" s="9" t="s">
        <v>300</v>
      </c>
      <c r="C131" s="9" t="s">
        <v>301</v>
      </c>
      <c r="D131" s="9">
        <v>5</v>
      </c>
      <c r="E131" s="9">
        <v>24</v>
      </c>
      <c r="F131" s="9">
        <v>212</v>
      </c>
      <c r="G131" s="9">
        <v>21</v>
      </c>
      <c r="H131" s="9">
        <v>26</v>
      </c>
      <c r="I131" s="9">
        <v>0</v>
      </c>
      <c r="J131" s="9">
        <v>9</v>
      </c>
      <c r="K131" s="9">
        <v>6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 t="s">
        <v>293</v>
      </c>
      <c r="T131" s="9">
        <v>0</v>
      </c>
      <c r="U131" s="9">
        <v>0</v>
      </c>
      <c r="V131" s="9" t="s">
        <v>15</v>
      </c>
      <c r="W131" s="9" t="s">
        <v>300</v>
      </c>
      <c r="X131" s="9">
        <v>0.875</v>
      </c>
      <c r="Y131" s="37">
        <v>8.1538461538461533</v>
      </c>
      <c r="Z131" s="9" t="s">
        <v>455</v>
      </c>
      <c r="AA131" s="9">
        <v>0</v>
      </c>
      <c r="AB131" s="38">
        <v>41456</v>
      </c>
      <c r="AC131" s="9" t="s">
        <v>474</v>
      </c>
      <c r="AD131" s="9" t="s">
        <v>1143</v>
      </c>
      <c r="AE131" s="2">
        <v>70</v>
      </c>
      <c r="AF131" s="2">
        <v>9</v>
      </c>
      <c r="AG131"/>
    </row>
    <row r="132" spans="1:34" ht="15" customHeight="1" x14ac:dyDescent="0.25">
      <c r="A132" s="9">
        <v>131</v>
      </c>
      <c r="B132" s="9" t="s">
        <v>302</v>
      </c>
      <c r="C132" s="9" t="s">
        <v>303</v>
      </c>
      <c r="D132" s="9">
        <v>6</v>
      </c>
      <c r="E132" s="9">
        <v>35</v>
      </c>
      <c r="F132" s="9">
        <v>708</v>
      </c>
      <c r="G132" s="9">
        <v>53</v>
      </c>
      <c r="H132" s="9">
        <v>55</v>
      </c>
      <c r="I132" s="9">
        <v>6</v>
      </c>
      <c r="J132" s="9">
        <v>39</v>
      </c>
      <c r="K132" s="9">
        <v>41</v>
      </c>
      <c r="L132" s="9">
        <v>0</v>
      </c>
      <c r="M132" s="9">
        <v>0</v>
      </c>
      <c r="N132" s="9">
        <v>0</v>
      </c>
      <c r="O132" s="9">
        <v>1</v>
      </c>
      <c r="P132" s="9">
        <v>0</v>
      </c>
      <c r="Q132" s="9">
        <v>2</v>
      </c>
      <c r="R132" s="9">
        <v>1</v>
      </c>
      <c r="S132" s="9" t="s">
        <v>37</v>
      </c>
      <c r="T132" s="9">
        <v>0</v>
      </c>
      <c r="U132" s="9">
        <v>0</v>
      </c>
      <c r="V132" s="9" t="s">
        <v>15</v>
      </c>
      <c r="W132" s="9" t="s">
        <v>302</v>
      </c>
      <c r="X132" s="9">
        <v>1.5142857142857142</v>
      </c>
      <c r="Y132" s="37">
        <v>14.448979591836734</v>
      </c>
      <c r="Z132" s="9" t="s">
        <v>458</v>
      </c>
      <c r="AA132" s="9">
        <v>3</v>
      </c>
      <c r="AB132" s="38">
        <v>41456</v>
      </c>
      <c r="AC132" s="9" t="s">
        <v>476</v>
      </c>
      <c r="AD132" s="9" t="s">
        <v>477</v>
      </c>
      <c r="AE132" s="2">
        <v>312</v>
      </c>
      <c r="AF132" s="2">
        <v>25</v>
      </c>
      <c r="AG132"/>
    </row>
    <row r="133" spans="1:34" ht="15" customHeight="1" x14ac:dyDescent="0.25">
      <c r="A133" s="9">
        <v>132</v>
      </c>
      <c r="B133" s="9" t="s">
        <v>304</v>
      </c>
      <c r="C133" s="9" t="s">
        <v>305</v>
      </c>
      <c r="D133" s="9">
        <v>4</v>
      </c>
      <c r="E133" s="9">
        <v>21</v>
      </c>
      <c r="F133" s="9">
        <v>134</v>
      </c>
      <c r="G133" s="9">
        <v>23</v>
      </c>
      <c r="H133" s="9">
        <v>23</v>
      </c>
      <c r="I133" s="9">
        <v>0</v>
      </c>
      <c r="J133" s="9">
        <v>2</v>
      </c>
      <c r="K133" s="9">
        <v>1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 t="s">
        <v>210</v>
      </c>
      <c r="T133" s="9">
        <v>0</v>
      </c>
      <c r="U133" s="9">
        <v>0</v>
      </c>
      <c r="V133" s="9" t="s">
        <v>15</v>
      </c>
      <c r="W133" s="9" t="s">
        <v>304</v>
      </c>
      <c r="X133" s="9">
        <v>1.0952380952380953</v>
      </c>
      <c r="Y133" s="37">
        <v>5.8260869565217392</v>
      </c>
      <c r="Z133" s="9" t="s">
        <v>457</v>
      </c>
      <c r="AA133" s="9">
        <v>0</v>
      </c>
      <c r="AB133" s="38">
        <v>41456</v>
      </c>
      <c r="AC133" s="9" t="s">
        <v>474</v>
      </c>
      <c r="AD133" s="9" t="s">
        <v>1132</v>
      </c>
      <c r="AE133" s="2">
        <v>43</v>
      </c>
      <c r="AF133" s="2">
        <v>9</v>
      </c>
      <c r="AG133"/>
    </row>
    <row r="134" spans="1:34" ht="15" customHeight="1" x14ac:dyDescent="0.25">
      <c r="A134" s="9">
        <v>133</v>
      </c>
      <c r="B134" s="9" t="s">
        <v>306</v>
      </c>
      <c r="C134" s="9" t="s">
        <v>307</v>
      </c>
      <c r="D134" s="9">
        <v>4</v>
      </c>
      <c r="E134" s="9">
        <v>16</v>
      </c>
      <c r="F134" s="9">
        <v>331</v>
      </c>
      <c r="G134" s="9">
        <v>19</v>
      </c>
      <c r="H134" s="9">
        <v>29</v>
      </c>
      <c r="I134" s="9">
        <v>4</v>
      </c>
      <c r="J134" s="9">
        <v>11</v>
      </c>
      <c r="K134" s="9">
        <v>12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1</v>
      </c>
      <c r="R134" s="9">
        <v>1</v>
      </c>
      <c r="S134" s="9" t="s">
        <v>281</v>
      </c>
      <c r="T134" s="9">
        <v>0</v>
      </c>
      <c r="U134" s="9">
        <v>0</v>
      </c>
      <c r="V134" s="9" t="s">
        <v>15</v>
      </c>
      <c r="W134" s="9" t="s">
        <v>306</v>
      </c>
      <c r="X134" s="39">
        <v>1.1875</v>
      </c>
      <c r="Y134" s="37">
        <v>13.24</v>
      </c>
      <c r="Z134" s="9" t="s">
        <v>454</v>
      </c>
      <c r="AA134" s="9">
        <v>2</v>
      </c>
      <c r="AB134" s="38">
        <v>41456</v>
      </c>
      <c r="AC134" s="9" t="s">
        <v>474</v>
      </c>
      <c r="AD134" s="9" t="s">
        <v>1144</v>
      </c>
      <c r="AE134" s="2">
        <v>212</v>
      </c>
      <c r="AF134" s="2">
        <v>11</v>
      </c>
      <c r="AG134"/>
    </row>
    <row r="135" spans="1:34" ht="15" customHeight="1" x14ac:dyDescent="0.25">
      <c r="A135" s="9">
        <v>134</v>
      </c>
      <c r="B135" s="9" t="s">
        <v>308</v>
      </c>
      <c r="C135" s="9" t="s">
        <v>309</v>
      </c>
      <c r="D135" s="9">
        <v>1</v>
      </c>
      <c r="E135" s="9">
        <v>2</v>
      </c>
      <c r="F135" s="9">
        <v>25</v>
      </c>
      <c r="G135" s="9">
        <v>2</v>
      </c>
      <c r="H135" s="9">
        <v>2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 t="s">
        <v>286</v>
      </c>
      <c r="T135" s="9">
        <v>0</v>
      </c>
      <c r="U135" s="9">
        <v>0</v>
      </c>
      <c r="V135" s="9" t="s">
        <v>15</v>
      </c>
      <c r="W135" s="9" t="s">
        <v>308</v>
      </c>
      <c r="X135" s="9">
        <v>1</v>
      </c>
      <c r="Y135" s="37">
        <v>12.5</v>
      </c>
      <c r="Z135" s="9" t="s">
        <v>454</v>
      </c>
      <c r="AA135" s="9">
        <v>0</v>
      </c>
      <c r="AB135" s="38">
        <v>41456</v>
      </c>
      <c r="AC135" s="9" t="s">
        <v>474</v>
      </c>
      <c r="AD135" s="9" t="s">
        <v>1144</v>
      </c>
      <c r="AE135" s="2">
        <v>25</v>
      </c>
      <c r="AF135" s="2">
        <v>2</v>
      </c>
      <c r="AG135"/>
    </row>
    <row r="136" spans="1:34" ht="15" customHeight="1" x14ac:dyDescent="0.25">
      <c r="A136" s="9">
        <v>135</v>
      </c>
      <c r="B136" s="9" t="s">
        <v>310</v>
      </c>
      <c r="C136" s="9" t="s">
        <v>311</v>
      </c>
      <c r="D136" s="9">
        <v>1</v>
      </c>
      <c r="E136" s="9">
        <v>2</v>
      </c>
      <c r="F136" s="9">
        <v>3</v>
      </c>
      <c r="G136" s="9">
        <v>0</v>
      </c>
      <c r="H136" s="9">
        <v>2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 t="s">
        <v>286</v>
      </c>
      <c r="T136" s="9">
        <v>0</v>
      </c>
      <c r="U136" s="9">
        <v>0</v>
      </c>
      <c r="V136" s="9" t="s">
        <v>15</v>
      </c>
      <c r="W136" s="9" t="s">
        <v>310</v>
      </c>
      <c r="X136" s="9">
        <v>0</v>
      </c>
      <c r="Y136" s="37">
        <v>1.5</v>
      </c>
      <c r="Z136" s="9" t="s">
        <v>455</v>
      </c>
      <c r="AA136" s="9">
        <v>0</v>
      </c>
      <c r="AB136" s="38">
        <v>41456</v>
      </c>
      <c r="AC136" s="9" t="s">
        <v>474</v>
      </c>
      <c r="AD136" s="9" t="s">
        <v>1133</v>
      </c>
      <c r="AE136" s="2">
        <v>3</v>
      </c>
      <c r="AF136" s="2">
        <v>0</v>
      </c>
      <c r="AG136"/>
    </row>
    <row r="137" spans="1:34" ht="15" customHeight="1" x14ac:dyDescent="0.25">
      <c r="A137" s="9">
        <v>136</v>
      </c>
      <c r="B137" s="9" t="s">
        <v>312</v>
      </c>
      <c r="C137" s="9" t="s">
        <v>313</v>
      </c>
      <c r="D137" s="9">
        <v>1</v>
      </c>
      <c r="E137" s="9">
        <v>2</v>
      </c>
      <c r="F137" s="9">
        <v>28</v>
      </c>
      <c r="G137" s="9">
        <v>3</v>
      </c>
      <c r="H137" s="9">
        <v>2</v>
      </c>
      <c r="I137" s="9">
        <v>1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 t="s">
        <v>286</v>
      </c>
      <c r="T137" s="9">
        <v>0</v>
      </c>
      <c r="U137" s="9">
        <v>0</v>
      </c>
      <c r="V137" s="9" t="s">
        <v>15</v>
      </c>
      <c r="W137" s="9" t="s">
        <v>312</v>
      </c>
      <c r="X137" s="9">
        <v>1.5</v>
      </c>
      <c r="Y137" s="37">
        <v>28</v>
      </c>
      <c r="Z137" s="9" t="s">
        <v>459</v>
      </c>
      <c r="AA137" s="9">
        <v>0</v>
      </c>
      <c r="AB137" s="38">
        <v>41456</v>
      </c>
      <c r="AC137" s="9" t="s">
        <v>474</v>
      </c>
      <c r="AD137" s="9" t="s">
        <v>1133</v>
      </c>
      <c r="AE137" s="2">
        <v>28</v>
      </c>
      <c r="AF137" s="2">
        <v>3</v>
      </c>
      <c r="AG137"/>
    </row>
    <row r="138" spans="1:34" ht="15" customHeight="1" x14ac:dyDescent="0.25">
      <c r="A138" s="9">
        <v>137</v>
      </c>
      <c r="B138" s="9" t="s">
        <v>314</v>
      </c>
      <c r="C138" s="9" t="s">
        <v>315</v>
      </c>
      <c r="D138" s="9">
        <v>1</v>
      </c>
      <c r="E138" s="9">
        <v>1</v>
      </c>
      <c r="F138" s="9">
        <v>2</v>
      </c>
      <c r="G138" s="9">
        <v>0</v>
      </c>
      <c r="H138" s="9">
        <v>1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 t="s">
        <v>286</v>
      </c>
      <c r="T138" s="9">
        <v>0</v>
      </c>
      <c r="U138" s="9">
        <v>0</v>
      </c>
      <c r="V138" s="9" t="s">
        <v>15</v>
      </c>
      <c r="W138" s="9" t="s">
        <v>314</v>
      </c>
      <c r="X138" s="9">
        <v>0</v>
      </c>
      <c r="Y138" s="37">
        <v>2</v>
      </c>
      <c r="Z138" s="9" t="s">
        <v>455</v>
      </c>
      <c r="AA138" s="9">
        <v>0</v>
      </c>
      <c r="AB138" s="38">
        <v>41456</v>
      </c>
      <c r="AC138" s="9" t="s">
        <v>474</v>
      </c>
      <c r="AD138" s="9" t="s">
        <v>1145</v>
      </c>
      <c r="AE138" s="2">
        <v>2</v>
      </c>
      <c r="AF138" s="2">
        <v>0</v>
      </c>
      <c r="AG138"/>
    </row>
    <row r="139" spans="1:34" ht="15" customHeight="1" x14ac:dyDescent="0.25">
      <c r="A139" s="9">
        <v>138</v>
      </c>
      <c r="B139" s="9" t="s">
        <v>316</v>
      </c>
      <c r="C139" s="9" t="s">
        <v>317</v>
      </c>
      <c r="D139" s="9">
        <v>1</v>
      </c>
      <c r="E139" s="9">
        <v>2</v>
      </c>
      <c r="F139" s="9">
        <v>8</v>
      </c>
      <c r="G139" s="9">
        <v>1</v>
      </c>
      <c r="H139" s="9">
        <v>4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 t="s">
        <v>286</v>
      </c>
      <c r="T139" s="9">
        <v>0</v>
      </c>
      <c r="U139" s="9">
        <v>0</v>
      </c>
      <c r="V139" s="9" t="s">
        <v>15</v>
      </c>
      <c r="W139" s="9" t="s">
        <v>316</v>
      </c>
      <c r="X139" s="9">
        <v>0.5</v>
      </c>
      <c r="Y139" s="37">
        <v>2</v>
      </c>
      <c r="Z139" s="9" t="s">
        <v>455</v>
      </c>
      <c r="AA139" s="9">
        <v>0</v>
      </c>
      <c r="AB139" s="38">
        <v>41456</v>
      </c>
      <c r="AC139" s="9" t="s">
        <v>474</v>
      </c>
      <c r="AD139" s="9" t="s">
        <v>1135</v>
      </c>
      <c r="AE139" s="2">
        <v>8</v>
      </c>
      <c r="AF139" s="2">
        <v>1</v>
      </c>
      <c r="AG139"/>
    </row>
    <row r="140" spans="1:34" ht="15" customHeight="1" x14ac:dyDescent="0.25">
      <c r="A140" s="9">
        <v>139</v>
      </c>
      <c r="B140" s="9" t="s">
        <v>318</v>
      </c>
      <c r="C140" s="9" t="s">
        <v>319</v>
      </c>
      <c r="D140" s="9">
        <v>10</v>
      </c>
      <c r="E140" s="9">
        <v>68</v>
      </c>
      <c r="F140" s="9">
        <v>1198</v>
      </c>
      <c r="G140" s="9">
        <v>86</v>
      </c>
      <c r="H140" s="9">
        <v>100</v>
      </c>
      <c r="I140" s="9">
        <v>15</v>
      </c>
      <c r="J140" s="9">
        <v>76</v>
      </c>
      <c r="K140" s="9">
        <v>49</v>
      </c>
      <c r="L140" s="9">
        <v>0</v>
      </c>
      <c r="M140" s="9">
        <v>0</v>
      </c>
      <c r="N140" s="9">
        <v>0</v>
      </c>
      <c r="O140" s="9">
        <v>0</v>
      </c>
      <c r="P140" s="9">
        <v>1</v>
      </c>
      <c r="Q140" s="9">
        <v>2</v>
      </c>
      <c r="R140" s="9">
        <v>2</v>
      </c>
      <c r="S140" s="9" t="s">
        <v>101</v>
      </c>
      <c r="T140" s="9">
        <v>0</v>
      </c>
      <c r="U140" s="9">
        <v>0</v>
      </c>
      <c r="V140" s="9" t="s">
        <v>15</v>
      </c>
      <c r="W140" s="9" t="s">
        <v>318</v>
      </c>
      <c r="X140" s="9">
        <v>1.2647058823529411</v>
      </c>
      <c r="Y140" s="37">
        <v>14.094117647058823</v>
      </c>
      <c r="Z140" s="9" t="s">
        <v>458</v>
      </c>
      <c r="AA140" s="9">
        <v>4</v>
      </c>
      <c r="AB140" s="38">
        <v>41456</v>
      </c>
      <c r="AC140" s="9" t="s">
        <v>474</v>
      </c>
      <c r="AD140" s="9" t="s">
        <v>1135</v>
      </c>
      <c r="AE140" s="2">
        <v>269</v>
      </c>
      <c r="AF140" s="2">
        <v>21</v>
      </c>
      <c r="AG140"/>
    </row>
    <row r="141" spans="1:34" ht="15" customHeight="1" x14ac:dyDescent="0.25">
      <c r="A141" s="9">
        <v>140</v>
      </c>
      <c r="B141" s="9" t="s">
        <v>320</v>
      </c>
      <c r="C141" s="9" t="s">
        <v>321</v>
      </c>
      <c r="D141" s="9">
        <v>1</v>
      </c>
      <c r="E141" s="9">
        <v>8</v>
      </c>
      <c r="F141" s="9">
        <v>139</v>
      </c>
      <c r="G141" s="9">
        <v>3</v>
      </c>
      <c r="H141" s="9">
        <v>8</v>
      </c>
      <c r="I141" s="9">
        <v>0</v>
      </c>
      <c r="J141" s="9">
        <v>11</v>
      </c>
      <c r="K141" s="9">
        <v>8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1</v>
      </c>
      <c r="S141" s="9" t="s">
        <v>227</v>
      </c>
      <c r="T141" s="9">
        <v>0</v>
      </c>
      <c r="U141" s="9">
        <v>0</v>
      </c>
      <c r="V141" s="9" t="s">
        <v>15</v>
      </c>
      <c r="W141" s="9" t="s">
        <v>320</v>
      </c>
      <c r="X141" s="9">
        <v>0.375</v>
      </c>
      <c r="Y141" s="37">
        <v>17.375</v>
      </c>
      <c r="Z141" s="9" t="s">
        <v>456</v>
      </c>
      <c r="AA141" s="9">
        <v>1</v>
      </c>
      <c r="AB141" s="38">
        <v>41487</v>
      </c>
      <c r="AC141" s="9" t="s">
        <v>490</v>
      </c>
      <c r="AD141" s="9" t="s">
        <v>1146</v>
      </c>
      <c r="AE141" s="2">
        <v>139</v>
      </c>
      <c r="AF141" s="2">
        <v>3</v>
      </c>
      <c r="AG141"/>
    </row>
    <row r="142" spans="1:34" ht="15" customHeight="1" x14ac:dyDescent="0.25">
      <c r="A142" s="9">
        <v>141</v>
      </c>
      <c r="B142" s="9" t="s">
        <v>322</v>
      </c>
      <c r="C142" s="9" t="s">
        <v>323</v>
      </c>
      <c r="D142" s="9">
        <v>1</v>
      </c>
      <c r="E142" s="9">
        <v>1</v>
      </c>
      <c r="F142" s="9">
        <v>3</v>
      </c>
      <c r="G142" s="9">
        <v>0</v>
      </c>
      <c r="H142" s="9">
        <v>1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1</v>
      </c>
      <c r="S142" s="9" t="s">
        <v>227</v>
      </c>
      <c r="T142" s="9">
        <v>0</v>
      </c>
      <c r="U142" s="9">
        <v>0</v>
      </c>
      <c r="V142" s="9" t="s">
        <v>15</v>
      </c>
      <c r="W142" s="9" t="s">
        <v>322</v>
      </c>
      <c r="X142" s="9">
        <v>0</v>
      </c>
      <c r="Y142" s="37">
        <v>3</v>
      </c>
      <c r="Z142" s="9" t="s">
        <v>455</v>
      </c>
      <c r="AA142" s="9">
        <v>1</v>
      </c>
      <c r="AB142" s="38">
        <v>41487</v>
      </c>
      <c r="AC142" s="9" t="s">
        <v>490</v>
      </c>
      <c r="AD142" s="9" t="s">
        <v>1146</v>
      </c>
      <c r="AE142" s="2">
        <v>3</v>
      </c>
      <c r="AF142" s="2">
        <v>0</v>
      </c>
      <c r="AG142"/>
    </row>
    <row r="143" spans="1:34" ht="15" customHeight="1" x14ac:dyDescent="0.25">
      <c r="A143" s="9">
        <v>142</v>
      </c>
      <c r="B143" s="9" t="s">
        <v>324</v>
      </c>
      <c r="C143" s="9" t="s">
        <v>325</v>
      </c>
      <c r="D143" s="9">
        <v>1</v>
      </c>
      <c r="E143" s="9">
        <v>2</v>
      </c>
      <c r="F143" s="9">
        <v>18</v>
      </c>
      <c r="G143" s="9">
        <v>2</v>
      </c>
      <c r="H143" s="9">
        <v>2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 t="s">
        <v>326</v>
      </c>
      <c r="T143" s="9">
        <v>0</v>
      </c>
      <c r="U143" s="9">
        <v>0</v>
      </c>
      <c r="V143" s="9" t="s">
        <v>15</v>
      </c>
      <c r="W143" s="9" t="s">
        <v>324</v>
      </c>
      <c r="X143" s="9">
        <v>1</v>
      </c>
      <c r="Y143" s="37">
        <v>9</v>
      </c>
      <c r="Z143" s="9" t="s">
        <v>457</v>
      </c>
      <c r="AA143" s="9">
        <v>0</v>
      </c>
      <c r="AB143" s="38">
        <v>41548</v>
      </c>
      <c r="AC143" s="9" t="s">
        <v>499</v>
      </c>
      <c r="AD143" s="9" t="s">
        <v>582</v>
      </c>
      <c r="AE143" s="2">
        <v>18</v>
      </c>
      <c r="AF143" s="2">
        <v>2</v>
      </c>
      <c r="AG143"/>
    </row>
    <row r="144" spans="1:34" ht="15" customHeight="1" x14ac:dyDescent="0.25">
      <c r="A144" s="9">
        <v>143</v>
      </c>
      <c r="B144" s="9" t="s">
        <v>327</v>
      </c>
      <c r="C144" s="9" t="s">
        <v>328</v>
      </c>
      <c r="D144" s="9">
        <v>2</v>
      </c>
      <c r="E144" s="9">
        <v>12</v>
      </c>
      <c r="F144" s="9">
        <v>78</v>
      </c>
      <c r="G144" s="9">
        <v>14</v>
      </c>
      <c r="H144" s="9">
        <v>10</v>
      </c>
      <c r="I144" s="9">
        <v>1</v>
      </c>
      <c r="J144" s="9">
        <v>3</v>
      </c>
      <c r="K144" s="9">
        <v>1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 t="s">
        <v>37</v>
      </c>
      <c r="T144" s="9">
        <v>0</v>
      </c>
      <c r="U144" s="9">
        <v>0</v>
      </c>
      <c r="V144" s="9" t="s">
        <v>15</v>
      </c>
      <c r="W144" s="9" t="s">
        <v>327</v>
      </c>
      <c r="X144" s="9">
        <v>1.1666666666666667</v>
      </c>
      <c r="Y144" s="37">
        <v>8.6666666666666661</v>
      </c>
      <c r="Z144" s="9" t="s">
        <v>457</v>
      </c>
      <c r="AA144" s="9">
        <v>0</v>
      </c>
      <c r="AB144" s="38">
        <v>41548</v>
      </c>
      <c r="AC144" s="9" t="s">
        <v>499</v>
      </c>
      <c r="AD144" s="9" t="s">
        <v>583</v>
      </c>
      <c r="AE144" s="2">
        <v>42</v>
      </c>
      <c r="AF144" s="2">
        <v>7</v>
      </c>
      <c r="AG144"/>
    </row>
    <row r="145" spans="1:34" ht="15" customHeight="1" x14ac:dyDescent="0.25">
      <c r="A145" s="9">
        <v>144</v>
      </c>
      <c r="B145" s="9" t="s">
        <v>329</v>
      </c>
      <c r="C145" s="9" t="s">
        <v>330</v>
      </c>
      <c r="D145" s="9">
        <v>1</v>
      </c>
      <c r="E145" s="9">
        <v>5</v>
      </c>
      <c r="F145" s="9">
        <v>58</v>
      </c>
      <c r="G145" s="9">
        <v>1</v>
      </c>
      <c r="H145" s="9">
        <v>6</v>
      </c>
      <c r="I145" s="9">
        <v>2</v>
      </c>
      <c r="J145" s="9">
        <v>5</v>
      </c>
      <c r="K145" s="9">
        <v>4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 t="s">
        <v>210</v>
      </c>
      <c r="T145" s="9">
        <v>0</v>
      </c>
      <c r="U145" s="9">
        <v>0</v>
      </c>
      <c r="V145" s="9" t="s">
        <v>15</v>
      </c>
      <c r="W145" s="9" t="s">
        <v>329</v>
      </c>
      <c r="X145" s="9">
        <v>0.2</v>
      </c>
      <c r="Y145" s="37">
        <v>14.5</v>
      </c>
      <c r="Z145" s="9" t="s">
        <v>456</v>
      </c>
      <c r="AA145" s="9">
        <v>0</v>
      </c>
      <c r="AB145" s="38">
        <v>41609</v>
      </c>
      <c r="AC145" s="9" t="s">
        <v>501</v>
      </c>
      <c r="AD145" s="9" t="s">
        <v>584</v>
      </c>
      <c r="AE145" s="2">
        <v>58</v>
      </c>
      <c r="AF145" s="2">
        <v>1</v>
      </c>
      <c r="AG145"/>
    </row>
    <row r="146" spans="1:34" ht="15" customHeight="1" x14ac:dyDescent="0.25">
      <c r="A146" s="9">
        <v>145</v>
      </c>
      <c r="B146" s="9" t="s">
        <v>331</v>
      </c>
      <c r="C146" s="9" t="s">
        <v>332</v>
      </c>
      <c r="D146" s="9">
        <v>1</v>
      </c>
      <c r="E146" s="9">
        <v>2</v>
      </c>
      <c r="F146" s="9">
        <v>5</v>
      </c>
      <c r="G146" s="9">
        <v>2</v>
      </c>
      <c r="H146" s="9">
        <v>3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 t="s">
        <v>210</v>
      </c>
      <c r="T146" s="9">
        <v>0</v>
      </c>
      <c r="U146" s="9">
        <v>0</v>
      </c>
      <c r="V146" s="9" t="s">
        <v>15</v>
      </c>
      <c r="W146" s="9" t="s">
        <v>331</v>
      </c>
      <c r="X146" s="9">
        <v>1</v>
      </c>
      <c r="Y146" s="37">
        <v>1.6666666666666667</v>
      </c>
      <c r="Z146" s="9" t="s">
        <v>457</v>
      </c>
      <c r="AA146" s="9">
        <v>0</v>
      </c>
      <c r="AB146" s="38">
        <v>41609</v>
      </c>
      <c r="AC146" s="9" t="s">
        <v>501</v>
      </c>
      <c r="AD146" s="9" t="s">
        <v>535</v>
      </c>
      <c r="AE146" s="2">
        <v>5</v>
      </c>
      <c r="AF146" s="2">
        <v>2</v>
      </c>
      <c r="AG146"/>
    </row>
    <row r="147" spans="1:34" ht="15" customHeight="1" x14ac:dyDescent="0.25">
      <c r="A147" s="9">
        <v>146</v>
      </c>
      <c r="B147" s="9" t="s">
        <v>333</v>
      </c>
      <c r="C147" s="9" t="s">
        <v>1097</v>
      </c>
      <c r="D147" s="9">
        <v>7</v>
      </c>
      <c r="E147" s="9">
        <v>38</v>
      </c>
      <c r="F147" s="9">
        <v>412</v>
      </c>
      <c r="G147" s="9">
        <v>37</v>
      </c>
      <c r="H147" s="9">
        <v>44</v>
      </c>
      <c r="I147" s="9">
        <v>2</v>
      </c>
      <c r="J147" s="9">
        <v>25</v>
      </c>
      <c r="K147" s="9">
        <v>18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1</v>
      </c>
      <c r="S147" s="9" t="s">
        <v>59</v>
      </c>
      <c r="T147" s="9">
        <v>0</v>
      </c>
      <c r="U147" s="9">
        <v>0</v>
      </c>
      <c r="V147" s="9" t="s">
        <v>15</v>
      </c>
      <c r="W147" s="9" t="s">
        <v>333</v>
      </c>
      <c r="X147" s="9">
        <v>0.97368421052631582</v>
      </c>
      <c r="Y147" s="37">
        <v>9.8095238095238102</v>
      </c>
      <c r="Z147" s="9" t="s">
        <v>455</v>
      </c>
      <c r="AA147" s="9">
        <v>1</v>
      </c>
      <c r="AB147" s="38">
        <v>41548</v>
      </c>
      <c r="AC147" s="9" t="s">
        <v>499</v>
      </c>
      <c r="AD147" s="9" t="s">
        <v>585</v>
      </c>
      <c r="AE147" s="2">
        <v>86</v>
      </c>
      <c r="AF147" s="2">
        <v>14</v>
      </c>
      <c r="AG147" s="16" t="s">
        <v>1103</v>
      </c>
      <c r="AH147" s="34">
        <v>46299</v>
      </c>
    </row>
    <row r="148" spans="1:34" ht="15" customHeight="1" x14ac:dyDescent="0.25">
      <c r="A148" s="9">
        <v>147</v>
      </c>
      <c r="B148" s="9" t="s">
        <v>334</v>
      </c>
      <c r="C148" s="9" t="s">
        <v>335</v>
      </c>
      <c r="D148" s="9">
        <v>2</v>
      </c>
      <c r="E148" s="9">
        <v>19</v>
      </c>
      <c r="F148" s="9">
        <v>148</v>
      </c>
      <c r="G148" s="9">
        <v>17</v>
      </c>
      <c r="H148" s="9">
        <v>22</v>
      </c>
      <c r="I148" s="9">
        <v>0</v>
      </c>
      <c r="J148" s="9">
        <v>11</v>
      </c>
      <c r="K148" s="9">
        <v>6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 t="s">
        <v>293</v>
      </c>
      <c r="T148" s="9">
        <v>0</v>
      </c>
      <c r="U148" s="9">
        <v>0</v>
      </c>
      <c r="V148" s="9" t="s">
        <v>15</v>
      </c>
      <c r="W148" s="9" t="s">
        <v>334</v>
      </c>
      <c r="X148" s="9">
        <v>0.89473684210526316</v>
      </c>
      <c r="Y148" s="37">
        <v>6.7272727272727275</v>
      </c>
      <c r="Z148" s="9" t="s">
        <v>455</v>
      </c>
      <c r="AA148" s="9">
        <v>0</v>
      </c>
      <c r="AB148" s="38">
        <v>41609</v>
      </c>
      <c r="AC148" s="9" t="s">
        <v>501</v>
      </c>
      <c r="AD148" s="9" t="s">
        <v>586</v>
      </c>
      <c r="AE148" s="2">
        <v>85</v>
      </c>
      <c r="AF148" s="2">
        <v>12</v>
      </c>
      <c r="AG148"/>
    </row>
    <row r="149" spans="1:34" ht="15" customHeight="1" x14ac:dyDescent="0.25">
      <c r="A149" s="9">
        <v>148</v>
      </c>
      <c r="B149" s="9" t="s">
        <v>336</v>
      </c>
      <c r="C149" s="9" t="s">
        <v>337</v>
      </c>
      <c r="D149" s="9">
        <v>4</v>
      </c>
      <c r="E149" s="9">
        <v>26</v>
      </c>
      <c r="F149" s="9">
        <v>465</v>
      </c>
      <c r="G149" s="9">
        <v>39</v>
      </c>
      <c r="H149" s="9">
        <v>39</v>
      </c>
      <c r="I149" s="9">
        <v>4</v>
      </c>
      <c r="J149" s="9">
        <v>32</v>
      </c>
      <c r="K149" s="9">
        <v>31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 t="s">
        <v>278</v>
      </c>
      <c r="T149" s="9">
        <v>0</v>
      </c>
      <c r="U149" s="9">
        <v>0</v>
      </c>
      <c r="V149" s="9" t="s">
        <v>15</v>
      </c>
      <c r="W149" s="9" t="s">
        <v>336</v>
      </c>
      <c r="X149" s="36">
        <v>1.5</v>
      </c>
      <c r="Y149" s="37">
        <v>13.285714285714286</v>
      </c>
      <c r="Z149" s="9" t="s">
        <v>454</v>
      </c>
      <c r="AA149" s="9">
        <v>0</v>
      </c>
      <c r="AB149" s="38">
        <v>41609</v>
      </c>
      <c r="AC149" s="9" t="s">
        <v>501</v>
      </c>
      <c r="AD149" s="9" t="s">
        <v>586</v>
      </c>
      <c r="AE149" s="2">
        <v>177</v>
      </c>
      <c r="AF149" s="2">
        <v>24</v>
      </c>
      <c r="AG149"/>
    </row>
    <row r="150" spans="1:34" ht="15" customHeight="1" x14ac:dyDescent="0.25">
      <c r="A150" s="9">
        <v>149</v>
      </c>
      <c r="B150" s="9" t="s">
        <v>338</v>
      </c>
      <c r="C150" s="9" t="s">
        <v>339</v>
      </c>
      <c r="D150" s="9">
        <v>1</v>
      </c>
      <c r="E150" s="9">
        <v>2</v>
      </c>
      <c r="F150" s="9">
        <v>3</v>
      </c>
      <c r="G150" s="9">
        <v>1</v>
      </c>
      <c r="H150" s="9">
        <v>2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 t="s">
        <v>210</v>
      </c>
      <c r="T150" s="9">
        <v>0</v>
      </c>
      <c r="U150" s="9">
        <v>0</v>
      </c>
      <c r="V150" s="9" t="s">
        <v>15</v>
      </c>
      <c r="W150" s="9" t="s">
        <v>338</v>
      </c>
      <c r="X150" s="9">
        <v>0.5</v>
      </c>
      <c r="Y150" s="37">
        <v>1.5</v>
      </c>
      <c r="Z150" s="9" t="s">
        <v>455</v>
      </c>
      <c r="AA150" s="9">
        <v>0</v>
      </c>
      <c r="AB150" s="38">
        <v>41609</v>
      </c>
      <c r="AC150" s="9" t="s">
        <v>501</v>
      </c>
      <c r="AD150" s="9" t="s">
        <v>587</v>
      </c>
      <c r="AE150" s="2">
        <v>3</v>
      </c>
      <c r="AF150" s="2">
        <v>1</v>
      </c>
      <c r="AG150"/>
    </row>
    <row r="151" spans="1:34" ht="15" customHeight="1" x14ac:dyDescent="0.25">
      <c r="A151" s="9">
        <v>150</v>
      </c>
      <c r="B151" s="9" t="s">
        <v>340</v>
      </c>
      <c r="C151" s="9" t="s">
        <v>341</v>
      </c>
      <c r="D151" s="9">
        <v>2</v>
      </c>
      <c r="E151" s="9">
        <v>17</v>
      </c>
      <c r="F151" s="9">
        <v>163</v>
      </c>
      <c r="G151" s="9">
        <v>15</v>
      </c>
      <c r="H151" s="9">
        <v>18</v>
      </c>
      <c r="I151" s="9">
        <v>2</v>
      </c>
      <c r="J151" s="9">
        <v>16</v>
      </c>
      <c r="K151" s="9">
        <v>12</v>
      </c>
      <c r="L151" s="9">
        <v>1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 t="s">
        <v>293</v>
      </c>
      <c r="T151" s="9">
        <v>0</v>
      </c>
      <c r="U151" s="9">
        <v>0</v>
      </c>
      <c r="V151" s="9" t="s">
        <v>15</v>
      </c>
      <c r="W151" s="9" t="s">
        <v>340</v>
      </c>
      <c r="X151" s="9">
        <v>0.88235294117647056</v>
      </c>
      <c r="Y151" s="37">
        <v>10.1875</v>
      </c>
      <c r="Z151" s="9" t="s">
        <v>456</v>
      </c>
      <c r="AA151" s="9">
        <v>0</v>
      </c>
      <c r="AB151" s="38">
        <v>41609</v>
      </c>
      <c r="AC151" s="9" t="s">
        <v>501</v>
      </c>
      <c r="AD151" s="9" t="s">
        <v>584</v>
      </c>
      <c r="AE151" s="2">
        <v>85</v>
      </c>
      <c r="AF151" s="2">
        <v>13</v>
      </c>
      <c r="AG151"/>
    </row>
    <row r="152" spans="1:34" ht="15" customHeight="1" x14ac:dyDescent="0.25">
      <c r="A152" s="9">
        <v>151</v>
      </c>
      <c r="B152" s="9" t="s">
        <v>342</v>
      </c>
      <c r="C152" s="9" t="s">
        <v>343</v>
      </c>
      <c r="D152" s="9">
        <v>1</v>
      </c>
      <c r="E152" s="9">
        <v>12</v>
      </c>
      <c r="F152" s="9">
        <v>93</v>
      </c>
      <c r="G152" s="9">
        <v>16</v>
      </c>
      <c r="H152" s="9">
        <v>11</v>
      </c>
      <c r="I152" s="9">
        <v>1</v>
      </c>
      <c r="J152" s="9">
        <v>4</v>
      </c>
      <c r="K152" s="9">
        <v>5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1</v>
      </c>
      <c r="S152" s="9" t="s">
        <v>210</v>
      </c>
      <c r="T152" s="9">
        <v>0</v>
      </c>
      <c r="U152" s="9">
        <v>0</v>
      </c>
      <c r="V152" s="9" t="s">
        <v>15</v>
      </c>
      <c r="W152" s="9" t="s">
        <v>342</v>
      </c>
      <c r="X152" s="9">
        <v>1.3333333333333333</v>
      </c>
      <c r="Y152" s="37">
        <v>9.3000000000000007</v>
      </c>
      <c r="Z152" s="9" t="s">
        <v>457</v>
      </c>
      <c r="AA152" s="9">
        <v>1</v>
      </c>
      <c r="AB152" s="38">
        <v>41609</v>
      </c>
      <c r="AC152" s="9" t="s">
        <v>501</v>
      </c>
      <c r="AD152" s="9" t="s">
        <v>588</v>
      </c>
      <c r="AE152" s="2">
        <v>93</v>
      </c>
      <c r="AF152" s="2">
        <v>16</v>
      </c>
      <c r="AG152"/>
    </row>
    <row r="153" spans="1:34" ht="15" customHeight="1" x14ac:dyDescent="0.25">
      <c r="A153" s="9">
        <v>152</v>
      </c>
      <c r="B153" s="9" t="s">
        <v>344</v>
      </c>
      <c r="C153" s="9" t="s">
        <v>345</v>
      </c>
      <c r="D153" s="9">
        <v>1</v>
      </c>
      <c r="E153" s="9">
        <v>2</v>
      </c>
      <c r="F153" s="9">
        <v>14</v>
      </c>
      <c r="G153" s="9">
        <v>0</v>
      </c>
      <c r="H153" s="9">
        <v>2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 t="s">
        <v>210</v>
      </c>
      <c r="T153" s="9">
        <v>0</v>
      </c>
      <c r="U153" s="9">
        <v>0</v>
      </c>
      <c r="V153" s="9" t="s">
        <v>15</v>
      </c>
      <c r="W153" s="9" t="s">
        <v>344</v>
      </c>
      <c r="X153" s="9">
        <v>0</v>
      </c>
      <c r="Y153" s="37">
        <v>7</v>
      </c>
      <c r="Z153" s="9" t="s">
        <v>455</v>
      </c>
      <c r="AA153" s="9">
        <v>0</v>
      </c>
      <c r="AB153" s="38">
        <v>41609</v>
      </c>
      <c r="AC153" s="9" t="s">
        <v>501</v>
      </c>
      <c r="AD153" s="9" t="s">
        <v>589</v>
      </c>
      <c r="AE153" s="2">
        <v>14</v>
      </c>
      <c r="AF153" s="2">
        <v>0</v>
      </c>
      <c r="AG153"/>
    </row>
    <row r="154" spans="1:34" ht="15" customHeight="1" x14ac:dyDescent="0.25">
      <c r="A154" s="9">
        <v>153</v>
      </c>
      <c r="B154" s="9" t="s">
        <v>346</v>
      </c>
      <c r="C154" s="9" t="s">
        <v>347</v>
      </c>
      <c r="D154" s="9">
        <v>2</v>
      </c>
      <c r="E154" s="9">
        <v>6</v>
      </c>
      <c r="F154" s="9">
        <v>79</v>
      </c>
      <c r="G154" s="9">
        <v>9</v>
      </c>
      <c r="H154" s="9">
        <v>11</v>
      </c>
      <c r="I154" s="9">
        <v>0</v>
      </c>
      <c r="J154" s="9">
        <v>2</v>
      </c>
      <c r="K154" s="9">
        <v>3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1</v>
      </c>
      <c r="S154" s="9" t="s">
        <v>293</v>
      </c>
      <c r="T154" s="9">
        <v>0</v>
      </c>
      <c r="U154" s="9">
        <v>0</v>
      </c>
      <c r="V154" s="9" t="s">
        <v>15</v>
      </c>
      <c r="W154" s="9" t="s">
        <v>346</v>
      </c>
      <c r="X154" s="36">
        <v>1.5</v>
      </c>
      <c r="Y154" s="37">
        <v>7.1818181818181817</v>
      </c>
      <c r="Z154" s="9" t="s">
        <v>457</v>
      </c>
      <c r="AA154" s="9">
        <v>1</v>
      </c>
      <c r="AB154" s="38">
        <v>41699</v>
      </c>
      <c r="AC154" s="9" t="s">
        <v>471</v>
      </c>
      <c r="AD154" s="9" t="s">
        <v>590</v>
      </c>
      <c r="AE154" s="2">
        <v>68</v>
      </c>
      <c r="AF154" s="2">
        <v>5</v>
      </c>
      <c r="AG154"/>
    </row>
    <row r="155" spans="1:34" ht="15" customHeight="1" x14ac:dyDescent="0.25">
      <c r="A155" s="9">
        <v>154</v>
      </c>
      <c r="B155" s="9" t="s">
        <v>348</v>
      </c>
      <c r="C155" s="9" t="s">
        <v>349</v>
      </c>
      <c r="D155" s="9">
        <v>3</v>
      </c>
      <c r="E155" s="9">
        <v>7</v>
      </c>
      <c r="F155" s="9">
        <v>75</v>
      </c>
      <c r="G155" s="9">
        <v>6</v>
      </c>
      <c r="H155" s="9">
        <v>10</v>
      </c>
      <c r="I155" s="9">
        <v>0</v>
      </c>
      <c r="J155" s="9">
        <v>3</v>
      </c>
      <c r="K155" s="9">
        <v>3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 t="s">
        <v>37</v>
      </c>
      <c r="T155" s="9">
        <v>0</v>
      </c>
      <c r="U155" s="9">
        <v>0</v>
      </c>
      <c r="V155" s="9" t="s">
        <v>15</v>
      </c>
      <c r="W155" s="9" t="s">
        <v>348</v>
      </c>
      <c r="X155" s="9">
        <v>0.8571428571428571</v>
      </c>
      <c r="Y155" s="37">
        <v>7.5</v>
      </c>
      <c r="Z155" s="9" t="s">
        <v>455</v>
      </c>
      <c r="AA155" s="9">
        <v>0</v>
      </c>
      <c r="AB155" s="38">
        <v>41699</v>
      </c>
      <c r="AC155" s="9" t="s">
        <v>471</v>
      </c>
      <c r="AD155" s="9" t="s">
        <v>591</v>
      </c>
      <c r="AE155" s="2">
        <v>40</v>
      </c>
      <c r="AF155" s="2">
        <v>2</v>
      </c>
      <c r="AG155" t="s">
        <v>1159</v>
      </c>
      <c r="AH155" s="34">
        <v>46023</v>
      </c>
    </row>
    <row r="156" spans="1:34" ht="15" customHeight="1" x14ac:dyDescent="0.25">
      <c r="A156" s="9">
        <v>155</v>
      </c>
      <c r="B156" s="9" t="s">
        <v>350</v>
      </c>
      <c r="C156" s="9" t="s">
        <v>351</v>
      </c>
      <c r="D156" s="9">
        <v>7</v>
      </c>
      <c r="E156" s="9">
        <v>48</v>
      </c>
      <c r="F156" s="9">
        <v>536</v>
      </c>
      <c r="G156" s="9">
        <v>62</v>
      </c>
      <c r="H156" s="9">
        <v>48</v>
      </c>
      <c r="I156" s="9">
        <v>4</v>
      </c>
      <c r="J156" s="9">
        <v>36</v>
      </c>
      <c r="K156" s="9">
        <v>29</v>
      </c>
      <c r="L156" s="9">
        <v>1</v>
      </c>
      <c r="M156" s="9">
        <v>1</v>
      </c>
      <c r="N156" s="9">
        <v>2</v>
      </c>
      <c r="O156" s="9">
        <v>0</v>
      </c>
      <c r="P156" s="9">
        <v>0</v>
      </c>
      <c r="Q156" s="9">
        <v>1</v>
      </c>
      <c r="R156" s="9">
        <v>2</v>
      </c>
      <c r="S156" s="9" t="s">
        <v>40</v>
      </c>
      <c r="T156" s="9">
        <v>0</v>
      </c>
      <c r="U156" s="9">
        <v>0</v>
      </c>
      <c r="V156" s="9" t="s">
        <v>15</v>
      </c>
      <c r="W156" s="9" t="s">
        <v>350</v>
      </c>
      <c r="X156" s="9">
        <v>1.2916666666666667</v>
      </c>
      <c r="Y156" s="37">
        <v>12.181818181818182</v>
      </c>
      <c r="Z156" s="9" t="s">
        <v>454</v>
      </c>
      <c r="AA156" s="9">
        <v>3</v>
      </c>
      <c r="AB156" s="38">
        <v>41699</v>
      </c>
      <c r="AC156" s="9" t="s">
        <v>471</v>
      </c>
      <c r="AD156" s="9" t="s">
        <v>590</v>
      </c>
      <c r="AE156" s="2">
        <v>209</v>
      </c>
      <c r="AF156" s="2">
        <v>20</v>
      </c>
      <c r="AG156"/>
    </row>
    <row r="157" spans="1:34" ht="15" customHeight="1" x14ac:dyDescent="0.25">
      <c r="A157" s="9">
        <v>156</v>
      </c>
      <c r="B157" s="9" t="s">
        <v>352</v>
      </c>
      <c r="C157" s="9" t="s">
        <v>353</v>
      </c>
      <c r="D157" s="9">
        <v>7</v>
      </c>
      <c r="E157" s="9">
        <v>34</v>
      </c>
      <c r="F157" s="9">
        <v>442</v>
      </c>
      <c r="G157" s="9">
        <v>32</v>
      </c>
      <c r="H157" s="9">
        <v>43</v>
      </c>
      <c r="I157" s="9">
        <v>2</v>
      </c>
      <c r="J157" s="9">
        <v>33</v>
      </c>
      <c r="K157" s="9">
        <v>33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1</v>
      </c>
      <c r="R157" s="9">
        <v>1</v>
      </c>
      <c r="S157" s="9" t="s">
        <v>101</v>
      </c>
      <c r="T157" s="9">
        <v>0</v>
      </c>
      <c r="U157" s="9">
        <v>0</v>
      </c>
      <c r="V157" s="9" t="s">
        <v>15</v>
      </c>
      <c r="W157" s="9" t="s">
        <v>352</v>
      </c>
      <c r="X157" s="9">
        <v>0.94117647058823528</v>
      </c>
      <c r="Y157" s="37">
        <v>10.780487804878049</v>
      </c>
      <c r="Z157" s="9" t="s">
        <v>456</v>
      </c>
      <c r="AA157" s="9">
        <v>2</v>
      </c>
      <c r="AB157" s="38">
        <v>41699</v>
      </c>
      <c r="AC157" s="9" t="s">
        <v>471</v>
      </c>
      <c r="AD157" s="9" t="s">
        <v>592</v>
      </c>
      <c r="AE157" s="2">
        <v>190</v>
      </c>
      <c r="AF157" s="2">
        <v>10</v>
      </c>
      <c r="AG157"/>
    </row>
    <row r="158" spans="1:34" ht="15" customHeight="1" x14ac:dyDescent="0.25">
      <c r="A158" s="9">
        <v>157</v>
      </c>
      <c r="B158" s="9" t="s">
        <v>354</v>
      </c>
      <c r="C158" s="9" t="s">
        <v>355</v>
      </c>
      <c r="D158" s="9">
        <v>3</v>
      </c>
      <c r="E158" s="9">
        <v>13</v>
      </c>
      <c r="F158" s="9">
        <v>134</v>
      </c>
      <c r="G158" s="9">
        <v>15</v>
      </c>
      <c r="H158" s="9">
        <v>12</v>
      </c>
      <c r="I158" s="9">
        <v>1</v>
      </c>
      <c r="J158" s="9">
        <v>9</v>
      </c>
      <c r="K158" s="9">
        <v>7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 t="s">
        <v>37</v>
      </c>
      <c r="T158" s="9">
        <v>0</v>
      </c>
      <c r="U158" s="9">
        <v>0</v>
      </c>
      <c r="V158" s="9" t="s">
        <v>15</v>
      </c>
      <c r="W158" s="9" t="s">
        <v>354</v>
      </c>
      <c r="X158" s="9">
        <v>1.1538461538461537</v>
      </c>
      <c r="Y158" s="37">
        <v>12.181818181818182</v>
      </c>
      <c r="Z158" s="9" t="s">
        <v>454</v>
      </c>
      <c r="AA158" s="9">
        <v>0</v>
      </c>
      <c r="AB158" s="38">
        <v>41791</v>
      </c>
      <c r="AC158" s="9" t="s">
        <v>509</v>
      </c>
      <c r="AD158" s="9" t="s">
        <v>593</v>
      </c>
      <c r="AE158" s="2">
        <v>65</v>
      </c>
      <c r="AF158" s="2">
        <v>9</v>
      </c>
      <c r="AG158"/>
    </row>
    <row r="159" spans="1:34" ht="15" customHeight="1" x14ac:dyDescent="0.25">
      <c r="A159" s="9">
        <v>158</v>
      </c>
      <c r="B159" s="9" t="s">
        <v>356</v>
      </c>
      <c r="C159" s="9" t="s">
        <v>357</v>
      </c>
      <c r="D159" s="9">
        <v>4</v>
      </c>
      <c r="E159" s="9">
        <v>20</v>
      </c>
      <c r="F159" s="9">
        <v>339</v>
      </c>
      <c r="G159" s="9">
        <v>27</v>
      </c>
      <c r="H159" s="9">
        <v>25</v>
      </c>
      <c r="I159" s="9">
        <v>1</v>
      </c>
      <c r="J159" s="9">
        <v>14</v>
      </c>
      <c r="K159" s="9">
        <v>12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1</v>
      </c>
      <c r="R159" s="9">
        <v>0</v>
      </c>
      <c r="S159" s="9" t="s">
        <v>101</v>
      </c>
      <c r="T159" s="9">
        <v>0</v>
      </c>
      <c r="U159" s="9">
        <v>0</v>
      </c>
      <c r="V159" s="9" t="s">
        <v>15</v>
      </c>
      <c r="W159" s="9" t="s">
        <v>356</v>
      </c>
      <c r="X159" s="9">
        <v>1.35</v>
      </c>
      <c r="Y159" s="37">
        <v>14.125</v>
      </c>
      <c r="Z159" s="9" t="s">
        <v>458</v>
      </c>
      <c r="AA159" s="9">
        <v>1</v>
      </c>
      <c r="AB159" s="38">
        <v>41456</v>
      </c>
      <c r="AC159" s="9" t="s">
        <v>474</v>
      </c>
      <c r="AD159" s="9" t="s">
        <v>1145</v>
      </c>
      <c r="AE159" s="2">
        <v>152</v>
      </c>
      <c r="AF159" s="2">
        <v>13</v>
      </c>
      <c r="AG159"/>
    </row>
    <row r="160" spans="1:34" ht="15" customHeight="1" x14ac:dyDescent="0.25">
      <c r="A160" s="9">
        <v>159</v>
      </c>
      <c r="B160" s="9" t="s">
        <v>358</v>
      </c>
      <c r="C160" s="9" t="s">
        <v>359</v>
      </c>
      <c r="D160" s="9">
        <v>1</v>
      </c>
      <c r="E160" s="9">
        <v>9</v>
      </c>
      <c r="F160" s="9">
        <v>126</v>
      </c>
      <c r="G160" s="9">
        <v>11</v>
      </c>
      <c r="H160" s="9">
        <v>12</v>
      </c>
      <c r="I160" s="9">
        <v>0</v>
      </c>
      <c r="J160" s="9">
        <v>6</v>
      </c>
      <c r="K160" s="9">
        <v>11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 t="s">
        <v>293</v>
      </c>
      <c r="T160" s="9">
        <v>0</v>
      </c>
      <c r="U160" s="9">
        <v>0</v>
      </c>
      <c r="V160" s="9" t="s">
        <v>15</v>
      </c>
      <c r="W160" s="9" t="s">
        <v>358</v>
      </c>
      <c r="X160" s="9">
        <v>1.2222222222222223</v>
      </c>
      <c r="Y160" s="37">
        <v>10.5</v>
      </c>
      <c r="Z160" s="9" t="s">
        <v>454</v>
      </c>
      <c r="AA160" s="9">
        <v>0</v>
      </c>
      <c r="AB160" s="38">
        <v>41791</v>
      </c>
      <c r="AC160" s="9" t="s">
        <v>509</v>
      </c>
      <c r="AD160" s="9" t="s">
        <v>556</v>
      </c>
      <c r="AE160" s="2">
        <v>126</v>
      </c>
      <c r="AF160" s="2">
        <v>11</v>
      </c>
      <c r="AG160"/>
    </row>
    <row r="161" spans="1:33" ht="15" customHeight="1" x14ac:dyDescent="0.25">
      <c r="A161" s="9">
        <v>160</v>
      </c>
      <c r="B161" s="9" t="s">
        <v>360</v>
      </c>
      <c r="C161" s="9" t="s">
        <v>361</v>
      </c>
      <c r="D161" s="9">
        <v>1</v>
      </c>
      <c r="E161" s="9">
        <v>5</v>
      </c>
      <c r="F161" s="9">
        <v>164</v>
      </c>
      <c r="G161" s="9">
        <v>7</v>
      </c>
      <c r="H161" s="9">
        <v>10</v>
      </c>
      <c r="I161" s="9">
        <v>0</v>
      </c>
      <c r="J161" s="9">
        <v>7</v>
      </c>
      <c r="K161" s="9">
        <v>12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 t="s">
        <v>293</v>
      </c>
      <c r="T161" s="9">
        <v>0</v>
      </c>
      <c r="U161" s="9">
        <v>0</v>
      </c>
      <c r="V161" s="9" t="s">
        <v>15</v>
      </c>
      <c r="W161" s="9" t="s">
        <v>360</v>
      </c>
      <c r="X161" s="39">
        <v>1.4</v>
      </c>
      <c r="Y161" s="37">
        <v>16.399999999999999</v>
      </c>
      <c r="Z161" s="9" t="s">
        <v>458</v>
      </c>
      <c r="AA161" s="9">
        <v>0</v>
      </c>
      <c r="AB161" s="38">
        <v>41791</v>
      </c>
      <c r="AC161" s="9" t="s">
        <v>509</v>
      </c>
      <c r="AD161" s="9" t="s">
        <v>558</v>
      </c>
      <c r="AE161" s="2">
        <v>164</v>
      </c>
      <c r="AF161" s="2">
        <v>7</v>
      </c>
      <c r="AG161"/>
    </row>
    <row r="162" spans="1:33" ht="15" customHeight="1" x14ac:dyDescent="0.25">
      <c r="A162" s="9">
        <v>161</v>
      </c>
      <c r="B162" s="9" t="s">
        <v>362</v>
      </c>
      <c r="C162" s="9" t="s">
        <v>363</v>
      </c>
      <c r="D162" s="9">
        <v>1</v>
      </c>
      <c r="E162" s="9">
        <v>4</v>
      </c>
      <c r="F162" s="9">
        <v>91</v>
      </c>
      <c r="G162" s="9">
        <v>5</v>
      </c>
      <c r="H162" s="9">
        <v>10</v>
      </c>
      <c r="I162" s="9">
        <v>1</v>
      </c>
      <c r="J162" s="9">
        <v>3</v>
      </c>
      <c r="K162" s="9">
        <v>5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 t="s">
        <v>278</v>
      </c>
      <c r="T162" s="9">
        <v>0</v>
      </c>
      <c r="U162" s="9">
        <v>0</v>
      </c>
      <c r="V162" s="9" t="s">
        <v>15</v>
      </c>
      <c r="W162" s="9" t="s">
        <v>362</v>
      </c>
      <c r="X162" s="9">
        <v>1.25</v>
      </c>
      <c r="Y162" s="37">
        <v>10.111111111111111</v>
      </c>
      <c r="Z162" s="9" t="s">
        <v>454</v>
      </c>
      <c r="AA162" s="9">
        <v>0</v>
      </c>
      <c r="AB162" s="38">
        <v>42339</v>
      </c>
      <c r="AC162" s="9" t="s">
        <v>522</v>
      </c>
      <c r="AD162" s="9" t="s">
        <v>594</v>
      </c>
      <c r="AE162" s="2">
        <v>91</v>
      </c>
      <c r="AF162" s="2">
        <v>5</v>
      </c>
      <c r="AG162"/>
    </row>
    <row r="163" spans="1:33" ht="15" customHeight="1" x14ac:dyDescent="0.25">
      <c r="A163" s="9">
        <v>162</v>
      </c>
      <c r="B163" s="9" t="s">
        <v>364</v>
      </c>
      <c r="C163" s="9" t="s">
        <v>365</v>
      </c>
      <c r="D163" s="9">
        <v>2</v>
      </c>
      <c r="E163" s="9">
        <v>8</v>
      </c>
      <c r="F163" s="9">
        <v>65</v>
      </c>
      <c r="G163" s="9">
        <v>4</v>
      </c>
      <c r="H163" s="9">
        <v>9</v>
      </c>
      <c r="I163" s="9">
        <v>1</v>
      </c>
      <c r="J163" s="9">
        <v>5</v>
      </c>
      <c r="K163" s="9">
        <v>2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1</v>
      </c>
      <c r="R163" s="9">
        <v>0</v>
      </c>
      <c r="S163" s="9" t="s">
        <v>366</v>
      </c>
      <c r="T163" s="9">
        <v>0</v>
      </c>
      <c r="U163" s="9">
        <v>0</v>
      </c>
      <c r="V163" s="9" t="s">
        <v>15</v>
      </c>
      <c r="W163" s="9" t="s">
        <v>364</v>
      </c>
      <c r="X163" s="9">
        <v>0.5</v>
      </c>
      <c r="Y163" s="37">
        <v>8.125</v>
      </c>
      <c r="Z163" s="9" t="s">
        <v>455</v>
      </c>
      <c r="AA163" s="9">
        <v>1</v>
      </c>
      <c r="AB163" s="38">
        <v>42339</v>
      </c>
      <c r="AC163" s="9" t="s">
        <v>522</v>
      </c>
      <c r="AD163" s="9" t="s">
        <v>595</v>
      </c>
      <c r="AE163" s="2">
        <v>53</v>
      </c>
      <c r="AF163" s="2">
        <v>2</v>
      </c>
      <c r="AG163"/>
    </row>
    <row r="164" spans="1:33" ht="15" customHeight="1" x14ac:dyDescent="0.25">
      <c r="A164" s="9">
        <v>163</v>
      </c>
      <c r="B164" s="9" t="s">
        <v>367</v>
      </c>
      <c r="C164" s="9" t="s">
        <v>368</v>
      </c>
      <c r="D164" s="9">
        <v>1</v>
      </c>
      <c r="E164" s="9">
        <v>5</v>
      </c>
      <c r="F164" s="9">
        <v>187</v>
      </c>
      <c r="G164" s="9">
        <v>5</v>
      </c>
      <c r="H164" s="9">
        <v>7</v>
      </c>
      <c r="I164" s="9">
        <v>0</v>
      </c>
      <c r="J164" s="9">
        <v>13</v>
      </c>
      <c r="K164" s="9">
        <v>13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 t="s">
        <v>278</v>
      </c>
      <c r="T164" s="9">
        <v>0</v>
      </c>
      <c r="U164" s="9">
        <v>0</v>
      </c>
      <c r="V164" s="9" t="s">
        <v>15</v>
      </c>
      <c r="W164" s="9" t="s">
        <v>367</v>
      </c>
      <c r="X164" s="39">
        <v>1</v>
      </c>
      <c r="Y164" s="37">
        <v>26.714285714285715</v>
      </c>
      <c r="Z164" s="9" t="s">
        <v>455</v>
      </c>
      <c r="AA164" s="9">
        <v>0</v>
      </c>
      <c r="AB164" s="38">
        <v>42339</v>
      </c>
      <c r="AC164" s="9" t="s">
        <v>522</v>
      </c>
      <c r="AD164" s="9" t="s">
        <v>523</v>
      </c>
      <c r="AE164" s="2">
        <v>187</v>
      </c>
      <c r="AF164" s="2">
        <v>5</v>
      </c>
      <c r="AG164"/>
    </row>
    <row r="165" spans="1:33" ht="15" customHeight="1" x14ac:dyDescent="0.25">
      <c r="A165" s="9">
        <v>164</v>
      </c>
      <c r="B165" s="9" t="s">
        <v>369</v>
      </c>
      <c r="C165" s="9" t="s">
        <v>370</v>
      </c>
      <c r="D165" s="9">
        <v>1</v>
      </c>
      <c r="E165" s="9">
        <v>5</v>
      </c>
      <c r="F165" s="9">
        <v>61</v>
      </c>
      <c r="G165" s="9">
        <v>2</v>
      </c>
      <c r="H165" s="9">
        <v>5</v>
      </c>
      <c r="I165" s="9">
        <v>0</v>
      </c>
      <c r="J165" s="9">
        <v>4</v>
      </c>
      <c r="K165" s="9">
        <v>4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 t="s">
        <v>278</v>
      </c>
      <c r="T165" s="9">
        <v>0</v>
      </c>
      <c r="U165" s="9">
        <v>0</v>
      </c>
      <c r="V165" s="9" t="s">
        <v>15</v>
      </c>
      <c r="W165" s="9" t="s">
        <v>369</v>
      </c>
      <c r="X165" s="9">
        <v>0.4</v>
      </c>
      <c r="Y165" s="37">
        <v>12.2</v>
      </c>
      <c r="Z165" s="9" t="s">
        <v>456</v>
      </c>
      <c r="AA165" s="9">
        <v>0</v>
      </c>
      <c r="AB165" s="38">
        <v>42339</v>
      </c>
      <c r="AC165" s="9" t="s">
        <v>522</v>
      </c>
      <c r="AD165" s="9" t="s">
        <v>596</v>
      </c>
      <c r="AE165" s="2">
        <v>61</v>
      </c>
      <c r="AF165" s="2">
        <v>2</v>
      </c>
      <c r="AG165"/>
    </row>
    <row r="166" spans="1:33" ht="15" customHeight="1" x14ac:dyDescent="0.25">
      <c r="A166" s="9">
        <v>165</v>
      </c>
      <c r="B166" s="9" t="s">
        <v>371</v>
      </c>
      <c r="C166" s="9" t="s">
        <v>372</v>
      </c>
      <c r="D166" s="9">
        <v>2</v>
      </c>
      <c r="E166" s="9">
        <v>13</v>
      </c>
      <c r="F166" s="9">
        <v>87</v>
      </c>
      <c r="G166" s="9">
        <v>11</v>
      </c>
      <c r="H166" s="9">
        <v>13</v>
      </c>
      <c r="I166" s="9">
        <v>0</v>
      </c>
      <c r="J166" s="9">
        <v>5</v>
      </c>
      <c r="K166" s="9">
        <v>2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 t="s">
        <v>37</v>
      </c>
      <c r="T166" s="9">
        <v>0</v>
      </c>
      <c r="U166" s="9">
        <v>0</v>
      </c>
      <c r="V166" s="9" t="s">
        <v>15</v>
      </c>
      <c r="W166" s="9" t="s">
        <v>371</v>
      </c>
      <c r="X166" s="9">
        <v>0.84615384615384615</v>
      </c>
      <c r="Y166" s="37">
        <v>6.6923076923076925</v>
      </c>
      <c r="Z166" s="9" t="s">
        <v>455</v>
      </c>
      <c r="AA166" s="9">
        <v>0</v>
      </c>
      <c r="AB166" s="38">
        <v>42339</v>
      </c>
      <c r="AC166" s="9" t="s">
        <v>522</v>
      </c>
      <c r="AD166" s="9" t="s">
        <v>597</v>
      </c>
      <c r="AE166" s="2">
        <v>81</v>
      </c>
      <c r="AF166" s="2">
        <v>11</v>
      </c>
      <c r="AG166"/>
    </row>
    <row r="167" spans="1:33" ht="15" customHeight="1" x14ac:dyDescent="0.25">
      <c r="A167" s="9">
        <v>166</v>
      </c>
      <c r="B167" s="9" t="s">
        <v>373</v>
      </c>
      <c r="C167" s="9" t="s">
        <v>374</v>
      </c>
      <c r="D167" s="9">
        <v>1</v>
      </c>
      <c r="E167" s="9">
        <v>4</v>
      </c>
      <c r="F167" s="9">
        <v>66</v>
      </c>
      <c r="G167" s="9">
        <v>5</v>
      </c>
      <c r="H167" s="9">
        <v>5</v>
      </c>
      <c r="I167" s="9">
        <v>0</v>
      </c>
      <c r="J167" s="9">
        <v>4</v>
      </c>
      <c r="K167" s="9">
        <v>5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 t="s">
        <v>278</v>
      </c>
      <c r="T167" s="9">
        <v>0</v>
      </c>
      <c r="U167" s="9">
        <v>0</v>
      </c>
      <c r="V167" s="9" t="s">
        <v>15</v>
      </c>
      <c r="W167" s="9" t="s">
        <v>373</v>
      </c>
      <c r="X167" s="9">
        <v>1.25</v>
      </c>
      <c r="Y167" s="37">
        <v>13.2</v>
      </c>
      <c r="Z167" s="9" t="s">
        <v>454</v>
      </c>
      <c r="AA167" s="9">
        <v>0</v>
      </c>
      <c r="AB167" s="38">
        <v>42339</v>
      </c>
      <c r="AC167" s="9" t="s">
        <v>522</v>
      </c>
      <c r="AD167" s="9" t="s">
        <v>597</v>
      </c>
      <c r="AE167" s="2">
        <v>66</v>
      </c>
      <c r="AF167" s="2">
        <v>5</v>
      </c>
      <c r="AG167"/>
    </row>
    <row r="168" spans="1:33" ht="15" customHeight="1" x14ac:dyDescent="0.25">
      <c r="A168" s="9">
        <v>167</v>
      </c>
      <c r="B168" s="9" t="s">
        <v>375</v>
      </c>
      <c r="C168" s="9" t="s">
        <v>375</v>
      </c>
      <c r="D168" s="9">
        <v>1</v>
      </c>
      <c r="E168" s="9">
        <v>2</v>
      </c>
      <c r="F168" s="9">
        <v>0</v>
      </c>
      <c r="G168" s="9">
        <v>0</v>
      </c>
      <c r="H168" s="9">
        <v>1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 t="s">
        <v>278</v>
      </c>
      <c r="T168" s="9">
        <v>0</v>
      </c>
      <c r="U168" s="9">
        <v>0</v>
      </c>
      <c r="V168" s="9" t="s">
        <v>15</v>
      </c>
      <c r="W168" s="9" t="s">
        <v>375</v>
      </c>
      <c r="X168" s="9">
        <v>0</v>
      </c>
      <c r="Y168" s="37">
        <v>0</v>
      </c>
      <c r="Z168" s="9" t="s">
        <v>455</v>
      </c>
      <c r="AA168" s="9">
        <v>0</v>
      </c>
      <c r="AB168" s="38">
        <v>42339</v>
      </c>
      <c r="AC168" s="9" t="s">
        <v>522</v>
      </c>
      <c r="AD168" s="9" t="s">
        <v>598</v>
      </c>
      <c r="AE168" s="2">
        <v>0</v>
      </c>
      <c r="AF168" s="2">
        <v>0</v>
      </c>
      <c r="AG168"/>
    </row>
    <row r="169" spans="1:33" ht="15" customHeight="1" x14ac:dyDescent="0.25">
      <c r="A169" s="9">
        <v>168</v>
      </c>
      <c r="B169" s="9" t="s">
        <v>376</v>
      </c>
      <c r="C169" s="9" t="s">
        <v>377</v>
      </c>
      <c r="D169" s="9">
        <v>2</v>
      </c>
      <c r="E169" s="9">
        <v>14</v>
      </c>
      <c r="F169" s="9">
        <v>160</v>
      </c>
      <c r="G169" s="9">
        <v>16</v>
      </c>
      <c r="H169" s="9">
        <v>11</v>
      </c>
      <c r="I169" s="9">
        <v>0</v>
      </c>
      <c r="J169" s="9">
        <v>8</v>
      </c>
      <c r="K169" s="9">
        <v>7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1</v>
      </c>
      <c r="R169" s="9">
        <v>1</v>
      </c>
      <c r="S169" s="9" t="s">
        <v>252</v>
      </c>
      <c r="T169" s="9">
        <v>0</v>
      </c>
      <c r="U169" s="9">
        <v>0</v>
      </c>
      <c r="V169" s="9" t="s">
        <v>15</v>
      </c>
      <c r="W169" s="9" t="s">
        <v>376</v>
      </c>
      <c r="X169" s="9">
        <v>1.1428571428571428</v>
      </c>
      <c r="Y169" s="37">
        <v>14.545454545454545</v>
      </c>
      <c r="Z169" s="9" t="s">
        <v>455</v>
      </c>
      <c r="AA169" s="9">
        <v>2</v>
      </c>
      <c r="AB169" s="38">
        <v>42036</v>
      </c>
      <c r="AC169" s="9" t="s">
        <v>525</v>
      </c>
      <c r="AD169" s="9" t="s">
        <v>546</v>
      </c>
      <c r="AE169" s="2">
        <v>115</v>
      </c>
      <c r="AF169" s="2">
        <v>16</v>
      </c>
      <c r="AG169"/>
    </row>
    <row r="170" spans="1:33" ht="15" customHeight="1" x14ac:dyDescent="0.25">
      <c r="A170" s="9">
        <v>169</v>
      </c>
      <c r="B170" s="9" t="s">
        <v>378</v>
      </c>
      <c r="C170" s="9" t="s">
        <v>379</v>
      </c>
      <c r="D170" s="9">
        <v>1</v>
      </c>
      <c r="E170" s="9">
        <v>4</v>
      </c>
      <c r="F170" s="9">
        <v>33</v>
      </c>
      <c r="G170" s="9">
        <v>7</v>
      </c>
      <c r="H170" s="9">
        <v>4</v>
      </c>
      <c r="I170" s="9">
        <v>0</v>
      </c>
      <c r="J170" s="9">
        <v>3</v>
      </c>
      <c r="K170" s="9">
        <v>1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 t="s">
        <v>37</v>
      </c>
      <c r="T170" s="9">
        <v>0</v>
      </c>
      <c r="U170" s="9">
        <v>0</v>
      </c>
      <c r="V170" s="9" t="s">
        <v>15</v>
      </c>
      <c r="W170" s="9" t="s">
        <v>378</v>
      </c>
      <c r="X170" s="36">
        <v>1.75</v>
      </c>
      <c r="Y170" s="37">
        <v>8.25</v>
      </c>
      <c r="Z170" s="9" t="s">
        <v>457</v>
      </c>
      <c r="AA170" s="9">
        <v>0</v>
      </c>
      <c r="AB170" s="38">
        <v>42036</v>
      </c>
      <c r="AC170" s="9" t="s">
        <v>525</v>
      </c>
      <c r="AD170" s="9" t="s">
        <v>599</v>
      </c>
      <c r="AE170" s="2">
        <v>33</v>
      </c>
      <c r="AF170" s="2">
        <v>7</v>
      </c>
      <c r="AG170"/>
    </row>
    <row r="171" spans="1:33" ht="15" customHeight="1" x14ac:dyDescent="0.25">
      <c r="A171" s="9">
        <v>170</v>
      </c>
      <c r="B171" s="9" t="s">
        <v>380</v>
      </c>
      <c r="C171" s="9" t="s">
        <v>381</v>
      </c>
      <c r="D171" s="9">
        <v>6</v>
      </c>
      <c r="E171" s="9">
        <v>41</v>
      </c>
      <c r="F171" s="9">
        <v>489</v>
      </c>
      <c r="G171" s="9">
        <v>51</v>
      </c>
      <c r="H171" s="9">
        <v>44</v>
      </c>
      <c r="I171" s="9">
        <v>2</v>
      </c>
      <c r="J171" s="9">
        <v>33</v>
      </c>
      <c r="K171" s="9">
        <v>32</v>
      </c>
      <c r="L171" s="9">
        <v>0</v>
      </c>
      <c r="M171" s="9">
        <v>1</v>
      </c>
      <c r="N171" s="9">
        <v>1</v>
      </c>
      <c r="O171" s="9">
        <v>0</v>
      </c>
      <c r="P171" s="9">
        <v>0</v>
      </c>
      <c r="Q171" s="9">
        <v>1</v>
      </c>
      <c r="R171" s="9">
        <v>1</v>
      </c>
      <c r="S171" s="9" t="s">
        <v>26</v>
      </c>
      <c r="T171" s="9">
        <v>0</v>
      </c>
      <c r="U171" s="9">
        <v>0</v>
      </c>
      <c r="V171" s="9" t="s">
        <v>15</v>
      </c>
      <c r="W171" s="9" t="s">
        <v>380</v>
      </c>
      <c r="X171" s="9">
        <v>1.2439024390243902</v>
      </c>
      <c r="Y171" s="37">
        <v>11.642857142857142</v>
      </c>
      <c r="Z171" s="9" t="s">
        <v>454</v>
      </c>
      <c r="AA171" s="9">
        <v>2</v>
      </c>
      <c r="AB171" s="38">
        <v>42036</v>
      </c>
      <c r="AC171" s="9" t="s">
        <v>525</v>
      </c>
      <c r="AD171" s="9" t="s">
        <v>600</v>
      </c>
      <c r="AE171" s="2">
        <v>158</v>
      </c>
      <c r="AF171" s="2">
        <v>19</v>
      </c>
      <c r="AG171"/>
    </row>
    <row r="172" spans="1:33" ht="15" customHeight="1" x14ac:dyDescent="0.25">
      <c r="A172" s="9">
        <v>171</v>
      </c>
      <c r="B172" s="9" t="s">
        <v>382</v>
      </c>
      <c r="C172" s="9" t="s">
        <v>383</v>
      </c>
      <c r="D172" s="9">
        <v>1</v>
      </c>
      <c r="E172" s="9">
        <v>5</v>
      </c>
      <c r="F172" s="9">
        <v>64</v>
      </c>
      <c r="G172" s="9">
        <v>3</v>
      </c>
      <c r="H172" s="9">
        <v>8</v>
      </c>
      <c r="I172" s="9">
        <v>0</v>
      </c>
      <c r="J172" s="9">
        <v>2</v>
      </c>
      <c r="K172" s="9">
        <v>4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 t="s">
        <v>252</v>
      </c>
      <c r="T172" s="9">
        <v>0</v>
      </c>
      <c r="U172" s="9">
        <v>0</v>
      </c>
      <c r="V172" s="9" t="s">
        <v>15</v>
      </c>
      <c r="W172" s="9" t="s">
        <v>382</v>
      </c>
      <c r="X172" s="9">
        <v>0.6</v>
      </c>
      <c r="Y172" s="37">
        <v>8</v>
      </c>
      <c r="Z172" s="9" t="s">
        <v>455</v>
      </c>
      <c r="AA172" s="9">
        <v>0</v>
      </c>
      <c r="AB172" s="38">
        <v>42125</v>
      </c>
      <c r="AC172" s="9" t="s">
        <v>511</v>
      </c>
      <c r="AD172" s="9" t="s">
        <v>601</v>
      </c>
      <c r="AE172" s="2">
        <v>64</v>
      </c>
      <c r="AF172" s="2">
        <v>3</v>
      </c>
      <c r="AG172"/>
    </row>
    <row r="173" spans="1:33" ht="15" customHeight="1" x14ac:dyDescent="0.25">
      <c r="A173" s="9">
        <v>172</v>
      </c>
      <c r="B173" s="9" t="s">
        <v>384</v>
      </c>
      <c r="C173" s="9" t="s">
        <v>385</v>
      </c>
      <c r="D173" s="9">
        <v>3</v>
      </c>
      <c r="E173" s="9">
        <v>17</v>
      </c>
      <c r="F173" s="9">
        <v>428</v>
      </c>
      <c r="G173" s="9">
        <v>17</v>
      </c>
      <c r="H173" s="9">
        <v>25</v>
      </c>
      <c r="I173" s="9">
        <v>2</v>
      </c>
      <c r="J173" s="9">
        <v>37</v>
      </c>
      <c r="K173" s="9">
        <v>30</v>
      </c>
      <c r="L173" s="9">
        <v>0</v>
      </c>
      <c r="M173" s="9">
        <v>0</v>
      </c>
      <c r="N173" s="9">
        <v>0</v>
      </c>
      <c r="O173" s="9">
        <v>0</v>
      </c>
      <c r="P173" s="9">
        <v>1</v>
      </c>
      <c r="Q173" s="9">
        <v>0</v>
      </c>
      <c r="R173" s="9">
        <v>0</v>
      </c>
      <c r="S173" s="9" t="s">
        <v>84</v>
      </c>
      <c r="T173" s="9">
        <v>0</v>
      </c>
      <c r="U173" s="9">
        <v>0</v>
      </c>
      <c r="V173" s="9" t="s">
        <v>15</v>
      </c>
      <c r="W173" s="9" t="s">
        <v>384</v>
      </c>
      <c r="X173" s="39">
        <v>1</v>
      </c>
      <c r="Y173" s="37">
        <v>18.608695652173914</v>
      </c>
      <c r="Z173" s="9" t="s">
        <v>455</v>
      </c>
      <c r="AA173" s="9">
        <v>0</v>
      </c>
      <c r="AB173" s="38">
        <v>42125</v>
      </c>
      <c r="AC173" s="9" t="s">
        <v>511</v>
      </c>
      <c r="AD173" s="9" t="s">
        <v>602</v>
      </c>
      <c r="AE173" s="2">
        <v>241</v>
      </c>
      <c r="AF173" s="2">
        <v>12</v>
      </c>
      <c r="AG173"/>
    </row>
    <row r="174" spans="1:33" ht="15" customHeight="1" x14ac:dyDescent="0.25">
      <c r="A174" s="9">
        <v>173</v>
      </c>
      <c r="B174" s="9" t="s">
        <v>386</v>
      </c>
      <c r="C174" s="9" t="s">
        <v>387</v>
      </c>
      <c r="D174" s="9">
        <v>1</v>
      </c>
      <c r="E174" s="9">
        <v>6</v>
      </c>
      <c r="F174" s="9">
        <v>116</v>
      </c>
      <c r="G174" s="9">
        <v>4</v>
      </c>
      <c r="H174" s="9">
        <v>8</v>
      </c>
      <c r="I174" s="9">
        <v>0</v>
      </c>
      <c r="J174" s="9">
        <v>8</v>
      </c>
      <c r="K174" s="9">
        <v>4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 t="s">
        <v>252</v>
      </c>
      <c r="T174" s="9">
        <v>0</v>
      </c>
      <c r="U174" s="9">
        <v>0</v>
      </c>
      <c r="V174" s="9" t="s">
        <v>15</v>
      </c>
      <c r="W174" s="9" t="s">
        <v>386</v>
      </c>
      <c r="X174" s="9">
        <v>0.66666666666666663</v>
      </c>
      <c r="Y174" s="37">
        <v>14.5</v>
      </c>
      <c r="Z174" s="9" t="s">
        <v>456</v>
      </c>
      <c r="AA174" s="9">
        <v>0</v>
      </c>
      <c r="AB174" s="38">
        <v>42125</v>
      </c>
      <c r="AC174" s="9" t="s">
        <v>511</v>
      </c>
      <c r="AD174" s="9" t="s">
        <v>603</v>
      </c>
      <c r="AE174" s="2">
        <v>116</v>
      </c>
      <c r="AF174" s="2">
        <v>4</v>
      </c>
      <c r="AG174"/>
    </row>
    <row r="175" spans="1:33" ht="15" customHeight="1" x14ac:dyDescent="0.25">
      <c r="A175" s="9">
        <v>174</v>
      </c>
      <c r="B175" s="9" t="s">
        <v>388</v>
      </c>
      <c r="C175" s="9" t="s">
        <v>389</v>
      </c>
      <c r="D175" s="9">
        <v>1</v>
      </c>
      <c r="E175" s="9">
        <v>2</v>
      </c>
      <c r="F175" s="9">
        <v>35</v>
      </c>
      <c r="G175" s="9">
        <v>1</v>
      </c>
      <c r="H175" s="9">
        <v>2</v>
      </c>
      <c r="I175" s="9">
        <v>0</v>
      </c>
      <c r="J175" s="9">
        <v>1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 t="s">
        <v>207</v>
      </c>
      <c r="T175" s="9">
        <v>0</v>
      </c>
      <c r="U175" s="9">
        <v>0</v>
      </c>
      <c r="V175" s="9" t="s">
        <v>15</v>
      </c>
      <c r="W175" s="9" t="s">
        <v>388</v>
      </c>
      <c r="X175" s="9">
        <v>0.5</v>
      </c>
      <c r="Y175" s="37">
        <v>17.5</v>
      </c>
      <c r="Z175" s="9" t="s">
        <v>456</v>
      </c>
      <c r="AA175" s="9">
        <v>0</v>
      </c>
      <c r="AB175" s="38">
        <v>42248</v>
      </c>
      <c r="AC175" s="9" t="s">
        <v>530</v>
      </c>
      <c r="AD175" s="9" t="s">
        <v>604</v>
      </c>
      <c r="AE175" s="2">
        <v>35</v>
      </c>
      <c r="AF175" s="2">
        <v>1</v>
      </c>
      <c r="AG175"/>
    </row>
    <row r="176" spans="1:33" ht="15" customHeight="1" x14ac:dyDescent="0.25">
      <c r="A176" s="9">
        <v>175</v>
      </c>
      <c r="B176" s="9" t="s">
        <v>390</v>
      </c>
      <c r="C176" s="9" t="s">
        <v>391</v>
      </c>
      <c r="D176" s="9">
        <v>1</v>
      </c>
      <c r="E176" s="9">
        <v>2</v>
      </c>
      <c r="F176" s="9">
        <v>7</v>
      </c>
      <c r="G176" s="9">
        <v>2</v>
      </c>
      <c r="H176" s="9">
        <v>1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 t="s">
        <v>59</v>
      </c>
      <c r="T176" s="9">
        <v>0</v>
      </c>
      <c r="U176" s="9">
        <v>0</v>
      </c>
      <c r="V176" s="9" t="s">
        <v>15</v>
      </c>
      <c r="W176" s="9" t="s">
        <v>390</v>
      </c>
      <c r="X176" s="9">
        <v>1</v>
      </c>
      <c r="Y176" s="37">
        <v>7</v>
      </c>
      <c r="Z176" s="9" t="s">
        <v>457</v>
      </c>
      <c r="AA176" s="9">
        <v>0</v>
      </c>
      <c r="AB176" s="38">
        <v>42401</v>
      </c>
      <c r="AC176" s="9" t="s">
        <v>496</v>
      </c>
      <c r="AD176" s="9" t="s">
        <v>605</v>
      </c>
      <c r="AE176" s="2">
        <v>7</v>
      </c>
      <c r="AF176" s="2">
        <v>2</v>
      </c>
      <c r="AG176"/>
    </row>
    <row r="177" spans="1:34" ht="15" customHeight="1" x14ac:dyDescent="0.25">
      <c r="A177" s="9">
        <v>176</v>
      </c>
      <c r="B177" s="9" t="s">
        <v>392</v>
      </c>
      <c r="C177" s="9" t="s">
        <v>393</v>
      </c>
      <c r="D177" s="9">
        <v>2</v>
      </c>
      <c r="E177" s="9">
        <v>6</v>
      </c>
      <c r="F177" s="9">
        <v>77</v>
      </c>
      <c r="G177" s="9">
        <v>7</v>
      </c>
      <c r="H177" s="9">
        <v>8</v>
      </c>
      <c r="I177" s="9">
        <v>0</v>
      </c>
      <c r="J177" s="9">
        <v>5</v>
      </c>
      <c r="K177" s="9">
        <v>6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 t="s">
        <v>162</v>
      </c>
      <c r="T177" s="9">
        <v>0</v>
      </c>
      <c r="U177" s="9">
        <v>0</v>
      </c>
      <c r="V177" s="9" t="s">
        <v>15</v>
      </c>
      <c r="W177" s="9" t="s">
        <v>392</v>
      </c>
      <c r="X177" s="9">
        <v>1.1666666666666667</v>
      </c>
      <c r="Y177" s="37">
        <v>9.625</v>
      </c>
      <c r="Z177" s="9" t="s">
        <v>457</v>
      </c>
      <c r="AA177" s="9">
        <v>0</v>
      </c>
      <c r="AB177" s="38">
        <v>42401</v>
      </c>
      <c r="AC177" s="9" t="s">
        <v>496</v>
      </c>
      <c r="AD177" s="9" t="s">
        <v>605</v>
      </c>
      <c r="AE177" s="2">
        <v>77</v>
      </c>
      <c r="AF177" s="2">
        <v>7</v>
      </c>
      <c r="AG177"/>
    </row>
    <row r="178" spans="1:34" ht="15" customHeight="1" x14ac:dyDescent="0.25">
      <c r="A178" s="9">
        <v>177</v>
      </c>
      <c r="B178" s="9" t="s">
        <v>394</v>
      </c>
      <c r="C178" s="9" t="s">
        <v>395</v>
      </c>
      <c r="D178" s="9">
        <v>1</v>
      </c>
      <c r="E178" s="9">
        <v>1</v>
      </c>
      <c r="F178" s="9">
        <v>5</v>
      </c>
      <c r="G178" s="9">
        <v>0</v>
      </c>
      <c r="H178" s="9">
        <v>1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 t="s">
        <v>59</v>
      </c>
      <c r="T178" s="9">
        <v>0</v>
      </c>
      <c r="U178" s="9">
        <v>0</v>
      </c>
      <c r="V178" s="9" t="s">
        <v>15</v>
      </c>
      <c r="W178" s="9" t="s">
        <v>394</v>
      </c>
      <c r="X178" s="9">
        <v>0</v>
      </c>
      <c r="Y178" s="37">
        <v>5</v>
      </c>
      <c r="Z178" s="9" t="s">
        <v>455</v>
      </c>
      <c r="AA178" s="9">
        <v>0</v>
      </c>
      <c r="AB178" s="38">
        <v>42401</v>
      </c>
      <c r="AC178" s="9" t="s">
        <v>496</v>
      </c>
      <c r="AD178" s="9" t="s">
        <v>497</v>
      </c>
      <c r="AE178" s="2">
        <v>5</v>
      </c>
      <c r="AF178" s="2">
        <v>0</v>
      </c>
      <c r="AG178"/>
    </row>
    <row r="179" spans="1:34" ht="15" customHeight="1" x14ac:dyDescent="0.25">
      <c r="A179" s="9">
        <v>178</v>
      </c>
      <c r="B179" s="9" t="s">
        <v>396</v>
      </c>
      <c r="C179" s="9" t="s">
        <v>397</v>
      </c>
      <c r="D179" s="9">
        <v>2</v>
      </c>
      <c r="E179" s="9">
        <v>10</v>
      </c>
      <c r="F179" s="9">
        <v>130</v>
      </c>
      <c r="G179" s="9">
        <v>13</v>
      </c>
      <c r="H179" s="9">
        <v>12</v>
      </c>
      <c r="I179" s="9">
        <v>1</v>
      </c>
      <c r="J179" s="9">
        <v>7</v>
      </c>
      <c r="K179" s="9">
        <v>9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 t="s">
        <v>162</v>
      </c>
      <c r="T179" s="9">
        <v>0</v>
      </c>
      <c r="U179" s="9">
        <v>0</v>
      </c>
      <c r="V179" s="9" t="s">
        <v>15</v>
      </c>
      <c r="W179" s="9" t="s">
        <v>396</v>
      </c>
      <c r="X179" s="9">
        <v>1.3</v>
      </c>
      <c r="Y179" s="37">
        <v>11.818181818181818</v>
      </c>
      <c r="Z179" s="9" t="s">
        <v>454</v>
      </c>
      <c r="AA179" s="9">
        <v>0</v>
      </c>
      <c r="AB179" s="38">
        <v>42401</v>
      </c>
      <c r="AC179" s="9" t="s">
        <v>496</v>
      </c>
      <c r="AD179" s="9" t="s">
        <v>553</v>
      </c>
      <c r="AE179" s="2">
        <v>85</v>
      </c>
      <c r="AF179" s="2">
        <v>9</v>
      </c>
      <c r="AG179"/>
    </row>
    <row r="180" spans="1:34" ht="15" customHeight="1" x14ac:dyDescent="0.25">
      <c r="A180" s="9">
        <v>179</v>
      </c>
      <c r="B180" s="9" t="s">
        <v>398</v>
      </c>
      <c r="C180" s="9" t="s">
        <v>399</v>
      </c>
      <c r="D180" s="9">
        <v>4</v>
      </c>
      <c r="E180" s="9">
        <v>25</v>
      </c>
      <c r="F180" s="9">
        <v>420</v>
      </c>
      <c r="G180" s="9">
        <v>34</v>
      </c>
      <c r="H180" s="9">
        <v>30</v>
      </c>
      <c r="I180" s="9">
        <v>3</v>
      </c>
      <c r="J180" s="9">
        <v>34</v>
      </c>
      <c r="K180" s="9">
        <v>24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 t="s">
        <v>366</v>
      </c>
      <c r="T180" s="9">
        <v>0</v>
      </c>
      <c r="U180" s="9">
        <v>0</v>
      </c>
      <c r="V180" s="9" t="s">
        <v>15</v>
      </c>
      <c r="W180" s="9" t="s">
        <v>398</v>
      </c>
      <c r="X180" s="39">
        <v>1.36</v>
      </c>
      <c r="Y180" s="37">
        <v>15.555555555555555</v>
      </c>
      <c r="Z180" s="9" t="s">
        <v>458</v>
      </c>
      <c r="AA180" s="9">
        <v>0</v>
      </c>
      <c r="AB180" s="38">
        <v>42401</v>
      </c>
      <c r="AC180" s="9" t="s">
        <v>496</v>
      </c>
      <c r="AD180" s="9" t="s">
        <v>605</v>
      </c>
      <c r="AE180" s="2">
        <v>124</v>
      </c>
      <c r="AF180" s="2">
        <v>12</v>
      </c>
      <c r="AG180"/>
    </row>
    <row r="181" spans="1:34" ht="15" customHeight="1" x14ac:dyDescent="0.25">
      <c r="A181" s="9">
        <v>180</v>
      </c>
      <c r="B181" s="9" t="s">
        <v>400</v>
      </c>
      <c r="C181" s="9" t="s">
        <v>401</v>
      </c>
      <c r="D181" s="9">
        <v>3</v>
      </c>
      <c r="E181" s="9">
        <v>18</v>
      </c>
      <c r="F181" s="9">
        <v>205</v>
      </c>
      <c r="G181" s="9">
        <v>22</v>
      </c>
      <c r="H181" s="9">
        <v>23</v>
      </c>
      <c r="I181" s="9">
        <v>0</v>
      </c>
      <c r="J181" s="9">
        <v>8</v>
      </c>
      <c r="K181" s="9">
        <v>8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 t="s">
        <v>402</v>
      </c>
      <c r="T181" s="9">
        <v>0</v>
      </c>
      <c r="U181" s="9">
        <v>0</v>
      </c>
      <c r="V181" s="9" t="s">
        <v>15</v>
      </c>
      <c r="W181" s="9" t="s">
        <v>400</v>
      </c>
      <c r="X181" s="9">
        <v>1.2222222222222223</v>
      </c>
      <c r="Y181" s="37">
        <v>8.9130434782608692</v>
      </c>
      <c r="Z181" s="9" t="s">
        <v>457</v>
      </c>
      <c r="AA181" s="9">
        <v>0</v>
      </c>
      <c r="AB181" s="38">
        <v>42401</v>
      </c>
      <c r="AC181" s="9" t="s">
        <v>496</v>
      </c>
      <c r="AD181" s="9" t="s">
        <v>606</v>
      </c>
      <c r="AE181" s="2">
        <v>101</v>
      </c>
      <c r="AF181" s="2">
        <v>9</v>
      </c>
      <c r="AG181"/>
    </row>
    <row r="182" spans="1:34" ht="15" customHeight="1" x14ac:dyDescent="0.25">
      <c r="A182" s="9">
        <v>181</v>
      </c>
      <c r="B182" s="9" t="s">
        <v>403</v>
      </c>
      <c r="C182" s="9" t="s">
        <v>404</v>
      </c>
      <c r="D182" s="9">
        <v>9</v>
      </c>
      <c r="E182" s="9">
        <v>55</v>
      </c>
      <c r="F182" s="9">
        <v>832</v>
      </c>
      <c r="G182" s="9">
        <v>59</v>
      </c>
      <c r="H182" s="9">
        <v>68</v>
      </c>
      <c r="I182" s="9">
        <v>7</v>
      </c>
      <c r="J182" s="9">
        <v>76</v>
      </c>
      <c r="K182" s="9">
        <v>40</v>
      </c>
      <c r="L182" s="9">
        <v>2</v>
      </c>
      <c r="M182" s="9">
        <v>2</v>
      </c>
      <c r="N182" s="9">
        <v>3</v>
      </c>
      <c r="O182" s="9">
        <v>0</v>
      </c>
      <c r="P182" s="9">
        <v>1</v>
      </c>
      <c r="Q182" s="9">
        <v>2</v>
      </c>
      <c r="R182" s="9">
        <v>1</v>
      </c>
      <c r="S182" s="9" t="s">
        <v>26</v>
      </c>
      <c r="T182" s="9">
        <v>0</v>
      </c>
      <c r="U182" s="9">
        <v>0</v>
      </c>
      <c r="V182" s="9" t="s">
        <v>15</v>
      </c>
      <c r="W182" s="9" t="s">
        <v>403</v>
      </c>
      <c r="X182" s="9">
        <v>1.0727272727272728</v>
      </c>
      <c r="Y182" s="37">
        <v>13.639344262295081</v>
      </c>
      <c r="Z182" s="9" t="s">
        <v>454</v>
      </c>
      <c r="AA182" s="9">
        <v>3</v>
      </c>
      <c r="AB182" s="38">
        <v>43435</v>
      </c>
      <c r="AC182" s="9" t="s">
        <v>607</v>
      </c>
      <c r="AD182" s="9" t="s">
        <v>608</v>
      </c>
      <c r="AE182" s="2">
        <v>214</v>
      </c>
      <c r="AF182" s="2">
        <v>17</v>
      </c>
      <c r="AG182" s="14" t="s">
        <v>1099</v>
      </c>
      <c r="AH182" s="34">
        <v>46124</v>
      </c>
    </row>
    <row r="183" spans="1:34" ht="15" customHeight="1" x14ac:dyDescent="0.25">
      <c r="A183" s="9">
        <v>182</v>
      </c>
      <c r="B183" s="9" t="s">
        <v>405</v>
      </c>
      <c r="C183" s="9" t="s">
        <v>406</v>
      </c>
      <c r="D183" s="9">
        <v>1</v>
      </c>
      <c r="E183" s="9">
        <v>1</v>
      </c>
      <c r="F183" s="9">
        <v>3</v>
      </c>
      <c r="G183" s="9">
        <v>2</v>
      </c>
      <c r="H183" s="9">
        <v>1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 t="s">
        <v>162</v>
      </c>
      <c r="T183" s="9">
        <v>0</v>
      </c>
      <c r="U183" s="9">
        <v>0</v>
      </c>
      <c r="V183" s="9" t="s">
        <v>15</v>
      </c>
      <c r="W183" s="9" t="s">
        <v>405</v>
      </c>
      <c r="X183" s="36">
        <v>2</v>
      </c>
      <c r="Y183" s="37">
        <v>3</v>
      </c>
      <c r="Z183" s="9" t="s">
        <v>457</v>
      </c>
      <c r="AA183" s="9">
        <v>0</v>
      </c>
      <c r="AB183" s="38">
        <v>42339</v>
      </c>
      <c r="AC183" s="9" t="s">
        <v>539</v>
      </c>
      <c r="AD183" s="9" t="s">
        <v>609</v>
      </c>
      <c r="AE183" s="2">
        <v>3</v>
      </c>
      <c r="AF183" s="2">
        <v>2</v>
      </c>
      <c r="AG183"/>
    </row>
    <row r="184" spans="1:34" ht="15" customHeight="1" x14ac:dyDescent="0.25">
      <c r="A184" s="9">
        <v>183</v>
      </c>
      <c r="B184" s="9" t="s">
        <v>407</v>
      </c>
      <c r="C184" s="9" t="s">
        <v>408</v>
      </c>
      <c r="D184" s="9">
        <v>1</v>
      </c>
      <c r="E184" s="9">
        <v>6</v>
      </c>
      <c r="F184" s="9">
        <v>77</v>
      </c>
      <c r="G184" s="9">
        <v>5</v>
      </c>
      <c r="H184" s="9">
        <v>8</v>
      </c>
      <c r="I184" s="9">
        <v>1</v>
      </c>
      <c r="J184" s="9">
        <v>2</v>
      </c>
      <c r="K184" s="9">
        <v>2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 t="s">
        <v>162</v>
      </c>
      <c r="T184" s="9">
        <v>0</v>
      </c>
      <c r="U184" s="9">
        <v>0</v>
      </c>
      <c r="V184" s="9" t="s">
        <v>15</v>
      </c>
      <c r="W184" s="9" t="s">
        <v>407</v>
      </c>
      <c r="X184" s="9">
        <v>0.83333333333333337</v>
      </c>
      <c r="Y184" s="37">
        <v>11</v>
      </c>
      <c r="Z184" s="9" t="s">
        <v>456</v>
      </c>
      <c r="AA184" s="9">
        <v>0</v>
      </c>
      <c r="AB184" s="38">
        <v>42339</v>
      </c>
      <c r="AC184" s="9" t="s">
        <v>539</v>
      </c>
      <c r="AD184" s="9" t="s">
        <v>609</v>
      </c>
      <c r="AE184" s="2">
        <v>77</v>
      </c>
      <c r="AF184" s="2">
        <v>5</v>
      </c>
      <c r="AG184"/>
    </row>
    <row r="185" spans="1:34" ht="15" customHeight="1" x14ac:dyDescent="0.25">
      <c r="A185" s="9">
        <v>184</v>
      </c>
      <c r="B185" s="9" t="s">
        <v>409</v>
      </c>
      <c r="C185" s="9" t="s">
        <v>410</v>
      </c>
      <c r="D185" s="9">
        <v>1</v>
      </c>
      <c r="E185" s="9">
        <v>1</v>
      </c>
      <c r="F185" s="9">
        <v>2</v>
      </c>
      <c r="G185" s="9">
        <v>0</v>
      </c>
      <c r="H185" s="9">
        <v>1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 t="s">
        <v>162</v>
      </c>
      <c r="T185" s="9">
        <v>0</v>
      </c>
      <c r="U185" s="9">
        <v>0</v>
      </c>
      <c r="V185" s="9" t="s">
        <v>15</v>
      </c>
      <c r="W185" s="9" t="s">
        <v>409</v>
      </c>
      <c r="X185" s="9">
        <v>0</v>
      </c>
      <c r="Y185" s="37">
        <v>2</v>
      </c>
      <c r="Z185" s="9" t="s">
        <v>455</v>
      </c>
      <c r="AA185" s="9">
        <v>0</v>
      </c>
      <c r="AB185" s="38">
        <v>42339</v>
      </c>
      <c r="AC185" s="9" t="s">
        <v>539</v>
      </c>
      <c r="AD185" s="9" t="s">
        <v>610</v>
      </c>
      <c r="AE185" s="2">
        <v>2</v>
      </c>
      <c r="AF185" s="2">
        <v>0</v>
      </c>
      <c r="AG185"/>
    </row>
    <row r="186" spans="1:34" ht="15" customHeight="1" x14ac:dyDescent="0.25">
      <c r="A186" s="9">
        <v>185</v>
      </c>
      <c r="B186" s="9" t="s">
        <v>411</v>
      </c>
      <c r="C186" s="9" t="s">
        <v>412</v>
      </c>
      <c r="D186" s="9">
        <v>2</v>
      </c>
      <c r="E186" s="9">
        <v>18</v>
      </c>
      <c r="F186" s="9">
        <v>256</v>
      </c>
      <c r="G186" s="9">
        <v>16</v>
      </c>
      <c r="H186" s="9">
        <v>18</v>
      </c>
      <c r="I186" s="9">
        <v>3</v>
      </c>
      <c r="J186" s="9">
        <v>13</v>
      </c>
      <c r="K186" s="9">
        <v>20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 t="s">
        <v>84</v>
      </c>
      <c r="T186" s="9">
        <v>0</v>
      </c>
      <c r="U186" s="9">
        <v>0</v>
      </c>
      <c r="V186" s="9" t="s">
        <v>15</v>
      </c>
      <c r="W186" s="9" t="s">
        <v>411</v>
      </c>
      <c r="X186" s="9">
        <v>0.88888888888888884</v>
      </c>
      <c r="Y186" s="37">
        <v>17.066666666666666</v>
      </c>
      <c r="Z186" s="9" t="s">
        <v>456</v>
      </c>
      <c r="AA186" s="9">
        <v>0</v>
      </c>
      <c r="AB186" s="38">
        <v>42675</v>
      </c>
      <c r="AC186" s="9" t="s">
        <v>484</v>
      </c>
      <c r="AD186" s="9" t="s">
        <v>611</v>
      </c>
      <c r="AE186" s="2">
        <v>163</v>
      </c>
      <c r="AF186" s="2">
        <v>8</v>
      </c>
      <c r="AG186"/>
    </row>
    <row r="187" spans="1:34" ht="15" customHeight="1" x14ac:dyDescent="0.25">
      <c r="A187" s="9">
        <v>186</v>
      </c>
      <c r="B187" s="9" t="s">
        <v>413</v>
      </c>
      <c r="C187" s="9" t="s">
        <v>414</v>
      </c>
      <c r="D187" s="9">
        <v>1</v>
      </c>
      <c r="E187" s="9">
        <v>13</v>
      </c>
      <c r="F187" s="9">
        <v>220</v>
      </c>
      <c r="G187" s="9">
        <v>8</v>
      </c>
      <c r="H187" s="9">
        <v>16</v>
      </c>
      <c r="I187" s="9">
        <v>2</v>
      </c>
      <c r="J187" s="9">
        <v>16</v>
      </c>
      <c r="K187" s="9">
        <v>17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 t="s">
        <v>415</v>
      </c>
      <c r="T187" s="9">
        <v>0</v>
      </c>
      <c r="U187" s="9">
        <v>0</v>
      </c>
      <c r="V187" s="9" t="s">
        <v>15</v>
      </c>
      <c r="W187" s="9" t="s">
        <v>413</v>
      </c>
      <c r="X187" s="9">
        <v>0.61538461538461542</v>
      </c>
      <c r="Y187" s="37">
        <v>15.714285714285714</v>
      </c>
      <c r="Z187" s="9" t="s">
        <v>456</v>
      </c>
      <c r="AA187" s="9">
        <v>0</v>
      </c>
      <c r="AB187" s="38">
        <v>42675</v>
      </c>
      <c r="AC187" s="9" t="s">
        <v>484</v>
      </c>
      <c r="AD187" s="9" t="s">
        <v>612</v>
      </c>
      <c r="AE187" s="2">
        <v>220</v>
      </c>
      <c r="AF187" s="2">
        <v>8</v>
      </c>
      <c r="AG187"/>
    </row>
    <row r="188" spans="1:34" ht="15" customHeight="1" x14ac:dyDescent="0.25">
      <c r="A188" s="9">
        <v>187</v>
      </c>
      <c r="B188" s="9" t="s">
        <v>416</v>
      </c>
      <c r="C188" s="9" t="s">
        <v>417</v>
      </c>
      <c r="D188" s="9">
        <v>1</v>
      </c>
      <c r="E188" s="9">
        <v>6</v>
      </c>
      <c r="F188" s="9">
        <v>48</v>
      </c>
      <c r="G188" s="9">
        <v>9</v>
      </c>
      <c r="H188" s="9">
        <v>6</v>
      </c>
      <c r="I188" s="9">
        <v>0</v>
      </c>
      <c r="J188" s="9">
        <v>3</v>
      </c>
      <c r="K188" s="9">
        <v>4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 t="s">
        <v>84</v>
      </c>
      <c r="T188" s="9">
        <v>0</v>
      </c>
      <c r="U188" s="9">
        <v>0</v>
      </c>
      <c r="V188" s="9" t="s">
        <v>15</v>
      </c>
      <c r="W188" s="9" t="s">
        <v>416</v>
      </c>
      <c r="X188" s="36">
        <v>1.5</v>
      </c>
      <c r="Y188" s="37">
        <v>8</v>
      </c>
      <c r="Z188" s="9" t="s">
        <v>457</v>
      </c>
      <c r="AA188" s="9">
        <v>0</v>
      </c>
      <c r="AB188" s="38">
        <v>43040</v>
      </c>
      <c r="AC188" s="9" t="s">
        <v>513</v>
      </c>
      <c r="AD188" s="9" t="s">
        <v>613</v>
      </c>
      <c r="AE188" s="2">
        <v>48</v>
      </c>
      <c r="AF188" s="2">
        <v>9</v>
      </c>
      <c r="AG188"/>
    </row>
    <row r="189" spans="1:34" ht="15" customHeight="1" x14ac:dyDescent="0.25">
      <c r="A189" s="9">
        <v>188</v>
      </c>
      <c r="B189" s="9" t="s">
        <v>418</v>
      </c>
      <c r="C189" s="9" t="s">
        <v>419</v>
      </c>
      <c r="D189" s="9">
        <v>1</v>
      </c>
      <c r="E189" s="9">
        <v>3</v>
      </c>
      <c r="F189" s="9">
        <v>13</v>
      </c>
      <c r="G189" s="9">
        <v>1</v>
      </c>
      <c r="H189" s="9">
        <v>4</v>
      </c>
      <c r="I189" s="9">
        <v>0</v>
      </c>
      <c r="J189" s="9">
        <v>1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 t="s">
        <v>366</v>
      </c>
      <c r="T189" s="9">
        <v>0</v>
      </c>
      <c r="U189" s="9">
        <v>0</v>
      </c>
      <c r="V189" s="9" t="s">
        <v>15</v>
      </c>
      <c r="W189" s="9" t="s">
        <v>418</v>
      </c>
      <c r="X189" s="9">
        <v>0.33333333333333331</v>
      </c>
      <c r="Y189" s="37">
        <v>3.25</v>
      </c>
      <c r="Z189" s="9" t="s">
        <v>455</v>
      </c>
      <c r="AA189" s="9">
        <v>0</v>
      </c>
      <c r="AB189" s="38">
        <v>43435</v>
      </c>
      <c r="AC189" s="9" t="s">
        <v>513</v>
      </c>
      <c r="AD189" s="9" t="s">
        <v>614</v>
      </c>
      <c r="AE189" s="2">
        <v>13</v>
      </c>
      <c r="AF189" s="2">
        <v>1</v>
      </c>
      <c r="AG189"/>
    </row>
    <row r="190" spans="1:34" ht="15" customHeight="1" x14ac:dyDescent="0.25">
      <c r="A190" s="9">
        <v>189</v>
      </c>
      <c r="B190" s="9" t="s">
        <v>420</v>
      </c>
      <c r="C190" s="9" t="s">
        <v>421</v>
      </c>
      <c r="D190" s="9">
        <v>1</v>
      </c>
      <c r="E190" s="9">
        <v>3</v>
      </c>
      <c r="F190" s="9">
        <v>54</v>
      </c>
      <c r="G190" s="9">
        <v>3</v>
      </c>
      <c r="H190" s="9">
        <v>4</v>
      </c>
      <c r="I190" s="9">
        <v>0</v>
      </c>
      <c r="J190" s="9">
        <v>6</v>
      </c>
      <c r="K190" s="9">
        <v>4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 t="s">
        <v>366</v>
      </c>
      <c r="T190" s="9">
        <v>0</v>
      </c>
      <c r="U190" s="9">
        <v>0</v>
      </c>
      <c r="V190" s="9" t="s">
        <v>15</v>
      </c>
      <c r="W190" s="9" t="s">
        <v>420</v>
      </c>
      <c r="X190" s="9">
        <v>1</v>
      </c>
      <c r="Y190" s="37">
        <v>13.5</v>
      </c>
      <c r="Z190" s="9" t="s">
        <v>454</v>
      </c>
      <c r="AA190" s="9">
        <v>0</v>
      </c>
      <c r="AB190" s="38">
        <v>43435</v>
      </c>
      <c r="AC190" s="9" t="s">
        <v>513</v>
      </c>
      <c r="AD190" s="9" t="s">
        <v>615</v>
      </c>
      <c r="AE190" s="2">
        <v>54</v>
      </c>
      <c r="AF190" s="2">
        <v>3</v>
      </c>
      <c r="AG190"/>
    </row>
    <row r="191" spans="1:34" ht="15" customHeight="1" x14ac:dyDescent="0.25">
      <c r="A191" s="9">
        <v>190</v>
      </c>
      <c r="B191" s="9" t="s">
        <v>422</v>
      </c>
      <c r="C191" s="9" t="s">
        <v>423</v>
      </c>
      <c r="D191" s="9">
        <v>2</v>
      </c>
      <c r="E191" s="9">
        <v>19</v>
      </c>
      <c r="F191" s="9">
        <v>269</v>
      </c>
      <c r="G191" s="9">
        <v>19</v>
      </c>
      <c r="H191" s="9">
        <v>26</v>
      </c>
      <c r="I191" s="9">
        <v>2</v>
      </c>
      <c r="J191" s="9">
        <v>23</v>
      </c>
      <c r="K191" s="9">
        <v>19</v>
      </c>
      <c r="L191" s="9">
        <v>0</v>
      </c>
      <c r="M191" s="9">
        <v>0</v>
      </c>
      <c r="N191" s="9">
        <v>1</v>
      </c>
      <c r="O191" s="9">
        <v>0</v>
      </c>
      <c r="P191" s="9">
        <v>0</v>
      </c>
      <c r="Q191" s="9">
        <v>1</v>
      </c>
      <c r="R191" s="9">
        <v>0</v>
      </c>
      <c r="S191" s="9" t="s">
        <v>40</v>
      </c>
      <c r="T191" s="9">
        <v>0</v>
      </c>
      <c r="U191" s="9">
        <v>0</v>
      </c>
      <c r="V191" s="9" t="s">
        <v>15</v>
      </c>
      <c r="W191" s="9" t="s">
        <v>422</v>
      </c>
      <c r="X191" s="9">
        <v>1</v>
      </c>
      <c r="Y191" s="37">
        <v>11.208333333333334</v>
      </c>
      <c r="Z191" s="9" t="s">
        <v>454</v>
      </c>
      <c r="AA191" s="9">
        <v>1</v>
      </c>
      <c r="AB191" s="38">
        <v>44013</v>
      </c>
      <c r="AC191" s="9" t="s">
        <v>494</v>
      </c>
      <c r="AD191" s="9" t="s">
        <v>616</v>
      </c>
      <c r="AE191" s="2">
        <v>136</v>
      </c>
      <c r="AF191" s="2">
        <v>12</v>
      </c>
      <c r="AG191"/>
    </row>
    <row r="192" spans="1:34" ht="15" customHeight="1" x14ac:dyDescent="0.25">
      <c r="A192" s="9">
        <v>191</v>
      </c>
      <c r="B192" s="9" t="s">
        <v>424</v>
      </c>
      <c r="C192" s="9" t="s">
        <v>425</v>
      </c>
      <c r="D192" s="9">
        <v>3</v>
      </c>
      <c r="E192" s="9">
        <v>20</v>
      </c>
      <c r="F192" s="9">
        <v>198</v>
      </c>
      <c r="G192" s="9">
        <v>19</v>
      </c>
      <c r="H192" s="9">
        <v>27</v>
      </c>
      <c r="I192" s="9">
        <v>0</v>
      </c>
      <c r="J192" s="9">
        <v>9</v>
      </c>
      <c r="K192" s="9">
        <v>13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 t="s">
        <v>40</v>
      </c>
      <c r="T192" s="9">
        <v>0</v>
      </c>
      <c r="U192" s="9">
        <v>0</v>
      </c>
      <c r="V192" s="9" t="s">
        <v>15</v>
      </c>
      <c r="W192" s="9" t="s">
        <v>424</v>
      </c>
      <c r="X192" s="9">
        <v>0.95</v>
      </c>
      <c r="Y192" s="37">
        <v>7.333333333333333</v>
      </c>
      <c r="Z192" s="9" t="s">
        <v>455</v>
      </c>
      <c r="AA192" s="9">
        <v>0</v>
      </c>
      <c r="AB192" s="38">
        <v>44013</v>
      </c>
      <c r="AC192" s="9" t="s">
        <v>494</v>
      </c>
      <c r="AD192" s="9" t="s">
        <v>617</v>
      </c>
      <c r="AE192" s="2">
        <v>120</v>
      </c>
      <c r="AF192" s="2">
        <v>9</v>
      </c>
      <c r="AG192"/>
    </row>
    <row r="193" spans="1:34" ht="15" customHeight="1" x14ac:dyDescent="0.25">
      <c r="A193" s="9">
        <v>192</v>
      </c>
      <c r="B193" s="9" t="s">
        <v>426</v>
      </c>
      <c r="C193" s="9" t="s">
        <v>427</v>
      </c>
      <c r="D193" s="9">
        <v>3</v>
      </c>
      <c r="E193" s="9">
        <v>17</v>
      </c>
      <c r="F193" s="9">
        <v>129</v>
      </c>
      <c r="G193" s="9">
        <v>14</v>
      </c>
      <c r="H193" s="9">
        <v>18</v>
      </c>
      <c r="I193" s="9">
        <v>0</v>
      </c>
      <c r="J193" s="9">
        <v>7</v>
      </c>
      <c r="K193" s="9">
        <v>7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 t="s">
        <v>40</v>
      </c>
      <c r="T193" s="9">
        <v>0</v>
      </c>
      <c r="U193" s="9">
        <v>0</v>
      </c>
      <c r="V193" s="9" t="s">
        <v>15</v>
      </c>
      <c r="W193" s="9" t="s">
        <v>426</v>
      </c>
      <c r="X193" s="9">
        <v>0.82352941176470584</v>
      </c>
      <c r="Y193" s="37">
        <v>7.166666666666667</v>
      </c>
      <c r="Z193" s="9" t="s">
        <v>455</v>
      </c>
      <c r="AA193" s="9">
        <v>0</v>
      </c>
      <c r="AB193" s="38">
        <v>44013</v>
      </c>
      <c r="AC193" s="9" t="s">
        <v>494</v>
      </c>
      <c r="AD193" s="9" t="s">
        <v>618</v>
      </c>
      <c r="AE193" s="2">
        <v>57</v>
      </c>
      <c r="AF193" s="2">
        <v>5</v>
      </c>
      <c r="AG193"/>
    </row>
    <row r="194" spans="1:34" ht="15" customHeight="1" x14ac:dyDescent="0.25">
      <c r="A194" s="9">
        <v>193</v>
      </c>
      <c r="B194" s="9" t="s">
        <v>428</v>
      </c>
      <c r="C194" s="9" t="s">
        <v>429</v>
      </c>
      <c r="D194" s="9">
        <v>3</v>
      </c>
      <c r="E194" s="9">
        <v>26</v>
      </c>
      <c r="F194" s="9">
        <v>399</v>
      </c>
      <c r="G194" s="9">
        <v>28</v>
      </c>
      <c r="H194" s="9">
        <v>35</v>
      </c>
      <c r="I194" s="9">
        <v>2</v>
      </c>
      <c r="J194" s="9">
        <v>30</v>
      </c>
      <c r="K194" s="9">
        <v>26</v>
      </c>
      <c r="L194" s="9">
        <v>0</v>
      </c>
      <c r="M194" s="9">
        <v>2</v>
      </c>
      <c r="N194" s="9">
        <v>0.5</v>
      </c>
      <c r="O194" s="9">
        <v>0</v>
      </c>
      <c r="P194" s="9">
        <v>0</v>
      </c>
      <c r="Q194" s="9">
        <v>0</v>
      </c>
      <c r="R194" s="9">
        <v>0</v>
      </c>
      <c r="S194" s="9" t="s">
        <v>40</v>
      </c>
      <c r="T194" s="9">
        <v>0</v>
      </c>
      <c r="U194" s="9">
        <v>0</v>
      </c>
      <c r="V194" s="9" t="s">
        <v>15</v>
      </c>
      <c r="W194" s="9" t="s">
        <v>428</v>
      </c>
      <c r="X194" s="9">
        <v>1.0769230769230769</v>
      </c>
      <c r="Y194" s="37">
        <v>12.090909090909092</v>
      </c>
      <c r="Z194" s="9" t="s">
        <v>454</v>
      </c>
      <c r="AA194" s="9">
        <v>0</v>
      </c>
      <c r="AB194" s="38">
        <v>44013</v>
      </c>
      <c r="AC194" s="9" t="s">
        <v>494</v>
      </c>
      <c r="AD194" s="9" t="s">
        <v>619</v>
      </c>
      <c r="AE194" s="2">
        <v>196</v>
      </c>
      <c r="AF194" s="2">
        <v>17</v>
      </c>
      <c r="AG194" t="s">
        <v>1117</v>
      </c>
      <c r="AH194" s="34">
        <v>46055</v>
      </c>
    </row>
    <row r="195" spans="1:34" ht="15" customHeight="1" x14ac:dyDescent="0.25">
      <c r="A195" s="9">
        <v>194</v>
      </c>
      <c r="B195" s="9" t="s">
        <v>430</v>
      </c>
      <c r="C195" s="9" t="s">
        <v>431</v>
      </c>
      <c r="D195" s="9">
        <v>1</v>
      </c>
      <c r="E195" s="9">
        <v>6</v>
      </c>
      <c r="F195" s="9">
        <v>36</v>
      </c>
      <c r="G195" s="9">
        <v>4</v>
      </c>
      <c r="H195" s="9">
        <v>5</v>
      </c>
      <c r="I195" s="9">
        <v>0</v>
      </c>
      <c r="J195" s="9">
        <v>3</v>
      </c>
      <c r="K195" s="9">
        <v>1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 t="s">
        <v>101</v>
      </c>
      <c r="T195" s="9">
        <v>0</v>
      </c>
      <c r="U195" s="9">
        <v>0</v>
      </c>
      <c r="V195" s="9" t="s">
        <v>15</v>
      </c>
      <c r="W195" s="9" t="s">
        <v>430</v>
      </c>
      <c r="X195" s="9">
        <v>0.66666666666666663</v>
      </c>
      <c r="Y195" s="37">
        <v>7.2</v>
      </c>
      <c r="Z195" s="9" t="s">
        <v>455</v>
      </c>
      <c r="AA195" s="9">
        <v>0</v>
      </c>
      <c r="AB195" s="38">
        <v>44013</v>
      </c>
      <c r="AC195" s="9" t="s">
        <v>494</v>
      </c>
      <c r="AD195" s="9" t="s">
        <v>620</v>
      </c>
      <c r="AE195" s="2">
        <v>36</v>
      </c>
      <c r="AF195" s="2">
        <v>4</v>
      </c>
      <c r="AG195"/>
    </row>
    <row r="196" spans="1:34" ht="15" customHeight="1" x14ac:dyDescent="0.25">
      <c r="A196" s="9">
        <v>195</v>
      </c>
      <c r="B196" s="9" t="s">
        <v>432</v>
      </c>
      <c r="C196" s="9" t="s">
        <v>433</v>
      </c>
      <c r="D196" s="9">
        <v>1</v>
      </c>
      <c r="E196" s="9">
        <v>5</v>
      </c>
      <c r="F196" s="9">
        <v>34</v>
      </c>
      <c r="G196" s="9">
        <v>1</v>
      </c>
      <c r="H196" s="9">
        <v>5</v>
      </c>
      <c r="I196" s="9">
        <v>0</v>
      </c>
      <c r="J196" s="9">
        <v>3</v>
      </c>
      <c r="K196" s="9">
        <v>2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 t="s">
        <v>101</v>
      </c>
      <c r="T196" s="9">
        <v>0</v>
      </c>
      <c r="U196" s="9">
        <v>0</v>
      </c>
      <c r="V196" s="9" t="s">
        <v>15</v>
      </c>
      <c r="W196" s="9" t="s">
        <v>432</v>
      </c>
      <c r="X196" s="9">
        <v>0.2</v>
      </c>
      <c r="Y196" s="37">
        <v>6.8</v>
      </c>
      <c r="Z196" s="9" t="s">
        <v>455</v>
      </c>
      <c r="AA196" s="9">
        <v>0</v>
      </c>
      <c r="AB196" s="38">
        <v>44013</v>
      </c>
      <c r="AC196" s="9" t="s">
        <v>494</v>
      </c>
      <c r="AD196" s="9" t="s">
        <v>621</v>
      </c>
      <c r="AE196" s="2">
        <v>34</v>
      </c>
      <c r="AF196" s="2">
        <v>1</v>
      </c>
      <c r="AG196"/>
    </row>
    <row r="197" spans="1:34" ht="15" customHeight="1" x14ac:dyDescent="0.25">
      <c r="A197" s="9">
        <v>196</v>
      </c>
      <c r="B197" s="9" t="s">
        <v>434</v>
      </c>
      <c r="C197" s="9" t="s">
        <v>435</v>
      </c>
      <c r="D197" s="9">
        <v>1</v>
      </c>
      <c r="E197" s="9">
        <v>1</v>
      </c>
      <c r="F197" s="9">
        <v>6</v>
      </c>
      <c r="G197" s="9">
        <v>0</v>
      </c>
      <c r="H197" s="9">
        <v>1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 t="s">
        <v>281</v>
      </c>
      <c r="T197" s="9">
        <v>0</v>
      </c>
      <c r="U197" s="9">
        <v>0</v>
      </c>
      <c r="V197" s="9" t="s">
        <v>15</v>
      </c>
      <c r="W197" s="9" t="s">
        <v>434</v>
      </c>
      <c r="X197" s="9">
        <v>0</v>
      </c>
      <c r="Y197" s="37">
        <v>6</v>
      </c>
      <c r="Z197" s="9" t="s">
        <v>455</v>
      </c>
      <c r="AA197" s="9">
        <v>0</v>
      </c>
      <c r="AB197" s="38">
        <v>41699</v>
      </c>
      <c r="AC197" s="9" t="s">
        <v>471</v>
      </c>
      <c r="AD197" s="9" t="s">
        <v>591</v>
      </c>
      <c r="AE197" s="2">
        <v>6</v>
      </c>
      <c r="AF197" s="2">
        <v>0</v>
      </c>
      <c r="AG197"/>
    </row>
    <row r="198" spans="1:34" ht="15" customHeight="1" x14ac:dyDescent="0.25">
      <c r="A198" s="9">
        <v>197</v>
      </c>
      <c r="B198" s="9" t="s">
        <v>436</v>
      </c>
      <c r="C198" s="9" t="s">
        <v>437</v>
      </c>
      <c r="D198" s="9">
        <v>2</v>
      </c>
      <c r="E198" s="9">
        <v>14</v>
      </c>
      <c r="F198" s="9">
        <v>278</v>
      </c>
      <c r="G198" s="9">
        <v>15</v>
      </c>
      <c r="H198" s="9">
        <v>17</v>
      </c>
      <c r="I198" s="9">
        <v>1</v>
      </c>
      <c r="J198" s="9">
        <v>20</v>
      </c>
      <c r="K198" s="9">
        <v>16</v>
      </c>
      <c r="L198" s="9">
        <v>0</v>
      </c>
      <c r="M198" s="9">
        <v>0</v>
      </c>
      <c r="N198" s="9">
        <v>1</v>
      </c>
      <c r="O198" s="9">
        <v>0</v>
      </c>
      <c r="P198" s="9">
        <v>0</v>
      </c>
      <c r="Q198" s="9">
        <v>0</v>
      </c>
      <c r="R198" s="9">
        <v>0</v>
      </c>
      <c r="S198" s="9" t="s">
        <v>40</v>
      </c>
      <c r="T198" s="9">
        <v>0</v>
      </c>
      <c r="U198" s="9">
        <v>0</v>
      </c>
      <c r="V198" s="9" t="s">
        <v>15</v>
      </c>
      <c r="W198" s="9" t="s">
        <v>436</v>
      </c>
      <c r="X198" s="39">
        <v>1.0714285714285714</v>
      </c>
      <c r="Y198" s="37">
        <v>17.375</v>
      </c>
      <c r="Z198" s="9" t="s">
        <v>455</v>
      </c>
      <c r="AA198" s="9">
        <v>0</v>
      </c>
      <c r="AB198" s="38">
        <v>44256</v>
      </c>
      <c r="AC198" s="9" t="s">
        <v>622</v>
      </c>
      <c r="AD198" s="9" t="s">
        <v>623</v>
      </c>
      <c r="AE198" s="2">
        <v>207</v>
      </c>
      <c r="AF198" s="2">
        <v>10</v>
      </c>
      <c r="AG198"/>
    </row>
    <row r="199" spans="1:34" ht="15" customHeight="1" x14ac:dyDescent="0.25">
      <c r="A199" s="9">
        <v>198</v>
      </c>
      <c r="B199" s="9" t="s">
        <v>438</v>
      </c>
      <c r="C199" s="9" t="s">
        <v>439</v>
      </c>
      <c r="D199" s="9">
        <v>4</v>
      </c>
      <c r="E199" s="9">
        <v>28</v>
      </c>
      <c r="F199" s="9">
        <v>271</v>
      </c>
      <c r="G199" s="9">
        <v>27</v>
      </c>
      <c r="H199" s="9">
        <v>23</v>
      </c>
      <c r="I199" s="9">
        <v>1</v>
      </c>
      <c r="J199" s="9">
        <v>18</v>
      </c>
      <c r="K199" s="9">
        <v>19</v>
      </c>
      <c r="L199" s="9">
        <v>0</v>
      </c>
      <c r="M199" s="9">
        <v>1</v>
      </c>
      <c r="N199" s="9">
        <v>2</v>
      </c>
      <c r="O199" s="9">
        <v>0</v>
      </c>
      <c r="P199" s="9">
        <v>0</v>
      </c>
      <c r="Q199" s="9">
        <v>1</v>
      </c>
      <c r="R199" s="9">
        <v>2</v>
      </c>
      <c r="S199" s="9" t="s">
        <v>26</v>
      </c>
      <c r="T199" s="9">
        <v>0</v>
      </c>
      <c r="U199" s="9">
        <v>0</v>
      </c>
      <c r="V199" s="9" t="s">
        <v>15</v>
      </c>
      <c r="W199" s="9" t="s">
        <v>438</v>
      </c>
      <c r="X199" s="9">
        <v>0.9642857142857143</v>
      </c>
      <c r="Y199" s="37">
        <v>12.318181818181818</v>
      </c>
      <c r="Z199" s="9" t="s">
        <v>456</v>
      </c>
      <c r="AA199" s="9">
        <v>3</v>
      </c>
      <c r="AB199" s="38">
        <v>44256</v>
      </c>
      <c r="AC199" s="9" t="s">
        <v>622</v>
      </c>
      <c r="AD199" s="9" t="s">
        <v>624</v>
      </c>
      <c r="AE199" s="2">
        <v>88</v>
      </c>
      <c r="AF199" s="2">
        <v>11</v>
      </c>
      <c r="AG199"/>
    </row>
    <row r="200" spans="1:34" ht="15" customHeight="1" x14ac:dyDescent="0.25">
      <c r="A200" s="9">
        <v>199</v>
      </c>
      <c r="B200" s="9" t="s">
        <v>440</v>
      </c>
      <c r="C200" s="9" t="s">
        <v>441</v>
      </c>
      <c r="D200" s="9">
        <v>1</v>
      </c>
      <c r="E200" s="9">
        <v>9</v>
      </c>
      <c r="F200" s="9">
        <v>53</v>
      </c>
      <c r="G200" s="9">
        <v>11</v>
      </c>
      <c r="H200" s="9">
        <v>8</v>
      </c>
      <c r="I200" s="9">
        <v>0</v>
      </c>
      <c r="J200" s="9">
        <v>7</v>
      </c>
      <c r="K200" s="9">
        <v>1</v>
      </c>
      <c r="L200" s="9">
        <v>0</v>
      </c>
      <c r="M200" s="9">
        <v>1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 t="s">
        <v>40</v>
      </c>
      <c r="T200" s="9">
        <v>0</v>
      </c>
      <c r="U200" s="9">
        <v>0</v>
      </c>
      <c r="V200" s="9" t="s">
        <v>15</v>
      </c>
      <c r="W200" s="9" t="s">
        <v>440</v>
      </c>
      <c r="X200" s="9">
        <v>1.2222222222222223</v>
      </c>
      <c r="Y200" s="37">
        <v>6.625</v>
      </c>
      <c r="Z200" s="9" t="s">
        <v>457</v>
      </c>
      <c r="AA200" s="9">
        <v>0</v>
      </c>
      <c r="AB200" s="38">
        <v>44374</v>
      </c>
      <c r="AC200" s="9" t="s">
        <v>625</v>
      </c>
      <c r="AD200" s="9" t="s">
        <v>626</v>
      </c>
      <c r="AE200" s="2">
        <v>53</v>
      </c>
      <c r="AF200" s="2">
        <v>11</v>
      </c>
      <c r="AG200"/>
    </row>
    <row r="201" spans="1:34" ht="15" customHeight="1" x14ac:dyDescent="0.25">
      <c r="A201" s="9">
        <v>200</v>
      </c>
      <c r="B201" s="9" t="s">
        <v>442</v>
      </c>
      <c r="C201" s="9" t="s">
        <v>443</v>
      </c>
      <c r="D201" s="9">
        <v>4</v>
      </c>
      <c r="E201" s="9">
        <v>21</v>
      </c>
      <c r="F201" s="9">
        <v>298</v>
      </c>
      <c r="G201" s="9">
        <v>27</v>
      </c>
      <c r="H201" s="9">
        <v>24</v>
      </c>
      <c r="I201" s="9">
        <v>2</v>
      </c>
      <c r="J201" s="9">
        <v>25</v>
      </c>
      <c r="K201" s="9">
        <v>18</v>
      </c>
      <c r="L201" s="9">
        <v>3</v>
      </c>
      <c r="M201" s="9">
        <v>2</v>
      </c>
      <c r="N201" s="9">
        <v>3</v>
      </c>
      <c r="O201" s="9">
        <v>0</v>
      </c>
      <c r="P201" s="9">
        <v>0</v>
      </c>
      <c r="Q201" s="9">
        <v>0</v>
      </c>
      <c r="R201" s="9">
        <v>1</v>
      </c>
      <c r="S201" s="9" t="s">
        <v>26</v>
      </c>
      <c r="T201" s="9">
        <v>0</v>
      </c>
      <c r="U201" s="9">
        <v>0</v>
      </c>
      <c r="V201" s="9" t="s">
        <v>15</v>
      </c>
      <c r="W201" s="9" t="s">
        <v>442</v>
      </c>
      <c r="X201" s="39">
        <v>1.2857142857142858</v>
      </c>
      <c r="Y201" s="37">
        <v>13.545454545454545</v>
      </c>
      <c r="Z201" s="9" t="s">
        <v>454</v>
      </c>
      <c r="AA201" s="9">
        <v>1</v>
      </c>
      <c r="AB201" s="38">
        <v>44374</v>
      </c>
      <c r="AC201" s="9" t="s">
        <v>625</v>
      </c>
      <c r="AD201" s="9" t="s">
        <v>627</v>
      </c>
      <c r="AE201" s="2">
        <v>177</v>
      </c>
      <c r="AF201" s="2">
        <v>13</v>
      </c>
      <c r="AG201"/>
    </row>
    <row r="202" spans="1:34" ht="15" customHeight="1" x14ac:dyDescent="0.25">
      <c r="A202" s="9">
        <v>201</v>
      </c>
      <c r="B202" s="9" t="s">
        <v>444</v>
      </c>
      <c r="C202" s="9" t="s">
        <v>445</v>
      </c>
      <c r="D202" s="9">
        <v>1</v>
      </c>
      <c r="E202" s="9">
        <v>4</v>
      </c>
      <c r="F202" s="9">
        <v>54</v>
      </c>
      <c r="G202" s="9">
        <v>4</v>
      </c>
      <c r="H202" s="9">
        <v>4</v>
      </c>
      <c r="I202" s="9">
        <v>2</v>
      </c>
      <c r="J202" s="9">
        <v>5</v>
      </c>
      <c r="K202" s="9">
        <v>4</v>
      </c>
      <c r="L202" s="9">
        <v>0</v>
      </c>
      <c r="M202" s="9">
        <v>1</v>
      </c>
      <c r="N202" s="9">
        <v>1</v>
      </c>
      <c r="O202" s="9">
        <v>0</v>
      </c>
      <c r="P202" s="9">
        <v>0</v>
      </c>
      <c r="Q202" s="9">
        <v>0</v>
      </c>
      <c r="R202" s="9">
        <v>0</v>
      </c>
      <c r="S202" s="9" t="s">
        <v>40</v>
      </c>
      <c r="T202" s="9">
        <v>0</v>
      </c>
      <c r="U202" s="9">
        <v>0</v>
      </c>
      <c r="V202" s="9" t="s">
        <v>15</v>
      </c>
      <c r="W202" s="9" t="s">
        <v>444</v>
      </c>
      <c r="X202" s="39">
        <v>1</v>
      </c>
      <c r="Y202" s="37">
        <v>27</v>
      </c>
      <c r="Z202" s="9" t="s">
        <v>455</v>
      </c>
      <c r="AA202" s="9">
        <v>0</v>
      </c>
      <c r="AB202" s="38">
        <v>44374</v>
      </c>
      <c r="AC202" s="9" t="s">
        <v>625</v>
      </c>
      <c r="AD202" s="9" t="s">
        <v>1147</v>
      </c>
      <c r="AE202" s="2">
        <v>54</v>
      </c>
      <c r="AF202" s="2">
        <v>4</v>
      </c>
      <c r="AG202"/>
    </row>
    <row r="203" spans="1:34" ht="15" customHeight="1" x14ac:dyDescent="0.25">
      <c r="A203" s="9">
        <v>202</v>
      </c>
      <c r="B203" s="9" t="s">
        <v>446</v>
      </c>
      <c r="C203" s="9" t="s">
        <v>447</v>
      </c>
      <c r="D203" s="9">
        <v>4</v>
      </c>
      <c r="E203" s="9">
        <v>25</v>
      </c>
      <c r="F203" s="9">
        <v>491</v>
      </c>
      <c r="G203" s="9">
        <v>37</v>
      </c>
      <c r="H203" s="9">
        <v>38</v>
      </c>
      <c r="I203" s="9">
        <v>4</v>
      </c>
      <c r="J203" s="9">
        <v>38</v>
      </c>
      <c r="K203" s="9">
        <v>40</v>
      </c>
      <c r="L203" s="9">
        <v>1</v>
      </c>
      <c r="M203" s="9">
        <v>7.5</v>
      </c>
      <c r="N203" s="9">
        <v>2</v>
      </c>
      <c r="O203" s="9">
        <v>0</v>
      </c>
      <c r="P203" s="9">
        <v>0</v>
      </c>
      <c r="Q203" s="9">
        <v>1</v>
      </c>
      <c r="R203" s="9">
        <v>1</v>
      </c>
      <c r="S203" s="9" t="s">
        <v>26</v>
      </c>
      <c r="T203" s="9">
        <v>1</v>
      </c>
      <c r="U203" s="9">
        <v>0</v>
      </c>
      <c r="V203" s="9" t="s">
        <v>15</v>
      </c>
      <c r="W203" s="9" t="s">
        <v>446</v>
      </c>
      <c r="X203" s="39">
        <v>1.48</v>
      </c>
      <c r="Y203" s="37">
        <v>14.441176470588236</v>
      </c>
      <c r="Z203" s="9" t="s">
        <v>458</v>
      </c>
      <c r="AA203" s="9">
        <v>2</v>
      </c>
      <c r="AB203" s="38">
        <v>44374</v>
      </c>
      <c r="AC203" s="9" t="s">
        <v>625</v>
      </c>
      <c r="AD203" s="9" t="s">
        <v>629</v>
      </c>
      <c r="AE203" s="2">
        <v>347</v>
      </c>
      <c r="AF203" s="2">
        <v>20</v>
      </c>
      <c r="AG203" s="16" t="s">
        <v>1113</v>
      </c>
      <c r="AH203" s="34">
        <v>46245</v>
      </c>
    </row>
    <row r="204" spans="1:34" ht="15" customHeight="1" x14ac:dyDescent="0.25">
      <c r="A204" s="9">
        <v>203</v>
      </c>
      <c r="B204" s="9" t="s">
        <v>448</v>
      </c>
      <c r="C204" s="9" t="s">
        <v>449</v>
      </c>
      <c r="D204" s="9">
        <v>3</v>
      </c>
      <c r="E204" s="9">
        <v>21</v>
      </c>
      <c r="F204" s="9">
        <v>310</v>
      </c>
      <c r="G204" s="9">
        <v>25</v>
      </c>
      <c r="H204" s="9">
        <v>25</v>
      </c>
      <c r="I204" s="9">
        <v>3</v>
      </c>
      <c r="J204" s="9">
        <v>21</v>
      </c>
      <c r="K204" s="9">
        <v>21</v>
      </c>
      <c r="L204" s="9">
        <v>1</v>
      </c>
      <c r="M204" s="9">
        <v>3</v>
      </c>
      <c r="N204" s="9">
        <v>0</v>
      </c>
      <c r="O204" s="9">
        <v>0</v>
      </c>
      <c r="P204" s="9">
        <v>0</v>
      </c>
      <c r="Q204" s="9">
        <v>1</v>
      </c>
      <c r="R204" s="9">
        <v>0</v>
      </c>
      <c r="S204" s="9" t="s">
        <v>26</v>
      </c>
      <c r="T204" s="9">
        <v>0</v>
      </c>
      <c r="U204" s="9">
        <v>0</v>
      </c>
      <c r="V204" s="9" t="s">
        <v>15</v>
      </c>
      <c r="W204" s="9" t="s">
        <v>448</v>
      </c>
      <c r="X204" s="9">
        <v>1.1904761904761905</v>
      </c>
      <c r="Y204" s="37">
        <v>14.090909090909092</v>
      </c>
      <c r="Z204" s="9" t="s">
        <v>455</v>
      </c>
      <c r="AA204" s="9">
        <v>1</v>
      </c>
      <c r="AB204" s="38">
        <v>44374</v>
      </c>
      <c r="AC204" s="9" t="s">
        <v>625</v>
      </c>
      <c r="AD204" s="9" t="s">
        <v>630</v>
      </c>
      <c r="AE204" s="2">
        <v>157</v>
      </c>
      <c r="AF204" s="2">
        <v>13</v>
      </c>
      <c r="AG204" t="s">
        <v>1120</v>
      </c>
      <c r="AH204" s="34">
        <v>46122</v>
      </c>
    </row>
    <row r="205" spans="1:34" ht="15" customHeight="1" x14ac:dyDescent="0.25">
      <c r="A205" s="9">
        <v>204</v>
      </c>
      <c r="B205" s="9" t="s">
        <v>450</v>
      </c>
      <c r="C205" s="9" t="s">
        <v>451</v>
      </c>
      <c r="D205" s="9">
        <v>1</v>
      </c>
      <c r="E205" s="9">
        <v>7</v>
      </c>
      <c r="F205" s="9">
        <v>37</v>
      </c>
      <c r="G205" s="9">
        <v>0</v>
      </c>
      <c r="H205" s="9">
        <v>4</v>
      </c>
      <c r="I205" s="9">
        <v>0</v>
      </c>
      <c r="J205" s="9">
        <v>3</v>
      </c>
      <c r="K205" s="9">
        <v>2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 t="s">
        <v>40</v>
      </c>
      <c r="T205" s="9">
        <v>0</v>
      </c>
      <c r="U205" s="9">
        <v>0</v>
      </c>
      <c r="V205" s="9" t="s">
        <v>15</v>
      </c>
      <c r="W205" s="9" t="s">
        <v>450</v>
      </c>
      <c r="X205" s="9">
        <v>0</v>
      </c>
      <c r="Y205" s="37">
        <v>9.25</v>
      </c>
      <c r="Z205" s="9" t="s">
        <v>455</v>
      </c>
      <c r="AA205" s="9">
        <v>0</v>
      </c>
      <c r="AB205" s="38">
        <v>44374</v>
      </c>
      <c r="AC205" s="9" t="s">
        <v>625</v>
      </c>
      <c r="AD205" s="9" t="s">
        <v>631</v>
      </c>
      <c r="AE205" s="2">
        <v>37</v>
      </c>
      <c r="AF205" s="2">
        <v>0</v>
      </c>
      <c r="AG205"/>
    </row>
    <row r="206" spans="1:34" ht="15" customHeight="1" x14ac:dyDescent="0.25">
      <c r="A206" s="9">
        <v>205</v>
      </c>
      <c r="B206" s="9" t="s">
        <v>452</v>
      </c>
      <c r="C206" s="9" t="s">
        <v>453</v>
      </c>
      <c r="D206" s="9">
        <v>1</v>
      </c>
      <c r="E206" s="9">
        <v>3</v>
      </c>
      <c r="F206" s="9">
        <v>28</v>
      </c>
      <c r="G206" s="9">
        <v>0</v>
      </c>
      <c r="H206" s="9">
        <v>3</v>
      </c>
      <c r="I206" s="9">
        <v>0</v>
      </c>
      <c r="J206" s="9">
        <v>1</v>
      </c>
      <c r="K206" s="9">
        <v>2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 t="s">
        <v>23</v>
      </c>
      <c r="T206" s="9">
        <v>0</v>
      </c>
      <c r="U206" s="9">
        <v>0</v>
      </c>
      <c r="V206" s="9" t="s">
        <v>15</v>
      </c>
      <c r="W206" s="9" t="s">
        <v>452</v>
      </c>
      <c r="X206" s="9">
        <v>0</v>
      </c>
      <c r="Y206" s="37">
        <v>9.3333333333333339</v>
      </c>
      <c r="Z206" s="9" t="s">
        <v>455</v>
      </c>
      <c r="AA206" s="9">
        <v>0</v>
      </c>
      <c r="AB206" s="38">
        <v>44949</v>
      </c>
      <c r="AC206" s="9" t="s">
        <v>632</v>
      </c>
      <c r="AD206" s="9" t="s">
        <v>633</v>
      </c>
      <c r="AE206" s="2">
        <v>28</v>
      </c>
      <c r="AF206" s="2">
        <v>0</v>
      </c>
      <c r="AG206"/>
    </row>
    <row r="207" spans="1:34" ht="15" customHeight="1" x14ac:dyDescent="0.25">
      <c r="A207" s="9">
        <v>206</v>
      </c>
      <c r="B207" s="9" t="s">
        <v>789</v>
      </c>
      <c r="C207" s="9" t="s">
        <v>1096</v>
      </c>
      <c r="D207" s="9">
        <v>7</v>
      </c>
      <c r="E207" s="9">
        <v>60</v>
      </c>
      <c r="F207" s="9">
        <v>764</v>
      </c>
      <c r="G207" s="9">
        <v>70</v>
      </c>
      <c r="H207" s="9">
        <v>68</v>
      </c>
      <c r="I207" s="9">
        <v>11</v>
      </c>
      <c r="J207" s="9">
        <v>69</v>
      </c>
      <c r="K207" s="9">
        <v>46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2</v>
      </c>
      <c r="R207" s="9">
        <v>0</v>
      </c>
      <c r="S207" s="9" t="s">
        <v>43</v>
      </c>
      <c r="T207" s="9">
        <v>0</v>
      </c>
      <c r="U207" s="9">
        <v>0</v>
      </c>
      <c r="V207" s="9" t="s">
        <v>15</v>
      </c>
      <c r="W207" s="9" t="s">
        <v>789</v>
      </c>
      <c r="X207" s="39">
        <v>1.1666666666666667</v>
      </c>
      <c r="Y207" s="9">
        <v>13.403508771929825</v>
      </c>
      <c r="AA207" s="9">
        <v>2</v>
      </c>
      <c r="AB207" s="38">
        <v>41609</v>
      </c>
      <c r="AC207" s="9" t="s">
        <v>501</v>
      </c>
      <c r="AD207" s="9" t="s">
        <v>788</v>
      </c>
      <c r="AE207" s="2">
        <v>189</v>
      </c>
      <c r="AF207" s="2">
        <v>18</v>
      </c>
      <c r="AH207" s="34">
        <v>46365</v>
      </c>
    </row>
    <row r="208" spans="1:34" ht="16.5" x14ac:dyDescent="0.25">
      <c r="A208" s="1">
        <v>207</v>
      </c>
      <c r="B208" s="1" t="s">
        <v>824</v>
      </c>
      <c r="C208" s="1" t="s">
        <v>1130</v>
      </c>
      <c r="D208" s="1">
        <v>2</v>
      </c>
      <c r="E208" s="1">
        <v>3</v>
      </c>
      <c r="F208" s="2">
        <v>46</v>
      </c>
      <c r="G208" s="2">
        <v>2</v>
      </c>
      <c r="H208" s="2">
        <v>3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 t="s">
        <v>293</v>
      </c>
      <c r="T208" s="2">
        <v>0</v>
      </c>
      <c r="U208" s="2">
        <v>0</v>
      </c>
      <c r="V208" s="2" t="s">
        <v>15</v>
      </c>
      <c r="W208" s="2" t="s">
        <v>824</v>
      </c>
      <c r="X208">
        <v>0.66666666666666663</v>
      </c>
      <c r="Y208" s="41">
        <v>15.333333333333334</v>
      </c>
      <c r="Z208" s="1" t="s">
        <v>456</v>
      </c>
      <c r="AA208" s="1">
        <v>0</v>
      </c>
      <c r="AB208" s="42">
        <v>41456</v>
      </c>
      <c r="AC208" s="43" t="s">
        <v>474</v>
      </c>
      <c r="AD208" s="43" t="s">
        <v>1131</v>
      </c>
      <c r="AE208" s="43">
        <v>0</v>
      </c>
      <c r="AF208" s="43">
        <v>0</v>
      </c>
      <c r="AG208"/>
      <c r="AH208"/>
    </row>
    <row r="209" spans="1:34" ht="16.5" x14ac:dyDescent="0.25">
      <c r="A209" s="9">
        <v>208</v>
      </c>
      <c r="B209" s="1" t="s">
        <v>790</v>
      </c>
      <c r="C209" s="1" t="s">
        <v>1148</v>
      </c>
      <c r="D209" s="1">
        <v>2</v>
      </c>
      <c r="E209" s="1">
        <v>4</v>
      </c>
      <c r="F209" s="2">
        <v>14</v>
      </c>
      <c r="G209" s="2">
        <v>5</v>
      </c>
      <c r="H209" s="2">
        <v>3</v>
      </c>
      <c r="I209" s="2">
        <v>0</v>
      </c>
      <c r="J209" s="2">
        <v>2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 t="s">
        <v>293</v>
      </c>
      <c r="T209" s="2">
        <v>0</v>
      </c>
      <c r="U209" s="2">
        <v>0</v>
      </c>
      <c r="V209" s="2" t="s">
        <v>15</v>
      </c>
      <c r="W209" s="2" t="s">
        <v>790</v>
      </c>
      <c r="X209">
        <v>1.25</v>
      </c>
      <c r="Y209" s="41">
        <v>4.666666666666667</v>
      </c>
      <c r="Z209" s="1" t="s">
        <v>457</v>
      </c>
      <c r="AA209" s="1">
        <v>0</v>
      </c>
      <c r="AB209" s="42">
        <v>41609</v>
      </c>
      <c r="AC209" s="43" t="s">
        <v>501</v>
      </c>
      <c r="AD209" s="43" t="s">
        <v>788</v>
      </c>
      <c r="AE209" s="43">
        <v>0</v>
      </c>
      <c r="AF209" s="43">
        <v>0</v>
      </c>
      <c r="AG209"/>
      <c r="AH209"/>
    </row>
    <row r="210" spans="1:34" ht="16.5" x14ac:dyDescent="0.25">
      <c r="A210" s="1">
        <v>209</v>
      </c>
      <c r="B210" s="1" t="s">
        <v>798</v>
      </c>
      <c r="C210" s="1" t="s">
        <v>1149</v>
      </c>
      <c r="D210" s="1">
        <v>2</v>
      </c>
      <c r="E210" s="1">
        <v>4</v>
      </c>
      <c r="F210" s="2">
        <v>44</v>
      </c>
      <c r="G210" s="2">
        <v>4</v>
      </c>
      <c r="H210" s="2">
        <v>6</v>
      </c>
      <c r="I210" s="2">
        <v>0</v>
      </c>
      <c r="J210" s="2">
        <v>5</v>
      </c>
      <c r="K210" s="2">
        <v>2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 t="s">
        <v>293</v>
      </c>
      <c r="T210" s="2">
        <v>0</v>
      </c>
      <c r="U210" s="2">
        <v>0</v>
      </c>
      <c r="V210" s="2" t="s">
        <v>15</v>
      </c>
      <c r="W210" s="2" t="s">
        <v>798</v>
      </c>
      <c r="X210">
        <v>1</v>
      </c>
      <c r="Y210" s="41">
        <v>7.333333333333333</v>
      </c>
      <c r="Z210" s="1" t="s">
        <v>457</v>
      </c>
      <c r="AA210" s="1">
        <v>0</v>
      </c>
      <c r="AB210" s="42">
        <v>41609</v>
      </c>
      <c r="AC210" s="43" t="s">
        <v>501</v>
      </c>
      <c r="AD210" s="43" t="s">
        <v>797</v>
      </c>
      <c r="AE210" s="43">
        <v>0</v>
      </c>
      <c r="AF210" s="43">
        <v>0</v>
      </c>
      <c r="AG210"/>
      <c r="AH210"/>
    </row>
    <row r="211" spans="1:34" ht="16.5" x14ac:dyDescent="0.25">
      <c r="A211" s="9">
        <v>210</v>
      </c>
      <c r="B211" s="1" t="s">
        <v>807</v>
      </c>
      <c r="C211" s="1" t="s">
        <v>1150</v>
      </c>
      <c r="D211" s="1">
        <v>2</v>
      </c>
      <c r="E211" s="1">
        <v>14</v>
      </c>
      <c r="F211" s="2">
        <v>216</v>
      </c>
      <c r="G211" s="2">
        <v>13</v>
      </c>
      <c r="H211" s="2">
        <v>19</v>
      </c>
      <c r="I211" s="2">
        <v>3</v>
      </c>
      <c r="J211" s="2">
        <v>15</v>
      </c>
      <c r="K211" s="2">
        <v>14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 t="s">
        <v>293</v>
      </c>
      <c r="T211" s="2">
        <v>0</v>
      </c>
      <c r="U211" s="2">
        <v>0</v>
      </c>
      <c r="V211" s="2" t="s">
        <v>15</v>
      </c>
      <c r="W211" s="2" t="s">
        <v>807</v>
      </c>
      <c r="X211">
        <v>0.9285714285714286</v>
      </c>
      <c r="Y211" s="41">
        <v>13.5</v>
      </c>
      <c r="Z211" s="1" t="s">
        <v>456</v>
      </c>
      <c r="AA211" s="1">
        <v>0</v>
      </c>
      <c r="AB211" s="42">
        <v>41791</v>
      </c>
      <c r="AC211" s="43" t="s">
        <v>509</v>
      </c>
      <c r="AD211" s="43" t="s">
        <v>593</v>
      </c>
      <c r="AE211" s="43">
        <v>0</v>
      </c>
      <c r="AF211" s="43">
        <v>0</v>
      </c>
      <c r="AG211"/>
      <c r="AH211"/>
    </row>
    <row r="212" spans="1:34" ht="16.5" x14ac:dyDescent="0.25">
      <c r="A212" s="1">
        <v>211</v>
      </c>
      <c r="B212" s="1" t="s">
        <v>832</v>
      </c>
      <c r="C212" s="1" t="s">
        <v>1151</v>
      </c>
      <c r="D212" s="1">
        <v>1</v>
      </c>
      <c r="E212" s="1">
        <v>12</v>
      </c>
      <c r="F212" s="2">
        <v>147</v>
      </c>
      <c r="G212" s="2">
        <v>9</v>
      </c>
      <c r="H212" s="2">
        <v>13</v>
      </c>
      <c r="I212" s="2">
        <v>1</v>
      </c>
      <c r="J212" s="2">
        <v>11</v>
      </c>
      <c r="K212" s="2">
        <v>9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 t="s">
        <v>37</v>
      </c>
      <c r="T212" s="2">
        <v>0</v>
      </c>
      <c r="U212" s="2">
        <v>0</v>
      </c>
      <c r="V212" s="2" t="s">
        <v>15</v>
      </c>
      <c r="W212" s="2" t="s">
        <v>832</v>
      </c>
      <c r="X212">
        <v>0.75</v>
      </c>
      <c r="Y212" s="41">
        <v>12.25</v>
      </c>
      <c r="Z212" s="1" t="s">
        <v>456</v>
      </c>
      <c r="AA212" s="1">
        <v>0</v>
      </c>
      <c r="AB212" s="42">
        <v>42036</v>
      </c>
      <c r="AC212" s="43" t="s">
        <v>525</v>
      </c>
      <c r="AD212" s="43" t="s">
        <v>831</v>
      </c>
      <c r="AE212" s="43">
        <v>0</v>
      </c>
      <c r="AF212" s="43">
        <v>0</v>
      </c>
      <c r="AG212"/>
      <c r="AH212"/>
    </row>
    <row r="213" spans="1:34" ht="16.5" x14ac:dyDescent="0.25">
      <c r="A213" s="9">
        <v>212</v>
      </c>
      <c r="B213" s="1" t="s">
        <v>778</v>
      </c>
      <c r="C213" s="1" t="s">
        <v>1152</v>
      </c>
      <c r="D213" s="1">
        <v>1</v>
      </c>
      <c r="E213" s="1">
        <v>7</v>
      </c>
      <c r="F213" s="2">
        <v>37</v>
      </c>
      <c r="G213" s="2">
        <v>0</v>
      </c>
      <c r="H213" s="2">
        <v>4</v>
      </c>
      <c r="I213" s="2">
        <v>0</v>
      </c>
      <c r="J213" s="2">
        <v>3</v>
      </c>
      <c r="K213" s="2">
        <v>2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 t="s">
        <v>293</v>
      </c>
      <c r="T213" s="2">
        <v>0</v>
      </c>
      <c r="U213" s="2">
        <v>0</v>
      </c>
      <c r="V213" s="2" t="s">
        <v>15</v>
      </c>
      <c r="W213" s="2" t="s">
        <v>778</v>
      </c>
      <c r="X213">
        <v>0</v>
      </c>
      <c r="Y213" s="41">
        <v>9.25</v>
      </c>
      <c r="Z213" s="1" t="s">
        <v>455</v>
      </c>
      <c r="AA213" s="1">
        <v>1</v>
      </c>
      <c r="AB213" s="42">
        <v>41548</v>
      </c>
      <c r="AC213" s="43" t="s">
        <v>499</v>
      </c>
      <c r="AD213" s="43" t="s">
        <v>777</v>
      </c>
      <c r="AE213" s="43">
        <v>0</v>
      </c>
      <c r="AF213" s="43">
        <v>0</v>
      </c>
      <c r="AG213"/>
      <c r="AH213"/>
    </row>
    <row r="214" spans="1:34" ht="16.5" x14ac:dyDescent="0.25">
      <c r="A214" s="1">
        <v>213</v>
      </c>
      <c r="B214" s="1" t="s">
        <v>828</v>
      </c>
      <c r="C214" s="1" t="s">
        <v>1153</v>
      </c>
      <c r="D214" s="1">
        <v>1</v>
      </c>
      <c r="E214" s="1">
        <v>3</v>
      </c>
      <c r="F214" s="2">
        <v>28</v>
      </c>
      <c r="G214" s="2">
        <v>0</v>
      </c>
      <c r="H214" s="2">
        <v>3</v>
      </c>
      <c r="I214" s="2">
        <v>0</v>
      </c>
      <c r="J214" s="2">
        <v>1</v>
      </c>
      <c r="K214" s="2">
        <v>2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 t="s">
        <v>278</v>
      </c>
      <c r="T214" s="2">
        <v>0</v>
      </c>
      <c r="U214" s="2">
        <v>0</v>
      </c>
      <c r="V214" s="2" t="s">
        <v>15</v>
      </c>
      <c r="W214" s="2" t="s">
        <v>828</v>
      </c>
      <c r="X214">
        <v>0</v>
      </c>
      <c r="Y214" s="41">
        <v>9.3333333333333339</v>
      </c>
      <c r="Z214" s="1" t="s">
        <v>455</v>
      </c>
      <c r="AA214" s="1">
        <v>0</v>
      </c>
      <c r="AB214" s="42">
        <v>42339</v>
      </c>
      <c r="AC214" s="43" t="s">
        <v>522</v>
      </c>
      <c r="AD214" s="43" t="s">
        <v>827</v>
      </c>
      <c r="AE214" s="43">
        <v>0</v>
      </c>
      <c r="AF214" s="43">
        <v>0</v>
      </c>
      <c r="AG214"/>
      <c r="AH214"/>
    </row>
    <row r="215" spans="1:34" ht="16.5" x14ac:dyDescent="0.25">
      <c r="A215" s="9">
        <v>214</v>
      </c>
      <c r="B215" s="1" t="s">
        <v>745</v>
      </c>
      <c r="C215" s="1" t="s">
        <v>1154</v>
      </c>
      <c r="D215" s="1">
        <v>7</v>
      </c>
      <c r="E215" s="1">
        <v>60</v>
      </c>
      <c r="F215" s="2">
        <v>764</v>
      </c>
      <c r="G215" s="2">
        <v>70</v>
      </c>
      <c r="H215" s="2">
        <v>68</v>
      </c>
      <c r="I215" s="2">
        <v>11</v>
      </c>
      <c r="J215" s="2">
        <v>69</v>
      </c>
      <c r="K215" s="2">
        <v>46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 s="2" t="s">
        <v>281</v>
      </c>
      <c r="T215" s="2">
        <v>0</v>
      </c>
      <c r="U215" s="2">
        <v>0</v>
      </c>
      <c r="V215" s="2" t="s">
        <v>15</v>
      </c>
      <c r="W215" s="2" t="s">
        <v>745</v>
      </c>
      <c r="X215">
        <v>1.1666666666666667</v>
      </c>
      <c r="Y215" s="41">
        <v>13.403508771929825</v>
      </c>
      <c r="Z215" s="1" t="s">
        <v>454</v>
      </c>
      <c r="AA215" s="1">
        <v>1</v>
      </c>
      <c r="AB215" s="42">
        <v>41456</v>
      </c>
      <c r="AC215" s="43" t="s">
        <v>474</v>
      </c>
      <c r="AD215" s="43" t="s">
        <v>1137</v>
      </c>
      <c r="AE215" s="43">
        <v>0</v>
      </c>
      <c r="AF215" s="43">
        <v>0</v>
      </c>
      <c r="AG215"/>
      <c r="AH215"/>
    </row>
    <row r="216" spans="1:34" ht="16.5" x14ac:dyDescent="0.25">
      <c r="A216" s="1">
        <v>215</v>
      </c>
      <c r="B216" s="1" t="s">
        <v>738</v>
      </c>
      <c r="C216" s="1" t="s">
        <v>1155</v>
      </c>
      <c r="D216" s="1">
        <v>2</v>
      </c>
      <c r="E216" s="1">
        <v>3</v>
      </c>
      <c r="F216" s="2">
        <v>46</v>
      </c>
      <c r="G216" s="2">
        <v>2</v>
      </c>
      <c r="H216" s="2">
        <v>3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 t="s">
        <v>286</v>
      </c>
      <c r="T216" s="2">
        <v>0</v>
      </c>
      <c r="U216" s="2">
        <v>0</v>
      </c>
      <c r="V216" s="2" t="s">
        <v>15</v>
      </c>
      <c r="W216" s="2" t="s">
        <v>738</v>
      </c>
      <c r="X216">
        <v>0.66666666666666663</v>
      </c>
      <c r="Y216" s="41">
        <v>15.333333333333334</v>
      </c>
      <c r="Z216" s="1" t="s">
        <v>456</v>
      </c>
      <c r="AA216" s="1">
        <v>0</v>
      </c>
      <c r="AB216" s="42">
        <v>41456</v>
      </c>
      <c r="AC216" s="43" t="s">
        <v>474</v>
      </c>
      <c r="AD216" s="43" t="s">
        <v>1140</v>
      </c>
      <c r="AE216" s="43">
        <v>0</v>
      </c>
      <c r="AF216" s="43">
        <v>0</v>
      </c>
      <c r="AG216"/>
      <c r="AH216"/>
    </row>
    <row r="217" spans="1:34" ht="16.5" x14ac:dyDescent="0.25">
      <c r="A217" s="1">
        <v>216</v>
      </c>
      <c r="B217" s="1" t="s">
        <v>737</v>
      </c>
      <c r="C217" s="1" t="s">
        <v>1156</v>
      </c>
      <c r="D217" s="1">
        <v>2</v>
      </c>
      <c r="E217" s="1">
        <v>4</v>
      </c>
      <c r="F217" s="2">
        <v>14</v>
      </c>
      <c r="G217" s="2">
        <v>5</v>
      </c>
      <c r="H217" s="2">
        <v>3</v>
      </c>
      <c r="I217" s="2">
        <v>0</v>
      </c>
      <c r="J217" s="2">
        <v>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 t="s">
        <v>227</v>
      </c>
      <c r="T217" s="2">
        <v>0</v>
      </c>
      <c r="U217" s="2">
        <v>0</v>
      </c>
      <c r="V217" s="2" t="s">
        <v>15</v>
      </c>
      <c r="W217" s="2" t="s">
        <v>737</v>
      </c>
      <c r="X217">
        <v>1.25</v>
      </c>
      <c r="Y217" s="41">
        <v>4.666666666666667</v>
      </c>
      <c r="Z217" s="1" t="s">
        <v>457</v>
      </c>
      <c r="AA217" s="1">
        <v>0</v>
      </c>
      <c r="AB217" s="42">
        <v>41456</v>
      </c>
      <c r="AC217" s="43" t="s">
        <v>474</v>
      </c>
      <c r="AD217" s="43" t="s">
        <v>1140</v>
      </c>
      <c r="AE217" s="43">
        <v>0</v>
      </c>
      <c r="AF217" s="43">
        <v>0</v>
      </c>
      <c r="AG217"/>
      <c r="AH217"/>
    </row>
  </sheetData>
  <autoFilter ref="A1:AH217"/>
  <conditionalFormatting sqref="W2:W207 W218:W1048576">
    <cfRule type="duplicateValues" dxfId="13" priority="14"/>
  </conditionalFormatting>
  <conditionalFormatting sqref="W1">
    <cfRule type="duplicateValues" dxfId="12" priority="13"/>
  </conditionalFormatting>
  <conditionalFormatting sqref="AB1">
    <cfRule type="duplicateValues" dxfId="11" priority="12"/>
  </conditionalFormatting>
  <conditionalFormatting sqref="W208">
    <cfRule type="duplicateValues" dxfId="10" priority="11"/>
  </conditionalFormatting>
  <conditionalFormatting sqref="W209">
    <cfRule type="duplicateValues" dxfId="9" priority="10"/>
  </conditionalFormatting>
  <conditionalFormatting sqref="W210">
    <cfRule type="duplicateValues" dxfId="8" priority="9"/>
  </conditionalFormatting>
  <conditionalFormatting sqref="W211">
    <cfRule type="duplicateValues" dxfId="7" priority="8"/>
  </conditionalFormatting>
  <conditionalFormatting sqref="B1:B211 B218:B1048576">
    <cfRule type="duplicateValues" dxfId="6" priority="7"/>
  </conditionalFormatting>
  <conditionalFormatting sqref="W212">
    <cfRule type="duplicateValues" dxfId="5" priority="6"/>
  </conditionalFormatting>
  <conditionalFormatting sqref="W213">
    <cfRule type="duplicateValues" dxfId="4" priority="5"/>
  </conditionalFormatting>
  <conditionalFormatting sqref="W214">
    <cfRule type="duplicateValues" dxfId="3" priority="4"/>
  </conditionalFormatting>
  <conditionalFormatting sqref="W215">
    <cfRule type="duplicateValues" dxfId="2" priority="3"/>
  </conditionalFormatting>
  <conditionalFormatting sqref="W216">
    <cfRule type="duplicateValues" dxfId="1" priority="2"/>
  </conditionalFormatting>
  <conditionalFormatting sqref="W217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556"/>
  <sheetViews>
    <sheetView zoomScale="85" zoomScaleNormal="85" workbookViewId="0">
      <pane ySplit="1" topLeftCell="A2" activePane="bottomLeft" state="frozen"/>
      <selection pane="bottomLeft" activeCell="G35" sqref="G35"/>
    </sheetView>
  </sheetViews>
  <sheetFormatPr defaultRowHeight="15" x14ac:dyDescent="0.25"/>
  <cols>
    <col min="1" max="1" width="3.28515625" style="2" customWidth="1"/>
    <col min="2" max="2" width="22.42578125" customWidth="1"/>
    <col min="3" max="3" width="5.7109375" style="2" customWidth="1"/>
    <col min="4" max="4" width="12.28515625" style="2" bestFit="1" customWidth="1"/>
    <col min="5" max="5" width="8" style="2" customWidth="1"/>
    <col min="6" max="6" width="7.28515625" style="2" customWidth="1"/>
    <col min="7" max="7" width="6" style="2" customWidth="1"/>
    <col min="8" max="9" width="5.42578125" style="2" customWidth="1"/>
    <col min="10" max="10" width="6.5703125" style="2" customWidth="1"/>
    <col min="11" max="11" width="5.85546875" style="1" customWidth="1"/>
    <col min="12" max="12" width="15.5703125" style="1" bestFit="1" customWidth="1"/>
    <col min="13" max="13" width="3" bestFit="1" customWidth="1"/>
    <col min="14" max="14" width="25.42578125" customWidth="1"/>
    <col min="15" max="15" width="21.140625" style="2" customWidth="1"/>
    <col min="16" max="16" width="33.85546875" style="16" customWidth="1"/>
    <col min="17" max="17" width="18" style="1" customWidth="1"/>
    <col min="18" max="18" width="9.140625" style="1"/>
    <col min="19" max="19" width="10.7109375" style="2" customWidth="1"/>
    <col min="20" max="20" width="10.7109375" style="1" customWidth="1"/>
    <col min="21" max="21" width="16.85546875" style="8" customWidth="1"/>
    <col min="22" max="23" width="9.140625" style="1"/>
  </cols>
  <sheetData>
    <row r="1" spans="1:24" s="3" customFormat="1" ht="31.5" customHeight="1" x14ac:dyDescent="0.25">
      <c r="A1" s="9" t="s">
        <v>635</v>
      </c>
      <c r="B1" s="9" t="s">
        <v>636</v>
      </c>
      <c r="C1" s="9" t="s">
        <v>637</v>
      </c>
      <c r="D1" s="9" t="s">
        <v>638</v>
      </c>
      <c r="E1" s="9" t="s">
        <v>639</v>
      </c>
      <c r="F1" s="9" t="s">
        <v>640</v>
      </c>
      <c r="G1" s="9" t="s">
        <v>641</v>
      </c>
      <c r="H1" s="9" t="s">
        <v>642</v>
      </c>
      <c r="I1" s="9" t="s">
        <v>643</v>
      </c>
      <c r="J1" s="9" t="s">
        <v>9</v>
      </c>
      <c r="K1" s="9" t="s">
        <v>644</v>
      </c>
      <c r="L1" s="9" t="s">
        <v>645</v>
      </c>
      <c r="M1" s="3" t="s">
        <v>15</v>
      </c>
      <c r="N1" s="3" t="s">
        <v>646</v>
      </c>
      <c r="O1" s="2" t="s">
        <v>647</v>
      </c>
      <c r="P1" s="2" t="s">
        <v>648</v>
      </c>
      <c r="Q1" s="2" t="s">
        <v>649</v>
      </c>
      <c r="R1" s="10" t="s">
        <v>650</v>
      </c>
      <c r="S1" s="2" t="s">
        <v>651</v>
      </c>
      <c r="T1" s="2" t="s">
        <v>652</v>
      </c>
      <c r="U1" s="11" t="s">
        <v>653</v>
      </c>
      <c r="V1" s="12" t="s">
        <v>654</v>
      </c>
      <c r="W1" s="12" t="s">
        <v>655</v>
      </c>
      <c r="X1" s="2" t="s">
        <v>656</v>
      </c>
    </row>
    <row r="2" spans="1:24" s="3" customFormat="1" ht="19.5" customHeight="1" x14ac:dyDescent="0.25">
      <c r="A2" s="9">
        <v>1</v>
      </c>
      <c r="B2" s="13" t="s">
        <v>542</v>
      </c>
      <c r="C2" s="9"/>
      <c r="D2" s="9"/>
      <c r="E2" s="9"/>
      <c r="F2" s="9"/>
      <c r="G2" s="9"/>
      <c r="H2" s="9"/>
      <c r="I2" s="9"/>
      <c r="J2" s="9"/>
      <c r="K2" s="9"/>
      <c r="L2" s="9"/>
      <c r="O2" s="2" t="s">
        <v>486</v>
      </c>
      <c r="P2" s="14" t="s">
        <v>542</v>
      </c>
      <c r="Q2" s="1">
        <f t="shared" ref="Q2:Q65" si="0">IF(B2="","",1)</f>
        <v>1</v>
      </c>
      <c r="R2" s="2">
        <v>1</v>
      </c>
      <c r="S2" s="2"/>
      <c r="T2" s="2" t="s">
        <v>657</v>
      </c>
      <c r="U2" s="15">
        <v>41334</v>
      </c>
      <c r="V2" s="2"/>
      <c r="W2" s="2"/>
    </row>
    <row r="3" spans="1:24" x14ac:dyDescent="0.25">
      <c r="A3" s="2">
        <v>1</v>
      </c>
      <c r="B3" t="s">
        <v>205</v>
      </c>
      <c r="C3" s="2">
        <v>8</v>
      </c>
      <c r="D3" s="2">
        <v>183</v>
      </c>
      <c r="E3" s="2">
        <v>3</v>
      </c>
      <c r="F3" s="2">
        <f>C3</f>
        <v>8</v>
      </c>
      <c r="J3" s="1"/>
      <c r="M3" t="s">
        <v>15</v>
      </c>
      <c r="N3" t="str">
        <f>IFERROR(VLOOKUP(B3,'[1]All Player'!$B$2:$C$1992,2,0),"")</f>
        <v>Injamul Haque (Syed Injamul Haque)</v>
      </c>
      <c r="O3" s="2" t="s">
        <v>486</v>
      </c>
      <c r="P3" s="16" t="s">
        <v>542</v>
      </c>
      <c r="Q3" s="1">
        <f t="shared" si="0"/>
        <v>1</v>
      </c>
      <c r="R3" s="1">
        <v>1</v>
      </c>
      <c r="T3" s="2" t="s">
        <v>657</v>
      </c>
      <c r="U3" s="15">
        <f t="array" ref="U3:U35">U2</f>
        <v>41334</v>
      </c>
    </row>
    <row r="4" spans="1:24" x14ac:dyDescent="0.25">
      <c r="A4" s="2">
        <f>A3</f>
        <v>1</v>
      </c>
      <c r="B4" t="s">
        <v>152</v>
      </c>
      <c r="C4" s="2">
        <v>8</v>
      </c>
      <c r="D4" s="2">
        <v>49</v>
      </c>
      <c r="E4" s="2">
        <v>14</v>
      </c>
      <c r="F4" s="2">
        <f t="shared" ref="F4:F35" si="1">C4</f>
        <v>8</v>
      </c>
      <c r="J4" s="1"/>
      <c r="M4" t="s">
        <v>15</v>
      </c>
      <c r="N4" t="str">
        <f>IFERROR(VLOOKUP(B4,'[1]All Player'!$B$2:$C$1992,2,0),"")</f>
        <v>Niamul Habib Setu</v>
      </c>
      <c r="O4" s="2" t="s">
        <v>486</v>
      </c>
      <c r="P4" s="16" t="s">
        <v>542</v>
      </c>
      <c r="Q4" s="1">
        <f t="shared" si="0"/>
        <v>1</v>
      </c>
      <c r="R4" s="1">
        <v>1</v>
      </c>
      <c r="T4" s="2" t="s">
        <v>657</v>
      </c>
      <c r="U4" s="15">
        <v>41334</v>
      </c>
    </row>
    <row r="5" spans="1:24" x14ac:dyDescent="0.25">
      <c r="A5" s="2">
        <f t="shared" ref="A5:A35" si="2">A4</f>
        <v>1</v>
      </c>
      <c r="B5" t="s">
        <v>144</v>
      </c>
      <c r="C5" s="2">
        <v>9</v>
      </c>
      <c r="D5" s="2">
        <v>217</v>
      </c>
      <c r="E5" s="2">
        <v>22</v>
      </c>
      <c r="F5" s="2">
        <f t="shared" si="1"/>
        <v>9</v>
      </c>
      <c r="J5" s="1"/>
      <c r="M5" t="s">
        <v>15</v>
      </c>
      <c r="N5" t="str">
        <f>IFERROR(VLOOKUP(B5,'[1]All Player'!$B$2:$C$1992,2,0),"")</f>
        <v>Toufiq Ahmed Ovi</v>
      </c>
      <c r="O5" s="2" t="s">
        <v>486</v>
      </c>
      <c r="P5" s="16" t="s">
        <v>542</v>
      </c>
      <c r="Q5" s="1">
        <f t="shared" si="0"/>
        <v>1</v>
      </c>
      <c r="R5" s="1">
        <v>1</v>
      </c>
      <c r="S5" s="2" t="s">
        <v>658</v>
      </c>
      <c r="T5" s="2" t="s">
        <v>657</v>
      </c>
      <c r="U5" s="15">
        <v>41334</v>
      </c>
    </row>
    <row r="6" spans="1:24" x14ac:dyDescent="0.25">
      <c r="A6" s="2">
        <f t="shared" si="2"/>
        <v>1</v>
      </c>
      <c r="B6" t="s">
        <v>208</v>
      </c>
      <c r="C6" s="2">
        <v>6</v>
      </c>
      <c r="D6" s="2">
        <v>35</v>
      </c>
      <c r="E6" s="2">
        <v>7</v>
      </c>
      <c r="F6" s="2">
        <f t="shared" si="1"/>
        <v>6</v>
      </c>
      <c r="J6" s="1"/>
      <c r="M6" t="s">
        <v>15</v>
      </c>
      <c r="N6" t="str">
        <f>IFERROR(VLOOKUP(B6,'[1]All Player'!$B$2:$C$1992,2,0),"")</f>
        <v>Fahim Shahrear Emon</v>
      </c>
      <c r="O6" s="2" t="s">
        <v>486</v>
      </c>
      <c r="P6" s="16" t="s">
        <v>542</v>
      </c>
      <c r="Q6" s="1">
        <f t="shared" si="0"/>
        <v>1</v>
      </c>
      <c r="R6" s="1">
        <v>1</v>
      </c>
      <c r="T6" s="2" t="s">
        <v>657</v>
      </c>
      <c r="U6" s="15">
        <v>41334</v>
      </c>
    </row>
    <row r="7" spans="1:24" x14ac:dyDescent="0.25">
      <c r="A7" s="2">
        <f t="shared" si="2"/>
        <v>1</v>
      </c>
      <c r="B7" t="s">
        <v>211</v>
      </c>
      <c r="C7" s="2">
        <v>7</v>
      </c>
      <c r="D7" s="2">
        <v>218</v>
      </c>
      <c r="E7" s="2">
        <v>6</v>
      </c>
      <c r="F7" s="2">
        <f t="shared" si="1"/>
        <v>7</v>
      </c>
      <c r="J7" s="1"/>
      <c r="M7" t="s">
        <v>15</v>
      </c>
      <c r="N7" t="str">
        <f>IFERROR(VLOOKUP(B7,'[1]All Player'!$B$2:$C$1992,2,0),"")</f>
        <v>Backbencher Sakib</v>
      </c>
      <c r="O7" s="2" t="s">
        <v>486</v>
      </c>
      <c r="P7" s="16" t="s">
        <v>542</v>
      </c>
      <c r="Q7" s="1">
        <f t="shared" si="0"/>
        <v>1</v>
      </c>
      <c r="R7" s="1">
        <v>1</v>
      </c>
      <c r="T7" s="2" t="s">
        <v>657</v>
      </c>
      <c r="U7" s="15">
        <v>41334</v>
      </c>
    </row>
    <row r="8" spans="1:24" x14ac:dyDescent="0.25">
      <c r="A8" s="2">
        <f t="shared" si="2"/>
        <v>1</v>
      </c>
      <c r="B8" t="s">
        <v>213</v>
      </c>
      <c r="C8" s="2">
        <v>3</v>
      </c>
      <c r="D8" s="2">
        <v>3</v>
      </c>
      <c r="E8" s="2">
        <v>5</v>
      </c>
      <c r="F8" s="2">
        <f t="shared" si="1"/>
        <v>3</v>
      </c>
      <c r="J8" s="1"/>
      <c r="M8" t="s">
        <v>15</v>
      </c>
      <c r="N8" t="str">
        <f>IFERROR(VLOOKUP(B8,'[1]All Player'!$B$2:$C$1992,2,0),"")</f>
        <v>Raihan Islam Akash</v>
      </c>
      <c r="O8" s="2" t="s">
        <v>486</v>
      </c>
      <c r="P8" s="16" t="s">
        <v>542</v>
      </c>
      <c r="Q8" s="1">
        <f t="shared" si="0"/>
        <v>1</v>
      </c>
      <c r="R8" s="1">
        <v>1</v>
      </c>
      <c r="T8" s="2" t="s">
        <v>657</v>
      </c>
      <c r="U8" s="15">
        <v>41334</v>
      </c>
    </row>
    <row r="9" spans="1:24" x14ac:dyDescent="0.25">
      <c r="A9" s="2">
        <f t="shared" si="2"/>
        <v>1</v>
      </c>
      <c r="B9" s="17" t="s">
        <v>498</v>
      </c>
      <c r="F9" s="2">
        <f t="shared" si="1"/>
        <v>0</v>
      </c>
      <c r="J9" s="1"/>
      <c r="M9" t="s">
        <v>15</v>
      </c>
      <c r="N9" t="str">
        <f>IFERROR(VLOOKUP(B9,'[1]All Player'!$B$2:$C$1992,2,0),"")</f>
        <v/>
      </c>
      <c r="O9" s="2" t="s">
        <v>486</v>
      </c>
      <c r="P9" s="16" t="s">
        <v>498</v>
      </c>
      <c r="Q9" s="1">
        <f t="shared" si="0"/>
        <v>1</v>
      </c>
      <c r="R9" s="1">
        <v>2</v>
      </c>
      <c r="T9" s="2" t="s">
        <v>659</v>
      </c>
      <c r="U9" s="15">
        <v>41334</v>
      </c>
    </row>
    <row r="10" spans="1:24" x14ac:dyDescent="0.25">
      <c r="A10" s="2">
        <f t="shared" si="2"/>
        <v>1</v>
      </c>
      <c r="B10" t="s">
        <v>60</v>
      </c>
      <c r="C10" s="2">
        <v>10</v>
      </c>
      <c r="D10" s="2">
        <v>265</v>
      </c>
      <c r="E10" s="2">
        <v>16</v>
      </c>
      <c r="F10" s="2">
        <f t="shared" si="1"/>
        <v>10</v>
      </c>
      <c r="J10" s="1"/>
      <c r="M10" t="s">
        <v>15</v>
      </c>
      <c r="N10" t="str">
        <f>IFERROR(VLOOKUP(B10,'[1]All Player'!$B$2:$C$1992,2,0),"")</f>
        <v>Jahin Shahriar Chowdhury</v>
      </c>
      <c r="O10" s="2" t="s">
        <v>486</v>
      </c>
      <c r="P10" s="16" t="s">
        <v>498</v>
      </c>
      <c r="Q10" s="1">
        <f t="shared" si="0"/>
        <v>1</v>
      </c>
      <c r="R10" s="1">
        <v>2</v>
      </c>
      <c r="T10" s="2" t="s">
        <v>659</v>
      </c>
      <c r="U10" s="15">
        <v>41334</v>
      </c>
    </row>
    <row r="11" spans="1:24" x14ac:dyDescent="0.25">
      <c r="A11" s="2">
        <f t="shared" si="2"/>
        <v>1</v>
      </c>
      <c r="B11" t="s">
        <v>93</v>
      </c>
      <c r="C11" s="2">
        <v>9</v>
      </c>
      <c r="D11" s="2">
        <v>139</v>
      </c>
      <c r="E11" s="2">
        <v>19</v>
      </c>
      <c r="F11" s="2">
        <f t="shared" si="1"/>
        <v>9</v>
      </c>
      <c r="J11" s="2">
        <v>1</v>
      </c>
      <c r="M11" t="s">
        <v>15</v>
      </c>
      <c r="N11" t="str">
        <f>IFERROR(VLOOKUP(B11,'[1]All Player'!$B$2:$C$1992,2,0),"")</f>
        <v>Zaheed Hasan</v>
      </c>
      <c r="O11" s="2" t="s">
        <v>486</v>
      </c>
      <c r="P11" s="16" t="s">
        <v>498</v>
      </c>
      <c r="Q11" s="1">
        <f t="shared" si="0"/>
        <v>1</v>
      </c>
      <c r="R11" s="1">
        <v>2</v>
      </c>
      <c r="T11" s="2" t="s">
        <v>659</v>
      </c>
      <c r="U11" s="15">
        <v>41334</v>
      </c>
    </row>
    <row r="12" spans="1:24" x14ac:dyDescent="0.25">
      <c r="A12" s="2">
        <f t="shared" si="2"/>
        <v>1</v>
      </c>
      <c r="B12" t="s">
        <v>99</v>
      </c>
      <c r="C12" s="2">
        <v>10</v>
      </c>
      <c r="D12" s="2">
        <v>302</v>
      </c>
      <c r="E12" s="2">
        <v>11</v>
      </c>
      <c r="F12" s="2">
        <f t="shared" si="1"/>
        <v>10</v>
      </c>
      <c r="J12" s="1"/>
      <c r="M12" t="s">
        <v>15</v>
      </c>
      <c r="N12" t="str">
        <f>IFERROR(VLOOKUP(B12,'[1]All Player'!$B$2:$C$1992,2,0),"")</f>
        <v>Bishwajit Sarkar</v>
      </c>
      <c r="O12" s="2" t="s">
        <v>486</v>
      </c>
      <c r="P12" s="16" t="s">
        <v>498</v>
      </c>
      <c r="Q12" s="1">
        <f t="shared" si="0"/>
        <v>1</v>
      </c>
      <c r="R12" s="1">
        <v>2</v>
      </c>
      <c r="T12" s="2" t="s">
        <v>659</v>
      </c>
      <c r="U12" s="15">
        <v>41334</v>
      </c>
      <c r="V12" s="1">
        <v>1</v>
      </c>
    </row>
    <row r="13" spans="1:24" x14ac:dyDescent="0.25">
      <c r="A13" s="2">
        <f t="shared" si="2"/>
        <v>1</v>
      </c>
      <c r="B13" t="s">
        <v>215</v>
      </c>
      <c r="C13" s="2">
        <v>1</v>
      </c>
      <c r="D13" s="2">
        <v>13</v>
      </c>
      <c r="E13" s="2">
        <v>2</v>
      </c>
      <c r="F13" s="2">
        <f t="shared" si="1"/>
        <v>1</v>
      </c>
      <c r="J13" s="1"/>
      <c r="M13" t="s">
        <v>15</v>
      </c>
      <c r="N13" t="str">
        <f>IFERROR(VLOOKUP(B13,'[1]All Player'!$B$2:$C$1992,2,0),"")</f>
        <v>Sabbir Ahmed Shuvo</v>
      </c>
      <c r="O13" s="2" t="s">
        <v>486</v>
      </c>
      <c r="P13" s="16" t="s">
        <v>498</v>
      </c>
      <c r="Q13" s="1">
        <f t="shared" si="0"/>
        <v>1</v>
      </c>
      <c r="R13" s="1">
        <v>2</v>
      </c>
      <c r="T13" s="2" t="s">
        <v>659</v>
      </c>
      <c r="U13" s="15">
        <v>41334</v>
      </c>
    </row>
    <row r="14" spans="1:24" x14ac:dyDescent="0.25">
      <c r="A14" s="2">
        <f t="shared" si="2"/>
        <v>1</v>
      </c>
      <c r="B14" t="s">
        <v>218</v>
      </c>
      <c r="C14" s="2">
        <v>1</v>
      </c>
      <c r="D14" s="2">
        <v>2</v>
      </c>
      <c r="E14" s="2">
        <v>0</v>
      </c>
      <c r="F14" s="2">
        <f t="shared" si="1"/>
        <v>1</v>
      </c>
      <c r="J14" s="1"/>
      <c r="M14" t="s">
        <v>15</v>
      </c>
      <c r="N14" t="str">
        <f>IFERROR(VLOOKUP(B14,'[1]All Player'!$B$2:$C$1992,2,0),"")</f>
        <v>Himu</v>
      </c>
      <c r="O14" s="2" t="s">
        <v>486</v>
      </c>
      <c r="P14" s="16" t="s">
        <v>498</v>
      </c>
      <c r="Q14" s="1">
        <f t="shared" si="0"/>
        <v>1</v>
      </c>
      <c r="R14" s="1">
        <v>2</v>
      </c>
      <c r="T14" s="2" t="s">
        <v>659</v>
      </c>
      <c r="U14" s="15">
        <v>41334</v>
      </c>
    </row>
    <row r="15" spans="1:24" x14ac:dyDescent="0.25">
      <c r="A15" s="2">
        <f t="shared" si="2"/>
        <v>1</v>
      </c>
      <c r="B15" t="s">
        <v>219</v>
      </c>
      <c r="C15" s="2">
        <v>0</v>
      </c>
      <c r="D15" s="2">
        <v>0</v>
      </c>
      <c r="E15" s="2">
        <v>0</v>
      </c>
      <c r="F15" s="2">
        <f t="shared" si="1"/>
        <v>0</v>
      </c>
      <c r="J15" s="1"/>
      <c r="M15" t="s">
        <v>15</v>
      </c>
      <c r="N15" t="str">
        <f>IFERROR(VLOOKUP(B15,'[1]All Player'!$B$2:$C$1992,2,0),"")</f>
        <v>Nasir Ahmed Tuhin</v>
      </c>
      <c r="O15" s="2" t="s">
        <v>486</v>
      </c>
      <c r="P15" s="16" t="s">
        <v>498</v>
      </c>
      <c r="Q15" s="1">
        <f t="shared" si="0"/>
        <v>1</v>
      </c>
      <c r="R15" s="1">
        <v>2</v>
      </c>
      <c r="T15" s="2" t="s">
        <v>659</v>
      </c>
      <c r="U15" s="15">
        <v>41334</v>
      </c>
    </row>
    <row r="16" spans="1:24" x14ac:dyDescent="0.25">
      <c r="A16" s="2">
        <f t="shared" si="2"/>
        <v>1</v>
      </c>
      <c r="B16" s="17" t="s">
        <v>527</v>
      </c>
      <c r="F16" s="2">
        <f t="shared" si="1"/>
        <v>0</v>
      </c>
      <c r="J16" s="1"/>
      <c r="M16" t="s">
        <v>15</v>
      </c>
      <c r="N16" t="str">
        <f>IFERROR(VLOOKUP(B16,'[1]All Player'!$B$2:$C$1992,2,0),"")</f>
        <v/>
      </c>
      <c r="O16" s="2" t="s">
        <v>486</v>
      </c>
      <c r="P16" s="16" t="s">
        <v>527</v>
      </c>
      <c r="Q16" s="1">
        <f t="shared" si="0"/>
        <v>1</v>
      </c>
      <c r="R16" s="1">
        <v>3</v>
      </c>
      <c r="U16" s="8">
        <v>41334</v>
      </c>
    </row>
    <row r="17" spans="1:23" x14ac:dyDescent="0.25">
      <c r="A17" s="2">
        <f t="shared" si="2"/>
        <v>1</v>
      </c>
      <c r="B17" t="s">
        <v>221</v>
      </c>
      <c r="C17" s="2">
        <v>8</v>
      </c>
      <c r="D17" s="2">
        <v>94</v>
      </c>
      <c r="E17" s="2">
        <v>8</v>
      </c>
      <c r="F17" s="2">
        <f t="shared" si="1"/>
        <v>8</v>
      </c>
      <c r="J17" s="1"/>
      <c r="M17" t="s">
        <v>15</v>
      </c>
      <c r="N17" t="str">
        <f>IFERROR(VLOOKUP(B17,'[1]All Player'!$B$2:$C$1992,2,0),"")</f>
        <v>Yahya Riyad</v>
      </c>
      <c r="O17" s="2" t="s">
        <v>486</v>
      </c>
      <c r="P17" s="16" t="s">
        <v>527</v>
      </c>
      <c r="Q17" s="1">
        <f t="shared" si="0"/>
        <v>1</v>
      </c>
      <c r="R17" s="1">
        <v>3</v>
      </c>
      <c r="U17" s="8">
        <v>41334</v>
      </c>
    </row>
    <row r="18" spans="1:23" x14ac:dyDescent="0.25">
      <c r="A18" s="2">
        <f t="shared" si="2"/>
        <v>1</v>
      </c>
      <c r="B18" t="s">
        <v>223</v>
      </c>
      <c r="C18" s="2">
        <v>10</v>
      </c>
      <c r="D18" s="2">
        <v>158</v>
      </c>
      <c r="E18" s="2">
        <v>9</v>
      </c>
      <c r="F18" s="2">
        <f t="shared" si="1"/>
        <v>10</v>
      </c>
      <c r="J18" s="1"/>
      <c r="M18" t="s">
        <v>15</v>
      </c>
      <c r="N18" t="str">
        <f>IFERROR(VLOOKUP(B18,'[1]All Player'!$B$2:$C$1992,2,0),"")</f>
        <v>Saiful Rahat</v>
      </c>
      <c r="O18" s="2" t="s">
        <v>486</v>
      </c>
      <c r="P18" s="16" t="s">
        <v>527</v>
      </c>
      <c r="Q18" s="1">
        <f t="shared" si="0"/>
        <v>1</v>
      </c>
      <c r="R18" s="1">
        <v>3</v>
      </c>
      <c r="U18" s="8">
        <v>41334</v>
      </c>
    </row>
    <row r="19" spans="1:23" x14ac:dyDescent="0.25">
      <c r="A19" s="2">
        <f t="shared" si="2"/>
        <v>1</v>
      </c>
      <c r="B19" t="s">
        <v>225</v>
      </c>
      <c r="C19" s="2">
        <v>10</v>
      </c>
      <c r="D19" s="2">
        <v>297</v>
      </c>
      <c r="E19" s="2">
        <v>14</v>
      </c>
      <c r="F19" s="2">
        <f t="shared" si="1"/>
        <v>10</v>
      </c>
      <c r="J19" s="1"/>
      <c r="M19" t="s">
        <v>15</v>
      </c>
      <c r="N19" t="str">
        <f>IFERROR(VLOOKUP(B19,'[1]All Player'!$B$2:$C$1992,2,0),"")</f>
        <v>Md Ruvel</v>
      </c>
      <c r="O19" s="2" t="s">
        <v>486</v>
      </c>
      <c r="P19" s="16" t="s">
        <v>527</v>
      </c>
      <c r="Q19" s="1">
        <f t="shared" si="0"/>
        <v>1</v>
      </c>
      <c r="R19" s="1">
        <v>3</v>
      </c>
      <c r="S19" s="2" t="s">
        <v>660</v>
      </c>
      <c r="U19" s="8">
        <v>41334</v>
      </c>
    </row>
    <row r="20" spans="1:23" x14ac:dyDescent="0.25">
      <c r="A20" s="2">
        <f t="shared" si="2"/>
        <v>1</v>
      </c>
      <c r="B20" t="s">
        <v>228</v>
      </c>
      <c r="C20" s="2">
        <v>5</v>
      </c>
      <c r="D20" s="2">
        <v>100</v>
      </c>
      <c r="E20" s="2">
        <v>12</v>
      </c>
      <c r="F20" s="2">
        <f t="shared" si="1"/>
        <v>5</v>
      </c>
      <c r="J20" s="1">
        <v>1</v>
      </c>
      <c r="M20" t="s">
        <v>15</v>
      </c>
      <c r="N20" t="str">
        <f>IFERROR(VLOOKUP(B20,'[1]All Player'!$B$2:$C$1992,2,0),"")</f>
        <v>Arif Ziad</v>
      </c>
      <c r="O20" s="2" t="s">
        <v>486</v>
      </c>
      <c r="P20" s="16" t="s">
        <v>527</v>
      </c>
      <c r="Q20" s="1">
        <f t="shared" si="0"/>
        <v>1</v>
      </c>
      <c r="R20" s="1">
        <v>3</v>
      </c>
      <c r="U20" s="8">
        <v>41334</v>
      </c>
    </row>
    <row r="21" spans="1:23" x14ac:dyDescent="0.25">
      <c r="A21" s="2">
        <f t="shared" si="2"/>
        <v>1</v>
      </c>
      <c r="B21" t="s">
        <v>118</v>
      </c>
      <c r="C21" s="2">
        <v>4</v>
      </c>
      <c r="D21" s="2">
        <v>24</v>
      </c>
      <c r="E21" s="2">
        <v>1</v>
      </c>
      <c r="F21" s="2">
        <f t="shared" si="1"/>
        <v>4</v>
      </c>
      <c r="J21" s="1"/>
      <c r="M21" t="s">
        <v>15</v>
      </c>
      <c r="N21" t="str">
        <f>IFERROR(VLOOKUP(B21,'[1]All Player'!$B$2:$C$1992,2,0),"")</f>
        <v>Rinkon Khan</v>
      </c>
      <c r="O21" s="2" t="s">
        <v>486</v>
      </c>
      <c r="P21" s="16" t="s">
        <v>527</v>
      </c>
      <c r="Q21" s="1">
        <f t="shared" si="0"/>
        <v>1</v>
      </c>
      <c r="R21" s="1">
        <v>3</v>
      </c>
      <c r="U21" s="8">
        <v>41334</v>
      </c>
    </row>
    <row r="22" spans="1:23" x14ac:dyDescent="0.25">
      <c r="A22" s="2">
        <f t="shared" si="2"/>
        <v>1</v>
      </c>
      <c r="B22" s="17" t="s">
        <v>503</v>
      </c>
      <c r="F22" s="2">
        <f t="shared" si="1"/>
        <v>0</v>
      </c>
      <c r="J22" s="1"/>
      <c r="M22" t="s">
        <v>15</v>
      </c>
      <c r="N22" t="str">
        <f>IFERROR(VLOOKUP(B22,'[1]All Player'!$B$2:$C$1992,2,0),"")</f>
        <v/>
      </c>
      <c r="O22" s="2" t="s">
        <v>486</v>
      </c>
      <c r="P22" s="16" t="s">
        <v>503</v>
      </c>
      <c r="Q22" s="1">
        <f t="shared" si="0"/>
        <v>1</v>
      </c>
      <c r="R22" s="1">
        <v>4</v>
      </c>
      <c r="U22" s="8">
        <v>41334</v>
      </c>
    </row>
    <row r="23" spans="1:23" x14ac:dyDescent="0.25">
      <c r="A23" s="2">
        <f t="shared" si="2"/>
        <v>1</v>
      </c>
      <c r="B23" t="s">
        <v>95</v>
      </c>
      <c r="C23" s="2">
        <v>9</v>
      </c>
      <c r="D23" s="2">
        <v>200</v>
      </c>
      <c r="E23" s="2">
        <v>13</v>
      </c>
      <c r="F23" s="2">
        <f t="shared" si="1"/>
        <v>9</v>
      </c>
      <c r="J23" s="1"/>
      <c r="M23" t="s">
        <v>15</v>
      </c>
      <c r="N23" t="str">
        <f>IFERROR(VLOOKUP(B23,'[1]All Player'!$B$2:$C$1992,2,0),"")</f>
        <v>Sadrul Anam</v>
      </c>
      <c r="O23" s="2" t="s">
        <v>486</v>
      </c>
      <c r="P23" s="16" t="s">
        <v>503</v>
      </c>
      <c r="Q23" s="1">
        <f t="shared" si="0"/>
        <v>1</v>
      </c>
      <c r="R23" s="1">
        <v>4</v>
      </c>
      <c r="U23" s="8">
        <v>41334</v>
      </c>
    </row>
    <row r="24" spans="1:23" x14ac:dyDescent="0.25">
      <c r="A24" s="2">
        <f t="shared" si="2"/>
        <v>1</v>
      </c>
      <c r="B24" t="s">
        <v>230</v>
      </c>
      <c r="C24" s="2">
        <v>7</v>
      </c>
      <c r="D24" s="2">
        <v>155</v>
      </c>
      <c r="E24" s="2">
        <v>1</v>
      </c>
      <c r="F24" s="2">
        <f t="shared" si="1"/>
        <v>7</v>
      </c>
      <c r="J24" s="1"/>
      <c r="M24" t="s">
        <v>15</v>
      </c>
      <c r="N24" t="str">
        <f>IFERROR(VLOOKUP(B24,'[1]All Player'!$B$2:$C$1992,2,0),"")</f>
        <v>S M Tawhid Zihad</v>
      </c>
      <c r="O24" s="2" t="s">
        <v>486</v>
      </c>
      <c r="P24" s="16" t="s">
        <v>503</v>
      </c>
      <c r="Q24" s="1">
        <f t="shared" si="0"/>
        <v>1</v>
      </c>
      <c r="R24" s="1">
        <v>4</v>
      </c>
      <c r="U24" s="8">
        <v>41334</v>
      </c>
    </row>
    <row r="25" spans="1:23" x14ac:dyDescent="0.25">
      <c r="A25" s="2">
        <f t="shared" si="2"/>
        <v>1</v>
      </c>
      <c r="B25" t="s">
        <v>66</v>
      </c>
      <c r="C25" s="2">
        <v>8</v>
      </c>
      <c r="D25" s="2">
        <v>163</v>
      </c>
      <c r="E25" s="2">
        <v>15</v>
      </c>
      <c r="F25" s="2">
        <f t="shared" si="1"/>
        <v>8</v>
      </c>
      <c r="I25" s="2">
        <v>0</v>
      </c>
      <c r="J25" s="1"/>
      <c r="M25" t="s">
        <v>15</v>
      </c>
      <c r="N25" t="str">
        <f>IFERROR(VLOOKUP(B25,'[1]All Player'!$B$2:$C$1992,2,0),"")</f>
        <v>Ahmad Sakib Abdullah</v>
      </c>
      <c r="O25" s="2" t="s">
        <v>486</v>
      </c>
      <c r="P25" s="16" t="s">
        <v>503</v>
      </c>
      <c r="Q25" s="1">
        <f t="shared" si="0"/>
        <v>1</v>
      </c>
      <c r="R25" s="1">
        <v>4</v>
      </c>
      <c r="U25" s="8">
        <v>41334</v>
      </c>
    </row>
    <row r="26" spans="1:23" x14ac:dyDescent="0.25">
      <c r="A26" s="2">
        <f t="shared" si="2"/>
        <v>1</v>
      </c>
      <c r="B26" t="s">
        <v>232</v>
      </c>
      <c r="C26" s="2">
        <v>5</v>
      </c>
      <c r="D26" s="2">
        <v>28</v>
      </c>
      <c r="E26" s="2">
        <v>7</v>
      </c>
      <c r="F26" s="2">
        <f t="shared" si="1"/>
        <v>5</v>
      </c>
      <c r="J26" s="1"/>
      <c r="M26" t="s">
        <v>15</v>
      </c>
      <c r="N26" t="str">
        <f>IFERROR(VLOOKUP(B26,'[1]All Player'!$B$2:$C$1992,2,0),"")</f>
        <v>Sujan Boss</v>
      </c>
      <c r="O26" s="2" t="s">
        <v>486</v>
      </c>
      <c r="P26" s="16" t="s">
        <v>503</v>
      </c>
      <c r="Q26" s="1">
        <f t="shared" si="0"/>
        <v>1</v>
      </c>
      <c r="R26" s="1">
        <v>4</v>
      </c>
      <c r="U26" s="8">
        <v>41334</v>
      </c>
    </row>
    <row r="27" spans="1:23" x14ac:dyDescent="0.25">
      <c r="A27" s="2">
        <f t="shared" si="2"/>
        <v>1</v>
      </c>
      <c r="B27" t="s">
        <v>234</v>
      </c>
      <c r="C27" s="2">
        <v>3</v>
      </c>
      <c r="D27" s="2">
        <v>32</v>
      </c>
      <c r="E27" s="2">
        <v>1</v>
      </c>
      <c r="F27" s="2">
        <f t="shared" si="1"/>
        <v>3</v>
      </c>
      <c r="J27" s="1"/>
      <c r="M27" t="s">
        <v>15</v>
      </c>
      <c r="N27" t="str">
        <f>IFERROR(VLOOKUP(B27,'[1]All Player'!$B$2:$C$1992,2,0),"")</f>
        <v>Rafi Islam</v>
      </c>
      <c r="O27" s="2" t="s">
        <v>486</v>
      </c>
      <c r="P27" s="16" t="s">
        <v>503</v>
      </c>
      <c r="Q27" s="1">
        <f t="shared" si="0"/>
        <v>1</v>
      </c>
      <c r="R27" s="1">
        <v>4</v>
      </c>
      <c r="U27" s="8">
        <v>41334</v>
      </c>
    </row>
    <row r="28" spans="1:23" x14ac:dyDescent="0.25">
      <c r="A28" s="2">
        <f t="shared" si="2"/>
        <v>1</v>
      </c>
      <c r="B28" t="s">
        <v>183</v>
      </c>
      <c r="C28" s="2">
        <v>1</v>
      </c>
      <c r="D28" s="2">
        <v>3</v>
      </c>
      <c r="E28" s="2">
        <v>0</v>
      </c>
      <c r="F28" s="2">
        <f t="shared" si="1"/>
        <v>1</v>
      </c>
      <c r="J28" s="1"/>
      <c r="M28" t="s">
        <v>15</v>
      </c>
      <c r="N28" t="str">
        <f>IFERROR(VLOOKUP(B28,'[1]All Player'!$B$2:$C$1992,2,0),"")</f>
        <v>Red Heart Faisal (Fayze Ahamed)</v>
      </c>
      <c r="O28" s="2" t="s">
        <v>486</v>
      </c>
      <c r="P28" s="16" t="s">
        <v>503</v>
      </c>
      <c r="Q28" s="1">
        <f t="shared" si="0"/>
        <v>1</v>
      </c>
      <c r="R28" s="1">
        <v>4</v>
      </c>
      <c r="U28" s="8">
        <v>41334</v>
      </c>
    </row>
    <row r="29" spans="1:23" x14ac:dyDescent="0.25">
      <c r="A29" s="2">
        <f t="shared" si="2"/>
        <v>1</v>
      </c>
      <c r="B29" s="17" t="s">
        <v>487</v>
      </c>
      <c r="F29" s="2">
        <f t="shared" si="1"/>
        <v>0</v>
      </c>
      <c r="J29" s="1"/>
      <c r="M29" t="s">
        <v>15</v>
      </c>
      <c r="N29" t="str">
        <f>IFERROR(VLOOKUP(B29,'[1]All Player'!$B$2:$C$1992,2,0),"")</f>
        <v/>
      </c>
      <c r="O29" s="2" t="s">
        <v>486</v>
      </c>
      <c r="P29" s="16" t="s">
        <v>487</v>
      </c>
      <c r="Q29" s="1">
        <f t="shared" si="0"/>
        <v>1</v>
      </c>
      <c r="R29" s="1">
        <v>5</v>
      </c>
      <c r="U29" s="8">
        <v>41334</v>
      </c>
    </row>
    <row r="30" spans="1:23" x14ac:dyDescent="0.25">
      <c r="A30" s="2">
        <f t="shared" si="2"/>
        <v>1</v>
      </c>
      <c r="B30" t="s">
        <v>112</v>
      </c>
      <c r="C30" s="2">
        <v>10</v>
      </c>
      <c r="D30" s="2">
        <v>155</v>
      </c>
      <c r="E30" s="2">
        <v>24</v>
      </c>
      <c r="F30" s="2">
        <f t="shared" si="1"/>
        <v>10</v>
      </c>
      <c r="J30" s="1"/>
      <c r="M30" t="s">
        <v>15</v>
      </c>
      <c r="N30" t="str">
        <f>IFERROR(VLOOKUP(B30,'[1]All Player'!$B$2:$C$1992,2,0),"")</f>
        <v>Shahriar Khan Shovon</v>
      </c>
      <c r="O30" s="2" t="s">
        <v>486</v>
      </c>
      <c r="P30" s="16" t="s">
        <v>487</v>
      </c>
      <c r="Q30" s="1">
        <f t="shared" si="0"/>
        <v>1</v>
      </c>
      <c r="R30" s="1">
        <v>5</v>
      </c>
      <c r="U30" s="8">
        <v>41334</v>
      </c>
      <c r="W30" s="1">
        <v>1</v>
      </c>
    </row>
    <row r="31" spans="1:23" x14ac:dyDescent="0.25">
      <c r="A31" s="2">
        <f t="shared" si="2"/>
        <v>1</v>
      </c>
      <c r="B31" t="s">
        <v>661</v>
      </c>
      <c r="C31" s="2">
        <v>8</v>
      </c>
      <c r="D31" s="2">
        <v>251</v>
      </c>
      <c r="E31" s="2">
        <v>8</v>
      </c>
      <c r="F31" s="2">
        <f t="shared" si="1"/>
        <v>8</v>
      </c>
      <c r="J31" s="1"/>
      <c r="M31" t="s">
        <v>15</v>
      </c>
      <c r="N31" t="str">
        <f>IFERROR(VLOOKUP(B31,'[1]All Player'!$B$2:$C$1992,2,0),"")</f>
        <v>Sakhawat Hossain Shanto</v>
      </c>
      <c r="O31" s="2" t="s">
        <v>486</v>
      </c>
      <c r="P31" s="16" t="s">
        <v>487</v>
      </c>
      <c r="Q31" s="1">
        <f t="shared" si="0"/>
        <v>1</v>
      </c>
      <c r="R31" s="1">
        <v>5</v>
      </c>
      <c r="U31" s="8">
        <v>41334</v>
      </c>
    </row>
    <row r="32" spans="1:23" x14ac:dyDescent="0.25">
      <c r="A32" s="2">
        <f t="shared" si="2"/>
        <v>1</v>
      </c>
      <c r="B32" t="s">
        <v>239</v>
      </c>
      <c r="C32" s="2">
        <v>3</v>
      </c>
      <c r="D32" s="2">
        <v>28</v>
      </c>
      <c r="E32" s="2">
        <v>2</v>
      </c>
      <c r="F32" s="2">
        <f t="shared" si="1"/>
        <v>3</v>
      </c>
      <c r="J32" s="1"/>
      <c r="M32" t="s">
        <v>15</v>
      </c>
      <c r="N32" t="str">
        <f>IFERROR(VLOOKUP(B32,'[1]All Player'!$B$2:$C$1992,2,0),"")</f>
        <v>GM Manik</v>
      </c>
      <c r="O32" s="2" t="s">
        <v>486</v>
      </c>
      <c r="P32" s="16" t="s">
        <v>487</v>
      </c>
      <c r="Q32" s="1">
        <f t="shared" si="0"/>
        <v>1</v>
      </c>
      <c r="R32" s="1">
        <v>5</v>
      </c>
      <c r="U32" s="8">
        <v>41334</v>
      </c>
    </row>
    <row r="33" spans="1:21" x14ac:dyDescent="0.25">
      <c r="A33" s="2">
        <f t="shared" si="2"/>
        <v>1</v>
      </c>
      <c r="B33" t="s">
        <v>241</v>
      </c>
      <c r="C33" s="2">
        <v>4</v>
      </c>
      <c r="D33" s="2">
        <v>60</v>
      </c>
      <c r="E33" s="2">
        <v>0</v>
      </c>
      <c r="F33" s="2">
        <f t="shared" si="1"/>
        <v>4</v>
      </c>
      <c r="J33" s="1"/>
      <c r="M33" t="s">
        <v>15</v>
      </c>
      <c r="N33" t="str">
        <f>IFERROR(VLOOKUP(B33,'[1]All Player'!$B$2:$C$1992,2,0),"")</f>
        <v>Mehedi Hasan Shovon</v>
      </c>
      <c r="O33" s="2" t="s">
        <v>486</v>
      </c>
      <c r="P33" s="16" t="s">
        <v>487</v>
      </c>
      <c r="Q33" s="1">
        <f t="shared" si="0"/>
        <v>1</v>
      </c>
      <c r="R33" s="1">
        <v>5</v>
      </c>
      <c r="U33" s="8">
        <v>41334</v>
      </c>
    </row>
    <row r="34" spans="1:21" x14ac:dyDescent="0.25">
      <c r="A34" s="2">
        <f t="shared" si="2"/>
        <v>1</v>
      </c>
      <c r="B34" t="s">
        <v>203</v>
      </c>
      <c r="C34" s="2">
        <v>4</v>
      </c>
      <c r="D34" s="2">
        <v>72</v>
      </c>
      <c r="E34" s="2">
        <v>8</v>
      </c>
      <c r="F34" s="2">
        <f t="shared" si="1"/>
        <v>4</v>
      </c>
      <c r="J34" s="1"/>
      <c r="M34" t="s">
        <v>15</v>
      </c>
      <c r="N34" t="str">
        <f>IFERROR(VLOOKUP(B34,'[1]All Player'!$B$2:$C$1992,2,0),"")</f>
        <v>Rifat Ullah</v>
      </c>
      <c r="O34" s="2" t="s">
        <v>486</v>
      </c>
      <c r="P34" s="16" t="s">
        <v>487</v>
      </c>
      <c r="Q34" s="1">
        <f t="shared" si="0"/>
        <v>1</v>
      </c>
      <c r="R34" s="1">
        <v>5</v>
      </c>
      <c r="U34" s="8">
        <v>41334</v>
      </c>
    </row>
    <row r="35" spans="1:21" x14ac:dyDescent="0.25">
      <c r="A35" s="2">
        <f t="shared" si="2"/>
        <v>1</v>
      </c>
      <c r="B35" t="s">
        <v>236</v>
      </c>
      <c r="C35" s="2">
        <v>1</v>
      </c>
      <c r="D35" s="2">
        <v>2</v>
      </c>
      <c r="E35" s="2">
        <v>0</v>
      </c>
      <c r="F35" s="2">
        <f t="shared" si="1"/>
        <v>1</v>
      </c>
      <c r="J35" s="1"/>
      <c r="M35" t="s">
        <v>15</v>
      </c>
      <c r="N35" t="str">
        <f>IFERROR(VLOOKUP(B35,'[1]All Player'!$B$2:$C$1992,2,0),"")</f>
        <v>Firoz Khan</v>
      </c>
      <c r="O35" s="2" t="s">
        <v>486</v>
      </c>
      <c r="P35" s="16" t="s">
        <v>487</v>
      </c>
      <c r="Q35" s="1">
        <f t="shared" si="0"/>
        <v>1</v>
      </c>
      <c r="R35" s="1">
        <v>5</v>
      </c>
      <c r="U35" s="8">
        <v>41334</v>
      </c>
    </row>
    <row r="36" spans="1:21" x14ac:dyDescent="0.25">
      <c r="A36" s="2">
        <v>2</v>
      </c>
      <c r="B36" s="17" t="s">
        <v>561</v>
      </c>
      <c r="J36" s="1"/>
      <c r="O36" s="2" t="s">
        <v>505</v>
      </c>
      <c r="P36" s="16" t="s">
        <v>561</v>
      </c>
      <c r="Q36" s="1">
        <f t="shared" si="0"/>
        <v>1</v>
      </c>
      <c r="R36" s="1">
        <v>6</v>
      </c>
      <c r="U36" s="8">
        <v>41365</v>
      </c>
    </row>
    <row r="37" spans="1:21" x14ac:dyDescent="0.25">
      <c r="A37" s="2">
        <v>2</v>
      </c>
      <c r="B37" t="s">
        <v>95</v>
      </c>
      <c r="C37" s="2">
        <v>6</v>
      </c>
      <c r="D37" s="2">
        <v>70</v>
      </c>
      <c r="E37" s="2">
        <v>3</v>
      </c>
      <c r="F37" s="2">
        <v>10</v>
      </c>
      <c r="G37" s="2">
        <v>0</v>
      </c>
      <c r="J37" s="1"/>
      <c r="M37" t="s">
        <v>15</v>
      </c>
      <c r="N37" t="str">
        <f>IFERROR(VLOOKUP(B37,'[1]All Player'!$B$2:$C$1992,2,0),"")</f>
        <v>Sadrul Anam</v>
      </c>
      <c r="O37" s="2" t="s">
        <v>505</v>
      </c>
      <c r="P37" s="16" t="s">
        <v>561</v>
      </c>
      <c r="Q37" s="1">
        <f t="shared" si="0"/>
        <v>1</v>
      </c>
      <c r="R37" s="1">
        <v>6</v>
      </c>
      <c r="U37" s="8">
        <f t="array" ref="U37:U66">U36</f>
        <v>41365</v>
      </c>
    </row>
    <row r="38" spans="1:21" x14ac:dyDescent="0.25">
      <c r="A38" s="2">
        <f t="shared" ref="A38:A101" si="3">A37</f>
        <v>2</v>
      </c>
      <c r="B38" t="s">
        <v>99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J38" s="1"/>
      <c r="M38" t="s">
        <v>15</v>
      </c>
      <c r="N38" t="str">
        <f>IFERROR(VLOOKUP(B38,'[1]All Player'!$B$2:$C$1992,2,0),"")</f>
        <v>Bishwajit Sarkar</v>
      </c>
      <c r="O38" s="2" t="s">
        <v>505</v>
      </c>
      <c r="P38" s="16" t="s">
        <v>561</v>
      </c>
      <c r="Q38" s="1">
        <f t="shared" si="0"/>
        <v>1</v>
      </c>
      <c r="R38" s="1">
        <v>6</v>
      </c>
      <c r="U38" s="8">
        <v>41365</v>
      </c>
    </row>
    <row r="39" spans="1:21" x14ac:dyDescent="0.25">
      <c r="A39" s="2">
        <f t="shared" si="3"/>
        <v>2</v>
      </c>
      <c r="B39" t="s">
        <v>243</v>
      </c>
      <c r="C39" s="2">
        <v>6</v>
      </c>
      <c r="D39" s="2">
        <v>171</v>
      </c>
      <c r="E39" s="2">
        <v>11</v>
      </c>
      <c r="F39" s="2">
        <v>11</v>
      </c>
      <c r="G39" s="2">
        <v>2</v>
      </c>
      <c r="J39" s="1"/>
      <c r="M39" t="s">
        <v>15</v>
      </c>
      <c r="N39" t="str">
        <f>IFERROR(VLOOKUP(B39,'[1]All Player'!$B$2:$C$1992,2,0),"")</f>
        <v>Joy Ullash</v>
      </c>
      <c r="O39" s="2" t="s">
        <v>505</v>
      </c>
      <c r="P39" s="16" t="s">
        <v>561</v>
      </c>
      <c r="Q39" s="1">
        <f t="shared" si="0"/>
        <v>1</v>
      </c>
      <c r="R39" s="1">
        <v>6</v>
      </c>
      <c r="U39" s="8">
        <v>41365</v>
      </c>
    </row>
    <row r="40" spans="1:21" x14ac:dyDescent="0.25">
      <c r="A40" s="2">
        <f t="shared" si="3"/>
        <v>2</v>
      </c>
      <c r="B40" t="s">
        <v>245</v>
      </c>
      <c r="C40" s="2">
        <v>5</v>
      </c>
      <c r="D40" s="2">
        <v>56</v>
      </c>
      <c r="E40" s="2">
        <v>3</v>
      </c>
      <c r="F40" s="2">
        <v>6</v>
      </c>
      <c r="G40" s="2">
        <v>0</v>
      </c>
      <c r="J40" s="1"/>
      <c r="M40" t="s">
        <v>15</v>
      </c>
      <c r="N40" t="str">
        <f>IFERROR(VLOOKUP(B40,'[1]All Player'!$B$2:$C$1992,2,0),"")</f>
        <v>Akram Hosen Himal</v>
      </c>
      <c r="O40" s="2" t="s">
        <v>505</v>
      </c>
      <c r="P40" s="16" t="s">
        <v>561</v>
      </c>
      <c r="Q40" s="1">
        <f t="shared" si="0"/>
        <v>1</v>
      </c>
      <c r="R40" s="1">
        <v>6</v>
      </c>
      <c r="U40" s="8">
        <v>41365</v>
      </c>
    </row>
    <row r="41" spans="1:21" x14ac:dyDescent="0.25">
      <c r="A41" s="2">
        <f t="shared" si="3"/>
        <v>2</v>
      </c>
      <c r="B41" t="s">
        <v>112</v>
      </c>
      <c r="C41" s="2">
        <v>6</v>
      </c>
      <c r="D41" s="2">
        <v>103</v>
      </c>
      <c r="E41" s="2">
        <v>12</v>
      </c>
      <c r="F41" s="2">
        <v>9</v>
      </c>
      <c r="G41" s="2">
        <v>1</v>
      </c>
      <c r="J41" s="1"/>
      <c r="M41" t="s">
        <v>15</v>
      </c>
      <c r="N41" t="str">
        <f>IFERROR(VLOOKUP(B41,'[1]All Player'!$B$2:$C$1992,2,0),"")</f>
        <v>Shahriar Khan Shovon</v>
      </c>
      <c r="O41" s="2" t="s">
        <v>505</v>
      </c>
      <c r="P41" s="16" t="s">
        <v>561</v>
      </c>
      <c r="Q41" s="1">
        <f t="shared" si="0"/>
        <v>1</v>
      </c>
      <c r="R41" s="1">
        <v>6</v>
      </c>
      <c r="U41" s="8">
        <v>41365</v>
      </c>
    </row>
    <row r="42" spans="1:21" x14ac:dyDescent="0.25">
      <c r="A42" s="2">
        <f t="shared" si="3"/>
        <v>2</v>
      </c>
      <c r="B42" t="s">
        <v>205</v>
      </c>
      <c r="C42" s="2">
        <v>3</v>
      </c>
      <c r="D42" s="2">
        <v>7</v>
      </c>
      <c r="E42" s="2">
        <v>0</v>
      </c>
      <c r="F42" s="2">
        <v>4</v>
      </c>
      <c r="G42" s="2">
        <v>0</v>
      </c>
      <c r="J42" s="1"/>
      <c r="M42" t="s">
        <v>15</v>
      </c>
      <c r="N42" t="str">
        <f>IFERROR(VLOOKUP(B42,'[1]All Player'!$B$2:$C$1992,2,0),"")</f>
        <v>Injamul Haque (Syed Injamul Haque)</v>
      </c>
      <c r="O42" s="2" t="s">
        <v>505</v>
      </c>
      <c r="P42" s="16" t="s">
        <v>561</v>
      </c>
      <c r="Q42" s="1">
        <f t="shared" si="0"/>
        <v>1</v>
      </c>
      <c r="R42" s="1">
        <v>6</v>
      </c>
      <c r="U42" s="8">
        <v>41365</v>
      </c>
    </row>
    <row r="43" spans="1:21" x14ac:dyDescent="0.25">
      <c r="A43" s="2">
        <f t="shared" si="3"/>
        <v>2</v>
      </c>
      <c r="B43" s="17" t="s">
        <v>662</v>
      </c>
      <c r="J43" s="1"/>
      <c r="M43" t="s">
        <v>15</v>
      </c>
      <c r="N43" t="str">
        <f>IFERROR(VLOOKUP(B43,'[1]All Player'!$B$2:$C$1992,2,0),"")</f>
        <v/>
      </c>
      <c r="O43" s="2" t="s">
        <v>505</v>
      </c>
      <c r="P43" s="16" t="s">
        <v>662</v>
      </c>
      <c r="Q43" s="1">
        <f t="shared" si="0"/>
        <v>1</v>
      </c>
      <c r="R43" s="1">
        <v>7</v>
      </c>
      <c r="U43" s="8">
        <v>41365</v>
      </c>
    </row>
    <row r="44" spans="1:21" x14ac:dyDescent="0.25">
      <c r="A44" s="2">
        <f t="shared" si="3"/>
        <v>2</v>
      </c>
      <c r="B44" t="s">
        <v>239</v>
      </c>
      <c r="C44" s="2">
        <v>4</v>
      </c>
      <c r="D44" s="2">
        <v>100</v>
      </c>
      <c r="E44" s="2">
        <v>10</v>
      </c>
      <c r="F44" s="2">
        <v>11</v>
      </c>
      <c r="G44" s="2">
        <v>2</v>
      </c>
      <c r="J44" s="1"/>
      <c r="M44" t="s">
        <v>15</v>
      </c>
      <c r="N44" t="str">
        <f>IFERROR(VLOOKUP(B44,'[1]All Player'!$B$2:$C$1992,2,0),"")</f>
        <v>GM Manik</v>
      </c>
      <c r="O44" s="2" t="s">
        <v>505</v>
      </c>
      <c r="P44" s="16" t="s">
        <v>662</v>
      </c>
      <c r="Q44" s="1">
        <f t="shared" si="0"/>
        <v>1</v>
      </c>
      <c r="R44" s="1">
        <v>7</v>
      </c>
      <c r="U44" s="8">
        <v>41365</v>
      </c>
    </row>
    <row r="45" spans="1:21" x14ac:dyDescent="0.25">
      <c r="A45" s="2">
        <f t="shared" si="3"/>
        <v>2</v>
      </c>
      <c r="B45" t="s">
        <v>228</v>
      </c>
      <c r="C45" s="2">
        <v>3</v>
      </c>
      <c r="D45" s="2">
        <v>49</v>
      </c>
      <c r="E45" s="2">
        <v>2</v>
      </c>
      <c r="F45" s="2">
        <v>4</v>
      </c>
      <c r="G45" s="2">
        <v>0</v>
      </c>
      <c r="J45" s="1"/>
      <c r="M45" t="s">
        <v>15</v>
      </c>
      <c r="N45" t="str">
        <f>IFERROR(VLOOKUP(B45,'[1]All Player'!$B$2:$C$1992,2,0),"")</f>
        <v>Arif Ziad</v>
      </c>
      <c r="O45" s="2" t="s">
        <v>505</v>
      </c>
      <c r="P45" s="16" t="s">
        <v>662</v>
      </c>
      <c r="Q45" s="1">
        <f t="shared" si="0"/>
        <v>1</v>
      </c>
      <c r="R45" s="1">
        <v>7</v>
      </c>
      <c r="U45" s="8">
        <v>41365</v>
      </c>
    </row>
    <row r="46" spans="1:21" x14ac:dyDescent="0.25">
      <c r="A46" s="2">
        <f t="shared" si="3"/>
        <v>2</v>
      </c>
      <c r="B46" t="s">
        <v>93</v>
      </c>
      <c r="C46" s="2">
        <v>4</v>
      </c>
      <c r="D46" s="2">
        <v>61</v>
      </c>
      <c r="E46" s="2">
        <v>7</v>
      </c>
      <c r="F46" s="2">
        <v>7</v>
      </c>
      <c r="G46" s="2">
        <v>0</v>
      </c>
      <c r="M46" t="s">
        <v>15</v>
      </c>
      <c r="N46" t="str">
        <f>IFERROR(VLOOKUP(B46,'[1]All Player'!$B$2:$C$1992,2,0),"")</f>
        <v>Zaheed Hasan</v>
      </c>
      <c r="O46" s="2" t="s">
        <v>505</v>
      </c>
      <c r="P46" s="16" t="s">
        <v>662</v>
      </c>
      <c r="Q46" s="1">
        <f t="shared" si="0"/>
        <v>1</v>
      </c>
      <c r="R46" s="1">
        <v>7</v>
      </c>
      <c r="U46" s="8">
        <v>41365</v>
      </c>
    </row>
    <row r="47" spans="1:21" x14ac:dyDescent="0.25">
      <c r="A47" s="2">
        <f t="shared" si="3"/>
        <v>2</v>
      </c>
      <c r="B47" t="s">
        <v>230</v>
      </c>
      <c r="C47" s="2">
        <v>2</v>
      </c>
      <c r="D47" s="2">
        <v>13</v>
      </c>
      <c r="E47" s="2">
        <v>0</v>
      </c>
      <c r="F47" s="2">
        <v>2</v>
      </c>
      <c r="G47" s="2">
        <v>0</v>
      </c>
      <c r="J47" s="1"/>
      <c r="M47" t="s">
        <v>15</v>
      </c>
      <c r="N47" t="str">
        <f>IFERROR(VLOOKUP(B47,'[1]All Player'!$B$2:$C$1992,2,0),"")</f>
        <v>S M Tawhid Zihad</v>
      </c>
      <c r="O47" s="2" t="s">
        <v>505</v>
      </c>
      <c r="P47" s="16" t="s">
        <v>662</v>
      </c>
      <c r="Q47" s="1">
        <f t="shared" si="0"/>
        <v>1</v>
      </c>
      <c r="R47" s="1">
        <v>7</v>
      </c>
      <c r="U47" s="8">
        <v>41365</v>
      </c>
    </row>
    <row r="48" spans="1:21" x14ac:dyDescent="0.25">
      <c r="A48" s="2">
        <f t="shared" si="3"/>
        <v>2</v>
      </c>
      <c r="B48" t="s">
        <v>223</v>
      </c>
      <c r="C48" s="2">
        <v>0</v>
      </c>
      <c r="D48" s="2">
        <v>0</v>
      </c>
      <c r="E48" s="2">
        <v>0</v>
      </c>
      <c r="F48" s="2">
        <v>0</v>
      </c>
      <c r="J48" s="1"/>
      <c r="M48" t="s">
        <v>15</v>
      </c>
      <c r="N48" t="str">
        <f>IFERROR(VLOOKUP(B48,'[1]All Player'!$B$2:$C$1992,2,0),"")</f>
        <v>Saiful Rahat</v>
      </c>
      <c r="O48" s="2" t="s">
        <v>505</v>
      </c>
      <c r="P48" s="16" t="s">
        <v>662</v>
      </c>
      <c r="Q48" s="1">
        <f t="shared" si="0"/>
        <v>1</v>
      </c>
      <c r="R48" s="1">
        <v>7</v>
      </c>
      <c r="U48" s="8">
        <v>41365</v>
      </c>
    </row>
    <row r="49" spans="1:21" x14ac:dyDescent="0.25">
      <c r="A49" s="2">
        <f t="shared" si="3"/>
        <v>2</v>
      </c>
      <c r="B49" t="s">
        <v>118</v>
      </c>
      <c r="C49" s="2">
        <v>1</v>
      </c>
      <c r="D49" s="2">
        <v>4</v>
      </c>
      <c r="E49" s="2">
        <v>0</v>
      </c>
      <c r="F49" s="2">
        <v>0</v>
      </c>
      <c r="J49" s="1"/>
      <c r="M49" t="s">
        <v>15</v>
      </c>
      <c r="N49" t="str">
        <f>IFERROR(VLOOKUP(B49,'[1]All Player'!$B$2:$C$1992,2,0),"")</f>
        <v>Rinkon Khan</v>
      </c>
      <c r="O49" s="2" t="s">
        <v>505</v>
      </c>
      <c r="P49" s="16" t="s">
        <v>662</v>
      </c>
      <c r="Q49" s="1">
        <f t="shared" si="0"/>
        <v>1</v>
      </c>
      <c r="R49" s="1">
        <v>7</v>
      </c>
      <c r="U49" s="8">
        <v>41365</v>
      </c>
    </row>
    <row r="50" spans="1:21" x14ac:dyDescent="0.25">
      <c r="A50" s="2">
        <f t="shared" si="3"/>
        <v>2</v>
      </c>
      <c r="B50" t="s">
        <v>225</v>
      </c>
      <c r="C50" s="2">
        <v>3</v>
      </c>
      <c r="D50" s="2">
        <v>39</v>
      </c>
      <c r="E50" s="2">
        <v>2</v>
      </c>
      <c r="F50" s="2">
        <v>5</v>
      </c>
      <c r="G50" s="2">
        <v>0</v>
      </c>
      <c r="J50" s="1"/>
      <c r="M50" t="s">
        <v>15</v>
      </c>
      <c r="N50" t="str">
        <f>IFERROR(VLOOKUP(B50,'[1]All Player'!$B$2:$C$1992,2,0),"")</f>
        <v>Md Ruvel</v>
      </c>
      <c r="O50" s="2" t="s">
        <v>505</v>
      </c>
      <c r="P50" s="16" t="s">
        <v>662</v>
      </c>
      <c r="Q50" s="1">
        <f t="shared" si="0"/>
        <v>1</v>
      </c>
      <c r="R50" s="1">
        <v>7</v>
      </c>
      <c r="U50" s="8">
        <v>41365</v>
      </c>
    </row>
    <row r="51" spans="1:21" x14ac:dyDescent="0.25">
      <c r="A51" s="2">
        <f t="shared" si="3"/>
        <v>2</v>
      </c>
      <c r="B51" s="17" t="s">
        <v>562</v>
      </c>
      <c r="J51" s="1"/>
      <c r="M51" t="s">
        <v>15</v>
      </c>
      <c r="N51" t="str">
        <f>IFERROR(VLOOKUP(B51,'[1]All Player'!$B$2:$C$1992,2,0),"")</f>
        <v/>
      </c>
      <c r="O51" s="2" t="s">
        <v>505</v>
      </c>
      <c r="P51" s="16" t="s">
        <v>562</v>
      </c>
      <c r="Q51" s="1">
        <f t="shared" si="0"/>
        <v>1</v>
      </c>
      <c r="R51" s="1">
        <v>8</v>
      </c>
      <c r="T51" s="1" t="s">
        <v>657</v>
      </c>
      <c r="U51" s="8">
        <v>41365</v>
      </c>
    </row>
    <row r="52" spans="1:21" x14ac:dyDescent="0.25">
      <c r="A52" s="2">
        <f t="shared" si="3"/>
        <v>2</v>
      </c>
      <c r="B52" t="s">
        <v>247</v>
      </c>
      <c r="C52" s="2">
        <v>5</v>
      </c>
      <c r="D52" s="2">
        <v>141</v>
      </c>
      <c r="E52" s="2">
        <v>9</v>
      </c>
      <c r="F52" s="2">
        <v>12</v>
      </c>
      <c r="G52" s="2">
        <v>1</v>
      </c>
      <c r="J52" s="1"/>
      <c r="M52" t="s">
        <v>15</v>
      </c>
      <c r="N52" t="str">
        <f>IFERROR(VLOOKUP(B52,'[1]All Player'!$B$2:$C$1992,2,0),"")</f>
        <v>Cryptic Sabbir II</v>
      </c>
      <c r="O52" s="2" t="s">
        <v>505</v>
      </c>
      <c r="P52" s="16" t="s">
        <v>562</v>
      </c>
      <c r="Q52" s="1">
        <f t="shared" si="0"/>
        <v>1</v>
      </c>
      <c r="R52" s="1">
        <v>8</v>
      </c>
      <c r="T52" s="1" t="s">
        <v>657</v>
      </c>
      <c r="U52" s="8">
        <v>41365</v>
      </c>
    </row>
    <row r="53" spans="1:21" x14ac:dyDescent="0.25">
      <c r="A53" s="2">
        <f t="shared" si="3"/>
        <v>2</v>
      </c>
      <c r="B53" t="s">
        <v>144</v>
      </c>
      <c r="C53" s="2">
        <v>6</v>
      </c>
      <c r="D53" s="2">
        <v>213</v>
      </c>
      <c r="E53" s="2">
        <v>10</v>
      </c>
      <c r="F53" s="2">
        <v>15</v>
      </c>
      <c r="G53" s="2">
        <v>2</v>
      </c>
      <c r="J53" s="1"/>
      <c r="M53" t="s">
        <v>15</v>
      </c>
      <c r="N53" t="str">
        <f>IFERROR(VLOOKUP(B53,'[1]All Player'!$B$2:$C$1992,2,0),"")</f>
        <v>Toufiq Ahmed Ovi</v>
      </c>
      <c r="O53" s="2" t="s">
        <v>505</v>
      </c>
      <c r="P53" s="16" t="s">
        <v>562</v>
      </c>
      <c r="Q53" s="1">
        <f t="shared" si="0"/>
        <v>1</v>
      </c>
      <c r="R53" s="1">
        <v>8</v>
      </c>
      <c r="S53" s="2" t="s">
        <v>660</v>
      </c>
      <c r="T53" s="1" t="s">
        <v>657</v>
      </c>
      <c r="U53" s="8">
        <v>41365</v>
      </c>
    </row>
    <row r="54" spans="1:21" x14ac:dyDescent="0.25">
      <c r="A54" s="2">
        <f t="shared" si="3"/>
        <v>2</v>
      </c>
      <c r="B54" t="s">
        <v>250</v>
      </c>
      <c r="C54" s="2">
        <v>1</v>
      </c>
      <c r="D54" s="2">
        <v>11</v>
      </c>
      <c r="E54" s="2">
        <v>0</v>
      </c>
      <c r="F54" s="2">
        <v>1</v>
      </c>
      <c r="G54" s="2">
        <v>0</v>
      </c>
      <c r="J54" s="1"/>
      <c r="M54" t="s">
        <v>15</v>
      </c>
      <c r="N54" t="str">
        <f>IFERROR(VLOOKUP(B54,'[1]All Player'!$B$2:$C$1992,2,0),"")</f>
        <v>Saiful NayEem</v>
      </c>
      <c r="O54" s="2" t="s">
        <v>505</v>
      </c>
      <c r="P54" s="16" t="s">
        <v>562</v>
      </c>
      <c r="Q54" s="1">
        <f t="shared" si="0"/>
        <v>1</v>
      </c>
      <c r="R54" s="1">
        <v>8</v>
      </c>
      <c r="T54" s="1" t="s">
        <v>657</v>
      </c>
      <c r="U54" s="8">
        <v>41365</v>
      </c>
    </row>
    <row r="55" spans="1:21" x14ac:dyDescent="0.25">
      <c r="A55" s="2">
        <f t="shared" si="3"/>
        <v>2</v>
      </c>
      <c r="B55" t="s">
        <v>213</v>
      </c>
      <c r="C55" s="2">
        <v>3</v>
      </c>
      <c r="D55" s="2">
        <v>58</v>
      </c>
      <c r="E55" s="2">
        <v>6</v>
      </c>
      <c r="F55" s="2">
        <v>6</v>
      </c>
      <c r="G55" s="2">
        <v>0</v>
      </c>
      <c r="J55" s="1"/>
      <c r="M55" t="s">
        <v>15</v>
      </c>
      <c r="N55" t="str">
        <f>IFERROR(VLOOKUP(B55,'[1]All Player'!$B$2:$C$1992,2,0),"")</f>
        <v>Raihan Islam Akash</v>
      </c>
      <c r="O55" s="2" t="s">
        <v>505</v>
      </c>
      <c r="P55" s="16" t="s">
        <v>562</v>
      </c>
      <c r="Q55" s="1">
        <f t="shared" si="0"/>
        <v>1</v>
      </c>
      <c r="R55" s="1">
        <v>8</v>
      </c>
      <c r="T55" s="1" t="s">
        <v>657</v>
      </c>
      <c r="U55" s="8">
        <v>41365</v>
      </c>
    </row>
    <row r="56" spans="1:21" x14ac:dyDescent="0.25">
      <c r="A56" s="2">
        <f t="shared" si="3"/>
        <v>2</v>
      </c>
      <c r="B56" t="s">
        <v>253</v>
      </c>
      <c r="C56" s="2">
        <v>5</v>
      </c>
      <c r="D56" s="2">
        <v>7</v>
      </c>
      <c r="E56" s="2">
        <v>15</v>
      </c>
      <c r="F56" s="2">
        <v>2</v>
      </c>
      <c r="G56" s="2">
        <v>0</v>
      </c>
      <c r="J56" s="1"/>
      <c r="M56" t="s">
        <v>15</v>
      </c>
      <c r="N56" t="str">
        <f>IFERROR(VLOOKUP(B56,'[1]All Player'!$B$2:$C$1992,2,0),"")</f>
        <v>Tanvir Mahatab Parvaj</v>
      </c>
      <c r="O56" s="2" t="s">
        <v>505</v>
      </c>
      <c r="P56" s="16" t="s">
        <v>562</v>
      </c>
      <c r="Q56" s="1">
        <f t="shared" si="0"/>
        <v>1</v>
      </c>
      <c r="R56" s="1">
        <v>8</v>
      </c>
      <c r="T56" s="1" t="s">
        <v>657</v>
      </c>
      <c r="U56" s="8">
        <v>41365</v>
      </c>
    </row>
    <row r="57" spans="1:21" x14ac:dyDescent="0.25">
      <c r="A57" s="2">
        <f t="shared" si="3"/>
        <v>2</v>
      </c>
      <c r="B57" s="17" t="s">
        <v>563</v>
      </c>
      <c r="J57" s="1"/>
      <c r="M57" t="s">
        <v>15</v>
      </c>
      <c r="N57" t="str">
        <f>IFERROR(VLOOKUP(B57,'[1]All Player'!$B$2:$C$1992,2,0),"")</f>
        <v/>
      </c>
      <c r="O57" s="2" t="s">
        <v>505</v>
      </c>
      <c r="P57" s="16" t="s">
        <v>563</v>
      </c>
      <c r="Q57" s="1">
        <f t="shared" si="0"/>
        <v>1</v>
      </c>
      <c r="R57" s="1">
        <v>9</v>
      </c>
      <c r="U57" s="8">
        <v>41365</v>
      </c>
    </row>
    <row r="58" spans="1:21" x14ac:dyDescent="0.25">
      <c r="A58" s="2">
        <f t="shared" si="3"/>
        <v>2</v>
      </c>
      <c r="B58" t="s">
        <v>152</v>
      </c>
      <c r="C58" s="2">
        <v>4</v>
      </c>
      <c r="D58" s="2">
        <v>82</v>
      </c>
      <c r="E58" s="2">
        <v>10</v>
      </c>
      <c r="F58" s="2">
        <v>7</v>
      </c>
      <c r="G58" s="2">
        <v>2</v>
      </c>
      <c r="J58" s="1"/>
      <c r="M58" t="s">
        <v>15</v>
      </c>
      <c r="N58" t="str">
        <f>IFERROR(VLOOKUP(B58,'[1]All Player'!$B$2:$C$1992,2,0),"")</f>
        <v>Niamul Habib Setu</v>
      </c>
      <c r="O58" s="2" t="s">
        <v>505</v>
      </c>
      <c r="P58" s="16" t="s">
        <v>563</v>
      </c>
      <c r="Q58" s="1">
        <f t="shared" si="0"/>
        <v>1</v>
      </c>
      <c r="R58" s="1">
        <v>9</v>
      </c>
      <c r="U58" s="8">
        <v>41365</v>
      </c>
    </row>
    <row r="59" spans="1:21" x14ac:dyDescent="0.25">
      <c r="A59" s="2">
        <f t="shared" si="3"/>
        <v>2</v>
      </c>
      <c r="B59" t="s">
        <v>661</v>
      </c>
      <c r="C59" s="2">
        <v>5</v>
      </c>
      <c r="D59" s="2">
        <v>129</v>
      </c>
      <c r="E59" s="2">
        <v>7</v>
      </c>
      <c r="F59" s="2">
        <v>12</v>
      </c>
      <c r="G59" s="2">
        <v>0</v>
      </c>
      <c r="J59" s="1"/>
      <c r="M59" t="s">
        <v>15</v>
      </c>
      <c r="N59" t="str">
        <f>IFERROR(VLOOKUP(B59,'[1]All Player'!$B$2:$C$1992,2,0),"")</f>
        <v>Sakhawat Hossain Shanto</v>
      </c>
      <c r="O59" s="2" t="s">
        <v>505</v>
      </c>
      <c r="P59" s="16" t="s">
        <v>563</v>
      </c>
      <c r="Q59" s="1">
        <f t="shared" si="0"/>
        <v>1</v>
      </c>
      <c r="R59" s="1">
        <v>9</v>
      </c>
      <c r="U59" s="8">
        <v>41365</v>
      </c>
    </row>
    <row r="60" spans="1:21" x14ac:dyDescent="0.25">
      <c r="A60" s="2">
        <f t="shared" si="3"/>
        <v>2</v>
      </c>
      <c r="B60" t="s">
        <v>255</v>
      </c>
      <c r="C60" s="2">
        <v>5</v>
      </c>
      <c r="D60" s="2">
        <v>77</v>
      </c>
      <c r="E60" s="2">
        <v>10</v>
      </c>
      <c r="F60" s="2">
        <v>9</v>
      </c>
      <c r="G60" s="2">
        <v>0</v>
      </c>
      <c r="J60" s="1"/>
      <c r="M60" t="s">
        <v>15</v>
      </c>
      <c r="N60" t="str">
        <f>IFERROR(VLOOKUP(B60,'[1]All Player'!$B$2:$C$1992,2,0),"")</f>
        <v>Jubayer Hossen</v>
      </c>
      <c r="O60" s="2" t="s">
        <v>505</v>
      </c>
      <c r="P60" s="16" t="s">
        <v>563</v>
      </c>
      <c r="Q60" s="1">
        <f t="shared" si="0"/>
        <v>1</v>
      </c>
      <c r="R60" s="1">
        <v>9</v>
      </c>
      <c r="U60" s="8">
        <v>41365</v>
      </c>
    </row>
    <row r="61" spans="1:21" x14ac:dyDescent="0.25">
      <c r="A61" s="2">
        <f t="shared" si="3"/>
        <v>2</v>
      </c>
      <c r="B61" t="s">
        <v>257</v>
      </c>
      <c r="C61" s="2">
        <v>2</v>
      </c>
      <c r="D61" s="2">
        <v>10</v>
      </c>
      <c r="E61" s="2">
        <v>1</v>
      </c>
      <c r="F61" s="2">
        <v>2</v>
      </c>
      <c r="G61" s="2">
        <v>0</v>
      </c>
      <c r="J61" s="1"/>
      <c r="M61" t="s">
        <v>15</v>
      </c>
      <c r="N61" t="str">
        <f>IFERROR(VLOOKUP(B61,'[1]All Player'!$B$2:$C$1992,2,0),"")</f>
        <v>Shakib Al Hasan</v>
      </c>
      <c r="O61" s="2" t="s">
        <v>505</v>
      </c>
      <c r="P61" s="16" t="s">
        <v>563</v>
      </c>
      <c r="Q61" s="1">
        <f t="shared" si="0"/>
        <v>1</v>
      </c>
      <c r="R61" s="1">
        <v>9</v>
      </c>
      <c r="U61" s="8">
        <v>41365</v>
      </c>
    </row>
    <row r="62" spans="1:21" x14ac:dyDescent="0.25">
      <c r="A62" s="2">
        <f t="shared" si="3"/>
        <v>2</v>
      </c>
      <c r="B62" s="17" t="s">
        <v>506</v>
      </c>
      <c r="J62" s="1"/>
      <c r="M62" t="s">
        <v>15</v>
      </c>
      <c r="N62" t="str">
        <f>IFERROR(VLOOKUP(B62,'[1]All Player'!$B$2:$C$1992,2,0),"")</f>
        <v/>
      </c>
      <c r="O62" s="2" t="s">
        <v>505</v>
      </c>
      <c r="P62" s="16" t="s">
        <v>506</v>
      </c>
      <c r="Q62" s="1">
        <f t="shared" si="0"/>
        <v>1</v>
      </c>
      <c r="R62" s="1">
        <v>10</v>
      </c>
      <c r="T62" s="1" t="s">
        <v>659</v>
      </c>
      <c r="U62" s="8">
        <v>41365</v>
      </c>
    </row>
    <row r="63" spans="1:21" x14ac:dyDescent="0.25">
      <c r="A63" s="2">
        <f t="shared" si="3"/>
        <v>2</v>
      </c>
      <c r="B63" t="s">
        <v>221</v>
      </c>
      <c r="C63" s="2">
        <v>3</v>
      </c>
      <c r="D63" s="2">
        <v>63</v>
      </c>
      <c r="E63" s="2">
        <v>6</v>
      </c>
      <c r="F63" s="2">
        <v>3</v>
      </c>
      <c r="G63" s="2">
        <v>0</v>
      </c>
      <c r="J63" s="1"/>
      <c r="M63" t="s">
        <v>15</v>
      </c>
      <c r="N63" t="str">
        <f>IFERROR(VLOOKUP(B63,'[1]All Player'!$B$2:$C$1992,2,0),"")</f>
        <v>Yahya Riyad</v>
      </c>
      <c r="O63" s="2" t="s">
        <v>505</v>
      </c>
      <c r="P63" s="16" t="s">
        <v>506</v>
      </c>
      <c r="Q63" s="1">
        <f t="shared" si="0"/>
        <v>1</v>
      </c>
      <c r="R63" s="1">
        <v>10</v>
      </c>
      <c r="T63" s="1" t="s">
        <v>659</v>
      </c>
      <c r="U63" s="8">
        <v>41365</v>
      </c>
    </row>
    <row r="64" spans="1:21" x14ac:dyDescent="0.25">
      <c r="A64" s="2">
        <f t="shared" si="3"/>
        <v>2</v>
      </c>
      <c r="B64" t="s">
        <v>66</v>
      </c>
      <c r="C64" s="2">
        <v>3</v>
      </c>
      <c r="D64" s="2">
        <v>77</v>
      </c>
      <c r="E64" s="2">
        <v>6</v>
      </c>
      <c r="F64" s="2">
        <v>6</v>
      </c>
      <c r="G64" s="2">
        <v>0</v>
      </c>
      <c r="I64" s="2">
        <v>0</v>
      </c>
      <c r="J64" s="1"/>
      <c r="M64" t="s">
        <v>15</v>
      </c>
      <c r="N64" t="str">
        <f>IFERROR(VLOOKUP(B64,'[1]All Player'!$B$2:$C$1992,2,0),"")</f>
        <v>Ahmad Sakib Abdullah</v>
      </c>
      <c r="O64" s="2" t="s">
        <v>505</v>
      </c>
      <c r="P64" s="16" t="s">
        <v>506</v>
      </c>
      <c r="Q64" s="1">
        <f t="shared" si="0"/>
        <v>1</v>
      </c>
      <c r="R64" s="1">
        <v>10</v>
      </c>
      <c r="T64" s="1" t="s">
        <v>659</v>
      </c>
      <c r="U64" s="8">
        <v>41365</v>
      </c>
    </row>
    <row r="65" spans="1:23" x14ac:dyDescent="0.25">
      <c r="A65" s="2">
        <f t="shared" si="3"/>
        <v>2</v>
      </c>
      <c r="B65" t="s">
        <v>70</v>
      </c>
      <c r="C65" s="2">
        <v>7</v>
      </c>
      <c r="D65" s="2">
        <v>169</v>
      </c>
      <c r="E65" s="24">
        <v>17</v>
      </c>
      <c r="F65" s="2">
        <v>17</v>
      </c>
      <c r="G65" s="2">
        <v>1</v>
      </c>
      <c r="J65" s="1"/>
      <c r="M65" t="s">
        <v>15</v>
      </c>
      <c r="N65" t="str">
        <f>IFERROR(VLOOKUP(B65,'[1]All Player'!$B$2:$C$1992,2,0),"")</f>
        <v>Sheik Helal Ahmed</v>
      </c>
      <c r="O65" s="2" t="s">
        <v>505</v>
      </c>
      <c r="P65" s="16" t="s">
        <v>506</v>
      </c>
      <c r="Q65" s="1">
        <f t="shared" si="0"/>
        <v>1</v>
      </c>
      <c r="R65" s="1">
        <v>10</v>
      </c>
      <c r="T65" s="1" t="s">
        <v>659</v>
      </c>
      <c r="U65" s="8">
        <v>41365</v>
      </c>
      <c r="W65" s="1">
        <v>1</v>
      </c>
    </row>
    <row r="66" spans="1:23" x14ac:dyDescent="0.25">
      <c r="A66" s="2">
        <f t="shared" si="3"/>
        <v>2</v>
      </c>
      <c r="B66" t="s">
        <v>60</v>
      </c>
      <c r="C66" s="2">
        <v>7</v>
      </c>
      <c r="D66" s="2">
        <v>227</v>
      </c>
      <c r="E66" s="24">
        <v>17</v>
      </c>
      <c r="F66" s="2">
        <v>21</v>
      </c>
      <c r="G66" s="2">
        <v>2</v>
      </c>
      <c r="J66" s="1"/>
      <c r="M66" t="s">
        <v>15</v>
      </c>
      <c r="N66" t="str">
        <f>IFERROR(VLOOKUP(B66,'[1]All Player'!$B$2:$C$1992,2,0),"")</f>
        <v>Jahin Shahriar Chowdhury</v>
      </c>
      <c r="O66" s="2" t="s">
        <v>505</v>
      </c>
      <c r="P66" s="16" t="s">
        <v>506</v>
      </c>
      <c r="Q66" s="1">
        <f t="shared" ref="Q66:Q129" si="4">IF(B66="","",1)</f>
        <v>1</v>
      </c>
      <c r="R66" s="1">
        <v>10</v>
      </c>
      <c r="S66" s="2" t="s">
        <v>658</v>
      </c>
      <c r="T66" s="1" t="s">
        <v>659</v>
      </c>
      <c r="U66" s="8">
        <v>41365</v>
      </c>
      <c r="V66" s="1">
        <v>1</v>
      </c>
      <c r="W66" s="1">
        <v>1</v>
      </c>
    </row>
    <row r="67" spans="1:23" ht="15.75" x14ac:dyDescent="0.25">
      <c r="A67" s="2">
        <v>3</v>
      </c>
      <c r="B67" s="18" t="s">
        <v>479</v>
      </c>
      <c r="J67" s="1"/>
      <c r="M67" t="s">
        <v>15</v>
      </c>
      <c r="N67" t="str">
        <f>IFERROR(VLOOKUP(B67,'[1]All Player'!$B$2:$C$1992,2,0),"")</f>
        <v/>
      </c>
      <c r="O67" s="2" t="s">
        <v>478</v>
      </c>
      <c r="P67" s="16" t="s">
        <v>479</v>
      </c>
      <c r="Q67" s="1">
        <f t="shared" si="4"/>
        <v>1</v>
      </c>
      <c r="R67" s="1">
        <v>11</v>
      </c>
      <c r="U67" s="8">
        <v>41395</v>
      </c>
    </row>
    <row r="68" spans="1:23" x14ac:dyDescent="0.25">
      <c r="A68" s="2">
        <f t="shared" si="3"/>
        <v>3</v>
      </c>
      <c r="B68" t="s">
        <v>60</v>
      </c>
      <c r="C68" s="2">
        <v>3</v>
      </c>
      <c r="D68" s="2">
        <v>60</v>
      </c>
      <c r="E68" s="2">
        <v>3</v>
      </c>
      <c r="F68" s="2">
        <v>5</v>
      </c>
      <c r="G68" s="2">
        <v>0</v>
      </c>
      <c r="J68" s="1"/>
      <c r="M68" t="s">
        <v>15</v>
      </c>
      <c r="N68" t="str">
        <f>IFERROR(VLOOKUP(B68,'[1]All Player'!$B$2:$C$1992,2,0),"")</f>
        <v>Jahin Shahriar Chowdhury</v>
      </c>
      <c r="O68" s="2" t="s">
        <v>478</v>
      </c>
      <c r="P68" s="16" t="s">
        <v>479</v>
      </c>
      <c r="Q68" s="1">
        <f t="shared" si="4"/>
        <v>1</v>
      </c>
      <c r="R68" s="1">
        <v>11</v>
      </c>
      <c r="U68" s="8">
        <v>41395</v>
      </c>
    </row>
    <row r="69" spans="1:23" x14ac:dyDescent="0.25">
      <c r="A69" s="2">
        <f t="shared" si="3"/>
        <v>3</v>
      </c>
      <c r="B69" t="s">
        <v>245</v>
      </c>
      <c r="C69" s="2">
        <v>3</v>
      </c>
      <c r="D69" s="2">
        <v>44</v>
      </c>
      <c r="E69" s="2">
        <v>8</v>
      </c>
      <c r="F69" s="2">
        <v>5</v>
      </c>
      <c r="G69" s="2">
        <v>0</v>
      </c>
      <c r="J69" s="1"/>
      <c r="M69" t="s">
        <v>15</v>
      </c>
      <c r="N69" t="str">
        <f>IFERROR(VLOOKUP(B69,'[1]All Player'!$B$2:$C$1992,2,0),"")</f>
        <v>Akram Hosen Himal</v>
      </c>
      <c r="O69" s="2" t="s">
        <v>478</v>
      </c>
      <c r="P69" s="16" t="s">
        <v>479</v>
      </c>
      <c r="Q69" s="1">
        <f t="shared" si="4"/>
        <v>1</v>
      </c>
      <c r="R69" s="1">
        <v>11</v>
      </c>
      <c r="U69" s="8">
        <v>41395</v>
      </c>
    </row>
    <row r="70" spans="1:23" x14ac:dyDescent="0.25">
      <c r="A70" s="2">
        <f t="shared" si="3"/>
        <v>3</v>
      </c>
      <c r="B70" t="s">
        <v>31</v>
      </c>
      <c r="C70" s="2">
        <v>2</v>
      </c>
      <c r="D70" s="2">
        <v>20</v>
      </c>
      <c r="E70" s="2">
        <v>2</v>
      </c>
      <c r="F70" s="2">
        <v>3</v>
      </c>
      <c r="G70" s="2">
        <v>0</v>
      </c>
      <c r="J70" s="1"/>
      <c r="M70" t="s">
        <v>15</v>
      </c>
      <c r="N70" t="str">
        <f>IFERROR(VLOOKUP(B70,'[1]All Player'!$B$2:$C$1992,2,0),"")</f>
        <v>Hetlar Shohag</v>
      </c>
      <c r="O70" s="2" t="s">
        <v>478</v>
      </c>
      <c r="P70" s="16" t="s">
        <v>479</v>
      </c>
      <c r="Q70" s="1">
        <f t="shared" si="4"/>
        <v>1</v>
      </c>
      <c r="R70" s="1">
        <v>11</v>
      </c>
      <c r="U70" s="8">
        <v>41395</v>
      </c>
    </row>
    <row r="71" spans="1:23" ht="15.75" x14ac:dyDescent="0.25">
      <c r="A71" s="2">
        <f t="shared" si="3"/>
        <v>3</v>
      </c>
      <c r="B71" s="18" t="s">
        <v>564</v>
      </c>
      <c r="J71" s="1"/>
      <c r="M71" t="s">
        <v>15</v>
      </c>
      <c r="N71" t="str">
        <f>IFERROR(VLOOKUP(B71,'[1]All Player'!$B$2:$C$1992,2,0),"")</f>
        <v/>
      </c>
      <c r="O71" s="2" t="s">
        <v>478</v>
      </c>
      <c r="P71" s="16" t="s">
        <v>564</v>
      </c>
      <c r="Q71" s="1">
        <f t="shared" si="4"/>
        <v>1</v>
      </c>
      <c r="R71" s="1">
        <v>12</v>
      </c>
      <c r="U71" s="8">
        <v>41395</v>
      </c>
    </row>
    <row r="72" spans="1:23" x14ac:dyDescent="0.25">
      <c r="A72" s="2">
        <f t="shared" si="3"/>
        <v>3</v>
      </c>
      <c r="B72" t="s">
        <v>99</v>
      </c>
      <c r="C72" s="2">
        <v>3</v>
      </c>
      <c r="D72" s="2">
        <v>45</v>
      </c>
      <c r="E72" s="2">
        <v>4</v>
      </c>
      <c r="F72" s="2">
        <v>5</v>
      </c>
      <c r="G72" s="2">
        <v>2</v>
      </c>
      <c r="J72" s="1"/>
      <c r="M72" t="s">
        <v>15</v>
      </c>
      <c r="N72" t="str">
        <f>IFERROR(VLOOKUP(B72,'[1]All Player'!$B$2:$C$1992,2,0),"")</f>
        <v>Bishwajit Sarkar</v>
      </c>
      <c r="O72" s="2" t="s">
        <v>478</v>
      </c>
      <c r="P72" s="16" t="s">
        <v>564</v>
      </c>
      <c r="Q72" s="1">
        <f t="shared" si="4"/>
        <v>1</v>
      </c>
      <c r="R72" s="1">
        <v>12</v>
      </c>
      <c r="U72" s="8">
        <v>41395</v>
      </c>
    </row>
    <row r="73" spans="1:23" x14ac:dyDescent="0.25">
      <c r="A73" s="2">
        <f t="shared" si="3"/>
        <v>3</v>
      </c>
      <c r="B73" t="s">
        <v>70</v>
      </c>
      <c r="C73" s="2">
        <v>3</v>
      </c>
      <c r="D73" s="2">
        <v>20</v>
      </c>
      <c r="E73" s="2">
        <v>7</v>
      </c>
      <c r="F73" s="2">
        <v>3</v>
      </c>
      <c r="G73" s="2">
        <v>0</v>
      </c>
      <c r="J73" s="1"/>
      <c r="M73" t="s">
        <v>15</v>
      </c>
      <c r="N73" t="str">
        <f>IFERROR(VLOOKUP(B73,'[1]All Player'!$B$2:$C$1992,2,0),"")</f>
        <v>Sheik Helal Ahmed</v>
      </c>
      <c r="O73" s="2" t="s">
        <v>478</v>
      </c>
      <c r="P73" s="16" t="s">
        <v>564</v>
      </c>
      <c r="Q73" s="1">
        <f t="shared" si="4"/>
        <v>1</v>
      </c>
      <c r="R73" s="1">
        <v>12</v>
      </c>
      <c r="U73" s="8">
        <v>41395</v>
      </c>
    </row>
    <row r="74" spans="1:23" x14ac:dyDescent="0.25">
      <c r="A74" s="2">
        <f t="shared" si="3"/>
        <v>3</v>
      </c>
      <c r="B74" t="s">
        <v>259</v>
      </c>
      <c r="C74" s="2">
        <v>1</v>
      </c>
      <c r="D74" s="2">
        <v>0</v>
      </c>
      <c r="E74" s="2">
        <v>2</v>
      </c>
      <c r="F74" s="2">
        <v>1</v>
      </c>
      <c r="G74" s="2">
        <v>0</v>
      </c>
      <c r="J74" s="1"/>
      <c r="M74" t="s">
        <v>15</v>
      </c>
      <c r="N74" t="str">
        <f>IFERROR(VLOOKUP(B74,'[1]All Player'!$B$2:$C$1992,2,0),"")</f>
        <v>Afzal Hussain Shuhag</v>
      </c>
      <c r="O74" s="2" t="s">
        <v>478</v>
      </c>
      <c r="P74" s="16" t="s">
        <v>564</v>
      </c>
      <c r="Q74" s="1">
        <f t="shared" si="4"/>
        <v>1</v>
      </c>
      <c r="R74" s="1">
        <v>12</v>
      </c>
      <c r="U74" s="8">
        <v>41395</v>
      </c>
    </row>
    <row r="75" spans="1:23" ht="15.75" x14ac:dyDescent="0.25">
      <c r="A75" s="2">
        <f t="shared" si="3"/>
        <v>3</v>
      </c>
      <c r="B75" s="18" t="s">
        <v>663</v>
      </c>
      <c r="J75" s="1"/>
      <c r="M75" t="s">
        <v>15</v>
      </c>
      <c r="N75" t="str">
        <f>IFERROR(VLOOKUP(B75,'[1]All Player'!$B$2:$C$1992,2,0),"")</f>
        <v/>
      </c>
      <c r="O75" s="2" t="s">
        <v>478</v>
      </c>
      <c r="P75" s="16" t="s">
        <v>663</v>
      </c>
      <c r="Q75" s="1">
        <f t="shared" si="4"/>
        <v>1</v>
      </c>
      <c r="R75" s="1">
        <v>13</v>
      </c>
      <c r="T75" s="1" t="s">
        <v>657</v>
      </c>
      <c r="U75" s="8">
        <v>41395</v>
      </c>
    </row>
    <row r="76" spans="1:23" x14ac:dyDescent="0.25">
      <c r="A76" s="2">
        <f t="shared" si="3"/>
        <v>3</v>
      </c>
      <c r="B76" t="s">
        <v>228</v>
      </c>
      <c r="C76" s="2">
        <v>5</v>
      </c>
      <c r="D76" s="2">
        <v>110</v>
      </c>
      <c r="E76" s="2">
        <v>10</v>
      </c>
      <c r="F76" s="2">
        <v>7</v>
      </c>
      <c r="G76" s="2">
        <v>2</v>
      </c>
      <c r="J76" s="1"/>
      <c r="M76" t="s">
        <v>15</v>
      </c>
      <c r="N76" t="str">
        <f>IFERROR(VLOOKUP(B76,'[1]All Player'!$B$2:$C$1992,2,0),"")</f>
        <v>Arif Ziad</v>
      </c>
      <c r="O76" s="2" t="s">
        <v>478</v>
      </c>
      <c r="P76" s="16" t="s">
        <v>663</v>
      </c>
      <c r="Q76" s="1">
        <f t="shared" si="4"/>
        <v>1</v>
      </c>
      <c r="R76" s="1">
        <v>13</v>
      </c>
      <c r="T76" s="1" t="s">
        <v>657</v>
      </c>
      <c r="U76" s="8">
        <v>41395</v>
      </c>
    </row>
    <row r="77" spans="1:23" x14ac:dyDescent="0.25">
      <c r="A77" s="2">
        <f t="shared" si="3"/>
        <v>3</v>
      </c>
      <c r="B77" t="s">
        <v>152</v>
      </c>
      <c r="C77" s="2">
        <v>5</v>
      </c>
      <c r="D77" s="2">
        <v>144</v>
      </c>
      <c r="E77" s="2">
        <v>4</v>
      </c>
      <c r="F77" s="2">
        <v>8</v>
      </c>
      <c r="G77" s="2">
        <v>1</v>
      </c>
      <c r="J77" s="1"/>
      <c r="M77" t="s">
        <v>15</v>
      </c>
      <c r="N77" t="str">
        <f>IFERROR(VLOOKUP(B77,'[1]All Player'!$B$2:$C$1992,2,0),"")</f>
        <v>Niamul Habib Setu</v>
      </c>
      <c r="O77" s="2" t="s">
        <v>478</v>
      </c>
      <c r="P77" s="16" t="s">
        <v>663</v>
      </c>
      <c r="Q77" s="1">
        <f t="shared" si="4"/>
        <v>1</v>
      </c>
      <c r="R77" s="1">
        <v>13</v>
      </c>
      <c r="S77" s="2" t="s">
        <v>660</v>
      </c>
      <c r="T77" s="1" t="s">
        <v>657</v>
      </c>
      <c r="U77" s="8">
        <v>41395</v>
      </c>
      <c r="V77" s="1">
        <v>1</v>
      </c>
    </row>
    <row r="78" spans="1:23" x14ac:dyDescent="0.25">
      <c r="A78" s="2">
        <f t="shared" si="3"/>
        <v>3</v>
      </c>
      <c r="B78" t="s">
        <v>213</v>
      </c>
      <c r="C78" s="2">
        <v>3</v>
      </c>
      <c r="D78" s="2">
        <v>6</v>
      </c>
      <c r="E78" s="2">
        <v>7</v>
      </c>
      <c r="F78" s="2">
        <v>2</v>
      </c>
      <c r="G78" s="2">
        <v>0</v>
      </c>
      <c r="J78" s="1"/>
      <c r="M78" t="s">
        <v>15</v>
      </c>
      <c r="N78" t="str">
        <f>IFERROR(VLOOKUP(B78,'[1]All Player'!$B$2:$C$1992,2,0),"")</f>
        <v>Raihan Islam Akash</v>
      </c>
      <c r="O78" s="2" t="s">
        <v>478</v>
      </c>
      <c r="P78" s="16" t="s">
        <v>663</v>
      </c>
      <c r="Q78" s="1">
        <f t="shared" si="4"/>
        <v>1</v>
      </c>
      <c r="R78" s="1">
        <v>13</v>
      </c>
      <c r="T78" s="1" t="s">
        <v>657</v>
      </c>
      <c r="U78" s="8">
        <v>41395</v>
      </c>
    </row>
    <row r="79" spans="1:23" ht="15.75" x14ac:dyDescent="0.25">
      <c r="A79" s="2">
        <f t="shared" si="3"/>
        <v>3</v>
      </c>
      <c r="B79" s="18" t="s">
        <v>565</v>
      </c>
      <c r="J79" s="1"/>
      <c r="M79" t="s">
        <v>15</v>
      </c>
      <c r="N79" t="str">
        <f>IFERROR(VLOOKUP(B79,'[1]All Player'!$B$2:$C$1992,2,0),"")</f>
        <v/>
      </c>
      <c r="O79" s="2" t="s">
        <v>478</v>
      </c>
      <c r="P79" s="16" t="s">
        <v>565</v>
      </c>
      <c r="Q79" s="1">
        <f t="shared" si="4"/>
        <v>1</v>
      </c>
      <c r="R79" s="1">
        <v>14</v>
      </c>
      <c r="T79" s="1" t="s">
        <v>659</v>
      </c>
      <c r="U79" s="8">
        <v>41395</v>
      </c>
    </row>
    <row r="80" spans="1:23" x14ac:dyDescent="0.25">
      <c r="A80" s="2">
        <f t="shared" si="3"/>
        <v>3</v>
      </c>
      <c r="B80" t="s">
        <v>243</v>
      </c>
      <c r="C80" s="2">
        <v>5</v>
      </c>
      <c r="D80" s="2">
        <v>96</v>
      </c>
      <c r="E80" s="2">
        <v>9</v>
      </c>
      <c r="F80" s="2">
        <v>11</v>
      </c>
      <c r="G80" s="2">
        <v>1</v>
      </c>
      <c r="J80" s="1"/>
      <c r="M80" t="s">
        <v>15</v>
      </c>
      <c r="N80" t="str">
        <f>IFERROR(VLOOKUP(B80,'[1]All Player'!$B$2:$C$1992,2,0),"")</f>
        <v>Joy Ullash</v>
      </c>
      <c r="O80" s="2" t="s">
        <v>478</v>
      </c>
      <c r="P80" s="16" t="s">
        <v>565</v>
      </c>
      <c r="Q80" s="1">
        <f t="shared" si="4"/>
        <v>1</v>
      </c>
      <c r="R80" s="1">
        <v>14</v>
      </c>
      <c r="T80" s="1" t="s">
        <v>659</v>
      </c>
      <c r="U80" s="8">
        <v>41395</v>
      </c>
    </row>
    <row r="81" spans="1:23" x14ac:dyDescent="0.25">
      <c r="A81" s="2">
        <f t="shared" si="3"/>
        <v>3</v>
      </c>
      <c r="B81" t="s">
        <v>257</v>
      </c>
      <c r="C81" s="2">
        <v>5</v>
      </c>
      <c r="D81" s="2">
        <v>31</v>
      </c>
      <c r="E81" s="2">
        <v>10</v>
      </c>
      <c r="F81" s="2">
        <v>5</v>
      </c>
      <c r="G81" s="2">
        <v>0</v>
      </c>
      <c r="J81" s="1"/>
      <c r="M81" t="s">
        <v>15</v>
      </c>
      <c r="N81" t="str">
        <f>IFERROR(VLOOKUP(B81,'[1]All Player'!$B$2:$C$1992,2,0),"")</f>
        <v>Shakib Al Hasan</v>
      </c>
      <c r="O81" s="2" t="s">
        <v>478</v>
      </c>
      <c r="P81" s="16" t="s">
        <v>565</v>
      </c>
      <c r="Q81" s="1">
        <f t="shared" si="4"/>
        <v>1</v>
      </c>
      <c r="R81" s="1">
        <v>14</v>
      </c>
      <c r="T81" s="1" t="s">
        <v>659</v>
      </c>
      <c r="U81" s="8">
        <v>41395</v>
      </c>
    </row>
    <row r="82" spans="1:23" x14ac:dyDescent="0.25">
      <c r="A82" s="2">
        <f t="shared" si="3"/>
        <v>3</v>
      </c>
      <c r="B82" t="s">
        <v>261</v>
      </c>
      <c r="C82" s="2">
        <v>2</v>
      </c>
      <c r="D82" s="2">
        <v>19</v>
      </c>
      <c r="E82" s="2">
        <v>2</v>
      </c>
      <c r="F82" s="2">
        <v>3</v>
      </c>
      <c r="G82" s="2">
        <v>1</v>
      </c>
      <c r="J82" s="1"/>
      <c r="M82" t="s">
        <v>15</v>
      </c>
      <c r="N82" t="str">
        <f>IFERROR(VLOOKUP(B82,'[1]All Player'!$B$2:$C$1992,2,0),"")</f>
        <v>Arif Abdullah Shawon</v>
      </c>
      <c r="O82" s="2" t="s">
        <v>478</v>
      </c>
      <c r="P82" s="16" t="s">
        <v>565</v>
      </c>
      <c r="Q82" s="1">
        <f t="shared" si="4"/>
        <v>1</v>
      </c>
      <c r="R82" s="1">
        <v>14</v>
      </c>
      <c r="T82" s="1" t="s">
        <v>659</v>
      </c>
      <c r="U82" s="8">
        <v>41395</v>
      </c>
    </row>
    <row r="83" spans="1:23" ht="15.75" x14ac:dyDescent="0.25">
      <c r="A83" s="2">
        <f t="shared" si="3"/>
        <v>3</v>
      </c>
      <c r="B83" s="18" t="s">
        <v>566</v>
      </c>
      <c r="J83" s="1"/>
      <c r="M83" t="s">
        <v>15</v>
      </c>
      <c r="N83" t="str">
        <f>IFERROR(VLOOKUP(B83,'[1]All Player'!$B$2:$C$1992,2,0),"")</f>
        <v/>
      </c>
      <c r="O83" s="2" t="s">
        <v>478</v>
      </c>
      <c r="P83" s="16" t="s">
        <v>566</v>
      </c>
      <c r="Q83" s="1">
        <f t="shared" si="4"/>
        <v>1</v>
      </c>
      <c r="R83" s="1">
        <v>15</v>
      </c>
      <c r="U83" s="8">
        <v>41395</v>
      </c>
    </row>
    <row r="84" spans="1:23" x14ac:dyDescent="0.25">
      <c r="A84" s="2">
        <f t="shared" si="3"/>
        <v>3</v>
      </c>
      <c r="B84" t="s">
        <v>112</v>
      </c>
      <c r="C84" s="2">
        <v>3</v>
      </c>
      <c r="D84" s="2">
        <v>35</v>
      </c>
      <c r="E84" s="2">
        <v>6</v>
      </c>
      <c r="F84" s="2">
        <v>5</v>
      </c>
      <c r="G84" s="2">
        <v>0</v>
      </c>
      <c r="J84" s="1"/>
      <c r="M84" t="s">
        <v>15</v>
      </c>
      <c r="N84" t="str">
        <f>IFERROR(VLOOKUP(B84,'[1]All Player'!$B$2:$C$1992,2,0),"")</f>
        <v>Shahriar Khan Shovon</v>
      </c>
      <c r="O84" s="2" t="s">
        <v>478</v>
      </c>
      <c r="P84" s="16" t="s">
        <v>566</v>
      </c>
      <c r="Q84" s="1">
        <f t="shared" si="4"/>
        <v>1</v>
      </c>
      <c r="R84" s="1">
        <v>15</v>
      </c>
      <c r="U84" s="8">
        <v>41395</v>
      </c>
    </row>
    <row r="85" spans="1:23" x14ac:dyDescent="0.25">
      <c r="A85" s="2">
        <f t="shared" si="3"/>
        <v>3</v>
      </c>
      <c r="B85" t="s">
        <v>264</v>
      </c>
      <c r="C85" s="2">
        <v>3</v>
      </c>
      <c r="D85" s="2">
        <v>24</v>
      </c>
      <c r="E85" s="2">
        <v>5</v>
      </c>
      <c r="F85" s="2">
        <v>6</v>
      </c>
      <c r="G85" s="2">
        <v>1</v>
      </c>
      <c r="J85" s="1"/>
      <c r="M85" t="s">
        <v>15</v>
      </c>
      <c r="N85" t="str">
        <f>IFERROR(VLOOKUP(B85,'[1]All Player'!$B$2:$C$1992,2,0),"")</f>
        <v>Anamul Haq</v>
      </c>
      <c r="O85" s="2" t="s">
        <v>478</v>
      </c>
      <c r="P85" s="16" t="s">
        <v>566</v>
      </c>
      <c r="Q85" s="1">
        <f t="shared" si="4"/>
        <v>1</v>
      </c>
      <c r="R85" s="1">
        <v>15</v>
      </c>
      <c r="U85" s="8">
        <v>41395</v>
      </c>
    </row>
    <row r="86" spans="1:23" x14ac:dyDescent="0.25">
      <c r="A86" s="2">
        <f t="shared" si="3"/>
        <v>3</v>
      </c>
      <c r="B86" t="s">
        <v>266</v>
      </c>
      <c r="C86" s="2">
        <v>1</v>
      </c>
      <c r="D86" s="2">
        <v>6</v>
      </c>
      <c r="E86" s="2">
        <v>0</v>
      </c>
      <c r="F86" s="2">
        <v>1</v>
      </c>
      <c r="G86" s="2">
        <v>0</v>
      </c>
      <c r="J86" s="1"/>
      <c r="M86" t="s">
        <v>15</v>
      </c>
      <c r="N86" t="str">
        <f>IFERROR(VLOOKUP(B86,'[1]All Player'!$B$2:$C$1992,2,0),"")</f>
        <v>Raian Jabir</v>
      </c>
      <c r="O86" s="2" t="s">
        <v>478</v>
      </c>
      <c r="P86" s="16" t="s">
        <v>566</v>
      </c>
      <c r="Q86" s="1">
        <f t="shared" si="4"/>
        <v>1</v>
      </c>
      <c r="R86" s="1">
        <v>15</v>
      </c>
      <c r="U86" s="8">
        <v>41395</v>
      </c>
    </row>
    <row r="87" spans="1:23" ht="18.75" x14ac:dyDescent="0.3">
      <c r="A87" s="2">
        <f t="shared" si="3"/>
        <v>3</v>
      </c>
      <c r="B87" s="19" t="s">
        <v>567</v>
      </c>
      <c r="J87" s="1"/>
      <c r="M87" t="s">
        <v>15</v>
      </c>
      <c r="N87" t="str">
        <f>IFERROR(VLOOKUP(B87,'[1]All Player'!$B$2:$C$1992,2,0),"")</f>
        <v/>
      </c>
      <c r="O87" s="2" t="s">
        <v>478</v>
      </c>
      <c r="P87" s="16" t="s">
        <v>567</v>
      </c>
      <c r="Q87" s="1">
        <f t="shared" si="4"/>
        <v>1</v>
      </c>
      <c r="R87" s="1">
        <v>16</v>
      </c>
      <c r="U87" s="8">
        <v>41395</v>
      </c>
    </row>
    <row r="88" spans="1:23" x14ac:dyDescent="0.25">
      <c r="A88" s="2">
        <f t="shared" si="3"/>
        <v>3</v>
      </c>
      <c r="B88" t="s">
        <v>95</v>
      </c>
      <c r="C88" s="2">
        <v>4</v>
      </c>
      <c r="D88" s="2">
        <v>107</v>
      </c>
      <c r="E88" s="2">
        <v>13</v>
      </c>
      <c r="F88" s="2">
        <v>9</v>
      </c>
      <c r="G88" s="2">
        <v>0</v>
      </c>
      <c r="J88" s="1"/>
      <c r="M88" t="s">
        <v>15</v>
      </c>
      <c r="N88" t="str">
        <f>IFERROR(VLOOKUP(B88,'[1]All Player'!$B$2:$C$1992,2,0),"")</f>
        <v>Sadrul Anam</v>
      </c>
      <c r="O88" s="2" t="s">
        <v>478</v>
      </c>
      <c r="P88" s="16" t="s">
        <v>567</v>
      </c>
      <c r="Q88" s="1">
        <f t="shared" si="4"/>
        <v>1</v>
      </c>
      <c r="R88" s="1">
        <v>16</v>
      </c>
      <c r="S88" s="2" t="s">
        <v>658</v>
      </c>
      <c r="U88" s="8">
        <v>41395</v>
      </c>
      <c r="W88" s="1">
        <v>1</v>
      </c>
    </row>
    <row r="89" spans="1:23" x14ac:dyDescent="0.25">
      <c r="A89" s="2">
        <f t="shared" si="3"/>
        <v>3</v>
      </c>
      <c r="B89" t="s">
        <v>66</v>
      </c>
      <c r="C89" s="2">
        <v>4</v>
      </c>
      <c r="D89" s="2">
        <v>71</v>
      </c>
      <c r="E89" s="2">
        <v>5</v>
      </c>
      <c r="F89" s="2">
        <v>9</v>
      </c>
      <c r="G89" s="2">
        <v>0</v>
      </c>
      <c r="I89" s="2">
        <v>0</v>
      </c>
      <c r="J89" s="1"/>
      <c r="M89" t="s">
        <v>15</v>
      </c>
      <c r="N89" t="str">
        <f>IFERROR(VLOOKUP(B89,'[1]All Player'!$B$2:$C$1992,2,0),"")</f>
        <v>Ahmad Sakib Abdullah</v>
      </c>
      <c r="O89" s="2" t="s">
        <v>478</v>
      </c>
      <c r="P89" s="16" t="s">
        <v>567</v>
      </c>
      <c r="Q89" s="1">
        <f t="shared" si="4"/>
        <v>1</v>
      </c>
      <c r="R89" s="1">
        <v>16</v>
      </c>
      <c r="U89" s="8">
        <v>41395</v>
      </c>
    </row>
    <row r="90" spans="1:23" x14ac:dyDescent="0.25">
      <c r="A90" s="2">
        <f t="shared" si="3"/>
        <v>3</v>
      </c>
      <c r="B90" t="s">
        <v>268</v>
      </c>
      <c r="C90" s="2">
        <v>3</v>
      </c>
      <c r="D90" s="2">
        <v>32</v>
      </c>
      <c r="E90" s="2">
        <v>3</v>
      </c>
      <c r="F90" s="2">
        <v>5</v>
      </c>
      <c r="G90" s="2">
        <v>1</v>
      </c>
      <c r="J90" s="1"/>
      <c r="M90" t="s">
        <v>15</v>
      </c>
      <c r="N90" t="str">
        <f>IFERROR(VLOOKUP(B90,'[1]All Player'!$B$2:$C$1992,2,0),"")</f>
        <v>Badrul Hossain Badsha</v>
      </c>
      <c r="O90" s="2" t="s">
        <v>478</v>
      </c>
      <c r="P90" s="16" t="s">
        <v>567</v>
      </c>
      <c r="Q90" s="1">
        <f t="shared" si="4"/>
        <v>1</v>
      </c>
      <c r="R90" s="1">
        <v>16</v>
      </c>
      <c r="U90" s="8">
        <v>41395</v>
      </c>
    </row>
    <row r="91" spans="1:23" ht="15.75" x14ac:dyDescent="0.25">
      <c r="A91" s="2">
        <f t="shared" si="3"/>
        <v>3</v>
      </c>
      <c r="B91" s="18" t="s">
        <v>507</v>
      </c>
      <c r="J91" s="1"/>
      <c r="M91" t="s">
        <v>15</v>
      </c>
      <c r="N91" t="str">
        <f>IFERROR(VLOOKUP(B91,'[1]All Player'!$B$2:$C$1992,2,0),"")</f>
        <v/>
      </c>
      <c r="O91" s="2" t="s">
        <v>478</v>
      </c>
      <c r="P91" s="16" t="s">
        <v>507</v>
      </c>
      <c r="Q91" s="1">
        <f t="shared" si="4"/>
        <v>1</v>
      </c>
      <c r="R91" s="1">
        <v>17</v>
      </c>
      <c r="U91" s="8">
        <v>41395</v>
      </c>
    </row>
    <row r="92" spans="1:23" x14ac:dyDescent="0.25">
      <c r="A92" s="2">
        <f t="shared" si="3"/>
        <v>3</v>
      </c>
      <c r="B92" t="s">
        <v>93</v>
      </c>
      <c r="C92" s="2">
        <v>2</v>
      </c>
      <c r="D92" s="2">
        <v>1</v>
      </c>
      <c r="E92" s="2">
        <v>0</v>
      </c>
      <c r="F92" s="2">
        <v>4</v>
      </c>
      <c r="G92" s="2">
        <v>0</v>
      </c>
      <c r="M92" t="s">
        <v>15</v>
      </c>
      <c r="N92" t="str">
        <f>IFERROR(VLOOKUP(B92,'[1]All Player'!$B$2:$C$1992,2,0),"")</f>
        <v>Zaheed Hasan</v>
      </c>
      <c r="O92" s="2" t="s">
        <v>478</v>
      </c>
      <c r="P92" s="16" t="s">
        <v>507</v>
      </c>
      <c r="Q92" s="1">
        <f t="shared" si="4"/>
        <v>1</v>
      </c>
      <c r="R92" s="1">
        <v>17</v>
      </c>
      <c r="U92" s="8">
        <v>41395</v>
      </c>
    </row>
    <row r="93" spans="1:23" x14ac:dyDescent="0.25">
      <c r="A93" s="2">
        <f t="shared" si="3"/>
        <v>3</v>
      </c>
      <c r="B93" t="s">
        <v>72</v>
      </c>
      <c r="C93" s="2">
        <v>1</v>
      </c>
      <c r="D93" s="2">
        <v>11</v>
      </c>
      <c r="E93" s="2">
        <v>0</v>
      </c>
      <c r="F93" s="2">
        <v>2</v>
      </c>
      <c r="G93" s="2">
        <v>0</v>
      </c>
      <c r="J93" s="1"/>
      <c r="M93" t="s">
        <v>15</v>
      </c>
      <c r="N93" t="str">
        <f>IFERROR(VLOOKUP(B93,'[1]All Player'!$B$2:$C$1992,2,0),"")</f>
        <v>Akram Husan (Washim)</v>
      </c>
      <c r="O93" s="2" t="s">
        <v>478</v>
      </c>
      <c r="P93" s="16" t="s">
        <v>507</v>
      </c>
      <c r="Q93" s="1">
        <f t="shared" si="4"/>
        <v>1</v>
      </c>
      <c r="R93" s="1">
        <v>17</v>
      </c>
      <c r="U93" s="8">
        <v>41395</v>
      </c>
    </row>
    <row r="94" spans="1:23" x14ac:dyDescent="0.25">
      <c r="A94" s="2">
        <f t="shared" si="3"/>
        <v>3</v>
      </c>
      <c r="B94" t="s">
        <v>80</v>
      </c>
      <c r="C94" s="2">
        <v>1</v>
      </c>
      <c r="D94" s="2">
        <v>28</v>
      </c>
      <c r="E94" s="2">
        <v>0</v>
      </c>
      <c r="F94" s="2">
        <v>2</v>
      </c>
      <c r="G94" s="2">
        <v>0</v>
      </c>
      <c r="J94" s="1"/>
      <c r="M94" t="s">
        <v>15</v>
      </c>
      <c r="N94" t="str">
        <f>IFERROR(VLOOKUP(B94,'[1]All Player'!$B$2:$C$1992,2,0),"")</f>
        <v>Kamrul Hasan Tutul</v>
      </c>
      <c r="O94" s="2" t="s">
        <v>478</v>
      </c>
      <c r="P94" s="16" t="s">
        <v>507</v>
      </c>
      <c r="Q94" s="1">
        <f t="shared" si="4"/>
        <v>1</v>
      </c>
      <c r="R94" s="1">
        <v>17</v>
      </c>
      <c r="U94" s="8">
        <v>41395</v>
      </c>
    </row>
    <row r="95" spans="1:23" ht="15.75" x14ac:dyDescent="0.25">
      <c r="A95" s="2">
        <f t="shared" si="3"/>
        <v>3</v>
      </c>
      <c r="B95" s="18" t="s">
        <v>568</v>
      </c>
      <c r="J95" s="1"/>
      <c r="M95" t="s">
        <v>15</v>
      </c>
      <c r="N95" t="str">
        <f>IFERROR(VLOOKUP(B95,'[1]All Player'!$B$2:$C$1992,2,0),"")</f>
        <v/>
      </c>
      <c r="O95" s="2" t="s">
        <v>478</v>
      </c>
      <c r="P95" s="16" t="s">
        <v>568</v>
      </c>
      <c r="Q95" s="1">
        <f t="shared" si="4"/>
        <v>1</v>
      </c>
      <c r="R95" s="1">
        <v>18</v>
      </c>
      <c r="U95" s="8">
        <v>41395</v>
      </c>
    </row>
    <row r="96" spans="1:23" x14ac:dyDescent="0.25">
      <c r="A96" s="2">
        <f t="shared" si="3"/>
        <v>3</v>
      </c>
      <c r="B96" t="s">
        <v>661</v>
      </c>
      <c r="C96" s="2">
        <v>3</v>
      </c>
      <c r="D96" s="2">
        <v>78</v>
      </c>
      <c r="E96" s="2">
        <v>6</v>
      </c>
      <c r="F96" s="2">
        <v>7</v>
      </c>
      <c r="G96" s="2">
        <v>0</v>
      </c>
      <c r="J96" s="1"/>
      <c r="M96" t="s">
        <v>15</v>
      </c>
      <c r="N96" t="str">
        <f>IFERROR(VLOOKUP(B96,'[1]All Player'!$B$2:$C$1992,2,0),"")</f>
        <v>Sakhawat Hossain Shanto</v>
      </c>
      <c r="O96" s="2" t="s">
        <v>478</v>
      </c>
      <c r="P96" s="16" t="s">
        <v>568</v>
      </c>
      <c r="Q96" s="1">
        <f t="shared" si="4"/>
        <v>1</v>
      </c>
      <c r="R96" s="1">
        <v>18</v>
      </c>
      <c r="U96" s="8">
        <v>41395</v>
      </c>
    </row>
    <row r="97" spans="1:21" x14ac:dyDescent="0.25">
      <c r="A97" s="2">
        <f t="shared" si="3"/>
        <v>3</v>
      </c>
      <c r="B97" t="s">
        <v>225</v>
      </c>
      <c r="C97" s="2">
        <v>3</v>
      </c>
      <c r="D97" s="2">
        <v>19</v>
      </c>
      <c r="E97" s="2">
        <v>5</v>
      </c>
      <c r="F97" s="2">
        <v>5</v>
      </c>
      <c r="G97" s="2">
        <v>0</v>
      </c>
      <c r="J97" s="1"/>
      <c r="M97" t="s">
        <v>15</v>
      </c>
      <c r="N97" t="str">
        <f>IFERROR(VLOOKUP(B97,'[1]All Player'!$B$2:$C$1992,2,0),"")</f>
        <v>Md Ruvel</v>
      </c>
      <c r="O97" s="2" t="s">
        <v>478</v>
      </c>
      <c r="P97" s="16" t="s">
        <v>568</v>
      </c>
      <c r="Q97" s="1">
        <f t="shared" si="4"/>
        <v>1</v>
      </c>
      <c r="R97" s="1">
        <v>18</v>
      </c>
      <c r="U97" s="8">
        <v>41395</v>
      </c>
    </row>
    <row r="98" spans="1:21" x14ac:dyDescent="0.25">
      <c r="A98" s="2">
        <f t="shared" si="3"/>
        <v>3</v>
      </c>
      <c r="B98" t="s">
        <v>270</v>
      </c>
      <c r="C98" s="2">
        <v>1</v>
      </c>
      <c r="D98" s="2">
        <v>7</v>
      </c>
      <c r="E98" s="2">
        <v>0</v>
      </c>
      <c r="F98" s="2">
        <v>1</v>
      </c>
      <c r="G98" s="2">
        <v>0</v>
      </c>
      <c r="J98" s="1"/>
      <c r="M98" t="s">
        <v>15</v>
      </c>
      <c r="N98" t="str">
        <f>IFERROR(VLOOKUP(B98,'[1]All Player'!$B$2:$C$1992,2,0),"")</f>
        <v>Shesh Bikaler Alo</v>
      </c>
      <c r="O98" s="2" t="s">
        <v>478</v>
      </c>
      <c r="P98" s="16" t="s">
        <v>568</v>
      </c>
      <c r="Q98" s="1">
        <f t="shared" si="4"/>
        <v>1</v>
      </c>
      <c r="R98" s="1">
        <v>18</v>
      </c>
      <c r="U98" s="8">
        <v>41395</v>
      </c>
    </row>
    <row r="99" spans="1:21" ht="15.75" x14ac:dyDescent="0.25">
      <c r="A99" s="2">
        <f t="shared" si="3"/>
        <v>3</v>
      </c>
      <c r="B99" s="18" t="s">
        <v>569</v>
      </c>
      <c r="J99" s="1"/>
      <c r="M99" t="s">
        <v>15</v>
      </c>
      <c r="N99" t="str">
        <f>IFERROR(VLOOKUP(B99,'[1]All Player'!$B$2:$C$1992,2,0),"")</f>
        <v/>
      </c>
      <c r="O99" s="2" t="s">
        <v>478</v>
      </c>
      <c r="P99" s="16" t="s">
        <v>569</v>
      </c>
      <c r="Q99" s="1">
        <f t="shared" si="4"/>
        <v>1</v>
      </c>
      <c r="R99" s="1">
        <v>19</v>
      </c>
      <c r="U99" s="8">
        <v>41395</v>
      </c>
    </row>
    <row r="100" spans="1:21" x14ac:dyDescent="0.25">
      <c r="A100" s="2">
        <f t="shared" si="3"/>
        <v>3</v>
      </c>
      <c r="B100" t="s">
        <v>239</v>
      </c>
      <c r="C100" s="2">
        <v>2</v>
      </c>
      <c r="D100" s="2">
        <v>8</v>
      </c>
      <c r="E100" s="2">
        <v>2</v>
      </c>
      <c r="F100" s="2">
        <v>3</v>
      </c>
      <c r="G100" s="2">
        <v>0</v>
      </c>
      <c r="J100" s="1"/>
      <c r="M100" t="s">
        <v>15</v>
      </c>
      <c r="N100" t="str">
        <f>IFERROR(VLOOKUP(B100,'[1]All Player'!$B$2:$C$1992,2,0),"")</f>
        <v>GM Manik</v>
      </c>
      <c r="O100" s="2" t="s">
        <v>478</v>
      </c>
      <c r="P100" s="16" t="s">
        <v>569</v>
      </c>
      <c r="Q100" s="1">
        <f t="shared" si="4"/>
        <v>1</v>
      </c>
      <c r="R100" s="1">
        <v>19</v>
      </c>
      <c r="U100" s="8">
        <v>41395</v>
      </c>
    </row>
    <row r="101" spans="1:21" x14ac:dyDescent="0.25">
      <c r="A101" s="2">
        <f t="shared" si="3"/>
        <v>3</v>
      </c>
      <c r="B101" t="s">
        <v>118</v>
      </c>
      <c r="C101" s="2">
        <v>2</v>
      </c>
      <c r="D101" s="2">
        <v>17</v>
      </c>
      <c r="E101" s="2">
        <v>3</v>
      </c>
      <c r="F101" s="2">
        <v>4</v>
      </c>
      <c r="G101" s="2">
        <v>0</v>
      </c>
      <c r="J101" s="1"/>
      <c r="M101" t="s">
        <v>15</v>
      </c>
      <c r="N101" t="str">
        <f>IFERROR(VLOOKUP(B101,'[1]All Player'!$B$2:$C$1992,2,0),"")</f>
        <v>Rinkon Khan</v>
      </c>
      <c r="O101" s="2" t="s">
        <v>478</v>
      </c>
      <c r="P101" s="16" t="s">
        <v>569</v>
      </c>
      <c r="Q101" s="1">
        <f t="shared" si="4"/>
        <v>1</v>
      </c>
      <c r="R101" s="1">
        <v>19</v>
      </c>
      <c r="U101" s="8">
        <v>41395</v>
      </c>
    </row>
    <row r="102" spans="1:21" x14ac:dyDescent="0.25">
      <c r="A102" s="2">
        <f t="shared" ref="A102:A132" si="5">A101</f>
        <v>3</v>
      </c>
      <c r="B102" t="s">
        <v>272</v>
      </c>
      <c r="C102" s="2">
        <v>1</v>
      </c>
      <c r="D102" s="2">
        <v>0</v>
      </c>
      <c r="E102" s="2">
        <v>1</v>
      </c>
      <c r="F102" s="2">
        <v>1</v>
      </c>
      <c r="G102" s="2">
        <v>0</v>
      </c>
      <c r="J102" s="1"/>
      <c r="M102" t="s">
        <v>15</v>
      </c>
      <c r="N102" t="str">
        <f>IFERROR(VLOOKUP(B102,'[1]All Player'!$B$2:$C$1992,2,0),"")</f>
        <v>Imtiaz Mir</v>
      </c>
      <c r="O102" s="2" t="s">
        <v>478</v>
      </c>
      <c r="P102" s="16" t="s">
        <v>569</v>
      </c>
      <c r="Q102" s="1">
        <f t="shared" si="4"/>
        <v>1</v>
      </c>
      <c r="R102" s="1">
        <v>19</v>
      </c>
      <c r="U102" s="8">
        <v>41395</v>
      </c>
    </row>
    <row r="103" spans="1:21" ht="15.75" x14ac:dyDescent="0.25">
      <c r="A103" s="2">
        <f t="shared" si="5"/>
        <v>3</v>
      </c>
      <c r="B103" s="18" t="s">
        <v>570</v>
      </c>
      <c r="J103" s="1"/>
      <c r="M103" t="s">
        <v>15</v>
      </c>
      <c r="N103" t="str">
        <f>IFERROR(VLOOKUP(B103,'[1]All Player'!$B$2:$C$1992,2,0),"")</f>
        <v/>
      </c>
      <c r="O103" s="2" t="s">
        <v>478</v>
      </c>
      <c r="P103" s="16" t="s">
        <v>570</v>
      </c>
      <c r="Q103" s="1">
        <f t="shared" si="4"/>
        <v>1</v>
      </c>
      <c r="R103" s="1">
        <v>20</v>
      </c>
      <c r="U103" s="8">
        <v>41395</v>
      </c>
    </row>
    <row r="104" spans="1:21" x14ac:dyDescent="0.25">
      <c r="A104" s="2">
        <f t="shared" si="5"/>
        <v>3</v>
      </c>
      <c r="B104" t="s">
        <v>144</v>
      </c>
      <c r="C104" s="2">
        <v>2</v>
      </c>
      <c r="D104" s="2">
        <v>16</v>
      </c>
      <c r="E104" s="2">
        <v>1</v>
      </c>
      <c r="F104" s="2">
        <v>4</v>
      </c>
      <c r="G104" s="2">
        <v>0</v>
      </c>
      <c r="J104" s="1"/>
      <c r="M104" t="s">
        <v>15</v>
      </c>
      <c r="N104" t="str">
        <f>IFERROR(VLOOKUP(B104,'[1]All Player'!$B$2:$C$1992,2,0),"")</f>
        <v>Toufiq Ahmed Ovi</v>
      </c>
      <c r="O104" s="2" t="s">
        <v>478</v>
      </c>
      <c r="P104" s="16" t="s">
        <v>570</v>
      </c>
      <c r="Q104" s="1">
        <f t="shared" si="4"/>
        <v>1</v>
      </c>
      <c r="R104" s="1">
        <v>20</v>
      </c>
      <c r="U104" s="8">
        <v>41395</v>
      </c>
    </row>
    <row r="105" spans="1:21" x14ac:dyDescent="0.25">
      <c r="A105" s="2">
        <f t="shared" si="5"/>
        <v>3</v>
      </c>
      <c r="B105" t="s">
        <v>221</v>
      </c>
      <c r="C105" s="2">
        <v>1</v>
      </c>
      <c r="D105" s="2">
        <v>15</v>
      </c>
      <c r="E105" s="2">
        <v>2</v>
      </c>
      <c r="F105" s="2">
        <v>2</v>
      </c>
      <c r="G105" s="2">
        <v>0</v>
      </c>
      <c r="J105" s="1"/>
      <c r="M105" t="s">
        <v>15</v>
      </c>
      <c r="N105" t="str">
        <f>IFERROR(VLOOKUP(B105,'[1]All Player'!$B$2:$C$1992,2,0),"")</f>
        <v>Yahya Riyad</v>
      </c>
      <c r="O105" s="2" t="s">
        <v>478</v>
      </c>
      <c r="P105" s="16" t="s">
        <v>570</v>
      </c>
      <c r="Q105" s="1">
        <f t="shared" si="4"/>
        <v>1</v>
      </c>
      <c r="R105" s="1">
        <v>20</v>
      </c>
      <c r="U105" s="8">
        <v>41395</v>
      </c>
    </row>
    <row r="106" spans="1:21" x14ac:dyDescent="0.25">
      <c r="A106" s="2">
        <f t="shared" si="5"/>
        <v>3</v>
      </c>
      <c r="B106" t="s">
        <v>274</v>
      </c>
      <c r="C106" s="2">
        <v>1</v>
      </c>
      <c r="D106" s="2">
        <v>7</v>
      </c>
      <c r="E106" s="2">
        <v>0</v>
      </c>
      <c r="F106" s="2">
        <v>2</v>
      </c>
      <c r="G106" s="2">
        <v>0</v>
      </c>
      <c r="J106" s="1"/>
      <c r="M106" t="s">
        <v>15</v>
      </c>
      <c r="N106" t="str">
        <f>IFERROR(VLOOKUP(B106,'[1]All Player'!$B$2:$C$1992,2,0),"")</f>
        <v>Tanzim Hasan Rahat</v>
      </c>
      <c r="O106" s="2" t="s">
        <v>478</v>
      </c>
      <c r="P106" s="16" t="s">
        <v>570</v>
      </c>
      <c r="Q106" s="1">
        <f t="shared" si="4"/>
        <v>1</v>
      </c>
      <c r="R106" s="1">
        <v>20</v>
      </c>
      <c r="U106" s="8">
        <v>41395</v>
      </c>
    </row>
    <row r="107" spans="1:21" x14ac:dyDescent="0.25">
      <c r="A107" s="2">
        <f t="shared" si="5"/>
        <v>3</v>
      </c>
      <c r="B107" s="17" t="s">
        <v>572</v>
      </c>
      <c r="J107" s="1"/>
      <c r="M107" t="s">
        <v>15</v>
      </c>
      <c r="N107" t="str">
        <f>IFERROR(VLOOKUP(B107,'[1]All Player'!$B$2:$C$1992,2,0),"")</f>
        <v/>
      </c>
      <c r="O107" s="2" t="s">
        <v>478</v>
      </c>
      <c r="P107" s="16" t="s">
        <v>572</v>
      </c>
      <c r="Q107" s="1">
        <f t="shared" si="4"/>
        <v>1</v>
      </c>
      <c r="R107" s="1">
        <v>21</v>
      </c>
      <c r="U107" s="8">
        <v>41395</v>
      </c>
    </row>
    <row r="108" spans="1:21" x14ac:dyDescent="0.25">
      <c r="A108" s="2">
        <f t="shared" si="5"/>
        <v>3</v>
      </c>
      <c r="B108" t="s">
        <v>255</v>
      </c>
      <c r="C108" s="2">
        <v>4</v>
      </c>
      <c r="D108" s="2">
        <v>50</v>
      </c>
      <c r="E108" s="2">
        <v>9</v>
      </c>
      <c r="F108" s="2">
        <v>8</v>
      </c>
      <c r="G108" s="2">
        <v>0</v>
      </c>
      <c r="J108" s="1"/>
      <c r="M108" t="s">
        <v>15</v>
      </c>
      <c r="N108" t="str">
        <f>IFERROR(VLOOKUP(B108,'[1]All Player'!$B$2:$C$1992,2,0),"")</f>
        <v>Jubayer Hossen</v>
      </c>
      <c r="O108" s="2" t="s">
        <v>478</v>
      </c>
      <c r="P108" s="16" t="s">
        <v>572</v>
      </c>
      <c r="Q108" s="1">
        <f t="shared" si="4"/>
        <v>1</v>
      </c>
      <c r="R108" s="1">
        <v>21</v>
      </c>
      <c r="U108" s="8">
        <v>41395</v>
      </c>
    </row>
    <row r="109" spans="1:21" x14ac:dyDescent="0.25">
      <c r="A109" s="2">
        <f t="shared" si="5"/>
        <v>3</v>
      </c>
      <c r="B109" t="s">
        <v>664</v>
      </c>
      <c r="C109" s="2">
        <v>4</v>
      </c>
      <c r="D109" s="2">
        <v>13</v>
      </c>
      <c r="E109" s="2">
        <v>3</v>
      </c>
      <c r="F109" s="2">
        <v>1</v>
      </c>
      <c r="G109" s="2">
        <v>1</v>
      </c>
      <c r="J109" s="1"/>
      <c r="M109" t="s">
        <v>15</v>
      </c>
      <c r="N109" t="str">
        <f>IFERROR(VLOOKUP(B109,'[1]All Player'!$B$2:$C$1992,2,0),"")</f>
        <v>Mohammad Asif</v>
      </c>
      <c r="O109" s="2" t="s">
        <v>478</v>
      </c>
      <c r="P109" s="16" t="s">
        <v>572</v>
      </c>
      <c r="Q109" s="1">
        <f t="shared" si="4"/>
        <v>1</v>
      </c>
      <c r="R109" s="1">
        <v>21</v>
      </c>
      <c r="U109" s="8">
        <v>41395</v>
      </c>
    </row>
    <row r="110" spans="1:21" x14ac:dyDescent="0.25">
      <c r="A110" s="2">
        <f t="shared" si="5"/>
        <v>3</v>
      </c>
      <c r="B110" t="s">
        <v>205</v>
      </c>
      <c r="C110" s="2">
        <v>4</v>
      </c>
      <c r="D110" s="2">
        <v>109</v>
      </c>
      <c r="E110" s="2">
        <v>5</v>
      </c>
      <c r="F110" s="2">
        <v>7</v>
      </c>
      <c r="G110" s="2">
        <v>1</v>
      </c>
      <c r="J110" s="1"/>
      <c r="M110" t="s">
        <v>15</v>
      </c>
      <c r="N110" t="str">
        <f>IFERROR(VLOOKUP(B110,'[1]All Player'!$B$2:$C$1992,2,0),"")</f>
        <v>Injamul Haque (Syed Injamul Haque)</v>
      </c>
      <c r="O110" s="2" t="s">
        <v>478</v>
      </c>
      <c r="P110" s="16" t="s">
        <v>572</v>
      </c>
      <c r="Q110" s="1">
        <f t="shared" si="4"/>
        <v>1</v>
      </c>
      <c r="R110" s="1">
        <v>21</v>
      </c>
      <c r="U110" s="8">
        <v>41395</v>
      </c>
    </row>
    <row r="111" spans="1:21" ht="15.75" x14ac:dyDescent="0.25">
      <c r="A111" s="2">
        <f t="shared" si="5"/>
        <v>3</v>
      </c>
      <c r="B111" s="18" t="s">
        <v>571</v>
      </c>
      <c r="J111" s="1"/>
      <c r="M111" t="s">
        <v>15</v>
      </c>
      <c r="N111" t="str">
        <f>IFERROR(VLOOKUP(B111,'[1]All Player'!$B$2:$C$1992,2,0),"")</f>
        <v/>
      </c>
      <c r="O111" s="2" t="s">
        <v>478</v>
      </c>
      <c r="P111" s="16" t="s">
        <v>571</v>
      </c>
      <c r="Q111" s="1">
        <f t="shared" si="4"/>
        <v>1</v>
      </c>
      <c r="R111" s="1">
        <v>21</v>
      </c>
      <c r="U111" s="8">
        <v>41395</v>
      </c>
    </row>
    <row r="112" spans="1:21" x14ac:dyDescent="0.25">
      <c r="A112" s="2">
        <f t="shared" si="5"/>
        <v>3</v>
      </c>
      <c r="B112" t="s">
        <v>223</v>
      </c>
      <c r="C112" s="2">
        <v>2</v>
      </c>
      <c r="D112" s="2">
        <v>35</v>
      </c>
      <c r="E112" s="2">
        <v>6</v>
      </c>
      <c r="F112" s="2">
        <v>4</v>
      </c>
      <c r="G112" s="2">
        <v>0</v>
      </c>
      <c r="J112" s="1"/>
      <c r="M112" t="s">
        <v>15</v>
      </c>
      <c r="N112" t="str">
        <f>IFERROR(VLOOKUP(B112,'[1]All Player'!$B$2:$C$1992,2,0),"")</f>
        <v>Saiful Rahat</v>
      </c>
      <c r="O112" s="2" t="s">
        <v>478</v>
      </c>
      <c r="P112" s="16" t="s">
        <v>571</v>
      </c>
      <c r="Q112" s="1">
        <f t="shared" si="4"/>
        <v>1</v>
      </c>
      <c r="R112" s="1">
        <v>21</v>
      </c>
      <c r="U112" s="8">
        <v>41395</v>
      </c>
    </row>
    <row r="113" spans="1:23" x14ac:dyDescent="0.25">
      <c r="A113" s="2">
        <f t="shared" si="5"/>
        <v>3</v>
      </c>
      <c r="B113" t="s">
        <v>276</v>
      </c>
      <c r="C113" s="2">
        <v>2</v>
      </c>
      <c r="D113" s="2">
        <v>17</v>
      </c>
      <c r="E113" s="2">
        <v>2</v>
      </c>
      <c r="F113" s="2">
        <v>4</v>
      </c>
      <c r="G113" s="2">
        <v>0</v>
      </c>
      <c r="J113" s="1"/>
      <c r="M113" t="s">
        <v>15</v>
      </c>
      <c r="N113" t="str">
        <f>IFERROR(VLOOKUP(B113,'[1]All Player'!$B$2:$C$1992,2,0),"")</f>
        <v>Md Aneek Rashid</v>
      </c>
      <c r="O113" s="2" t="s">
        <v>478</v>
      </c>
      <c r="P113" s="16" t="s">
        <v>571</v>
      </c>
      <c r="Q113" s="1">
        <f t="shared" si="4"/>
        <v>1</v>
      </c>
      <c r="R113" s="1">
        <v>21</v>
      </c>
      <c r="U113" s="8">
        <v>41395</v>
      </c>
    </row>
    <row r="114" spans="1:23" x14ac:dyDescent="0.25">
      <c r="A114" s="2">
        <v>4</v>
      </c>
      <c r="B114" t="s">
        <v>560</v>
      </c>
      <c r="J114" s="1"/>
      <c r="N114" t="str">
        <f>IFERROR(VLOOKUP(B114,'[1]All Player'!$B$2:$C$1992,2,0),"")</f>
        <v/>
      </c>
      <c r="O114" s="2" t="s">
        <v>482</v>
      </c>
      <c r="P114" s="16" t="s">
        <v>560</v>
      </c>
      <c r="Q114" s="1">
        <f t="shared" si="4"/>
        <v>1</v>
      </c>
      <c r="R114" s="1">
        <v>22</v>
      </c>
      <c r="T114" s="1" t="s">
        <v>659</v>
      </c>
      <c r="U114" s="8">
        <v>41426</v>
      </c>
    </row>
    <row r="115" spans="1:23" x14ac:dyDescent="0.25">
      <c r="A115" s="2">
        <f t="shared" si="5"/>
        <v>4</v>
      </c>
      <c r="B115" t="s">
        <v>223</v>
      </c>
      <c r="C115" s="2">
        <v>4</v>
      </c>
      <c r="D115" s="2">
        <v>62</v>
      </c>
      <c r="E115" s="2">
        <v>6</v>
      </c>
      <c r="F115" s="2">
        <v>8</v>
      </c>
      <c r="G115" s="2">
        <v>0</v>
      </c>
      <c r="J115" s="1"/>
      <c r="M115" t="s">
        <v>15</v>
      </c>
      <c r="N115" t="str">
        <f>IFERROR(VLOOKUP(B115,'[1]All Player'!$B$2:$C$1992,2,0),"")</f>
        <v>Saiful Rahat</v>
      </c>
      <c r="O115" s="2" t="s">
        <v>482</v>
      </c>
      <c r="P115" s="16" t="s">
        <v>560</v>
      </c>
      <c r="Q115" s="1">
        <f t="shared" si="4"/>
        <v>1</v>
      </c>
      <c r="R115" s="1">
        <v>22</v>
      </c>
      <c r="T115" s="1" t="s">
        <v>659</v>
      </c>
      <c r="U115" s="8">
        <v>41426</v>
      </c>
    </row>
    <row r="116" spans="1:23" x14ac:dyDescent="0.25">
      <c r="A116" s="2">
        <f t="shared" si="5"/>
        <v>4</v>
      </c>
      <c r="B116" t="s">
        <v>211</v>
      </c>
      <c r="C116" s="2">
        <v>1</v>
      </c>
      <c r="D116" s="2">
        <v>3</v>
      </c>
      <c r="E116" s="2">
        <v>0</v>
      </c>
      <c r="F116" s="2">
        <v>2</v>
      </c>
      <c r="G116" s="2">
        <v>0</v>
      </c>
      <c r="J116" s="1"/>
      <c r="M116" t="s">
        <v>15</v>
      </c>
      <c r="N116" t="str">
        <f>IFERROR(VLOOKUP(B116,'[1]All Player'!$B$2:$C$1992,2,0),"")</f>
        <v>Backbencher Sakib</v>
      </c>
      <c r="O116" s="2" t="s">
        <v>482</v>
      </c>
      <c r="P116" s="16" t="s">
        <v>560</v>
      </c>
      <c r="Q116" s="1">
        <f t="shared" si="4"/>
        <v>1</v>
      </c>
      <c r="R116" s="1">
        <v>22</v>
      </c>
      <c r="T116" s="1" t="s">
        <v>659</v>
      </c>
      <c r="U116" s="8">
        <v>41426</v>
      </c>
    </row>
    <row r="117" spans="1:23" x14ac:dyDescent="0.25">
      <c r="A117" s="2">
        <f t="shared" si="5"/>
        <v>4</v>
      </c>
      <c r="B117" t="s">
        <v>259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J117" s="1"/>
      <c r="M117" t="s">
        <v>15</v>
      </c>
      <c r="N117" t="str">
        <f>IFERROR(VLOOKUP(B117,'[1]All Player'!$B$2:$C$1992,2,0),"")</f>
        <v>Afzal Hussain Shuhag</v>
      </c>
      <c r="O117" s="2" t="s">
        <v>482</v>
      </c>
      <c r="P117" s="16" t="s">
        <v>560</v>
      </c>
      <c r="Q117" s="1">
        <f t="shared" si="4"/>
        <v>1</v>
      </c>
      <c r="R117" s="1">
        <v>22</v>
      </c>
      <c r="T117" s="1" t="s">
        <v>659</v>
      </c>
      <c r="U117" s="8">
        <v>41426</v>
      </c>
    </row>
    <row r="118" spans="1:23" x14ac:dyDescent="0.25">
      <c r="A118" s="2">
        <f t="shared" si="5"/>
        <v>4</v>
      </c>
      <c r="B118" t="s">
        <v>201</v>
      </c>
      <c r="C118" s="2">
        <v>4</v>
      </c>
      <c r="D118" s="2">
        <v>118</v>
      </c>
      <c r="E118" s="2">
        <v>9</v>
      </c>
      <c r="F118" s="2">
        <v>8</v>
      </c>
      <c r="G118" s="2">
        <v>1</v>
      </c>
      <c r="J118" s="1"/>
      <c r="M118" t="s">
        <v>15</v>
      </c>
      <c r="N118" t="str">
        <f>IFERROR(VLOOKUP(B118,'[1]All Player'!$B$2:$C$1992,2,0),"")</f>
        <v>A.R. Shohag</v>
      </c>
      <c r="O118" s="2" t="s">
        <v>482</v>
      </c>
      <c r="P118" s="16" t="s">
        <v>560</v>
      </c>
      <c r="Q118" s="1">
        <f t="shared" si="4"/>
        <v>1</v>
      </c>
      <c r="R118" s="1">
        <v>22</v>
      </c>
      <c r="S118" s="2" t="s">
        <v>658</v>
      </c>
      <c r="T118" s="1" t="s">
        <v>659</v>
      </c>
      <c r="U118" s="8">
        <v>41426</v>
      </c>
    </row>
    <row r="119" spans="1:23" x14ac:dyDescent="0.25">
      <c r="A119" s="2">
        <f t="shared" si="5"/>
        <v>4</v>
      </c>
      <c r="B119" t="s">
        <v>274</v>
      </c>
      <c r="C119" s="2">
        <v>5</v>
      </c>
      <c r="D119" s="2">
        <v>148</v>
      </c>
      <c r="E119" s="2">
        <v>24</v>
      </c>
      <c r="F119" s="2">
        <v>12</v>
      </c>
      <c r="G119" s="2">
        <v>1</v>
      </c>
      <c r="J119" s="1"/>
      <c r="M119" t="s">
        <v>15</v>
      </c>
      <c r="N119" t="str">
        <f>IFERROR(VLOOKUP(B119,'[1]All Player'!$B$2:$C$1992,2,0),"")</f>
        <v>Tanzim Hasan Rahat</v>
      </c>
      <c r="O119" s="2" t="s">
        <v>482</v>
      </c>
      <c r="P119" s="16" t="s">
        <v>560</v>
      </c>
      <c r="Q119" s="1">
        <f t="shared" si="4"/>
        <v>1</v>
      </c>
      <c r="R119" s="1">
        <v>22</v>
      </c>
      <c r="S119" s="2" t="s">
        <v>660</v>
      </c>
      <c r="T119" s="1" t="s">
        <v>659</v>
      </c>
      <c r="U119" s="8">
        <v>41426</v>
      </c>
      <c r="V119" s="1">
        <v>1</v>
      </c>
      <c r="W119" s="1">
        <v>1</v>
      </c>
    </row>
    <row r="120" spans="1:23" x14ac:dyDescent="0.25">
      <c r="A120" s="2">
        <f t="shared" si="5"/>
        <v>4</v>
      </c>
      <c r="B120" t="s">
        <v>483</v>
      </c>
      <c r="J120" s="1"/>
      <c r="M120" t="s">
        <v>15</v>
      </c>
      <c r="N120" t="str">
        <f>IFERROR(VLOOKUP(B120,'[1]All Player'!$B$2:$C$1992,2,0),"")</f>
        <v/>
      </c>
      <c r="O120" s="2" t="s">
        <v>482</v>
      </c>
      <c r="P120" s="16" t="s">
        <v>483</v>
      </c>
      <c r="Q120" s="1">
        <f t="shared" si="4"/>
        <v>1</v>
      </c>
      <c r="R120" s="1">
        <v>23</v>
      </c>
      <c r="U120" s="8">
        <v>41426</v>
      </c>
    </row>
    <row r="121" spans="1:23" x14ac:dyDescent="0.25">
      <c r="A121" s="2">
        <f t="shared" si="5"/>
        <v>4</v>
      </c>
      <c r="B121" t="s">
        <v>66</v>
      </c>
      <c r="C121" s="2">
        <v>4</v>
      </c>
      <c r="D121" s="2">
        <v>29</v>
      </c>
      <c r="E121" s="2">
        <v>2</v>
      </c>
      <c r="F121" s="2">
        <v>7</v>
      </c>
      <c r="G121" s="2">
        <v>1</v>
      </c>
      <c r="I121" s="2">
        <v>0</v>
      </c>
      <c r="J121" s="1"/>
      <c r="M121" t="s">
        <v>15</v>
      </c>
      <c r="N121" t="str">
        <f>IFERROR(VLOOKUP(B121,'[1]All Player'!$B$2:$C$1992,2,0),"")</f>
        <v>Ahmad Sakib Abdullah</v>
      </c>
      <c r="O121" s="2" t="s">
        <v>482</v>
      </c>
      <c r="P121" s="16" t="s">
        <v>483</v>
      </c>
      <c r="Q121" s="1">
        <f t="shared" si="4"/>
        <v>1</v>
      </c>
      <c r="R121" s="1">
        <v>23</v>
      </c>
      <c r="U121" s="8">
        <v>41426</v>
      </c>
    </row>
    <row r="122" spans="1:23" x14ac:dyDescent="0.25">
      <c r="A122" s="2">
        <f t="shared" si="5"/>
        <v>4</v>
      </c>
      <c r="B122" t="s">
        <v>239</v>
      </c>
      <c r="C122" s="2">
        <v>4</v>
      </c>
      <c r="D122" s="2">
        <v>95</v>
      </c>
      <c r="E122" s="2">
        <v>8</v>
      </c>
      <c r="F122" s="2">
        <v>7</v>
      </c>
      <c r="G122" s="2">
        <v>0</v>
      </c>
      <c r="J122" s="1"/>
      <c r="M122" t="s">
        <v>15</v>
      </c>
      <c r="N122" t="str">
        <f>IFERROR(VLOOKUP(B122,'[1]All Player'!$B$2:$C$1992,2,0),"")</f>
        <v>GM Manik</v>
      </c>
      <c r="O122" s="2" t="s">
        <v>482</v>
      </c>
      <c r="P122" s="16" t="s">
        <v>483</v>
      </c>
      <c r="Q122" s="1">
        <f t="shared" si="4"/>
        <v>1</v>
      </c>
      <c r="R122" s="1">
        <v>23</v>
      </c>
      <c r="U122" s="8">
        <v>41426</v>
      </c>
    </row>
    <row r="123" spans="1:23" x14ac:dyDescent="0.25">
      <c r="A123" s="2">
        <f t="shared" si="5"/>
        <v>4</v>
      </c>
      <c r="B123" t="s">
        <v>664</v>
      </c>
      <c r="C123" s="2">
        <v>5</v>
      </c>
      <c r="D123" s="2">
        <v>85</v>
      </c>
      <c r="E123" s="2">
        <v>4</v>
      </c>
      <c r="F123" s="2">
        <v>9</v>
      </c>
      <c r="G123" s="2">
        <v>0</v>
      </c>
      <c r="J123" s="1"/>
      <c r="M123" t="s">
        <v>15</v>
      </c>
      <c r="N123" t="str">
        <f>IFERROR(VLOOKUP(B123,'[1]All Player'!$B$2:$C$1992,2,0),"")</f>
        <v>Mohammad Asif</v>
      </c>
      <c r="O123" s="2" t="s">
        <v>482</v>
      </c>
      <c r="P123" s="16" t="s">
        <v>483</v>
      </c>
      <c r="Q123" s="1">
        <f t="shared" si="4"/>
        <v>1</v>
      </c>
      <c r="R123" s="1">
        <v>23</v>
      </c>
      <c r="U123" s="8">
        <v>41426</v>
      </c>
    </row>
    <row r="124" spans="1:23" x14ac:dyDescent="0.25">
      <c r="A124" s="2">
        <f t="shared" si="5"/>
        <v>4</v>
      </c>
      <c r="B124" t="s">
        <v>665</v>
      </c>
      <c r="C124" s="2">
        <v>2</v>
      </c>
      <c r="D124" s="2">
        <v>81</v>
      </c>
      <c r="E124" s="2">
        <v>1</v>
      </c>
      <c r="F124" s="2">
        <v>4</v>
      </c>
      <c r="G124" s="2">
        <v>0</v>
      </c>
      <c r="J124" s="1"/>
      <c r="M124" t="s">
        <v>15</v>
      </c>
      <c r="N124" t="str">
        <f>IFERROR(VLOOKUP(B124,'[1]All Player'!$B$2:$C$1992,2,0),"")</f>
        <v>Rayhan Rahman</v>
      </c>
      <c r="O124" s="2" t="s">
        <v>482</v>
      </c>
      <c r="P124" s="16" t="s">
        <v>483</v>
      </c>
      <c r="Q124" s="1">
        <f t="shared" si="4"/>
        <v>1</v>
      </c>
      <c r="R124" s="1">
        <v>23</v>
      </c>
      <c r="U124" s="8">
        <v>41426</v>
      </c>
    </row>
    <row r="125" spans="1:23" x14ac:dyDescent="0.25">
      <c r="A125" s="2">
        <f t="shared" si="5"/>
        <v>4</v>
      </c>
      <c r="B125" t="s">
        <v>661</v>
      </c>
      <c r="C125" s="2">
        <v>5</v>
      </c>
      <c r="D125" s="2">
        <v>95</v>
      </c>
      <c r="E125" s="2">
        <v>10</v>
      </c>
      <c r="F125" s="2">
        <v>9</v>
      </c>
      <c r="G125" s="2">
        <v>0</v>
      </c>
      <c r="J125" s="1"/>
      <c r="M125" t="s">
        <v>15</v>
      </c>
      <c r="N125" t="str">
        <f>IFERROR(VLOOKUP(B125,'[1]All Player'!$B$2:$C$1992,2,0),"")</f>
        <v>Sakhawat Hossain Shanto</v>
      </c>
      <c r="O125" s="2" t="s">
        <v>482</v>
      </c>
      <c r="P125" s="16" t="s">
        <v>483</v>
      </c>
      <c r="Q125" s="1">
        <f t="shared" si="4"/>
        <v>1</v>
      </c>
      <c r="R125" s="1">
        <v>23</v>
      </c>
      <c r="U125" s="8">
        <v>41426</v>
      </c>
    </row>
    <row r="126" spans="1:23" x14ac:dyDescent="0.25">
      <c r="A126" s="2">
        <f t="shared" si="5"/>
        <v>4</v>
      </c>
      <c r="B126" s="14" t="s">
        <v>541</v>
      </c>
      <c r="J126" s="1"/>
      <c r="M126" t="s">
        <v>15</v>
      </c>
      <c r="N126" t="str">
        <f>IFERROR(VLOOKUP(B126,'[1]All Player'!$B$2:$C$1992,2,0),"")</f>
        <v/>
      </c>
      <c r="O126" s="2" t="s">
        <v>482</v>
      </c>
      <c r="P126" s="16" t="s">
        <v>541</v>
      </c>
      <c r="Q126" s="1">
        <f t="shared" si="4"/>
        <v>1</v>
      </c>
      <c r="R126" s="1">
        <v>24</v>
      </c>
      <c r="U126" s="8">
        <v>41426</v>
      </c>
    </row>
    <row r="127" spans="1:23" x14ac:dyDescent="0.25">
      <c r="A127" s="2">
        <f t="shared" si="5"/>
        <v>4</v>
      </c>
      <c r="B127" t="s">
        <v>205</v>
      </c>
      <c r="C127" s="2">
        <v>2</v>
      </c>
      <c r="D127" s="2">
        <v>18</v>
      </c>
      <c r="E127" s="2">
        <v>2</v>
      </c>
      <c r="F127" s="2">
        <v>4</v>
      </c>
      <c r="G127" s="2">
        <v>0</v>
      </c>
      <c r="J127" s="1"/>
      <c r="M127" t="s">
        <v>15</v>
      </c>
      <c r="N127" t="str">
        <f>IFERROR(VLOOKUP(B127,'[1]All Player'!$B$2:$C$1992,2,0),"")</f>
        <v>Injamul Haque (Syed Injamul Haque)</v>
      </c>
      <c r="O127" s="2" t="s">
        <v>482</v>
      </c>
      <c r="P127" s="16" t="s">
        <v>541</v>
      </c>
      <c r="Q127" s="1">
        <f t="shared" si="4"/>
        <v>1</v>
      </c>
      <c r="R127" s="1">
        <v>24</v>
      </c>
      <c r="U127" s="8">
        <v>41426</v>
      </c>
    </row>
    <row r="128" spans="1:23" x14ac:dyDescent="0.25">
      <c r="A128" s="2">
        <f t="shared" si="5"/>
        <v>4</v>
      </c>
      <c r="B128" t="s">
        <v>666</v>
      </c>
      <c r="C128" s="2">
        <v>3</v>
      </c>
      <c r="D128" s="2">
        <v>33</v>
      </c>
      <c r="E128" s="2">
        <v>4</v>
      </c>
      <c r="F128" s="2">
        <v>4</v>
      </c>
      <c r="G128" s="2">
        <v>0</v>
      </c>
      <c r="J128" s="1"/>
      <c r="M128" t="s">
        <v>15</v>
      </c>
      <c r="N128" t="str">
        <f>IFERROR(VLOOKUP(B128,'[1]All Player'!$B$2:$C$1992,2,0),"")</f>
        <v>Sheik Helal Ahmed</v>
      </c>
      <c r="O128" s="2" t="s">
        <v>482</v>
      </c>
      <c r="P128" s="16" t="s">
        <v>541</v>
      </c>
      <c r="Q128" s="1">
        <f t="shared" si="4"/>
        <v>1</v>
      </c>
      <c r="R128" s="1">
        <v>24</v>
      </c>
      <c r="U128" s="8">
        <v>41426</v>
      </c>
    </row>
    <row r="129" spans="1:21" x14ac:dyDescent="0.25">
      <c r="A129" s="2">
        <f t="shared" si="5"/>
        <v>4</v>
      </c>
      <c r="B129" t="s">
        <v>225</v>
      </c>
      <c r="C129" s="2">
        <v>2</v>
      </c>
      <c r="D129" s="2">
        <v>17</v>
      </c>
      <c r="E129" s="2">
        <v>1</v>
      </c>
      <c r="F129" s="2">
        <v>3</v>
      </c>
      <c r="G129" s="2">
        <v>0</v>
      </c>
      <c r="J129" s="1"/>
      <c r="M129" t="s">
        <v>15</v>
      </c>
      <c r="N129" t="str">
        <f>IFERROR(VLOOKUP(B129,'[1]All Player'!$B$2:$C$1992,2,0),"")</f>
        <v>Md Ruvel</v>
      </c>
      <c r="O129" s="2" t="s">
        <v>482</v>
      </c>
      <c r="P129" s="16" t="s">
        <v>541</v>
      </c>
      <c r="Q129" s="1">
        <f t="shared" si="4"/>
        <v>1</v>
      </c>
      <c r="R129" s="1">
        <v>24</v>
      </c>
      <c r="U129" s="8">
        <v>41426</v>
      </c>
    </row>
    <row r="130" spans="1:21" x14ac:dyDescent="0.25">
      <c r="A130" s="2">
        <f t="shared" si="5"/>
        <v>4</v>
      </c>
      <c r="B130" t="s">
        <v>279</v>
      </c>
      <c r="C130" s="2">
        <v>3</v>
      </c>
      <c r="D130" s="2">
        <v>54</v>
      </c>
      <c r="E130" s="2">
        <v>4</v>
      </c>
      <c r="F130" s="2">
        <v>4</v>
      </c>
      <c r="G130" s="2">
        <v>0</v>
      </c>
      <c r="J130" s="1"/>
      <c r="M130" t="s">
        <v>15</v>
      </c>
      <c r="N130" t="str">
        <f>IFERROR(VLOOKUP(B130,'[1]All Player'!$B$2:$C$1992,2,0),"")</f>
        <v>Ahmed Kawser Da Neymar</v>
      </c>
      <c r="O130" s="2" t="s">
        <v>482</v>
      </c>
      <c r="P130" s="16" t="s">
        <v>541</v>
      </c>
      <c r="Q130" s="1">
        <f t="shared" ref="Q130:Q193" si="6">IF(B130="","",1)</f>
        <v>1</v>
      </c>
      <c r="R130" s="1">
        <v>24</v>
      </c>
      <c r="U130" s="8">
        <v>41426</v>
      </c>
    </row>
    <row r="131" spans="1:21" x14ac:dyDescent="0.25">
      <c r="A131" s="2">
        <f t="shared" si="5"/>
        <v>4</v>
      </c>
      <c r="B131" t="s">
        <v>142</v>
      </c>
      <c r="C131" s="2">
        <v>3</v>
      </c>
      <c r="D131" s="2">
        <v>66</v>
      </c>
      <c r="E131" s="2">
        <v>0</v>
      </c>
      <c r="F131" s="2">
        <v>6</v>
      </c>
      <c r="G131" s="2">
        <v>1</v>
      </c>
      <c r="J131" s="1"/>
      <c r="M131" t="s">
        <v>15</v>
      </c>
      <c r="N131" t="str">
        <f>IFERROR(VLOOKUP(B131,'[1]All Player'!$B$2:$C$1992,2,0),"")</f>
        <v>Mehedi Hasan Joy</v>
      </c>
      <c r="O131" s="2" t="s">
        <v>482</v>
      </c>
      <c r="P131" s="16" t="s">
        <v>541</v>
      </c>
      <c r="Q131" s="1">
        <f t="shared" si="6"/>
        <v>1</v>
      </c>
      <c r="R131" s="1">
        <v>24</v>
      </c>
      <c r="U131" s="8">
        <v>41426</v>
      </c>
    </row>
    <row r="132" spans="1:21" x14ac:dyDescent="0.25">
      <c r="A132" s="2">
        <f t="shared" si="5"/>
        <v>4</v>
      </c>
      <c r="B132" s="14" t="s">
        <v>573</v>
      </c>
      <c r="J132" s="1"/>
      <c r="M132" t="s">
        <v>15</v>
      </c>
      <c r="N132" t="str">
        <f>IFERROR(VLOOKUP(B132,'[1]All Player'!$B$2:$C$1992,2,0),"")</f>
        <v/>
      </c>
      <c r="O132" s="2" t="s">
        <v>482</v>
      </c>
      <c r="P132" s="16" t="s">
        <v>573</v>
      </c>
      <c r="Q132" s="1">
        <f t="shared" si="6"/>
        <v>1</v>
      </c>
      <c r="R132" s="1">
        <v>25</v>
      </c>
      <c r="U132" s="8">
        <v>41426</v>
      </c>
    </row>
    <row r="133" spans="1:21" x14ac:dyDescent="0.25">
      <c r="A133" s="2">
        <f>A132</f>
        <v>4</v>
      </c>
      <c r="B133" t="s">
        <v>245</v>
      </c>
      <c r="C133" s="2">
        <v>3</v>
      </c>
      <c r="D133" s="2">
        <v>29</v>
      </c>
      <c r="E133" s="2">
        <v>8</v>
      </c>
      <c r="F133" s="2">
        <v>6</v>
      </c>
      <c r="G133" s="2">
        <v>0</v>
      </c>
      <c r="J133" s="1"/>
      <c r="M133" t="s">
        <v>15</v>
      </c>
      <c r="N133" t="str">
        <f>IFERROR(VLOOKUP(B133,'[1]All Player'!$B$2:$C$1992,2,0),"")</f>
        <v>Akram Hosen Himal</v>
      </c>
      <c r="O133" s="2" t="s">
        <v>482</v>
      </c>
      <c r="P133" s="16" t="s">
        <v>573</v>
      </c>
      <c r="Q133" s="1">
        <f t="shared" si="6"/>
        <v>1</v>
      </c>
      <c r="R133" s="1">
        <v>25</v>
      </c>
      <c r="U133" s="8">
        <v>41426</v>
      </c>
    </row>
    <row r="134" spans="1:21" x14ac:dyDescent="0.25">
      <c r="A134" s="2">
        <f t="shared" ref="A134:A197" si="7">A133</f>
        <v>4</v>
      </c>
      <c r="B134" t="s">
        <v>667</v>
      </c>
      <c r="C134" s="2">
        <v>3</v>
      </c>
      <c r="D134" s="2">
        <v>34</v>
      </c>
      <c r="E134" s="2">
        <v>2</v>
      </c>
      <c r="F134" s="2">
        <v>4</v>
      </c>
      <c r="G134" s="2">
        <v>0</v>
      </c>
      <c r="J134" s="1"/>
      <c r="M134" t="s">
        <v>15</v>
      </c>
      <c r="N134" t="str">
        <f>IFERROR(VLOOKUP(B134,'[1]All Player'!$B$2:$C$1992,2,0),"")</f>
        <v>Jubayer Hossen</v>
      </c>
      <c r="O134" s="2" t="s">
        <v>482</v>
      </c>
      <c r="P134" s="16" t="s">
        <v>573</v>
      </c>
      <c r="Q134" s="1">
        <f t="shared" si="6"/>
        <v>1</v>
      </c>
      <c r="R134" s="1">
        <v>25</v>
      </c>
      <c r="U134" s="8">
        <v>41426</v>
      </c>
    </row>
    <row r="135" spans="1:21" x14ac:dyDescent="0.25">
      <c r="A135" s="2">
        <f t="shared" si="7"/>
        <v>4</v>
      </c>
      <c r="B135" t="s">
        <v>261</v>
      </c>
      <c r="C135" s="2">
        <v>3</v>
      </c>
      <c r="D135" s="2">
        <v>36</v>
      </c>
      <c r="E135" s="2">
        <v>2</v>
      </c>
      <c r="F135" s="2">
        <v>5</v>
      </c>
      <c r="G135" s="2">
        <v>0</v>
      </c>
      <c r="J135" s="1"/>
      <c r="M135" t="s">
        <v>15</v>
      </c>
      <c r="N135" t="str">
        <f>IFERROR(VLOOKUP(B135,'[1]All Player'!$B$2:$C$1992,2,0),"")</f>
        <v>Arif Abdullah Shawon</v>
      </c>
      <c r="O135" s="2" t="s">
        <v>482</v>
      </c>
      <c r="P135" s="16" t="s">
        <v>573</v>
      </c>
      <c r="Q135" s="1">
        <f t="shared" si="6"/>
        <v>1</v>
      </c>
      <c r="R135" s="1">
        <v>25</v>
      </c>
      <c r="U135" s="8">
        <v>41426</v>
      </c>
    </row>
    <row r="136" spans="1:21" x14ac:dyDescent="0.25">
      <c r="A136" s="2">
        <f t="shared" si="7"/>
        <v>4</v>
      </c>
      <c r="B136" t="s">
        <v>284</v>
      </c>
      <c r="C136" s="2">
        <v>3</v>
      </c>
      <c r="D136" s="2">
        <v>51</v>
      </c>
      <c r="E136" s="2">
        <v>7</v>
      </c>
      <c r="F136" s="2">
        <v>3</v>
      </c>
      <c r="G136" s="2">
        <v>1</v>
      </c>
      <c r="J136" s="1"/>
      <c r="M136" t="s">
        <v>15</v>
      </c>
      <c r="N136" t="str">
        <f>IFERROR(VLOOKUP(B136,'[1]All Player'!$B$2:$C$1992,2,0),"")</f>
        <v>Alauddin Lovelo</v>
      </c>
      <c r="O136" s="2" t="s">
        <v>482</v>
      </c>
      <c r="P136" s="16" t="s">
        <v>573</v>
      </c>
      <c r="Q136" s="1">
        <f t="shared" si="6"/>
        <v>1</v>
      </c>
      <c r="R136" s="1">
        <v>25</v>
      </c>
      <c r="U136" s="8">
        <v>41426</v>
      </c>
    </row>
    <row r="137" spans="1:21" x14ac:dyDescent="0.25">
      <c r="A137" s="2">
        <f t="shared" si="7"/>
        <v>4</v>
      </c>
      <c r="B137" t="s">
        <v>221</v>
      </c>
      <c r="C137" s="2">
        <v>1</v>
      </c>
      <c r="D137" s="2">
        <v>0</v>
      </c>
      <c r="E137" s="2">
        <v>0</v>
      </c>
      <c r="F137" s="2">
        <v>1</v>
      </c>
      <c r="G137" s="2">
        <v>0</v>
      </c>
      <c r="J137" s="1"/>
      <c r="M137" t="s">
        <v>15</v>
      </c>
      <c r="N137" t="str">
        <f>IFERROR(VLOOKUP(B137,'[1]All Player'!$B$2:$C$1992,2,0),"")</f>
        <v>Yahya Riyad</v>
      </c>
      <c r="O137" s="2" t="s">
        <v>482</v>
      </c>
      <c r="P137" s="16" t="s">
        <v>573</v>
      </c>
      <c r="Q137" s="1">
        <f t="shared" si="6"/>
        <v>1</v>
      </c>
      <c r="R137" s="1">
        <v>25</v>
      </c>
      <c r="U137" s="8">
        <v>41426</v>
      </c>
    </row>
    <row r="138" spans="1:21" x14ac:dyDescent="0.25">
      <c r="A138" s="2">
        <f t="shared" si="7"/>
        <v>4</v>
      </c>
      <c r="B138" s="14" t="s">
        <v>668</v>
      </c>
      <c r="J138" s="1"/>
      <c r="M138" t="s">
        <v>15</v>
      </c>
      <c r="N138" t="str">
        <f>IFERROR(VLOOKUP(B138,'[1]All Player'!$B$2:$C$1992,2,0),"")</f>
        <v/>
      </c>
      <c r="O138" s="2" t="s">
        <v>482</v>
      </c>
      <c r="P138" s="16" t="s">
        <v>668</v>
      </c>
      <c r="Q138" s="1">
        <f t="shared" si="6"/>
        <v>1</v>
      </c>
      <c r="R138" s="1">
        <v>26</v>
      </c>
      <c r="T138" s="1" t="s">
        <v>657</v>
      </c>
      <c r="U138" s="8">
        <v>41426</v>
      </c>
    </row>
    <row r="139" spans="1:21" x14ac:dyDescent="0.25">
      <c r="A139" s="2">
        <f>A138</f>
        <v>4</v>
      </c>
      <c r="B139" t="s">
        <v>669</v>
      </c>
      <c r="C139" s="2">
        <v>4</v>
      </c>
      <c r="D139" s="2">
        <v>29</v>
      </c>
      <c r="E139" s="2">
        <v>5</v>
      </c>
      <c r="F139" s="2">
        <v>4</v>
      </c>
      <c r="G139" s="2">
        <v>0</v>
      </c>
      <c r="J139" s="1"/>
      <c r="M139" t="s">
        <v>15</v>
      </c>
      <c r="N139" t="str">
        <f>IFERROR(VLOOKUP(B139,'[1]All Player'!$B$2:$C$1992,2,0),"")</f>
        <v>Jahin Shahriar Chowdhury</v>
      </c>
      <c r="O139" s="2" t="s">
        <v>482</v>
      </c>
      <c r="P139" s="16" t="s">
        <v>668</v>
      </c>
      <c r="Q139" s="1">
        <f t="shared" si="6"/>
        <v>1</v>
      </c>
      <c r="R139" s="1">
        <v>26</v>
      </c>
      <c r="T139" s="1" t="s">
        <v>657</v>
      </c>
      <c r="U139" s="8">
        <v>41426</v>
      </c>
    </row>
    <row r="140" spans="1:21" x14ac:dyDescent="0.25">
      <c r="A140" s="2">
        <f t="shared" si="7"/>
        <v>4</v>
      </c>
      <c r="B140" t="s">
        <v>276</v>
      </c>
      <c r="C140" s="2">
        <v>4</v>
      </c>
      <c r="D140" s="2">
        <v>89</v>
      </c>
      <c r="E140" s="2">
        <v>2</v>
      </c>
      <c r="F140" s="2">
        <v>6</v>
      </c>
      <c r="G140" s="2">
        <v>1</v>
      </c>
      <c r="J140" s="1"/>
      <c r="M140" t="s">
        <v>15</v>
      </c>
      <c r="N140" t="str">
        <f>IFERROR(VLOOKUP(B140,'[1]All Player'!$B$2:$C$1992,2,0),"")</f>
        <v>Md Aneek Rashid</v>
      </c>
      <c r="O140" s="2" t="s">
        <v>482</v>
      </c>
      <c r="P140" s="16" t="s">
        <v>668</v>
      </c>
      <c r="Q140" s="1">
        <f t="shared" si="6"/>
        <v>1</v>
      </c>
      <c r="R140" s="1">
        <v>26</v>
      </c>
      <c r="T140" s="1" t="s">
        <v>657</v>
      </c>
      <c r="U140" s="8">
        <v>41426</v>
      </c>
    </row>
    <row r="141" spans="1:21" x14ac:dyDescent="0.25">
      <c r="A141" s="2">
        <f t="shared" si="7"/>
        <v>4</v>
      </c>
      <c r="B141" t="s">
        <v>670</v>
      </c>
      <c r="C141" s="2">
        <v>4</v>
      </c>
      <c r="D141" s="2">
        <v>43</v>
      </c>
      <c r="E141" s="2">
        <v>4</v>
      </c>
      <c r="F141" s="2">
        <v>4</v>
      </c>
      <c r="G141" s="2">
        <v>0</v>
      </c>
      <c r="J141" s="1"/>
      <c r="M141" t="s">
        <v>15</v>
      </c>
      <c r="N141" t="str">
        <f>IFERROR(VLOOKUP(B141,'[1]All Player'!$B$2:$C$1992,2,0),"")</f>
        <v>Imtiaz Mir</v>
      </c>
      <c r="O141" s="2" t="s">
        <v>482</v>
      </c>
      <c r="P141" s="16" t="s">
        <v>668</v>
      </c>
      <c r="Q141" s="1">
        <f t="shared" si="6"/>
        <v>1</v>
      </c>
      <c r="R141" s="1">
        <v>26</v>
      </c>
      <c r="T141" s="1" t="s">
        <v>657</v>
      </c>
      <c r="U141" s="8">
        <v>41426</v>
      </c>
    </row>
    <row r="142" spans="1:21" x14ac:dyDescent="0.25">
      <c r="A142" s="2">
        <f t="shared" si="7"/>
        <v>4</v>
      </c>
      <c r="B142" t="s">
        <v>228</v>
      </c>
      <c r="C142" s="2">
        <v>4</v>
      </c>
      <c r="D142" s="2">
        <v>60</v>
      </c>
      <c r="E142" s="2">
        <v>11</v>
      </c>
      <c r="F142" s="2">
        <v>5</v>
      </c>
      <c r="G142" s="2">
        <v>1</v>
      </c>
      <c r="J142" s="1"/>
      <c r="M142" t="s">
        <v>15</v>
      </c>
      <c r="N142" t="str">
        <f>IFERROR(VLOOKUP(B142,'[1]All Player'!$B$2:$C$1992,2,0),"")</f>
        <v>Arif Ziad</v>
      </c>
      <c r="O142" s="2" t="s">
        <v>482</v>
      </c>
      <c r="P142" s="16" t="s">
        <v>668</v>
      </c>
      <c r="Q142" s="1">
        <f t="shared" si="6"/>
        <v>1</v>
      </c>
      <c r="R142" s="1">
        <v>26</v>
      </c>
      <c r="T142" s="1" t="s">
        <v>657</v>
      </c>
      <c r="U142" s="8">
        <v>41426</v>
      </c>
    </row>
    <row r="143" spans="1:21" x14ac:dyDescent="0.25">
      <c r="A143" s="2">
        <f t="shared" si="7"/>
        <v>4</v>
      </c>
      <c r="B143" t="s">
        <v>144</v>
      </c>
      <c r="C143" s="2">
        <v>4</v>
      </c>
      <c r="D143" s="2">
        <v>121</v>
      </c>
      <c r="E143" s="2">
        <v>10</v>
      </c>
      <c r="F143" s="2">
        <v>6</v>
      </c>
      <c r="G143" s="2">
        <v>1</v>
      </c>
      <c r="J143" s="1"/>
      <c r="M143" t="s">
        <v>15</v>
      </c>
      <c r="N143" t="str">
        <f>IFERROR(VLOOKUP(B143,'[1]All Player'!$B$2:$C$1992,2,0),"")</f>
        <v>Toufiq Ahmed Ovi</v>
      </c>
      <c r="O143" s="2" t="s">
        <v>482</v>
      </c>
      <c r="P143" s="16" t="s">
        <v>668</v>
      </c>
      <c r="Q143" s="1">
        <f t="shared" si="6"/>
        <v>1</v>
      </c>
      <c r="R143" s="1">
        <v>26</v>
      </c>
      <c r="S143" s="2" t="s">
        <v>658</v>
      </c>
      <c r="T143" s="1" t="s">
        <v>657</v>
      </c>
      <c r="U143" s="8">
        <v>41426</v>
      </c>
    </row>
    <row r="144" spans="1:21" ht="18.75" customHeight="1" x14ac:dyDescent="0.25">
      <c r="A144" s="2">
        <f t="shared" si="7"/>
        <v>4</v>
      </c>
      <c r="B144" s="2" t="s">
        <v>574</v>
      </c>
      <c r="C144" s="2" t="s">
        <v>671</v>
      </c>
      <c r="J144" s="1"/>
      <c r="M144" t="s">
        <v>15</v>
      </c>
      <c r="N144" t="str">
        <f>IFERROR(VLOOKUP(B144,'[1]All Player'!$B$2:$C$1992,2,0),"")</f>
        <v/>
      </c>
      <c r="O144" s="2" t="s">
        <v>482</v>
      </c>
      <c r="P144" s="16" t="s">
        <v>574</v>
      </c>
      <c r="Q144" s="1">
        <f t="shared" si="6"/>
        <v>1</v>
      </c>
      <c r="R144" s="1">
        <v>27</v>
      </c>
      <c r="T144" s="1" t="s">
        <v>672</v>
      </c>
      <c r="U144" s="8">
        <v>41426</v>
      </c>
    </row>
    <row r="145" spans="1:21" x14ac:dyDescent="0.25">
      <c r="A145" s="2">
        <f t="shared" si="7"/>
        <v>4</v>
      </c>
      <c r="B145" t="s">
        <v>93</v>
      </c>
      <c r="C145" s="2">
        <v>4</v>
      </c>
      <c r="D145" s="2">
        <v>76</v>
      </c>
      <c r="E145" s="2">
        <v>9</v>
      </c>
      <c r="F145" s="2">
        <v>5</v>
      </c>
      <c r="G145" s="2">
        <v>0</v>
      </c>
      <c r="M145" t="s">
        <v>15</v>
      </c>
      <c r="N145" t="str">
        <f>IFERROR(VLOOKUP(B145,'[1]All Player'!$B$2:$C$1992,2,0),"")</f>
        <v>Zaheed Hasan</v>
      </c>
      <c r="O145" s="2" t="s">
        <v>482</v>
      </c>
      <c r="P145" s="16" t="s">
        <v>574</v>
      </c>
      <c r="Q145" s="1">
        <f t="shared" si="6"/>
        <v>1</v>
      </c>
      <c r="R145" s="1">
        <v>27</v>
      </c>
      <c r="T145" s="1" t="s">
        <v>672</v>
      </c>
      <c r="U145" s="8">
        <v>41426</v>
      </c>
    </row>
    <row r="146" spans="1:21" x14ac:dyDescent="0.25">
      <c r="A146" s="2">
        <f t="shared" si="7"/>
        <v>4</v>
      </c>
      <c r="B146" t="s">
        <v>112</v>
      </c>
      <c r="C146" s="2">
        <v>2</v>
      </c>
      <c r="D146" s="2">
        <v>43</v>
      </c>
      <c r="E146" s="2">
        <v>7</v>
      </c>
      <c r="F146" s="2">
        <v>3</v>
      </c>
      <c r="G146" s="2">
        <v>1</v>
      </c>
      <c r="J146" s="1"/>
      <c r="M146" t="s">
        <v>15</v>
      </c>
      <c r="N146" t="str">
        <f>IFERROR(VLOOKUP(B146,'[1]All Player'!$B$2:$C$1992,2,0),"")</f>
        <v>Shahriar Khan Shovon</v>
      </c>
      <c r="O146" s="2" t="s">
        <v>482</v>
      </c>
      <c r="P146" s="16" t="s">
        <v>574</v>
      </c>
      <c r="Q146" s="1">
        <f t="shared" si="6"/>
        <v>1</v>
      </c>
      <c r="R146" s="1">
        <v>27</v>
      </c>
      <c r="T146" s="1" t="s">
        <v>672</v>
      </c>
      <c r="U146" s="8">
        <v>41426</v>
      </c>
    </row>
    <row r="147" spans="1:21" x14ac:dyDescent="0.25">
      <c r="A147" s="2">
        <f t="shared" si="7"/>
        <v>4</v>
      </c>
      <c r="B147" t="s">
        <v>266</v>
      </c>
      <c r="C147" s="2">
        <v>2</v>
      </c>
      <c r="D147" s="2">
        <v>33</v>
      </c>
      <c r="E147" s="2">
        <v>2</v>
      </c>
      <c r="F147" s="2">
        <v>3</v>
      </c>
      <c r="G147" s="2">
        <v>0</v>
      </c>
      <c r="J147" s="1"/>
      <c r="M147" t="s">
        <v>15</v>
      </c>
      <c r="N147" t="str">
        <f>IFERROR(VLOOKUP(B147,'[1]All Player'!$B$2:$C$1992,2,0),"")</f>
        <v>Raian Jabir</v>
      </c>
      <c r="O147" s="2" t="s">
        <v>482</v>
      </c>
      <c r="P147" s="16" t="s">
        <v>574</v>
      </c>
      <c r="Q147" s="1">
        <f t="shared" si="6"/>
        <v>1</v>
      </c>
      <c r="R147" s="1">
        <v>27</v>
      </c>
      <c r="T147" s="1" t="s">
        <v>672</v>
      </c>
      <c r="U147" s="8">
        <v>41426</v>
      </c>
    </row>
    <row r="148" spans="1:21" x14ac:dyDescent="0.25">
      <c r="A148" s="2">
        <f t="shared" si="7"/>
        <v>4</v>
      </c>
      <c r="B148" t="s">
        <v>287</v>
      </c>
      <c r="C148" s="2">
        <v>2</v>
      </c>
      <c r="D148" s="2">
        <v>71</v>
      </c>
      <c r="E148" s="2">
        <v>3</v>
      </c>
      <c r="F148" s="2">
        <v>3</v>
      </c>
      <c r="G148" s="2">
        <v>1</v>
      </c>
      <c r="J148" s="1"/>
      <c r="M148" t="s">
        <v>15</v>
      </c>
      <c r="N148" t="str">
        <f>IFERROR(VLOOKUP(B148,'[1]All Player'!$B$2:$C$1992,2,0),"")</f>
        <v>Sandipan Sujay</v>
      </c>
      <c r="O148" s="2" t="s">
        <v>482</v>
      </c>
      <c r="P148" s="16" t="s">
        <v>574</v>
      </c>
      <c r="Q148" s="1">
        <f t="shared" si="6"/>
        <v>1</v>
      </c>
      <c r="R148" s="1">
        <v>27</v>
      </c>
      <c r="T148" s="1" t="s">
        <v>672</v>
      </c>
      <c r="U148" s="8">
        <v>41426</v>
      </c>
    </row>
    <row r="149" spans="1:21" x14ac:dyDescent="0.25">
      <c r="A149" s="2">
        <f t="shared" si="7"/>
        <v>4</v>
      </c>
      <c r="B149" t="s">
        <v>208</v>
      </c>
      <c r="C149" s="2">
        <v>2</v>
      </c>
      <c r="D149" s="2">
        <v>32</v>
      </c>
      <c r="E149" s="2">
        <v>1</v>
      </c>
      <c r="F149" s="2">
        <v>3</v>
      </c>
      <c r="G149" s="2">
        <v>0</v>
      </c>
      <c r="J149" s="1"/>
      <c r="M149" t="s">
        <v>15</v>
      </c>
      <c r="N149" t="str">
        <f>IFERROR(VLOOKUP(B149,'[1]All Player'!$B$2:$C$1992,2,0),"")</f>
        <v>Fahim Shahrear Emon</v>
      </c>
      <c r="O149" s="2" t="s">
        <v>482</v>
      </c>
      <c r="P149" s="16" t="s">
        <v>574</v>
      </c>
      <c r="Q149" s="1">
        <f t="shared" si="6"/>
        <v>1</v>
      </c>
      <c r="R149" s="1">
        <v>27</v>
      </c>
      <c r="T149" s="1" t="s">
        <v>672</v>
      </c>
      <c r="U149" s="8">
        <v>41426</v>
      </c>
    </row>
    <row r="150" spans="1:21" x14ac:dyDescent="0.25">
      <c r="A150" s="2">
        <f t="shared" si="7"/>
        <v>4</v>
      </c>
      <c r="B150" t="s">
        <v>673</v>
      </c>
      <c r="J150" s="1"/>
      <c r="M150" t="s">
        <v>15</v>
      </c>
      <c r="N150" t="str">
        <f>IFERROR(VLOOKUP(B150,'[1]All Player'!$B$2:$C$1992,2,0),"")</f>
        <v/>
      </c>
      <c r="O150" s="2" t="s">
        <v>482</v>
      </c>
      <c r="P150" s="16" t="s">
        <v>673</v>
      </c>
      <c r="Q150" s="1">
        <f t="shared" si="6"/>
        <v>1</v>
      </c>
      <c r="R150" s="1">
        <v>28</v>
      </c>
      <c r="U150" s="8">
        <v>41426</v>
      </c>
    </row>
    <row r="151" spans="1:21" x14ac:dyDescent="0.25">
      <c r="A151" s="2">
        <f t="shared" si="7"/>
        <v>4</v>
      </c>
      <c r="B151" t="s">
        <v>99</v>
      </c>
      <c r="C151" s="2">
        <v>3</v>
      </c>
      <c r="D151" s="2">
        <v>57</v>
      </c>
      <c r="E151" s="2">
        <v>5</v>
      </c>
      <c r="F151" s="2">
        <v>5</v>
      </c>
      <c r="G151" s="2">
        <v>2</v>
      </c>
      <c r="J151" s="1"/>
      <c r="M151" t="s">
        <v>15</v>
      </c>
      <c r="N151" t="str">
        <f>IFERROR(VLOOKUP(B151,'[1]All Player'!$B$2:$C$1992,2,0),"")</f>
        <v>Bishwajit Sarkar</v>
      </c>
      <c r="O151" s="2" t="s">
        <v>482</v>
      </c>
      <c r="P151" s="16" t="s">
        <v>673</v>
      </c>
      <c r="Q151" s="1">
        <f t="shared" si="6"/>
        <v>1</v>
      </c>
      <c r="R151" s="1">
        <v>28</v>
      </c>
      <c r="U151" s="8">
        <v>41426</v>
      </c>
    </row>
    <row r="152" spans="1:21" x14ac:dyDescent="0.25">
      <c r="A152" s="2">
        <f t="shared" si="7"/>
        <v>4</v>
      </c>
      <c r="B152" t="s">
        <v>674</v>
      </c>
      <c r="C152" s="2">
        <v>3</v>
      </c>
      <c r="D152" s="2">
        <v>74</v>
      </c>
      <c r="E152" s="2">
        <v>7</v>
      </c>
      <c r="F152" s="2">
        <v>7</v>
      </c>
      <c r="G152" s="2">
        <v>0</v>
      </c>
      <c r="J152" s="1"/>
      <c r="M152" t="s">
        <v>15</v>
      </c>
      <c r="N152" t="str">
        <f>IFERROR(VLOOKUP(B152,'[1]All Player'!$B$2:$C$1992,2,0),"")</f>
        <v>Rifat Ullah</v>
      </c>
      <c r="O152" s="2" t="s">
        <v>482</v>
      </c>
      <c r="P152" s="16" t="s">
        <v>673</v>
      </c>
      <c r="Q152" s="1">
        <f t="shared" si="6"/>
        <v>1</v>
      </c>
      <c r="R152" s="1">
        <v>28</v>
      </c>
      <c r="U152" s="8">
        <v>41426</v>
      </c>
    </row>
    <row r="153" spans="1:21" x14ac:dyDescent="0.25">
      <c r="A153" s="2">
        <f t="shared" si="7"/>
        <v>4</v>
      </c>
      <c r="B153" t="s">
        <v>675</v>
      </c>
      <c r="C153" s="2">
        <v>3</v>
      </c>
      <c r="D153" s="2">
        <v>35</v>
      </c>
      <c r="E153" s="2">
        <v>5</v>
      </c>
      <c r="F153" s="2">
        <v>8</v>
      </c>
      <c r="G153" s="2">
        <v>0</v>
      </c>
      <c r="J153" s="1"/>
      <c r="M153" t="s">
        <v>15</v>
      </c>
      <c r="N153" t="str">
        <f>IFERROR(VLOOKUP(B153,'[1]All Player'!$B$2:$C$1992,2,0),"")</f>
        <v>Rinkon Khan</v>
      </c>
      <c r="O153" s="2" t="s">
        <v>482</v>
      </c>
      <c r="P153" s="16" t="s">
        <v>673</v>
      </c>
      <c r="Q153" s="1">
        <f t="shared" si="6"/>
        <v>1</v>
      </c>
      <c r="R153" s="1">
        <v>28</v>
      </c>
      <c r="U153" s="8">
        <v>41426</v>
      </c>
    </row>
    <row r="154" spans="1:21" x14ac:dyDescent="0.25">
      <c r="A154" s="2">
        <f t="shared" si="7"/>
        <v>4</v>
      </c>
      <c r="B154" t="s">
        <v>676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J154" s="1"/>
      <c r="M154" t="s">
        <v>15</v>
      </c>
      <c r="N154" t="str">
        <f>IFERROR(VLOOKUP(B154,'[1]All Player'!$B$2:$C$1992,2,0),"")</f>
        <v>Firoz Khan</v>
      </c>
      <c r="O154" s="2" t="s">
        <v>482</v>
      </c>
      <c r="P154" s="16" t="s">
        <v>673</v>
      </c>
      <c r="Q154" s="1">
        <f t="shared" si="6"/>
        <v>1</v>
      </c>
      <c r="R154" s="1">
        <v>28</v>
      </c>
      <c r="U154" s="8">
        <v>41426</v>
      </c>
    </row>
    <row r="155" spans="1:21" x14ac:dyDescent="0.25">
      <c r="A155" s="2">
        <f t="shared" si="7"/>
        <v>4</v>
      </c>
      <c r="B155" t="s">
        <v>677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J155" s="1"/>
      <c r="M155" t="s">
        <v>15</v>
      </c>
      <c r="N155" t="str">
        <f>IFERROR(VLOOKUP(B155,'[1]All Player'!$B$2:$C$1992,2,0),"")</f>
        <v>NiroB Sagor</v>
      </c>
      <c r="O155" s="2" t="s">
        <v>482</v>
      </c>
      <c r="P155" s="16" t="s">
        <v>673</v>
      </c>
      <c r="Q155" s="1">
        <f t="shared" si="6"/>
        <v>1</v>
      </c>
      <c r="R155" s="1">
        <v>28</v>
      </c>
      <c r="U155" s="8">
        <v>41426</v>
      </c>
    </row>
    <row r="156" spans="1:21" x14ac:dyDescent="0.25">
      <c r="A156" s="2">
        <f t="shared" si="7"/>
        <v>4</v>
      </c>
      <c r="B156" t="s">
        <v>575</v>
      </c>
      <c r="J156" s="1"/>
      <c r="M156" t="s">
        <v>15</v>
      </c>
      <c r="N156" t="str">
        <f>IFERROR(VLOOKUP(B156,'[1]All Player'!$B$2:$C$1992,2,0),"")</f>
        <v/>
      </c>
      <c r="O156" s="2" t="s">
        <v>482</v>
      </c>
      <c r="P156" s="16" t="s">
        <v>575</v>
      </c>
      <c r="Q156" s="1">
        <f t="shared" si="6"/>
        <v>1</v>
      </c>
      <c r="R156" s="1">
        <v>29</v>
      </c>
      <c r="U156" s="8">
        <v>41426</v>
      </c>
    </row>
    <row r="157" spans="1:21" x14ac:dyDescent="0.25">
      <c r="A157" s="2">
        <f t="shared" si="7"/>
        <v>4</v>
      </c>
      <c r="B157" t="s">
        <v>213</v>
      </c>
      <c r="C157" s="2">
        <v>2</v>
      </c>
      <c r="D157" s="2">
        <v>2</v>
      </c>
      <c r="E157" s="2">
        <v>1</v>
      </c>
      <c r="F157" s="2">
        <v>3</v>
      </c>
      <c r="G157" s="2">
        <v>0</v>
      </c>
      <c r="J157" s="1"/>
      <c r="M157" t="s">
        <v>15</v>
      </c>
      <c r="N157" t="str">
        <f>IFERROR(VLOOKUP(B157,'[1]All Player'!$B$2:$C$1992,2,0),"")</f>
        <v>Raihan Islam Akash</v>
      </c>
      <c r="O157" s="2" t="s">
        <v>482</v>
      </c>
      <c r="P157" s="16" t="s">
        <v>575</v>
      </c>
      <c r="Q157" s="1">
        <f t="shared" si="6"/>
        <v>1</v>
      </c>
      <c r="R157" s="1">
        <v>29</v>
      </c>
      <c r="U157" s="8">
        <v>41426</v>
      </c>
    </row>
    <row r="158" spans="1:21" x14ac:dyDescent="0.25">
      <c r="A158" s="2">
        <f t="shared" si="7"/>
        <v>4</v>
      </c>
      <c r="B158" t="s">
        <v>289</v>
      </c>
      <c r="C158" s="2">
        <v>2</v>
      </c>
      <c r="D158" s="2">
        <v>21</v>
      </c>
      <c r="E158" s="2">
        <v>3</v>
      </c>
      <c r="F158" s="2">
        <v>4</v>
      </c>
      <c r="G158" s="2">
        <v>0</v>
      </c>
      <c r="J158" s="1"/>
      <c r="M158" t="s">
        <v>15</v>
      </c>
      <c r="N158" t="str">
        <f>IFERROR(VLOOKUP(B158,'[1]All Player'!$B$2:$C$1992,2,0),"")</f>
        <v>Md. Jahid</v>
      </c>
      <c r="O158" s="2" t="s">
        <v>482</v>
      </c>
      <c r="P158" s="16" t="s">
        <v>575</v>
      </c>
      <c r="Q158" s="1">
        <f t="shared" si="6"/>
        <v>1</v>
      </c>
      <c r="R158" s="1">
        <v>29</v>
      </c>
      <c r="U158" s="8">
        <v>41426</v>
      </c>
    </row>
    <row r="159" spans="1:21" x14ac:dyDescent="0.25">
      <c r="A159" s="2">
        <f t="shared" si="7"/>
        <v>4</v>
      </c>
      <c r="B159" t="s">
        <v>152</v>
      </c>
      <c r="C159" s="2">
        <v>2</v>
      </c>
      <c r="D159" s="2">
        <v>36</v>
      </c>
      <c r="E159" s="2">
        <v>0</v>
      </c>
      <c r="F159" s="2">
        <v>5</v>
      </c>
      <c r="G159" s="2">
        <v>0</v>
      </c>
      <c r="J159" s="1"/>
      <c r="M159" t="s">
        <v>15</v>
      </c>
      <c r="N159" t="str">
        <f>IFERROR(VLOOKUP(B159,'[1]All Player'!$B$2:$C$1992,2,0),"")</f>
        <v>Niamul Habib Setu</v>
      </c>
      <c r="O159" s="2" t="s">
        <v>482</v>
      </c>
      <c r="P159" s="16" t="s">
        <v>575</v>
      </c>
      <c r="Q159" s="1">
        <f t="shared" si="6"/>
        <v>1</v>
      </c>
      <c r="R159" s="1">
        <v>29</v>
      </c>
      <c r="U159" s="8">
        <v>41426</v>
      </c>
    </row>
    <row r="160" spans="1:21" x14ac:dyDescent="0.25">
      <c r="A160" s="2">
        <f t="shared" si="7"/>
        <v>4</v>
      </c>
      <c r="B160" t="s">
        <v>230</v>
      </c>
      <c r="C160" s="2">
        <v>3</v>
      </c>
      <c r="D160" s="2">
        <v>12</v>
      </c>
      <c r="E160" s="2">
        <v>3</v>
      </c>
      <c r="F160" s="2">
        <v>5</v>
      </c>
      <c r="G160" s="2">
        <v>0</v>
      </c>
      <c r="J160" s="1"/>
      <c r="M160" t="s">
        <v>15</v>
      </c>
      <c r="N160" t="str">
        <f>IFERROR(VLOOKUP(B160,'[1]All Player'!$B$2:$C$1992,2,0),"")</f>
        <v>S M Tawhid Zihad</v>
      </c>
      <c r="O160" s="2" t="s">
        <v>482</v>
      </c>
      <c r="P160" s="16" t="s">
        <v>575</v>
      </c>
      <c r="Q160" s="1">
        <f t="shared" si="6"/>
        <v>1</v>
      </c>
      <c r="R160" s="1">
        <v>29</v>
      </c>
      <c r="U160" s="8">
        <v>41426</v>
      </c>
    </row>
    <row r="161" spans="1:23" x14ac:dyDescent="0.25">
      <c r="A161" s="2">
        <f t="shared" si="7"/>
        <v>4</v>
      </c>
      <c r="B161" t="s">
        <v>80</v>
      </c>
      <c r="C161" s="2">
        <v>2</v>
      </c>
      <c r="D161" s="2">
        <v>53</v>
      </c>
      <c r="E161" s="2">
        <v>8</v>
      </c>
      <c r="F161" s="2">
        <v>5</v>
      </c>
      <c r="G161" s="2">
        <v>0</v>
      </c>
      <c r="J161" s="1"/>
      <c r="M161" t="s">
        <v>15</v>
      </c>
      <c r="N161" t="str">
        <f>IFERROR(VLOOKUP(B161,'[1]All Player'!$B$2:$C$1992,2,0),"")</f>
        <v>Kamrul Hasan Tutul</v>
      </c>
      <c r="O161" s="2" t="s">
        <v>482</v>
      </c>
      <c r="P161" s="16" t="s">
        <v>575</v>
      </c>
      <c r="Q161" s="1">
        <f t="shared" si="6"/>
        <v>1</v>
      </c>
      <c r="R161" s="1">
        <v>29</v>
      </c>
      <c r="U161" s="8">
        <v>41426</v>
      </c>
    </row>
    <row r="162" spans="1:23" x14ac:dyDescent="0.25">
      <c r="A162" s="2">
        <f t="shared" si="7"/>
        <v>4</v>
      </c>
      <c r="B162" s="20" t="s">
        <v>678</v>
      </c>
      <c r="J162" s="1"/>
      <c r="N162" t="str">
        <f>IFERROR(VLOOKUP(B162,'[1]All Player'!$B$2:$C$1992,2,0),"")</f>
        <v/>
      </c>
      <c r="O162" s="2" t="s">
        <v>482</v>
      </c>
      <c r="P162" s="16" t="s">
        <v>575</v>
      </c>
      <c r="Q162" s="1">
        <f t="shared" si="6"/>
        <v>1</v>
      </c>
      <c r="R162" s="1">
        <v>29</v>
      </c>
      <c r="U162" s="8">
        <v>41426</v>
      </c>
    </row>
    <row r="163" spans="1:23" x14ac:dyDescent="0.25">
      <c r="A163" s="2">
        <f t="shared" si="7"/>
        <v>4</v>
      </c>
      <c r="B163" t="s">
        <v>183</v>
      </c>
      <c r="C163" s="2">
        <v>2</v>
      </c>
      <c r="D163" s="2">
        <v>1</v>
      </c>
      <c r="E163" s="2">
        <v>4</v>
      </c>
      <c r="F163" s="2">
        <v>1</v>
      </c>
      <c r="G163" s="2">
        <v>0</v>
      </c>
      <c r="J163" s="1"/>
      <c r="M163" t="s">
        <v>15</v>
      </c>
      <c r="N163" t="str">
        <f>IFERROR(VLOOKUP(B163,'[1]All Player'!$B$2:$C$1992,2,0),"")</f>
        <v>Red Heart Faisal (Fayze Ahamed)</v>
      </c>
      <c r="O163" s="2" t="s">
        <v>482</v>
      </c>
      <c r="P163" s="16" t="s">
        <v>575</v>
      </c>
      <c r="Q163" s="1">
        <f t="shared" si="6"/>
        <v>1</v>
      </c>
      <c r="R163" s="1">
        <v>29</v>
      </c>
      <c r="U163" s="8">
        <v>41426</v>
      </c>
    </row>
    <row r="164" spans="1:23" x14ac:dyDescent="0.25">
      <c r="A164" s="2">
        <f t="shared" si="7"/>
        <v>4</v>
      </c>
      <c r="B164" t="s">
        <v>284</v>
      </c>
      <c r="C164" s="2">
        <v>2</v>
      </c>
      <c r="D164" s="2">
        <v>55</v>
      </c>
      <c r="E164" s="2">
        <v>1</v>
      </c>
      <c r="F164" s="2">
        <v>4</v>
      </c>
      <c r="G164" s="2">
        <v>0</v>
      </c>
      <c r="J164" s="1"/>
      <c r="M164" t="s">
        <v>15</v>
      </c>
      <c r="N164" t="str">
        <f>IFERROR(VLOOKUP(B164,'[1]All Player'!$B$2:$C$1992,2,0),"")</f>
        <v>Alauddin Lovelo</v>
      </c>
      <c r="O164" s="2" t="s">
        <v>482</v>
      </c>
      <c r="P164" s="16" t="s">
        <v>575</v>
      </c>
      <c r="Q164" s="1">
        <f t="shared" si="6"/>
        <v>1</v>
      </c>
      <c r="R164" s="1">
        <v>29</v>
      </c>
      <c r="U164" s="8">
        <v>41426</v>
      </c>
    </row>
    <row r="165" spans="1:23" x14ac:dyDescent="0.25">
      <c r="A165" s="2">
        <f t="shared" si="7"/>
        <v>4</v>
      </c>
      <c r="B165" t="s">
        <v>95</v>
      </c>
      <c r="C165" s="2">
        <v>3</v>
      </c>
      <c r="D165" s="2">
        <v>36</v>
      </c>
      <c r="E165" s="2">
        <v>2</v>
      </c>
      <c r="F165" s="2">
        <v>5</v>
      </c>
      <c r="G165" s="2">
        <v>0</v>
      </c>
      <c r="J165" s="1"/>
      <c r="M165" t="s">
        <v>15</v>
      </c>
      <c r="N165" t="str">
        <f>IFERROR(VLOOKUP(B165,'[1]All Player'!$B$2:$C$1992,2,0),"")</f>
        <v>Sadrul Anam</v>
      </c>
      <c r="O165" s="2" t="s">
        <v>482</v>
      </c>
      <c r="P165" s="16" t="s">
        <v>679</v>
      </c>
      <c r="Q165" s="1">
        <f t="shared" si="6"/>
        <v>1</v>
      </c>
      <c r="R165" s="1">
        <v>30</v>
      </c>
      <c r="U165" s="8">
        <v>41426</v>
      </c>
    </row>
    <row r="166" spans="1:23" x14ac:dyDescent="0.25">
      <c r="A166" s="2">
        <f t="shared" si="7"/>
        <v>4</v>
      </c>
      <c r="B166" t="s">
        <v>245</v>
      </c>
      <c r="C166" s="2">
        <v>2</v>
      </c>
      <c r="D166" s="2">
        <v>75</v>
      </c>
      <c r="E166" s="2">
        <v>2</v>
      </c>
      <c r="F166" s="2">
        <v>4</v>
      </c>
      <c r="G166" s="2">
        <v>1</v>
      </c>
      <c r="J166" s="1"/>
      <c r="M166" t="s">
        <v>15</v>
      </c>
      <c r="N166" t="str">
        <f>IFERROR(VLOOKUP(B166,'[1]All Player'!$B$2:$C$1992,2,0),"")</f>
        <v>Akram Hosen Himal</v>
      </c>
      <c r="O166" s="2" t="s">
        <v>482</v>
      </c>
      <c r="P166" s="16" t="s">
        <v>679</v>
      </c>
      <c r="Q166" s="1">
        <f t="shared" si="6"/>
        <v>1</v>
      </c>
      <c r="R166" s="1">
        <v>30</v>
      </c>
      <c r="U166" s="8">
        <v>41426</v>
      </c>
    </row>
    <row r="167" spans="1:23" x14ac:dyDescent="0.25">
      <c r="A167" s="2">
        <v>5</v>
      </c>
      <c r="B167" t="s">
        <v>477</v>
      </c>
      <c r="J167" s="1"/>
      <c r="M167" t="s">
        <v>15</v>
      </c>
      <c r="N167" t="str">
        <f>IFERROR(VLOOKUP(B167,'[1]All Player'!$B$2:$C$1992,2,0),"")</f>
        <v/>
      </c>
      <c r="O167" s="2" t="s">
        <v>476</v>
      </c>
      <c r="P167" s="16" t="s">
        <v>477</v>
      </c>
      <c r="Q167" s="1">
        <f t="shared" si="6"/>
        <v>1</v>
      </c>
      <c r="R167" s="1">
        <v>31</v>
      </c>
      <c r="T167" s="1" t="s">
        <v>657</v>
      </c>
      <c r="U167" s="8">
        <v>41456</v>
      </c>
    </row>
    <row r="168" spans="1:23" x14ac:dyDescent="0.25">
      <c r="A168" s="2">
        <f t="shared" si="7"/>
        <v>5</v>
      </c>
      <c r="B168" t="s">
        <v>274</v>
      </c>
      <c r="C168" s="2">
        <v>4</v>
      </c>
      <c r="D168" s="2">
        <v>56</v>
      </c>
      <c r="E168" s="2">
        <v>11</v>
      </c>
      <c r="F168" s="2">
        <v>5</v>
      </c>
      <c r="G168" s="2">
        <v>0</v>
      </c>
      <c r="J168" s="1"/>
      <c r="M168" t="s">
        <v>15</v>
      </c>
      <c r="N168" t="str">
        <f>IFERROR(VLOOKUP(B168,'[1]All Player'!$B$2:$C$1992,2,0),"")</f>
        <v>Tanzim Hasan Rahat</v>
      </c>
      <c r="O168" s="2" t="s">
        <v>476</v>
      </c>
      <c r="P168" s="16" t="s">
        <v>477</v>
      </c>
      <c r="Q168" s="1">
        <f t="shared" si="6"/>
        <v>1</v>
      </c>
      <c r="R168" s="1">
        <v>31</v>
      </c>
      <c r="T168" s="1" t="s">
        <v>657</v>
      </c>
      <c r="U168" s="8">
        <v>41456</v>
      </c>
    </row>
    <row r="169" spans="1:23" x14ac:dyDescent="0.25">
      <c r="A169" s="2">
        <f t="shared" si="7"/>
        <v>5</v>
      </c>
      <c r="B169" t="s">
        <v>680</v>
      </c>
      <c r="C169" s="2">
        <v>3</v>
      </c>
      <c r="D169" s="2">
        <v>54</v>
      </c>
      <c r="E169" s="2">
        <v>1</v>
      </c>
      <c r="F169" s="2">
        <v>4</v>
      </c>
      <c r="G169" s="2">
        <v>0</v>
      </c>
      <c r="J169" s="1"/>
      <c r="M169" t="s">
        <v>15</v>
      </c>
      <c r="N169" t="str">
        <f>IFERROR(VLOOKUP(B169,'[1]All Player'!$B$2:$C$1992,2,0),"")</f>
        <v>Rayhan Rahman</v>
      </c>
      <c r="O169" s="2" t="s">
        <v>476</v>
      </c>
      <c r="P169" s="16" t="s">
        <v>477</v>
      </c>
      <c r="Q169" s="1">
        <f t="shared" si="6"/>
        <v>1</v>
      </c>
      <c r="R169" s="1">
        <v>31</v>
      </c>
      <c r="T169" s="1" t="s">
        <v>657</v>
      </c>
      <c r="U169" s="8">
        <v>41456</v>
      </c>
    </row>
    <row r="170" spans="1:23" x14ac:dyDescent="0.25">
      <c r="A170" s="2">
        <f t="shared" si="7"/>
        <v>5</v>
      </c>
      <c r="B170" t="s">
        <v>681</v>
      </c>
      <c r="C170" s="2">
        <v>2</v>
      </c>
      <c r="D170" s="2">
        <v>3</v>
      </c>
      <c r="E170" s="2">
        <v>4</v>
      </c>
      <c r="F170" s="2">
        <v>1</v>
      </c>
      <c r="G170" s="2">
        <v>0</v>
      </c>
      <c r="J170" s="1"/>
      <c r="M170" t="s">
        <v>15</v>
      </c>
      <c r="N170" t="str">
        <f>IFERROR(VLOOKUP(B170,'[1]All Player'!$B$2:$C$1992,2,0),"")</f>
        <v>Md. Jahid</v>
      </c>
      <c r="O170" s="2" t="s">
        <v>476</v>
      </c>
      <c r="P170" s="16" t="s">
        <v>477</v>
      </c>
      <c r="Q170" s="1">
        <f t="shared" si="6"/>
        <v>1</v>
      </c>
      <c r="R170" s="1">
        <v>31</v>
      </c>
      <c r="T170" s="1" t="s">
        <v>657</v>
      </c>
      <c r="U170" s="8">
        <v>41456</v>
      </c>
    </row>
    <row r="171" spans="1:23" x14ac:dyDescent="0.25">
      <c r="A171" s="2">
        <f t="shared" si="7"/>
        <v>5</v>
      </c>
      <c r="B171" t="s">
        <v>682</v>
      </c>
      <c r="C171" s="2">
        <v>4</v>
      </c>
      <c r="D171" s="2">
        <v>71</v>
      </c>
      <c r="E171" s="2">
        <v>6</v>
      </c>
      <c r="F171" s="2">
        <v>6</v>
      </c>
      <c r="G171" s="2">
        <v>2</v>
      </c>
      <c r="J171" s="1"/>
      <c r="M171" t="s">
        <v>15</v>
      </c>
      <c r="N171" t="str">
        <f>IFERROR(VLOOKUP(B171,'[1]All Player'!$B$2:$C$1992,2,0),"")</f>
        <v>Rifat Ullah</v>
      </c>
      <c r="O171" s="2" t="s">
        <v>476</v>
      </c>
      <c r="P171" s="16" t="s">
        <v>477</v>
      </c>
      <c r="Q171" s="1">
        <f t="shared" si="6"/>
        <v>1</v>
      </c>
      <c r="R171" s="1">
        <v>31</v>
      </c>
      <c r="T171" s="1" t="s">
        <v>657</v>
      </c>
      <c r="U171" s="8">
        <v>41456</v>
      </c>
    </row>
    <row r="172" spans="1:23" x14ac:dyDescent="0.25">
      <c r="A172" s="2">
        <f t="shared" si="7"/>
        <v>5</v>
      </c>
      <c r="B172" t="s">
        <v>302</v>
      </c>
      <c r="C172" s="2">
        <v>1</v>
      </c>
      <c r="D172" s="2">
        <v>0</v>
      </c>
      <c r="E172" s="2">
        <v>1</v>
      </c>
      <c r="F172" s="2">
        <v>0</v>
      </c>
      <c r="G172" s="2">
        <v>0</v>
      </c>
      <c r="J172" s="1"/>
      <c r="M172" t="s">
        <v>15</v>
      </c>
      <c r="N172" t="str">
        <f>IFERROR(VLOOKUP(B172,'[1]All Player'!$B$2:$C$1992,2,0),"")</f>
        <v>Raihan Al-maMun</v>
      </c>
      <c r="O172" s="2" t="s">
        <v>476</v>
      </c>
      <c r="P172" s="16" t="s">
        <v>477</v>
      </c>
      <c r="Q172" s="1">
        <f t="shared" si="6"/>
        <v>1</v>
      </c>
      <c r="R172" s="1">
        <v>31</v>
      </c>
      <c r="T172" s="1" t="s">
        <v>657</v>
      </c>
      <c r="U172" s="8">
        <v>41456</v>
      </c>
    </row>
    <row r="173" spans="1:23" x14ac:dyDescent="0.25">
      <c r="A173" s="2">
        <f t="shared" si="7"/>
        <v>5</v>
      </c>
      <c r="B173" t="s">
        <v>683</v>
      </c>
      <c r="C173" s="2">
        <v>4</v>
      </c>
      <c r="D173" s="2">
        <v>202</v>
      </c>
      <c r="E173" s="2">
        <v>4</v>
      </c>
      <c r="F173" s="2">
        <v>6</v>
      </c>
      <c r="G173" s="2">
        <v>1</v>
      </c>
      <c r="J173" s="1"/>
      <c r="M173" t="s">
        <v>15</v>
      </c>
      <c r="N173" t="str">
        <f>IFERROR(VLOOKUP(B173,'[1]All Player'!$B$2:$C$1992,2,0),"")</f>
        <v>Foysal Ahmed Jumon</v>
      </c>
      <c r="O173" s="2" t="s">
        <v>476</v>
      </c>
      <c r="P173" s="16" t="s">
        <v>477</v>
      </c>
      <c r="Q173" s="1">
        <f t="shared" si="6"/>
        <v>1</v>
      </c>
      <c r="R173" s="1">
        <v>31</v>
      </c>
      <c r="S173" s="2" t="s">
        <v>660</v>
      </c>
      <c r="T173" s="1" t="s">
        <v>657</v>
      </c>
      <c r="U173" s="8">
        <v>41456</v>
      </c>
      <c r="V173" s="1">
        <v>1</v>
      </c>
    </row>
    <row r="174" spans="1:23" x14ac:dyDescent="0.25">
      <c r="A174" s="2">
        <f>A173</f>
        <v>5</v>
      </c>
      <c r="B174" t="s">
        <v>684</v>
      </c>
      <c r="J174" s="1"/>
      <c r="N174" t="str">
        <f>IFERROR(VLOOKUP(B174,'[1]All Player'!$B$2:$C$1992,2,0),"")</f>
        <v/>
      </c>
      <c r="O174" s="2" t="s">
        <v>476</v>
      </c>
      <c r="P174" s="16" t="s">
        <v>684</v>
      </c>
      <c r="Q174" s="1">
        <f t="shared" si="6"/>
        <v>1</v>
      </c>
      <c r="R174" s="1">
        <v>32</v>
      </c>
      <c r="U174" s="8">
        <v>41456</v>
      </c>
    </row>
    <row r="175" spans="1:23" x14ac:dyDescent="0.25">
      <c r="A175" s="2">
        <f t="shared" si="7"/>
        <v>5</v>
      </c>
      <c r="B175" t="s">
        <v>93</v>
      </c>
      <c r="C175" s="2">
        <v>4</v>
      </c>
      <c r="D175" s="2">
        <v>58</v>
      </c>
      <c r="E175" s="24">
        <v>12</v>
      </c>
      <c r="F175" s="2">
        <v>4</v>
      </c>
      <c r="G175" s="2">
        <v>0</v>
      </c>
      <c r="M175" t="s">
        <v>15</v>
      </c>
      <c r="N175" t="str">
        <f>IFERROR(VLOOKUP(B175,'[1]All Player'!$B$2:$C$1992,2,0),"")</f>
        <v>Zaheed Hasan</v>
      </c>
      <c r="O175" s="2" t="s">
        <v>476</v>
      </c>
      <c r="P175" s="16" t="s">
        <v>684</v>
      </c>
      <c r="Q175" s="1">
        <f t="shared" si="6"/>
        <v>1</v>
      </c>
      <c r="R175" s="1">
        <v>32</v>
      </c>
      <c r="U175" s="8">
        <v>41456</v>
      </c>
      <c r="W175" s="1">
        <v>1</v>
      </c>
    </row>
    <row r="176" spans="1:23" x14ac:dyDescent="0.25">
      <c r="A176" s="2">
        <f t="shared" si="7"/>
        <v>5</v>
      </c>
      <c r="B176" t="s">
        <v>685</v>
      </c>
      <c r="C176" s="2">
        <v>4</v>
      </c>
      <c r="D176" s="2">
        <v>41</v>
      </c>
      <c r="E176" s="2">
        <v>2</v>
      </c>
      <c r="F176" s="2">
        <v>6</v>
      </c>
      <c r="G176" s="2">
        <v>0</v>
      </c>
      <c r="J176" s="1"/>
      <c r="M176" t="s">
        <v>15</v>
      </c>
      <c r="N176" t="str">
        <f>IFERROR(VLOOKUP(B176,'[1]All Player'!$B$2:$C$1992,2,0),"")</f>
        <v>Jahin Shahriar Chowdhury</v>
      </c>
      <c r="O176" s="2" t="s">
        <v>476</v>
      </c>
      <c r="P176" s="16" t="s">
        <v>684</v>
      </c>
      <c r="Q176" s="1">
        <f t="shared" si="6"/>
        <v>1</v>
      </c>
      <c r="R176" s="1">
        <v>32</v>
      </c>
      <c r="U176" s="8">
        <v>41456</v>
      </c>
    </row>
    <row r="177" spans="1:21" x14ac:dyDescent="0.25">
      <c r="A177" s="2">
        <f t="shared" si="7"/>
        <v>5</v>
      </c>
      <c r="B177" t="s">
        <v>686</v>
      </c>
      <c r="C177" s="2">
        <v>4</v>
      </c>
      <c r="D177" s="2">
        <v>65</v>
      </c>
      <c r="E177" s="2">
        <v>2</v>
      </c>
      <c r="F177" s="2">
        <v>6</v>
      </c>
      <c r="G177" s="2">
        <v>0</v>
      </c>
      <c r="J177" s="1"/>
      <c r="M177" t="s">
        <v>15</v>
      </c>
      <c r="N177" t="str">
        <f>IFERROR(VLOOKUP(B177,'[1]All Player'!$B$2:$C$1992,2,0),"")</f>
        <v>Hetlar Shohag</v>
      </c>
      <c r="O177" s="2" t="s">
        <v>476</v>
      </c>
      <c r="P177" s="16" t="s">
        <v>684</v>
      </c>
      <c r="Q177" s="1">
        <f t="shared" si="6"/>
        <v>1</v>
      </c>
      <c r="R177" s="1">
        <v>32</v>
      </c>
      <c r="U177" s="8">
        <v>41456</v>
      </c>
    </row>
    <row r="178" spans="1:21" x14ac:dyDescent="0.25">
      <c r="A178" s="2">
        <f t="shared" si="7"/>
        <v>5</v>
      </c>
      <c r="B178" t="s">
        <v>687</v>
      </c>
      <c r="C178" s="2">
        <v>3</v>
      </c>
      <c r="D178" s="2">
        <v>26</v>
      </c>
      <c r="E178" s="2">
        <v>2</v>
      </c>
      <c r="F178" s="2">
        <v>3</v>
      </c>
      <c r="G178" s="2">
        <v>0</v>
      </c>
      <c r="J178" s="1"/>
      <c r="M178" t="s">
        <v>15</v>
      </c>
      <c r="N178" t="str">
        <f>IFERROR(VLOOKUP(B178,'[1]All Player'!$B$2:$C$1992,2,0),"")</f>
        <v>Sheik Helal Ahmed</v>
      </c>
      <c r="O178" s="2" t="s">
        <v>476</v>
      </c>
      <c r="P178" s="16" t="s">
        <v>684</v>
      </c>
      <c r="Q178" s="1">
        <f t="shared" si="6"/>
        <v>1</v>
      </c>
      <c r="R178" s="1">
        <v>32</v>
      </c>
      <c r="U178" s="8">
        <v>41456</v>
      </c>
    </row>
    <row r="179" spans="1:21" x14ac:dyDescent="0.25">
      <c r="A179" s="2">
        <f t="shared" si="7"/>
        <v>5</v>
      </c>
      <c r="B179" t="s">
        <v>688</v>
      </c>
      <c r="C179" s="2">
        <v>4</v>
      </c>
      <c r="D179" s="2">
        <v>65</v>
      </c>
      <c r="E179" s="2">
        <v>1</v>
      </c>
      <c r="F179" s="2">
        <v>4</v>
      </c>
      <c r="G179" s="2">
        <v>0</v>
      </c>
      <c r="J179" s="1"/>
      <c r="M179" t="s">
        <v>15</v>
      </c>
      <c r="N179" t="str">
        <f>IFERROR(VLOOKUP(B179,'[1]All Player'!$B$2:$C$1992,2,0),"")</f>
        <v>Kamrul Hasan Tutul</v>
      </c>
      <c r="O179" s="2" t="s">
        <v>476</v>
      </c>
      <c r="P179" s="16" t="s">
        <v>684</v>
      </c>
      <c r="Q179" s="1">
        <f t="shared" si="6"/>
        <v>1</v>
      </c>
      <c r="R179" s="1">
        <v>32</v>
      </c>
      <c r="U179" s="8">
        <v>41456</v>
      </c>
    </row>
    <row r="180" spans="1:21" x14ac:dyDescent="0.25">
      <c r="A180" s="2">
        <f t="shared" si="7"/>
        <v>5</v>
      </c>
      <c r="B180" t="s">
        <v>689</v>
      </c>
      <c r="C180" s="2">
        <v>4</v>
      </c>
      <c r="D180" s="2">
        <v>91</v>
      </c>
      <c r="E180" s="2">
        <v>8</v>
      </c>
      <c r="F180" s="2">
        <v>5</v>
      </c>
      <c r="G180" s="2">
        <v>0</v>
      </c>
      <c r="J180" s="1"/>
      <c r="M180" t="s">
        <v>15</v>
      </c>
      <c r="N180" t="str">
        <f>IFERROR(VLOOKUP(B180,'[1]All Player'!$B$2:$C$1992,2,0),"")</f>
        <v>Niamul Habib Setu</v>
      </c>
      <c r="O180" s="2" t="s">
        <v>476</v>
      </c>
      <c r="P180" s="16" t="s">
        <v>684</v>
      </c>
      <c r="Q180" s="1">
        <f t="shared" si="6"/>
        <v>1</v>
      </c>
      <c r="R180" s="1">
        <v>32</v>
      </c>
      <c r="U180" s="8">
        <v>41456</v>
      </c>
    </row>
    <row r="181" spans="1:21" x14ac:dyDescent="0.25">
      <c r="A181" s="2">
        <f t="shared" si="7"/>
        <v>5</v>
      </c>
      <c r="B181" t="s">
        <v>576</v>
      </c>
      <c r="J181" s="1"/>
      <c r="N181" t="str">
        <f>IFERROR(VLOOKUP(B181,'[1]All Player'!$B$2:$C$1992,2,0),"")</f>
        <v/>
      </c>
      <c r="O181" s="2" t="s">
        <v>476</v>
      </c>
      <c r="P181" s="16" t="s">
        <v>576</v>
      </c>
      <c r="Q181" s="1">
        <f t="shared" si="6"/>
        <v>1</v>
      </c>
      <c r="R181" s="1">
        <v>33</v>
      </c>
      <c r="U181" s="8">
        <v>41456</v>
      </c>
    </row>
    <row r="182" spans="1:21" x14ac:dyDescent="0.25">
      <c r="A182" s="2">
        <f t="shared" si="7"/>
        <v>5</v>
      </c>
      <c r="B182" t="s">
        <v>205</v>
      </c>
      <c r="C182" s="2">
        <v>2</v>
      </c>
      <c r="D182" s="2">
        <v>10</v>
      </c>
      <c r="E182" s="2">
        <v>0</v>
      </c>
      <c r="F182" s="2">
        <v>4</v>
      </c>
      <c r="G182" s="2">
        <v>0</v>
      </c>
      <c r="J182" s="1"/>
      <c r="M182" t="s">
        <v>15</v>
      </c>
      <c r="N182" t="str">
        <f>IFERROR(VLOOKUP(B182,'[1]All Player'!$B$2:$C$1992,2,0),"")</f>
        <v>Injamul Haque (Syed Injamul Haque)</v>
      </c>
      <c r="O182" s="2" t="s">
        <v>476</v>
      </c>
      <c r="P182" s="16" t="s">
        <v>576</v>
      </c>
      <c r="Q182" s="1">
        <f t="shared" si="6"/>
        <v>1</v>
      </c>
      <c r="R182" s="1">
        <v>33</v>
      </c>
      <c r="U182" s="8">
        <v>41456</v>
      </c>
    </row>
    <row r="183" spans="1:21" x14ac:dyDescent="0.25">
      <c r="A183" s="2">
        <f t="shared" si="7"/>
        <v>5</v>
      </c>
      <c r="B183" t="s">
        <v>690</v>
      </c>
      <c r="C183" s="2">
        <v>2</v>
      </c>
      <c r="D183" s="2">
        <v>115</v>
      </c>
      <c r="E183" s="2">
        <v>7</v>
      </c>
      <c r="F183" s="2">
        <v>5</v>
      </c>
      <c r="G183" s="2">
        <v>0</v>
      </c>
      <c r="J183" s="1"/>
      <c r="M183" t="s">
        <v>15</v>
      </c>
      <c r="N183" t="str">
        <f>IFERROR(VLOOKUP(B183,'[1]All Player'!$B$2:$C$1992,2,0),"")</f>
        <v>Akram Hosen Himal</v>
      </c>
      <c r="O183" s="2" t="s">
        <v>476</v>
      </c>
      <c r="P183" s="16" t="s">
        <v>576</v>
      </c>
      <c r="Q183" s="1">
        <f t="shared" si="6"/>
        <v>1</v>
      </c>
      <c r="R183" s="1">
        <v>33</v>
      </c>
      <c r="U183" s="8">
        <v>41456</v>
      </c>
    </row>
    <row r="184" spans="1:21" x14ac:dyDescent="0.25">
      <c r="A184" s="2">
        <f t="shared" si="7"/>
        <v>5</v>
      </c>
      <c r="B184" t="s">
        <v>691</v>
      </c>
      <c r="C184" s="2">
        <v>2</v>
      </c>
      <c r="D184" s="2">
        <v>30</v>
      </c>
      <c r="E184" s="2">
        <v>2</v>
      </c>
      <c r="F184" s="2">
        <v>4</v>
      </c>
      <c r="G184" s="2">
        <v>1</v>
      </c>
      <c r="I184" s="2">
        <v>0</v>
      </c>
      <c r="J184" s="1"/>
      <c r="M184" t="s">
        <v>15</v>
      </c>
      <c r="N184" t="str">
        <f>IFERROR(VLOOKUP(B184,'[1]All Player'!$B$2:$C$1992,2,0),"")</f>
        <v>Ahmad Sakib Abdullah</v>
      </c>
      <c r="O184" s="2" t="s">
        <v>476</v>
      </c>
      <c r="P184" s="16" t="s">
        <v>576</v>
      </c>
      <c r="Q184" s="1">
        <f t="shared" si="6"/>
        <v>1</v>
      </c>
      <c r="R184" s="1">
        <v>33</v>
      </c>
      <c r="U184" s="8">
        <v>41456</v>
      </c>
    </row>
    <row r="185" spans="1:21" x14ac:dyDescent="0.25">
      <c r="A185" s="2">
        <f t="shared" si="7"/>
        <v>5</v>
      </c>
      <c r="B185" t="s">
        <v>692</v>
      </c>
      <c r="C185" s="2">
        <v>1</v>
      </c>
      <c r="D185" s="2">
        <v>14</v>
      </c>
      <c r="E185" s="2">
        <v>0</v>
      </c>
      <c r="F185" s="2">
        <v>1</v>
      </c>
      <c r="G185" s="2">
        <v>0</v>
      </c>
      <c r="J185" s="1"/>
      <c r="M185" t="s">
        <v>15</v>
      </c>
      <c r="N185" t="str">
        <f>IFERROR(VLOOKUP(B185,'[1]All Player'!$B$2:$C$1992,2,0),"")</f>
        <v>Taho D. Ace</v>
      </c>
      <c r="O185" s="2" t="s">
        <v>476</v>
      </c>
      <c r="P185" s="16" t="s">
        <v>576</v>
      </c>
      <c r="Q185" s="1">
        <f t="shared" si="6"/>
        <v>1</v>
      </c>
      <c r="R185" s="1">
        <v>33</v>
      </c>
      <c r="U185" s="8">
        <v>41456</v>
      </c>
    </row>
    <row r="186" spans="1:21" x14ac:dyDescent="0.25">
      <c r="A186" s="2">
        <f t="shared" si="7"/>
        <v>5</v>
      </c>
      <c r="B186" t="s">
        <v>693</v>
      </c>
      <c r="C186" s="2">
        <v>1</v>
      </c>
      <c r="D186" s="2">
        <v>13</v>
      </c>
      <c r="E186" s="2">
        <v>0</v>
      </c>
      <c r="F186" s="2">
        <v>1</v>
      </c>
      <c r="G186" s="2">
        <v>0</v>
      </c>
      <c r="J186" s="1"/>
      <c r="M186" t="s">
        <v>15</v>
      </c>
      <c r="N186" t="str">
        <f>IFERROR(VLOOKUP(B186,'[1]All Player'!$B$2:$C$1992,2,0),"")</f>
        <v>S M Tawhid Zihad</v>
      </c>
      <c r="O186" s="2" t="s">
        <v>476</v>
      </c>
      <c r="P186" s="16" t="s">
        <v>576</v>
      </c>
      <c r="Q186" s="1">
        <f t="shared" si="6"/>
        <v>1</v>
      </c>
      <c r="R186" s="1">
        <v>33</v>
      </c>
      <c r="U186" s="8">
        <v>41456</v>
      </c>
    </row>
    <row r="187" spans="1:21" x14ac:dyDescent="0.25">
      <c r="A187" s="2">
        <f t="shared" si="7"/>
        <v>5</v>
      </c>
      <c r="B187" t="s">
        <v>694</v>
      </c>
      <c r="C187" s="2">
        <v>1</v>
      </c>
      <c r="D187" s="2">
        <v>19</v>
      </c>
      <c r="E187" s="2">
        <v>2</v>
      </c>
      <c r="F187" s="2">
        <v>3</v>
      </c>
      <c r="G187" s="2">
        <v>0</v>
      </c>
      <c r="J187" s="1"/>
      <c r="M187" t="s">
        <v>15</v>
      </c>
      <c r="N187" t="str">
        <f>IFERROR(VLOOKUP(B187,'[1]All Player'!$B$2:$C$1992,2,0),"")</f>
        <v>Toufiq Ahmed Ovi</v>
      </c>
      <c r="O187" s="2" t="s">
        <v>476</v>
      </c>
      <c r="P187" s="16" t="s">
        <v>576</v>
      </c>
      <c r="Q187" s="1">
        <f t="shared" si="6"/>
        <v>1</v>
      </c>
      <c r="R187" s="1">
        <v>33</v>
      </c>
      <c r="U187" s="8">
        <v>41456</v>
      </c>
    </row>
    <row r="188" spans="1:21" x14ac:dyDescent="0.25">
      <c r="A188" s="2">
        <f t="shared" si="7"/>
        <v>5</v>
      </c>
      <c r="B188" t="s">
        <v>550</v>
      </c>
      <c r="J188" s="1"/>
      <c r="N188" t="str">
        <f>IFERROR(VLOOKUP(B188,'[1]All Player'!$B$2:$C$1992,2,0),"")</f>
        <v/>
      </c>
      <c r="O188" s="2" t="s">
        <v>476</v>
      </c>
      <c r="P188" s="16" t="s">
        <v>550</v>
      </c>
      <c r="Q188" s="1">
        <f t="shared" si="6"/>
        <v>1</v>
      </c>
      <c r="R188" s="1">
        <v>34</v>
      </c>
      <c r="T188" s="1" t="s">
        <v>659</v>
      </c>
      <c r="U188" s="8">
        <v>41456</v>
      </c>
    </row>
    <row r="189" spans="1:21" x14ac:dyDescent="0.25">
      <c r="A189" s="2">
        <f t="shared" si="7"/>
        <v>5</v>
      </c>
      <c r="B189" t="s">
        <v>228</v>
      </c>
      <c r="C189" s="2">
        <v>4</v>
      </c>
      <c r="D189" s="2">
        <v>32</v>
      </c>
      <c r="E189" s="2">
        <v>8</v>
      </c>
      <c r="F189" s="2">
        <v>3</v>
      </c>
      <c r="G189" s="2">
        <v>1</v>
      </c>
      <c r="J189" s="1"/>
      <c r="M189" t="s">
        <v>15</v>
      </c>
      <c r="N189" t="str">
        <f>IFERROR(VLOOKUP(B189,'[1]All Player'!$B$2:$C$1992,2,0),"")</f>
        <v>Arif Ziad</v>
      </c>
      <c r="O189" s="2" t="s">
        <v>476</v>
      </c>
      <c r="P189" s="16" t="s">
        <v>550</v>
      </c>
      <c r="Q189" s="1">
        <f t="shared" si="6"/>
        <v>1</v>
      </c>
      <c r="R189" s="1">
        <v>34</v>
      </c>
      <c r="T189" s="1" t="s">
        <v>659</v>
      </c>
      <c r="U189" s="8">
        <v>41456</v>
      </c>
    </row>
    <row r="190" spans="1:21" x14ac:dyDescent="0.25">
      <c r="A190" s="2">
        <f t="shared" si="7"/>
        <v>5</v>
      </c>
      <c r="B190" t="s">
        <v>695</v>
      </c>
      <c r="C190" s="2">
        <v>4</v>
      </c>
      <c r="D190" s="2">
        <v>155</v>
      </c>
      <c r="E190" s="2">
        <v>3</v>
      </c>
      <c r="F190" s="2">
        <v>7</v>
      </c>
      <c r="G190" s="2">
        <v>1</v>
      </c>
      <c r="J190" s="1"/>
      <c r="M190" t="s">
        <v>15</v>
      </c>
      <c r="N190" t="str">
        <f>IFERROR(VLOOKUP(B190,'[1]All Player'!$B$2:$C$1992,2,0),"")</f>
        <v>Yahya Riyad</v>
      </c>
      <c r="O190" s="2" t="s">
        <v>476</v>
      </c>
      <c r="P190" s="16" t="s">
        <v>550</v>
      </c>
      <c r="Q190" s="1">
        <f t="shared" si="6"/>
        <v>1</v>
      </c>
      <c r="R190" s="1">
        <v>34</v>
      </c>
      <c r="S190" s="2" t="s">
        <v>658</v>
      </c>
      <c r="T190" s="1" t="s">
        <v>659</v>
      </c>
      <c r="U190" s="8">
        <v>41456</v>
      </c>
    </row>
    <row r="191" spans="1:21" x14ac:dyDescent="0.25">
      <c r="A191" s="2">
        <f t="shared" si="7"/>
        <v>5</v>
      </c>
      <c r="B191" t="s">
        <v>696</v>
      </c>
      <c r="C191" s="2">
        <v>4</v>
      </c>
      <c r="D191" s="2">
        <v>39</v>
      </c>
      <c r="E191" s="2">
        <v>6</v>
      </c>
      <c r="F191" s="2">
        <v>5</v>
      </c>
      <c r="G191" s="2">
        <v>0</v>
      </c>
      <c r="J191" s="1"/>
      <c r="M191" t="s">
        <v>15</v>
      </c>
      <c r="N191" t="str">
        <f>IFERROR(VLOOKUP(B191,'[1]All Player'!$B$2:$C$1992,2,0),"")</f>
        <v>Rinkon Khan</v>
      </c>
      <c r="O191" s="2" t="s">
        <v>476</v>
      </c>
      <c r="P191" s="16" t="s">
        <v>550</v>
      </c>
      <c r="Q191" s="1">
        <f t="shared" si="6"/>
        <v>1</v>
      </c>
      <c r="R191" s="1">
        <v>34</v>
      </c>
      <c r="T191" s="1" t="s">
        <v>659</v>
      </c>
      <c r="U191" s="8">
        <v>41456</v>
      </c>
    </row>
    <row r="192" spans="1:21" x14ac:dyDescent="0.25">
      <c r="A192" s="2">
        <f t="shared" si="7"/>
        <v>5</v>
      </c>
      <c r="B192" t="s">
        <v>697</v>
      </c>
      <c r="C192" s="2">
        <v>4</v>
      </c>
      <c r="D192" s="2">
        <v>71</v>
      </c>
      <c r="E192" s="2">
        <v>6</v>
      </c>
      <c r="F192" s="2">
        <v>6</v>
      </c>
      <c r="G192" s="2">
        <v>1</v>
      </c>
      <c r="J192" s="1"/>
      <c r="M192" t="s">
        <v>15</v>
      </c>
      <c r="N192" t="str">
        <f>IFERROR(VLOOKUP(B192,'[1]All Player'!$B$2:$C$1992,2,0),"")</f>
        <v>Md Ruvel</v>
      </c>
      <c r="O192" s="2" t="s">
        <v>476</v>
      </c>
      <c r="P192" s="16" t="s">
        <v>550</v>
      </c>
      <c r="Q192" s="1">
        <f t="shared" si="6"/>
        <v>1</v>
      </c>
      <c r="R192" s="1">
        <v>34</v>
      </c>
      <c r="T192" s="1" t="s">
        <v>659</v>
      </c>
      <c r="U192" s="8">
        <v>41456</v>
      </c>
    </row>
    <row r="193" spans="1:23" x14ac:dyDescent="0.25">
      <c r="A193" s="2">
        <f t="shared" si="7"/>
        <v>5</v>
      </c>
      <c r="B193" t="s">
        <v>698</v>
      </c>
      <c r="C193" s="2">
        <v>4</v>
      </c>
      <c r="D193" s="2">
        <v>20</v>
      </c>
      <c r="E193" s="2">
        <v>5</v>
      </c>
      <c r="F193" s="2">
        <v>4</v>
      </c>
      <c r="G193" s="2">
        <v>0</v>
      </c>
      <c r="J193" s="1"/>
      <c r="M193" t="s">
        <v>15</v>
      </c>
      <c r="N193" t="str">
        <f>IFERROR(VLOOKUP(B193,'[1]All Player'!$B$2:$C$1992,2,0),"")</f>
        <v>Arif Abdullah Shawon</v>
      </c>
      <c r="O193" s="2" t="s">
        <v>476</v>
      </c>
      <c r="P193" s="16" t="s">
        <v>550</v>
      </c>
      <c r="Q193" s="1">
        <f t="shared" si="6"/>
        <v>1</v>
      </c>
      <c r="R193" s="1">
        <v>34</v>
      </c>
      <c r="T193" s="1" t="s">
        <v>659</v>
      </c>
      <c r="U193" s="8">
        <v>41456</v>
      </c>
    </row>
    <row r="194" spans="1:23" x14ac:dyDescent="0.25">
      <c r="A194" s="2">
        <f t="shared" si="7"/>
        <v>5</v>
      </c>
      <c r="B194" t="s">
        <v>699</v>
      </c>
      <c r="C194" s="2">
        <v>3</v>
      </c>
      <c r="D194" s="2">
        <v>12</v>
      </c>
      <c r="E194" s="2">
        <v>3</v>
      </c>
      <c r="F194" s="2">
        <v>2</v>
      </c>
      <c r="G194" s="2">
        <v>0</v>
      </c>
      <c r="J194" s="1"/>
      <c r="M194" t="s">
        <v>15</v>
      </c>
      <c r="N194" t="str">
        <f>IFERROR(VLOOKUP(B194,'[1]All Player'!$B$2:$C$1992,2,0),"")</f>
        <v>Saiful Islam</v>
      </c>
      <c r="O194" s="2" t="s">
        <v>476</v>
      </c>
      <c r="P194" s="16" t="s">
        <v>550</v>
      </c>
      <c r="Q194" s="1">
        <f t="shared" ref="Q194:Q257" si="8">IF(B194="","",1)</f>
        <v>1</v>
      </c>
      <c r="R194" s="1">
        <v>34</v>
      </c>
      <c r="T194" s="1" t="s">
        <v>659</v>
      </c>
      <c r="U194" s="8">
        <v>41456</v>
      </c>
    </row>
    <row r="195" spans="1:23" x14ac:dyDescent="0.25">
      <c r="A195" s="2">
        <f t="shared" si="7"/>
        <v>5</v>
      </c>
      <c r="B195" t="s">
        <v>700</v>
      </c>
      <c r="J195" s="1"/>
      <c r="N195" t="str">
        <f>IFERROR(VLOOKUP(B195,'[1]All Player'!$B$2:$C$1992,2,0),"")</f>
        <v/>
      </c>
      <c r="O195" s="2" t="s">
        <v>476</v>
      </c>
      <c r="P195" s="16" t="s">
        <v>700</v>
      </c>
      <c r="Q195" s="1">
        <f t="shared" si="8"/>
        <v>1</v>
      </c>
      <c r="R195" s="1">
        <v>35</v>
      </c>
      <c r="U195" s="8">
        <v>41456</v>
      </c>
    </row>
    <row r="196" spans="1:23" x14ac:dyDescent="0.25">
      <c r="A196" s="2">
        <f t="shared" si="7"/>
        <v>5</v>
      </c>
      <c r="B196" t="s">
        <v>664</v>
      </c>
      <c r="C196" s="2">
        <v>4</v>
      </c>
      <c r="D196" s="2">
        <v>64</v>
      </c>
      <c r="E196" s="2">
        <v>8</v>
      </c>
      <c r="F196" s="2">
        <v>10</v>
      </c>
      <c r="G196" s="2">
        <v>0</v>
      </c>
      <c r="J196" s="1"/>
      <c r="M196" t="s">
        <v>15</v>
      </c>
      <c r="N196" t="str">
        <f>IFERROR(VLOOKUP(B196,'[1]All Player'!$B$2:$C$1992,2,0),"")</f>
        <v>Mohammad Asif</v>
      </c>
      <c r="O196" s="2" t="s">
        <v>476</v>
      </c>
      <c r="P196" s="16" t="s">
        <v>700</v>
      </c>
      <c r="Q196" s="1">
        <f t="shared" si="8"/>
        <v>1</v>
      </c>
      <c r="R196" s="1">
        <v>35</v>
      </c>
      <c r="U196" s="8">
        <v>41456</v>
      </c>
    </row>
    <row r="197" spans="1:23" x14ac:dyDescent="0.25">
      <c r="A197" s="2">
        <f t="shared" si="7"/>
        <v>5</v>
      </c>
      <c r="B197" t="s">
        <v>701</v>
      </c>
      <c r="C197" s="2">
        <v>4</v>
      </c>
      <c r="D197" s="2">
        <v>101</v>
      </c>
      <c r="E197" s="24">
        <v>12</v>
      </c>
      <c r="F197" s="2">
        <v>8</v>
      </c>
      <c r="G197" s="2">
        <v>0</v>
      </c>
      <c r="J197" s="1"/>
      <c r="M197" t="s">
        <v>15</v>
      </c>
      <c r="N197" t="str">
        <f>IFERROR(VLOOKUP(B197,'[1]All Player'!$B$2:$C$1992,2,0),"")</f>
        <v>Red Heart Faisal (Fayze Ahamed)</v>
      </c>
      <c r="O197" s="2" t="s">
        <v>476</v>
      </c>
      <c r="P197" s="16" t="s">
        <v>700</v>
      </c>
      <c r="Q197" s="1">
        <f t="shared" si="8"/>
        <v>1</v>
      </c>
      <c r="R197" s="1">
        <v>35</v>
      </c>
      <c r="U197" s="8">
        <v>41456</v>
      </c>
      <c r="W197" s="1">
        <v>1</v>
      </c>
    </row>
    <row r="198" spans="1:23" x14ac:dyDescent="0.25">
      <c r="A198" s="2">
        <f t="shared" ref="A198:A261" si="9">A197</f>
        <v>5</v>
      </c>
      <c r="B198" t="s">
        <v>279</v>
      </c>
      <c r="C198" s="2">
        <v>3</v>
      </c>
      <c r="D198" s="2">
        <v>15</v>
      </c>
      <c r="E198" s="2">
        <v>2</v>
      </c>
      <c r="F198" s="2">
        <v>4</v>
      </c>
      <c r="G198" s="2">
        <v>0</v>
      </c>
      <c r="J198" s="1"/>
      <c r="M198" t="s">
        <v>15</v>
      </c>
      <c r="N198" t="str">
        <f>IFERROR(VLOOKUP(B198,'[1]All Player'!$B$2:$C$1992,2,0),"")</f>
        <v>Ahmed Kawser Da Neymar</v>
      </c>
      <c r="O198" s="2" t="s">
        <v>476</v>
      </c>
      <c r="P198" s="16" t="s">
        <v>700</v>
      </c>
      <c r="Q198" s="1">
        <f t="shared" si="8"/>
        <v>1</v>
      </c>
      <c r="R198" s="1">
        <v>35</v>
      </c>
      <c r="U198" s="8">
        <v>41456</v>
      </c>
    </row>
    <row r="199" spans="1:23" x14ac:dyDescent="0.25">
      <c r="A199" s="2">
        <f t="shared" si="9"/>
        <v>5</v>
      </c>
      <c r="B199" t="s">
        <v>702</v>
      </c>
      <c r="C199" s="2">
        <v>2</v>
      </c>
      <c r="D199" s="2">
        <v>25</v>
      </c>
      <c r="E199" s="2">
        <v>1</v>
      </c>
      <c r="F199" s="2">
        <v>4</v>
      </c>
      <c r="G199" s="2">
        <v>1</v>
      </c>
      <c r="J199" s="1"/>
      <c r="M199" t="s">
        <v>15</v>
      </c>
      <c r="N199" t="str">
        <f>IFERROR(VLOOKUP(B199,'[1]All Player'!$B$2:$C$1992,2,0),"")</f>
        <v>Fahim Shahrear Emon</v>
      </c>
      <c r="O199" s="2" t="s">
        <v>476</v>
      </c>
      <c r="P199" s="16" t="s">
        <v>700</v>
      </c>
      <c r="Q199" s="1">
        <f t="shared" si="8"/>
        <v>1</v>
      </c>
      <c r="R199" s="1">
        <v>35</v>
      </c>
      <c r="U199" s="8">
        <v>41456</v>
      </c>
    </row>
    <row r="200" spans="1:23" x14ac:dyDescent="0.25">
      <c r="A200" s="2">
        <f t="shared" si="9"/>
        <v>5</v>
      </c>
      <c r="B200" t="s">
        <v>211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J200" s="1"/>
      <c r="M200" t="s">
        <v>15</v>
      </c>
      <c r="N200" t="str">
        <f>IFERROR(VLOOKUP(B200,'[1]All Player'!$B$2:$C$1992,2,0),"")</f>
        <v>Backbencher Sakib</v>
      </c>
      <c r="O200" s="2" t="s">
        <v>476</v>
      </c>
      <c r="P200" s="16" t="s">
        <v>700</v>
      </c>
      <c r="Q200" s="1">
        <f t="shared" si="8"/>
        <v>1</v>
      </c>
      <c r="R200" s="1">
        <v>35</v>
      </c>
      <c r="U200" s="8">
        <v>41456</v>
      </c>
    </row>
    <row r="201" spans="1:23" x14ac:dyDescent="0.25">
      <c r="A201" s="2">
        <f t="shared" si="9"/>
        <v>5</v>
      </c>
      <c r="B201" t="s">
        <v>703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J201" s="1"/>
      <c r="M201" t="s">
        <v>15</v>
      </c>
      <c r="N201" t="str">
        <f>IFERROR(VLOOKUP(B201,'[1]All Player'!$B$2:$C$1992,2,0),"")</f>
        <v>Bishal Khan Ctg</v>
      </c>
      <c r="O201" s="2" t="s">
        <v>476</v>
      </c>
      <c r="P201" s="16" t="s">
        <v>700</v>
      </c>
      <c r="Q201" s="1">
        <f t="shared" si="8"/>
        <v>1</v>
      </c>
      <c r="R201" s="1">
        <v>35</v>
      </c>
      <c r="U201" s="8">
        <v>41456</v>
      </c>
    </row>
    <row r="202" spans="1:23" x14ac:dyDescent="0.25">
      <c r="A202" s="2">
        <f t="shared" si="9"/>
        <v>5</v>
      </c>
      <c r="B202" t="s">
        <v>503</v>
      </c>
      <c r="J202" s="1"/>
      <c r="N202" t="str">
        <f>IFERROR(VLOOKUP(B202,'[1]All Player'!$B$2:$C$1992,2,0),"")</f>
        <v/>
      </c>
      <c r="O202" s="2" t="s">
        <v>476</v>
      </c>
      <c r="P202" s="16" t="s">
        <v>503</v>
      </c>
      <c r="Q202" s="1">
        <f t="shared" si="8"/>
        <v>1</v>
      </c>
      <c r="R202" s="1">
        <v>36</v>
      </c>
      <c r="T202" s="1" t="s">
        <v>659</v>
      </c>
      <c r="U202" s="8">
        <v>41456</v>
      </c>
    </row>
    <row r="203" spans="1:23" x14ac:dyDescent="0.25">
      <c r="A203" s="2">
        <f t="shared" si="9"/>
        <v>5</v>
      </c>
      <c r="B203" t="s">
        <v>95</v>
      </c>
      <c r="C203" s="2">
        <v>2</v>
      </c>
      <c r="D203" s="2">
        <v>22</v>
      </c>
      <c r="E203" s="2">
        <v>4</v>
      </c>
      <c r="F203" s="2">
        <v>2</v>
      </c>
      <c r="G203" s="2">
        <v>0</v>
      </c>
      <c r="J203" s="1"/>
      <c r="M203" t="s">
        <v>15</v>
      </c>
      <c r="N203" t="str">
        <f>IFERROR(VLOOKUP(B203,'[1]All Player'!$B$2:$C$1992,2,0),"")</f>
        <v>Sadrul Anam</v>
      </c>
      <c r="O203" s="2" t="s">
        <v>476</v>
      </c>
      <c r="P203" s="16" t="s">
        <v>503</v>
      </c>
      <c r="Q203" s="1">
        <f t="shared" si="8"/>
        <v>1</v>
      </c>
      <c r="R203" s="21">
        <v>36</v>
      </c>
      <c r="T203" s="1" t="s">
        <v>659</v>
      </c>
      <c r="U203" s="8">
        <v>41456</v>
      </c>
    </row>
    <row r="204" spans="1:23" x14ac:dyDescent="0.25">
      <c r="A204" s="2">
        <f t="shared" si="9"/>
        <v>5</v>
      </c>
      <c r="B204" t="s">
        <v>704</v>
      </c>
      <c r="C204" s="2">
        <v>2</v>
      </c>
      <c r="D204" s="2">
        <v>47</v>
      </c>
      <c r="E204" s="2">
        <v>5</v>
      </c>
      <c r="F204" s="2">
        <v>4</v>
      </c>
      <c r="G204" s="2">
        <v>0</v>
      </c>
      <c r="J204" s="1"/>
      <c r="M204" t="s">
        <v>15</v>
      </c>
      <c r="N204" t="str">
        <f>IFERROR(VLOOKUP(B204,'[1]All Player'!$B$2:$C$1992,2,0),"")</f>
        <v>Bishwajit Sarkar</v>
      </c>
      <c r="O204" s="2" t="s">
        <v>476</v>
      </c>
      <c r="P204" s="16" t="s">
        <v>503</v>
      </c>
      <c r="Q204" s="1">
        <f t="shared" si="8"/>
        <v>1</v>
      </c>
      <c r="R204" s="1">
        <v>36</v>
      </c>
      <c r="T204" s="1" t="s">
        <v>659</v>
      </c>
      <c r="U204" s="8">
        <v>41456</v>
      </c>
    </row>
    <row r="205" spans="1:23" x14ac:dyDescent="0.25">
      <c r="A205" s="2">
        <f t="shared" si="9"/>
        <v>5</v>
      </c>
      <c r="B205" t="s">
        <v>705</v>
      </c>
      <c r="C205" s="2">
        <v>1</v>
      </c>
      <c r="D205" s="2">
        <v>0</v>
      </c>
      <c r="E205" s="2">
        <v>0</v>
      </c>
      <c r="F205" s="2">
        <v>2</v>
      </c>
      <c r="G205" s="2">
        <v>0</v>
      </c>
      <c r="J205" s="1"/>
      <c r="M205" t="s">
        <v>15</v>
      </c>
      <c r="N205" t="str">
        <f>IFERROR(VLOOKUP(B205,'[1]All Player'!$B$2:$C$1992,2,0),"")</f>
        <v>GM Manik</v>
      </c>
      <c r="O205" s="2" t="s">
        <v>476</v>
      </c>
      <c r="P205" s="16" t="s">
        <v>503</v>
      </c>
      <c r="Q205" s="1">
        <f t="shared" si="8"/>
        <v>1</v>
      </c>
      <c r="R205" s="1">
        <v>36</v>
      </c>
      <c r="T205" s="1" t="s">
        <v>659</v>
      </c>
      <c r="U205" s="8">
        <v>41456</v>
      </c>
    </row>
    <row r="206" spans="1:23" x14ac:dyDescent="0.25">
      <c r="A206" s="2">
        <f t="shared" si="9"/>
        <v>5</v>
      </c>
      <c r="B206" t="s">
        <v>706</v>
      </c>
      <c r="C206" s="2">
        <v>2</v>
      </c>
      <c r="D206" s="2">
        <v>19</v>
      </c>
      <c r="E206" s="2">
        <v>1</v>
      </c>
      <c r="F206" s="2">
        <v>2</v>
      </c>
      <c r="G206" s="2">
        <v>0</v>
      </c>
      <c r="J206" s="1"/>
      <c r="M206" t="s">
        <v>15</v>
      </c>
      <c r="N206" t="str">
        <f>IFERROR(VLOOKUP(B206,'[1]All Player'!$B$2:$C$1992,2,0),"")</f>
        <v>Alauddin Lovelo</v>
      </c>
      <c r="O206" s="2" t="s">
        <v>476</v>
      </c>
      <c r="P206" s="16" t="s">
        <v>503</v>
      </c>
      <c r="Q206" s="1">
        <f t="shared" si="8"/>
        <v>1</v>
      </c>
      <c r="R206" s="1">
        <v>36</v>
      </c>
      <c r="T206" s="1" t="s">
        <v>659</v>
      </c>
      <c r="U206" s="8">
        <v>41456</v>
      </c>
    </row>
    <row r="207" spans="1:23" x14ac:dyDescent="0.25">
      <c r="A207" s="2">
        <f t="shared" si="9"/>
        <v>5</v>
      </c>
      <c r="B207" t="s">
        <v>707</v>
      </c>
      <c r="C207" s="2">
        <v>2</v>
      </c>
      <c r="D207" s="2">
        <v>30</v>
      </c>
      <c r="E207" s="2">
        <v>0</v>
      </c>
      <c r="F207" s="2">
        <v>3</v>
      </c>
      <c r="G207" s="2">
        <v>0</v>
      </c>
      <c r="J207" s="1"/>
      <c r="M207" t="s">
        <v>15</v>
      </c>
      <c r="N207" t="str">
        <f>IFERROR(VLOOKUP(B207,'[1]All Player'!$B$2:$C$1992,2,0),"")</f>
        <v>Akram Husan (Washim)</v>
      </c>
      <c r="O207" s="2" t="s">
        <v>476</v>
      </c>
      <c r="P207" s="16" t="s">
        <v>503</v>
      </c>
      <c r="Q207" s="1">
        <f t="shared" si="8"/>
        <v>1</v>
      </c>
      <c r="R207" s="1">
        <v>36</v>
      </c>
      <c r="T207" s="1" t="s">
        <v>659</v>
      </c>
      <c r="U207" s="8">
        <v>41456</v>
      </c>
    </row>
    <row r="208" spans="1:23" x14ac:dyDescent="0.25">
      <c r="A208" s="2">
        <f t="shared" si="9"/>
        <v>5</v>
      </c>
      <c r="B208" t="s">
        <v>708</v>
      </c>
      <c r="C208" s="2">
        <v>2</v>
      </c>
      <c r="D208" s="2">
        <v>18</v>
      </c>
      <c r="E208" s="2">
        <v>0</v>
      </c>
      <c r="F208" s="2">
        <v>3</v>
      </c>
      <c r="G208" s="2">
        <v>0</v>
      </c>
      <c r="J208" s="1"/>
      <c r="M208" t="s">
        <v>15</v>
      </c>
      <c r="N208" t="str">
        <f>IFERROR(VLOOKUP(B208,'[1]All Player'!$B$2:$C$1992,2,0),"")</f>
        <v>Saiful NayEem</v>
      </c>
      <c r="O208" s="2" t="s">
        <v>476</v>
      </c>
      <c r="P208" s="16" t="s">
        <v>503</v>
      </c>
      <c r="Q208" s="1">
        <f t="shared" si="8"/>
        <v>1</v>
      </c>
      <c r="R208" s="1">
        <v>36</v>
      </c>
      <c r="T208" s="1" t="s">
        <v>659</v>
      </c>
      <c r="U208" s="8">
        <v>41456</v>
      </c>
    </row>
    <row r="209" spans="1:21" x14ac:dyDescent="0.25">
      <c r="A209" s="2">
        <v>6</v>
      </c>
      <c r="B209" t="s">
        <v>709</v>
      </c>
      <c r="J209" s="1"/>
      <c r="M209" t="s">
        <v>15</v>
      </c>
      <c r="N209" t="str">
        <f>IFERROR(VLOOKUP(B209,'[1]All Player'!$B$2:$C$1992,2,0),"")</f>
        <v/>
      </c>
      <c r="O209" s="2" t="s">
        <v>474</v>
      </c>
      <c r="P209" s="16" t="s">
        <v>528</v>
      </c>
      <c r="Q209" s="1">
        <f t="shared" si="8"/>
        <v>1</v>
      </c>
      <c r="R209" s="1">
        <v>37</v>
      </c>
      <c r="T209" s="1" t="s">
        <v>659</v>
      </c>
      <c r="U209" s="8">
        <v>41456</v>
      </c>
    </row>
    <row r="210" spans="1:21" x14ac:dyDescent="0.25">
      <c r="A210" s="2">
        <f t="shared" si="9"/>
        <v>6</v>
      </c>
      <c r="B210" t="s">
        <v>710</v>
      </c>
      <c r="C210" s="2">
        <v>8</v>
      </c>
      <c r="D210" s="2">
        <v>172</v>
      </c>
      <c r="E210" s="2">
        <v>16</v>
      </c>
      <c r="F210" s="2">
        <v>14</v>
      </c>
      <c r="G210" s="2">
        <v>1</v>
      </c>
      <c r="J210" s="1"/>
      <c r="M210" t="s">
        <v>15</v>
      </c>
      <c r="N210" t="str">
        <f>IFERROR(VLOOKUP(B210,'[1]All Player'!$B$2:$C$1992,2,0),"")</f>
        <v>Toufiq Ahmed Ovi</v>
      </c>
      <c r="O210" s="2" t="s">
        <v>474</v>
      </c>
      <c r="P210" s="16" t="s">
        <v>528</v>
      </c>
      <c r="Q210" s="1">
        <f t="shared" si="8"/>
        <v>1</v>
      </c>
      <c r="R210" s="1">
        <v>37</v>
      </c>
      <c r="T210" s="1" t="s">
        <v>659</v>
      </c>
      <c r="U210" s="8">
        <v>41456</v>
      </c>
    </row>
    <row r="211" spans="1:21" x14ac:dyDescent="0.25">
      <c r="A211" s="2">
        <f t="shared" si="9"/>
        <v>6</v>
      </c>
      <c r="B211" t="s">
        <v>687</v>
      </c>
      <c r="C211" s="2">
        <v>8</v>
      </c>
      <c r="D211" s="2">
        <v>156</v>
      </c>
      <c r="E211" s="2">
        <v>17</v>
      </c>
      <c r="F211" s="2">
        <v>14</v>
      </c>
      <c r="G211" s="2">
        <v>1</v>
      </c>
      <c r="J211" s="1"/>
      <c r="M211" t="s">
        <v>15</v>
      </c>
      <c r="N211" t="str">
        <f>IFERROR(VLOOKUP(B211,'[1]All Player'!$B$2:$C$1992,2,0),"")</f>
        <v>Sheik Helal Ahmed</v>
      </c>
      <c r="O211" s="2" t="s">
        <v>474</v>
      </c>
      <c r="P211" s="16" t="s">
        <v>528</v>
      </c>
      <c r="Q211" s="1">
        <f t="shared" si="8"/>
        <v>1</v>
      </c>
      <c r="R211" s="1">
        <v>37</v>
      </c>
      <c r="T211" s="1" t="s">
        <v>659</v>
      </c>
      <c r="U211" s="8">
        <v>41456</v>
      </c>
    </row>
    <row r="212" spans="1:21" x14ac:dyDescent="0.25">
      <c r="A212" s="2">
        <f t="shared" si="9"/>
        <v>6</v>
      </c>
      <c r="B212" t="s">
        <v>711</v>
      </c>
      <c r="C212" s="2">
        <v>7</v>
      </c>
      <c r="D212" s="2">
        <v>134</v>
      </c>
      <c r="E212" s="2">
        <v>11</v>
      </c>
      <c r="F212" s="2">
        <v>12</v>
      </c>
      <c r="G212" s="2">
        <v>1</v>
      </c>
      <c r="J212" s="1"/>
      <c r="M212" t="s">
        <v>15</v>
      </c>
      <c r="N212" t="str">
        <f>IFERROR(VLOOKUP(B212,'[1]All Player'!$B$2:$C$1992,2,0),"")</f>
        <v>Sabbir Ahmed</v>
      </c>
      <c r="O212" s="2" t="s">
        <v>474</v>
      </c>
      <c r="P212" s="16" t="s">
        <v>528</v>
      </c>
      <c r="Q212" s="1">
        <f t="shared" si="8"/>
        <v>1</v>
      </c>
      <c r="R212" s="1">
        <v>37</v>
      </c>
      <c r="T212" s="1" t="s">
        <v>659</v>
      </c>
      <c r="U212" s="8">
        <v>41456</v>
      </c>
    </row>
    <row r="213" spans="1:21" x14ac:dyDescent="0.25">
      <c r="A213" s="2">
        <f t="shared" si="9"/>
        <v>6</v>
      </c>
      <c r="B213" t="s">
        <v>712</v>
      </c>
      <c r="C213" s="2">
        <v>8</v>
      </c>
      <c r="D213" s="2">
        <v>148</v>
      </c>
      <c r="E213" s="2">
        <v>8</v>
      </c>
      <c r="F213" s="2">
        <v>13</v>
      </c>
      <c r="G213" s="2">
        <v>0</v>
      </c>
      <c r="J213" s="1"/>
      <c r="M213" t="s">
        <v>15</v>
      </c>
      <c r="N213" t="str">
        <f>IFERROR(VLOOKUP(B213,'[1]All Player'!$B$2:$C$1992,2,0),"")</f>
        <v>Kamrul Hasan Hridoy</v>
      </c>
      <c r="O213" s="2" t="s">
        <v>474</v>
      </c>
      <c r="P213" s="16" t="s">
        <v>528</v>
      </c>
      <c r="Q213" s="1">
        <f t="shared" si="8"/>
        <v>1</v>
      </c>
      <c r="R213" s="1">
        <v>37</v>
      </c>
      <c r="T213" s="1" t="s">
        <v>659</v>
      </c>
      <c r="U213" s="8">
        <v>41456</v>
      </c>
    </row>
    <row r="214" spans="1:21" x14ac:dyDescent="0.25">
      <c r="A214" s="2">
        <f t="shared" si="9"/>
        <v>6</v>
      </c>
      <c r="B214" t="s">
        <v>713</v>
      </c>
      <c r="J214" s="1"/>
      <c r="M214" t="s">
        <v>15</v>
      </c>
      <c r="N214" t="str">
        <f>IFERROR(VLOOKUP(B214,'[1]All Player'!$B$2:$C$1992,2,0),"")</f>
        <v/>
      </c>
      <c r="O214" s="2" t="s">
        <v>474</v>
      </c>
      <c r="P214" s="16" t="s">
        <v>577</v>
      </c>
      <c r="Q214" s="1">
        <f t="shared" si="8"/>
        <v>1</v>
      </c>
      <c r="R214" s="1">
        <v>38</v>
      </c>
      <c r="T214" s="1" t="s">
        <v>672</v>
      </c>
      <c r="U214" s="8">
        <v>41456</v>
      </c>
    </row>
    <row r="215" spans="1:21" x14ac:dyDescent="0.25">
      <c r="A215" s="2">
        <f t="shared" si="9"/>
        <v>6</v>
      </c>
      <c r="B215" t="s">
        <v>714</v>
      </c>
      <c r="C215" s="2">
        <v>7</v>
      </c>
      <c r="D215" s="2">
        <v>111</v>
      </c>
      <c r="E215" s="2">
        <v>20</v>
      </c>
      <c r="F215" s="2">
        <v>12</v>
      </c>
      <c r="G215" s="2">
        <v>3</v>
      </c>
      <c r="J215" s="2">
        <v>1</v>
      </c>
      <c r="M215" t="s">
        <v>15</v>
      </c>
      <c r="N215" t="str">
        <f>IFERROR(VLOOKUP(B215,'[1]All Player'!$B$2:$C$1992,2,0),"")</f>
        <v>Zaheed Hasan</v>
      </c>
      <c r="O215" s="2" t="s">
        <v>474</v>
      </c>
      <c r="P215" s="16" t="s">
        <v>577</v>
      </c>
      <c r="Q215" s="1">
        <f t="shared" si="8"/>
        <v>1</v>
      </c>
      <c r="R215" s="1">
        <v>38</v>
      </c>
      <c r="T215" s="1" t="s">
        <v>672</v>
      </c>
      <c r="U215" s="8">
        <v>41456</v>
      </c>
    </row>
    <row r="216" spans="1:21" x14ac:dyDescent="0.25">
      <c r="A216" s="2">
        <f t="shared" si="9"/>
        <v>6</v>
      </c>
      <c r="B216" t="s">
        <v>682</v>
      </c>
      <c r="C216" s="2">
        <v>7</v>
      </c>
      <c r="D216" s="2">
        <v>168</v>
      </c>
      <c r="E216" s="2">
        <v>7</v>
      </c>
      <c r="F216" s="2">
        <v>14</v>
      </c>
      <c r="G216" s="2">
        <v>1</v>
      </c>
      <c r="J216" s="1"/>
      <c r="M216" t="s">
        <v>15</v>
      </c>
      <c r="N216" t="str">
        <f>IFERROR(VLOOKUP(B216,'[1]All Player'!$B$2:$C$1992,2,0),"")</f>
        <v>Rifat Ullah</v>
      </c>
      <c r="O216" s="2" t="s">
        <v>474</v>
      </c>
      <c r="P216" s="16" t="s">
        <v>577</v>
      </c>
      <c r="Q216" s="1">
        <f t="shared" si="8"/>
        <v>1</v>
      </c>
      <c r="R216" s="1">
        <v>38</v>
      </c>
      <c r="T216" s="1" t="s">
        <v>672</v>
      </c>
      <c r="U216" s="8">
        <v>41456</v>
      </c>
    </row>
    <row r="217" spans="1:21" x14ac:dyDescent="0.25">
      <c r="A217" s="2">
        <f t="shared" si="9"/>
        <v>6</v>
      </c>
      <c r="B217" t="s">
        <v>715</v>
      </c>
      <c r="C217" s="2">
        <v>7</v>
      </c>
      <c r="D217" s="2">
        <v>75</v>
      </c>
      <c r="E217" s="2">
        <v>7</v>
      </c>
      <c r="F217" s="2">
        <v>7</v>
      </c>
      <c r="G217" s="2">
        <v>0</v>
      </c>
      <c r="J217" s="1"/>
      <c r="M217" t="s">
        <v>15</v>
      </c>
      <c r="N217" t="str">
        <f>IFERROR(VLOOKUP(B217,'[1]All Player'!$B$2:$C$1992,2,0),"")</f>
        <v>Farhanul Habib Alif</v>
      </c>
      <c r="O217" s="2" t="s">
        <v>474</v>
      </c>
      <c r="P217" s="16" t="s">
        <v>577</v>
      </c>
      <c r="Q217" s="1">
        <f t="shared" si="8"/>
        <v>1</v>
      </c>
      <c r="R217" s="1">
        <v>38</v>
      </c>
      <c r="T217" s="1" t="s">
        <v>672</v>
      </c>
      <c r="U217" s="8">
        <v>41456</v>
      </c>
    </row>
    <row r="218" spans="1:21" x14ac:dyDescent="0.25">
      <c r="A218" s="2">
        <f t="shared" si="9"/>
        <v>6</v>
      </c>
      <c r="B218" t="s">
        <v>716</v>
      </c>
      <c r="C218" s="2">
        <v>7</v>
      </c>
      <c r="D218" s="2">
        <v>126</v>
      </c>
      <c r="E218" s="2">
        <v>13</v>
      </c>
      <c r="F218" s="2">
        <v>10</v>
      </c>
      <c r="G218" s="2">
        <v>0</v>
      </c>
      <c r="J218" s="1"/>
      <c r="M218" t="s">
        <v>15</v>
      </c>
      <c r="N218" t="str">
        <f>IFERROR(VLOOKUP(B218,'[1]All Player'!$B$2:$C$1992,2,0),"")</f>
        <v>Zi Zohir</v>
      </c>
      <c r="O218" s="2" t="s">
        <v>474</v>
      </c>
      <c r="P218" s="16" t="s">
        <v>577</v>
      </c>
      <c r="Q218" s="1">
        <f t="shared" si="8"/>
        <v>1</v>
      </c>
      <c r="R218" s="1">
        <v>38</v>
      </c>
      <c r="T218" s="1" t="s">
        <v>672</v>
      </c>
      <c r="U218" s="8">
        <v>41456</v>
      </c>
    </row>
    <row r="219" spans="1:21" x14ac:dyDescent="0.25">
      <c r="A219" s="2">
        <f t="shared" si="9"/>
        <v>6</v>
      </c>
      <c r="B219" t="s">
        <v>80</v>
      </c>
      <c r="C219" s="2">
        <v>5</v>
      </c>
      <c r="D219" s="2">
        <v>101</v>
      </c>
      <c r="E219" s="2">
        <v>8</v>
      </c>
      <c r="F219" s="2">
        <v>10</v>
      </c>
      <c r="G219" s="2">
        <v>1</v>
      </c>
      <c r="J219" s="1"/>
      <c r="M219" t="s">
        <v>15</v>
      </c>
      <c r="N219" t="str">
        <f>IFERROR(VLOOKUP(B219,'[1]All Player'!$B$2:$C$1992,2,0),"")</f>
        <v>Kamrul Hasan Tutul</v>
      </c>
      <c r="O219" s="2" t="s">
        <v>474</v>
      </c>
      <c r="P219" s="16" t="s">
        <v>577</v>
      </c>
      <c r="Q219" s="1">
        <f t="shared" si="8"/>
        <v>1</v>
      </c>
      <c r="R219" s="1">
        <v>38</v>
      </c>
      <c r="T219" s="1" t="s">
        <v>672</v>
      </c>
      <c r="U219" s="8">
        <v>41456</v>
      </c>
    </row>
    <row r="220" spans="1:21" x14ac:dyDescent="0.25">
      <c r="A220" s="2">
        <f t="shared" si="9"/>
        <v>6</v>
      </c>
      <c r="B220" t="s">
        <v>717</v>
      </c>
      <c r="J220" s="1"/>
      <c r="M220" t="s">
        <v>15</v>
      </c>
      <c r="N220" t="str">
        <f>IFERROR(VLOOKUP(B220,'[1]All Player'!$B$2:$C$1992,2,0),"")</f>
        <v/>
      </c>
      <c r="O220" s="2" t="s">
        <v>474</v>
      </c>
      <c r="P220" s="16" t="s">
        <v>578</v>
      </c>
      <c r="Q220" s="1">
        <f t="shared" si="8"/>
        <v>1</v>
      </c>
      <c r="R220" s="1">
        <v>39</v>
      </c>
      <c r="U220" s="8">
        <v>41456</v>
      </c>
    </row>
    <row r="221" spans="1:21" x14ac:dyDescent="0.25">
      <c r="A221" s="2">
        <f t="shared" si="9"/>
        <v>6</v>
      </c>
      <c r="B221" t="s">
        <v>701</v>
      </c>
      <c r="C221" s="2">
        <v>6</v>
      </c>
      <c r="D221" s="2">
        <v>104</v>
      </c>
      <c r="E221" s="2">
        <v>12</v>
      </c>
      <c r="F221" s="2">
        <v>8</v>
      </c>
      <c r="G221" s="2">
        <v>0</v>
      </c>
      <c r="J221" s="1"/>
      <c r="M221" t="s">
        <v>15</v>
      </c>
      <c r="N221" t="str">
        <f>IFERROR(VLOOKUP(B221,'[1]All Player'!$B$2:$C$1992,2,0),"")</f>
        <v>Red Heart Faisal (Fayze Ahamed)</v>
      </c>
      <c r="O221" s="2" t="s">
        <v>474</v>
      </c>
      <c r="P221" s="16" t="s">
        <v>578</v>
      </c>
      <c r="Q221" s="1">
        <f t="shared" si="8"/>
        <v>1</v>
      </c>
      <c r="R221" s="1">
        <v>39</v>
      </c>
      <c r="U221" s="8">
        <v>41456</v>
      </c>
    </row>
    <row r="222" spans="1:21" x14ac:dyDescent="0.25">
      <c r="A222" s="2">
        <f t="shared" si="9"/>
        <v>6</v>
      </c>
      <c r="B222" t="s">
        <v>680</v>
      </c>
      <c r="C222" s="2">
        <v>6</v>
      </c>
      <c r="D222" s="2">
        <v>38</v>
      </c>
      <c r="E222" s="2">
        <v>13</v>
      </c>
      <c r="F222" s="2">
        <v>7</v>
      </c>
      <c r="G222" s="2">
        <v>1</v>
      </c>
      <c r="J222" s="1"/>
      <c r="M222" t="s">
        <v>15</v>
      </c>
      <c r="N222" t="str">
        <f>IFERROR(VLOOKUP(B222,'[1]All Player'!$B$2:$C$1992,2,0),"")</f>
        <v>Rayhan Rahman</v>
      </c>
      <c r="O222" s="2" t="s">
        <v>474</v>
      </c>
      <c r="P222" s="16" t="s">
        <v>578</v>
      </c>
      <c r="Q222" s="1">
        <f t="shared" si="8"/>
        <v>1</v>
      </c>
      <c r="R222" s="1">
        <v>39</v>
      </c>
      <c r="U222" s="8">
        <v>41456</v>
      </c>
    </row>
    <row r="223" spans="1:21" x14ac:dyDescent="0.25">
      <c r="A223" s="2">
        <f t="shared" si="9"/>
        <v>6</v>
      </c>
      <c r="B223" t="s">
        <v>718</v>
      </c>
      <c r="C223" s="2">
        <v>6</v>
      </c>
      <c r="D223" s="2">
        <v>109</v>
      </c>
      <c r="E223" s="2">
        <v>8</v>
      </c>
      <c r="F223" s="2">
        <v>8</v>
      </c>
      <c r="G223" s="2">
        <v>2</v>
      </c>
      <c r="J223" s="1"/>
      <c r="M223" t="s">
        <v>15</v>
      </c>
      <c r="N223" t="str">
        <f>IFERROR(VLOOKUP(B223,'[1]All Player'!$B$2:$C$1992,2,0),"")</f>
        <v>Sahed Hossain Masum</v>
      </c>
      <c r="O223" s="2" t="s">
        <v>474</v>
      </c>
      <c r="P223" s="16" t="s">
        <v>578</v>
      </c>
      <c r="Q223" s="1">
        <f t="shared" si="8"/>
        <v>1</v>
      </c>
      <c r="R223" s="1">
        <v>39</v>
      </c>
      <c r="U223" s="8">
        <v>41456</v>
      </c>
    </row>
    <row r="224" spans="1:21" x14ac:dyDescent="0.25">
      <c r="A224" s="2">
        <f t="shared" si="9"/>
        <v>6</v>
      </c>
      <c r="B224" t="s">
        <v>719</v>
      </c>
      <c r="C224" s="2">
        <v>5</v>
      </c>
      <c r="D224" s="2">
        <v>114</v>
      </c>
      <c r="E224" s="2">
        <v>5</v>
      </c>
      <c r="F224" s="2">
        <v>8</v>
      </c>
      <c r="G224" s="2">
        <v>2</v>
      </c>
      <c r="J224" s="1"/>
      <c r="M224" t="s">
        <v>15</v>
      </c>
      <c r="N224" t="str">
        <f>IFERROR(VLOOKUP(B224,'[1]All Player'!$B$2:$C$1992,2,0),"")</f>
        <v>Md Aneek Rashid</v>
      </c>
      <c r="O224" s="2" t="s">
        <v>474</v>
      </c>
      <c r="P224" s="16" t="s">
        <v>578</v>
      </c>
      <c r="Q224" s="1">
        <f t="shared" si="8"/>
        <v>1</v>
      </c>
      <c r="R224" s="1">
        <v>39</v>
      </c>
      <c r="U224" s="8">
        <v>41456</v>
      </c>
    </row>
    <row r="225" spans="1:21" x14ac:dyDescent="0.25">
      <c r="A225" s="2">
        <f t="shared" si="9"/>
        <v>6</v>
      </c>
      <c r="B225" t="s">
        <v>300</v>
      </c>
      <c r="C225" s="2">
        <v>4</v>
      </c>
      <c r="D225" s="2">
        <v>14</v>
      </c>
      <c r="E225" s="2">
        <v>9</v>
      </c>
      <c r="F225" s="2">
        <v>3</v>
      </c>
      <c r="G225" s="2">
        <v>0</v>
      </c>
      <c r="J225" s="1"/>
      <c r="M225" t="s">
        <v>15</v>
      </c>
      <c r="N225" t="str">
        <f>IFERROR(VLOOKUP(B225,'[1]All Player'!$B$2:$C$1992,2,0),"")</f>
        <v>Ashikur Rahman Ashik</v>
      </c>
      <c r="O225" s="2" t="s">
        <v>474</v>
      </c>
      <c r="P225" s="16" t="s">
        <v>578</v>
      </c>
      <c r="Q225" s="1">
        <f t="shared" si="8"/>
        <v>1</v>
      </c>
      <c r="R225" s="1">
        <v>39</v>
      </c>
      <c r="U225" s="8">
        <v>41456</v>
      </c>
    </row>
    <row r="226" spans="1:21" x14ac:dyDescent="0.25">
      <c r="A226" s="2">
        <f t="shared" si="9"/>
        <v>6</v>
      </c>
      <c r="B226" t="s">
        <v>720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J226" s="1"/>
      <c r="M226" t="s">
        <v>15</v>
      </c>
      <c r="N226" t="str">
        <f>IFERROR(VLOOKUP(B226,'[1]All Player'!$B$2:$C$1992,2,0),"")</f>
        <v>MD Sharif All Hasan</v>
      </c>
      <c r="O226" s="2" t="s">
        <v>474</v>
      </c>
      <c r="P226" s="16" t="s">
        <v>578</v>
      </c>
      <c r="Q226" s="1">
        <f t="shared" si="8"/>
        <v>1</v>
      </c>
      <c r="R226" s="1">
        <v>39</v>
      </c>
      <c r="U226" s="8">
        <v>41456</v>
      </c>
    </row>
    <row r="227" spans="1:21" x14ac:dyDescent="0.25">
      <c r="A227" s="2">
        <f t="shared" si="9"/>
        <v>6</v>
      </c>
      <c r="B227" t="s">
        <v>721</v>
      </c>
      <c r="J227" s="1"/>
      <c r="M227" t="s">
        <v>15</v>
      </c>
      <c r="N227" t="str">
        <f>IFERROR(VLOOKUP(B227,'[1]All Player'!$B$2:$C$1992,2,0),"")</f>
        <v/>
      </c>
      <c r="O227" s="2" t="s">
        <v>474</v>
      </c>
      <c r="P227" s="16" t="s">
        <v>475</v>
      </c>
      <c r="Q227" s="1">
        <f t="shared" si="8"/>
        <v>1</v>
      </c>
      <c r="R227" s="1">
        <v>40</v>
      </c>
      <c r="U227" s="8">
        <v>41456</v>
      </c>
    </row>
    <row r="228" spans="1:21" x14ac:dyDescent="0.25">
      <c r="A228" s="2">
        <f t="shared" si="9"/>
        <v>6</v>
      </c>
      <c r="B228" t="s">
        <v>696</v>
      </c>
      <c r="C228" s="2">
        <v>5</v>
      </c>
      <c r="D228" s="2">
        <v>85</v>
      </c>
      <c r="E228" s="2">
        <v>4</v>
      </c>
      <c r="F228" s="2">
        <v>7</v>
      </c>
      <c r="G228" s="2">
        <v>0</v>
      </c>
      <c r="J228" s="1"/>
      <c r="M228" t="s">
        <v>15</v>
      </c>
      <c r="N228" t="str">
        <f>IFERROR(VLOOKUP(B228,'[1]All Player'!$B$2:$C$1992,2,0),"")</f>
        <v>Rinkon Khan</v>
      </c>
      <c r="O228" s="2" t="s">
        <v>474</v>
      </c>
      <c r="P228" s="16" t="s">
        <v>475</v>
      </c>
      <c r="Q228" s="1">
        <f t="shared" si="8"/>
        <v>1</v>
      </c>
      <c r="R228" s="1">
        <v>40</v>
      </c>
      <c r="U228" s="8">
        <v>41456</v>
      </c>
    </row>
    <row r="229" spans="1:21" x14ac:dyDescent="0.25">
      <c r="A229" s="2">
        <f t="shared" si="9"/>
        <v>6</v>
      </c>
      <c r="B229" t="s">
        <v>302</v>
      </c>
      <c r="C229" s="2">
        <v>5</v>
      </c>
      <c r="D229" s="2">
        <v>47</v>
      </c>
      <c r="E229" s="2">
        <v>4</v>
      </c>
      <c r="F229" s="2">
        <v>8</v>
      </c>
      <c r="G229" s="2">
        <v>0</v>
      </c>
      <c r="J229" s="1"/>
      <c r="M229" t="s">
        <v>15</v>
      </c>
      <c r="N229" t="str">
        <f>IFERROR(VLOOKUP(B229,'[1]All Player'!$B$2:$C$1992,2,0),"")</f>
        <v>Raihan Al-maMun</v>
      </c>
      <c r="O229" s="2" t="s">
        <v>474</v>
      </c>
      <c r="P229" s="16" t="s">
        <v>475</v>
      </c>
      <c r="Q229" s="1">
        <f t="shared" si="8"/>
        <v>1</v>
      </c>
      <c r="R229" s="1">
        <v>40</v>
      </c>
      <c r="U229" s="8">
        <v>41456</v>
      </c>
    </row>
    <row r="230" spans="1:21" x14ac:dyDescent="0.25">
      <c r="A230" s="2">
        <f t="shared" si="9"/>
        <v>6</v>
      </c>
      <c r="B230" t="s">
        <v>722</v>
      </c>
      <c r="C230" s="2">
        <v>6</v>
      </c>
      <c r="D230" s="2">
        <v>129</v>
      </c>
      <c r="E230" s="2">
        <v>8</v>
      </c>
      <c r="F230" s="2">
        <v>11</v>
      </c>
      <c r="G230" s="2">
        <v>1</v>
      </c>
      <c r="J230" s="1"/>
      <c r="M230" t="s">
        <v>15</v>
      </c>
      <c r="N230" t="str">
        <f>IFERROR(VLOOKUP(B230,'[1]All Player'!$B$2:$C$1992,2,0),"")</f>
        <v>Susmoy Paul</v>
      </c>
      <c r="O230" s="2" t="s">
        <v>474</v>
      </c>
      <c r="P230" s="16" t="s">
        <v>475</v>
      </c>
      <c r="Q230" s="1">
        <f t="shared" si="8"/>
        <v>1</v>
      </c>
      <c r="R230" s="1">
        <v>40</v>
      </c>
      <c r="U230" s="8">
        <v>41456</v>
      </c>
    </row>
    <row r="231" spans="1:21" x14ac:dyDescent="0.25">
      <c r="A231" s="2">
        <f t="shared" si="9"/>
        <v>6</v>
      </c>
      <c r="B231" t="s">
        <v>241</v>
      </c>
      <c r="C231" s="2">
        <v>6</v>
      </c>
      <c r="D231" s="2">
        <v>89</v>
      </c>
      <c r="E231" s="2">
        <v>12</v>
      </c>
      <c r="F231" s="2">
        <v>11</v>
      </c>
      <c r="G231" s="2">
        <v>0</v>
      </c>
      <c r="J231" s="1"/>
      <c r="M231" t="s">
        <v>15</v>
      </c>
      <c r="N231" t="str">
        <f>IFERROR(VLOOKUP(B231,'[1]All Player'!$B$2:$C$1992,2,0),"")</f>
        <v>Mehedi Hasan Shovon</v>
      </c>
      <c r="O231" s="2" t="s">
        <v>474</v>
      </c>
      <c r="P231" s="16" t="s">
        <v>475</v>
      </c>
      <c r="Q231" s="1">
        <f t="shared" si="8"/>
        <v>1</v>
      </c>
      <c r="R231" s="1">
        <v>40</v>
      </c>
      <c r="U231" s="8">
        <v>41456</v>
      </c>
    </row>
    <row r="232" spans="1:21" x14ac:dyDescent="0.25">
      <c r="A232" s="2">
        <f t="shared" si="9"/>
        <v>6</v>
      </c>
      <c r="B232" t="s">
        <v>723</v>
      </c>
      <c r="C232" s="2">
        <v>5</v>
      </c>
      <c r="D232" s="2">
        <v>28</v>
      </c>
      <c r="E232" s="2">
        <v>9</v>
      </c>
      <c r="F232" s="2">
        <v>7</v>
      </c>
      <c r="G232" s="2">
        <v>0</v>
      </c>
      <c r="J232" s="1"/>
      <c r="M232" t="s">
        <v>15</v>
      </c>
      <c r="N232" t="str">
        <f>IFERROR(VLOOKUP(B232,'[1]All Player'!$B$2:$C$1992,2,0),"")</f>
        <v>Oliy Saif</v>
      </c>
      <c r="O232" s="2" t="s">
        <v>474</v>
      </c>
      <c r="P232" s="16" t="s">
        <v>475</v>
      </c>
      <c r="Q232" s="1">
        <f t="shared" si="8"/>
        <v>1</v>
      </c>
      <c r="R232" s="1">
        <v>40</v>
      </c>
      <c r="U232" s="8">
        <v>41456</v>
      </c>
    </row>
    <row r="233" spans="1:21" x14ac:dyDescent="0.25">
      <c r="A233" s="2">
        <f t="shared" si="9"/>
        <v>6</v>
      </c>
      <c r="B233" t="s">
        <v>724</v>
      </c>
      <c r="J233" s="1"/>
      <c r="M233" t="s">
        <v>15</v>
      </c>
      <c r="N233" t="str">
        <f>IFERROR(VLOOKUP(B233,'[1]All Player'!$B$2:$C$1992,2,0),"")</f>
        <v/>
      </c>
      <c r="O233" s="2" t="s">
        <v>474</v>
      </c>
      <c r="P233" s="16" t="s">
        <v>579</v>
      </c>
      <c r="Q233" s="1">
        <f t="shared" si="8"/>
        <v>1</v>
      </c>
      <c r="R233" s="1">
        <v>41</v>
      </c>
      <c r="U233" s="8">
        <v>41456</v>
      </c>
    </row>
    <row r="234" spans="1:21" x14ac:dyDescent="0.25">
      <c r="A234" s="2">
        <f t="shared" si="9"/>
        <v>6</v>
      </c>
      <c r="B234" t="s">
        <v>697</v>
      </c>
      <c r="C234" s="2">
        <v>6</v>
      </c>
      <c r="D234" s="2">
        <v>127</v>
      </c>
      <c r="E234" s="2">
        <v>6</v>
      </c>
      <c r="F234" s="2">
        <v>11</v>
      </c>
      <c r="G234" s="2">
        <v>1</v>
      </c>
      <c r="J234" s="1"/>
      <c r="M234" t="s">
        <v>15</v>
      </c>
      <c r="N234" t="str">
        <f>IFERROR(VLOOKUP(B234,'[1]All Player'!$B$2:$C$1992,2,0),"")</f>
        <v>Md Ruvel</v>
      </c>
      <c r="O234" s="2" t="s">
        <v>474</v>
      </c>
      <c r="P234" s="16" t="s">
        <v>579</v>
      </c>
      <c r="Q234" s="1">
        <f t="shared" si="8"/>
        <v>1</v>
      </c>
      <c r="R234" s="1">
        <v>41</v>
      </c>
      <c r="U234" s="8">
        <v>41456</v>
      </c>
    </row>
    <row r="235" spans="1:21" x14ac:dyDescent="0.25">
      <c r="A235" s="2">
        <f t="shared" si="9"/>
        <v>6</v>
      </c>
      <c r="B235" t="s">
        <v>707</v>
      </c>
      <c r="C235" s="2">
        <v>5</v>
      </c>
      <c r="D235" s="2">
        <v>107</v>
      </c>
      <c r="E235" s="2">
        <v>4</v>
      </c>
      <c r="F235" s="2">
        <v>12</v>
      </c>
      <c r="G235" s="2">
        <v>1</v>
      </c>
      <c r="J235" s="1"/>
      <c r="M235" t="s">
        <v>15</v>
      </c>
      <c r="N235" t="str">
        <f>IFERROR(VLOOKUP(B235,'[1]All Player'!$B$2:$C$1992,2,0),"")</f>
        <v>Akram Husan (Washim)</v>
      </c>
      <c r="O235" s="2" t="s">
        <v>474</v>
      </c>
      <c r="P235" s="16" t="s">
        <v>579</v>
      </c>
      <c r="Q235" s="1">
        <f t="shared" si="8"/>
        <v>1</v>
      </c>
      <c r="R235" s="1">
        <v>41</v>
      </c>
      <c r="U235" s="8">
        <v>41456</v>
      </c>
    </row>
    <row r="236" spans="1:21" x14ac:dyDescent="0.25">
      <c r="A236" s="2">
        <f t="shared" si="9"/>
        <v>6</v>
      </c>
      <c r="B236" t="s">
        <v>725</v>
      </c>
      <c r="C236" s="2">
        <v>6</v>
      </c>
      <c r="D236" s="2">
        <v>119</v>
      </c>
      <c r="E236" s="2">
        <v>11</v>
      </c>
      <c r="F236" s="2">
        <v>12</v>
      </c>
      <c r="G236" s="2">
        <v>0</v>
      </c>
      <c r="J236" s="1"/>
      <c r="M236" t="s">
        <v>15</v>
      </c>
      <c r="N236" t="str">
        <f>IFERROR(VLOOKUP(B236,'[1]All Player'!$B$2:$C$1992,2,0),"")</f>
        <v>Shahan Ahmed</v>
      </c>
      <c r="O236" s="2" t="s">
        <v>474</v>
      </c>
      <c r="P236" s="16" t="s">
        <v>579</v>
      </c>
      <c r="Q236" s="1">
        <f t="shared" si="8"/>
        <v>1</v>
      </c>
      <c r="R236" s="1">
        <v>41</v>
      </c>
      <c r="U236" s="8">
        <v>41456</v>
      </c>
    </row>
    <row r="237" spans="1:21" x14ac:dyDescent="0.25">
      <c r="A237" s="2">
        <f t="shared" si="9"/>
        <v>6</v>
      </c>
      <c r="B237" t="s">
        <v>726</v>
      </c>
      <c r="C237" s="2">
        <v>3</v>
      </c>
      <c r="D237" s="2">
        <v>57</v>
      </c>
      <c r="E237" s="2">
        <v>11</v>
      </c>
      <c r="F237" s="2">
        <v>8</v>
      </c>
      <c r="G237" s="2">
        <v>0</v>
      </c>
      <c r="J237" s="1"/>
      <c r="M237" t="s">
        <v>15</v>
      </c>
      <c r="N237" t="str">
        <f>IFERROR(VLOOKUP(B237,'[1]All Player'!$B$2:$C$1992,2,0),"")</f>
        <v>Sadrul Anam</v>
      </c>
      <c r="O237" s="2" t="s">
        <v>474</v>
      </c>
      <c r="P237" s="16" t="s">
        <v>579</v>
      </c>
      <c r="Q237" s="1">
        <f t="shared" si="8"/>
        <v>1</v>
      </c>
      <c r="R237" s="1">
        <v>41</v>
      </c>
      <c r="U237" s="8">
        <v>41456</v>
      </c>
    </row>
    <row r="238" spans="1:21" x14ac:dyDescent="0.25">
      <c r="A238" s="2">
        <f t="shared" si="9"/>
        <v>6</v>
      </c>
      <c r="B238" t="s">
        <v>308</v>
      </c>
      <c r="C238" s="2">
        <v>2</v>
      </c>
      <c r="D238" s="2">
        <v>25</v>
      </c>
      <c r="E238" s="2">
        <v>2</v>
      </c>
      <c r="F238" s="2">
        <v>2</v>
      </c>
      <c r="G238" s="2">
        <v>0</v>
      </c>
      <c r="J238" s="1"/>
      <c r="M238" t="s">
        <v>15</v>
      </c>
      <c r="N238" t="str">
        <f>IFERROR(VLOOKUP(B238,'[1]All Player'!$B$2:$C$1992,2,0),"")</f>
        <v>Arnab Prince</v>
      </c>
      <c r="O238" s="2" t="s">
        <v>474</v>
      </c>
      <c r="P238" s="16" t="s">
        <v>579</v>
      </c>
      <c r="Q238" s="1">
        <f t="shared" si="8"/>
        <v>1</v>
      </c>
      <c r="R238" s="1">
        <v>41</v>
      </c>
      <c r="U238" s="8">
        <v>41456</v>
      </c>
    </row>
    <row r="239" spans="1:21" x14ac:dyDescent="0.25">
      <c r="A239" s="2">
        <f t="shared" si="9"/>
        <v>6</v>
      </c>
      <c r="B239" t="s">
        <v>727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J239" s="1"/>
      <c r="M239" t="s">
        <v>15</v>
      </c>
      <c r="N239" t="str">
        <f>IFERROR(VLOOKUP(B239,'[1]All Player'!$B$2:$C$1992,2,0),"")</f>
        <v>Sohanur Rahman Sakib</v>
      </c>
      <c r="O239" s="2" t="s">
        <v>474</v>
      </c>
      <c r="P239" s="16" t="s">
        <v>579</v>
      </c>
      <c r="Q239" s="1">
        <f t="shared" si="8"/>
        <v>1</v>
      </c>
      <c r="R239" s="1">
        <v>41</v>
      </c>
      <c r="U239" s="8">
        <v>41456</v>
      </c>
    </row>
    <row r="240" spans="1:21" x14ac:dyDescent="0.25">
      <c r="A240" s="2">
        <f t="shared" si="9"/>
        <v>6</v>
      </c>
      <c r="B240" t="s">
        <v>728</v>
      </c>
      <c r="J240" s="1"/>
      <c r="M240" t="s">
        <v>15</v>
      </c>
      <c r="N240" t="str">
        <f>IFERROR(VLOOKUP(B240,'[1]All Player'!$B$2:$C$1992,2,0),"")</f>
        <v/>
      </c>
      <c r="O240" s="2" t="s">
        <v>474</v>
      </c>
      <c r="P240" s="16" t="s">
        <v>480</v>
      </c>
      <c r="Q240" s="1">
        <f t="shared" si="8"/>
        <v>1</v>
      </c>
      <c r="R240" s="1">
        <v>42</v>
      </c>
      <c r="U240" s="8">
        <v>41456</v>
      </c>
    </row>
    <row r="241" spans="1:21" x14ac:dyDescent="0.25">
      <c r="A241" s="2">
        <f t="shared" si="9"/>
        <v>6</v>
      </c>
      <c r="B241" t="s">
        <v>245</v>
      </c>
      <c r="C241" s="2">
        <v>5</v>
      </c>
      <c r="D241" s="2">
        <v>65</v>
      </c>
      <c r="E241" s="2">
        <v>13</v>
      </c>
      <c r="F241" s="2">
        <v>10</v>
      </c>
      <c r="G241" s="2">
        <v>0</v>
      </c>
      <c r="J241" s="1"/>
      <c r="M241" t="s">
        <v>15</v>
      </c>
      <c r="N241" t="str">
        <f>IFERROR(VLOOKUP(B241,'[1]All Player'!$B$2:$C$1992,2,0),"")</f>
        <v>Akram Hosen Himal</v>
      </c>
      <c r="O241" s="2" t="s">
        <v>474</v>
      </c>
      <c r="P241" s="16" t="s">
        <v>480</v>
      </c>
      <c r="Q241" s="1">
        <f t="shared" si="8"/>
        <v>1</v>
      </c>
      <c r="R241" s="1">
        <v>42</v>
      </c>
      <c r="U241" s="8">
        <v>41456</v>
      </c>
    </row>
    <row r="242" spans="1:21" x14ac:dyDescent="0.25">
      <c r="A242" s="2">
        <f t="shared" si="9"/>
        <v>6</v>
      </c>
      <c r="B242" t="s">
        <v>729</v>
      </c>
      <c r="C242" s="2">
        <v>5</v>
      </c>
      <c r="D242" s="2">
        <v>123</v>
      </c>
      <c r="E242" s="2">
        <v>9</v>
      </c>
      <c r="F242" s="2">
        <v>12</v>
      </c>
      <c r="G242" s="2">
        <v>0</v>
      </c>
      <c r="J242" s="1"/>
      <c r="M242" t="s">
        <v>15</v>
      </c>
      <c r="N242" t="str">
        <f>IFERROR(VLOOKUP(B242,'[1]All Player'!$B$2:$C$1992,2,0),"")</f>
        <v>Jahin Shahriar Chowdhury</v>
      </c>
      <c r="O242" s="2" t="s">
        <v>474</v>
      </c>
      <c r="P242" s="16" t="s">
        <v>480</v>
      </c>
      <c r="Q242" s="1">
        <f t="shared" si="8"/>
        <v>1</v>
      </c>
      <c r="R242" s="1">
        <v>42</v>
      </c>
      <c r="U242" s="8">
        <v>41456</v>
      </c>
    </row>
    <row r="243" spans="1:21" x14ac:dyDescent="0.25">
      <c r="A243" s="2">
        <f t="shared" si="9"/>
        <v>6</v>
      </c>
      <c r="B243" t="s">
        <v>730</v>
      </c>
      <c r="C243" s="2">
        <v>5</v>
      </c>
      <c r="D243" s="2">
        <v>101</v>
      </c>
      <c r="E243" s="2">
        <v>6</v>
      </c>
      <c r="F243" s="2">
        <v>8</v>
      </c>
      <c r="G243" s="2">
        <v>1</v>
      </c>
      <c r="J243" s="1"/>
      <c r="M243" t="s">
        <v>15</v>
      </c>
      <c r="N243" t="str">
        <f>IFERROR(VLOOKUP(B243,'[1]All Player'!$B$2:$C$1992,2,0),"")</f>
        <v>Nahid Saifullah</v>
      </c>
      <c r="O243" s="2" t="s">
        <v>474</v>
      </c>
      <c r="P243" s="16" t="s">
        <v>480</v>
      </c>
      <c r="Q243" s="1">
        <f t="shared" si="8"/>
        <v>1</v>
      </c>
      <c r="R243" s="1">
        <v>42</v>
      </c>
      <c r="U243" s="8">
        <v>41456</v>
      </c>
    </row>
    <row r="244" spans="1:21" x14ac:dyDescent="0.25">
      <c r="A244" s="2">
        <f t="shared" si="9"/>
        <v>6</v>
      </c>
      <c r="B244" t="s">
        <v>731</v>
      </c>
      <c r="C244" s="2">
        <v>2</v>
      </c>
      <c r="D244" s="2">
        <v>28</v>
      </c>
      <c r="E244" s="2">
        <v>3</v>
      </c>
      <c r="F244" s="2">
        <v>2</v>
      </c>
      <c r="G244" s="2">
        <v>1</v>
      </c>
      <c r="J244" s="1"/>
      <c r="M244" t="s">
        <v>15</v>
      </c>
      <c r="N244" t="str">
        <f>IFERROR(VLOOKUP(B244,'[1]All Player'!$B$2:$C$1992,2,0),"")</f>
        <v>FaiSal RaHman FaHad</v>
      </c>
      <c r="O244" s="2" t="s">
        <v>474</v>
      </c>
      <c r="P244" s="16" t="s">
        <v>480</v>
      </c>
      <c r="Q244" s="1">
        <f t="shared" si="8"/>
        <v>1</v>
      </c>
      <c r="R244" s="1">
        <v>42</v>
      </c>
      <c r="U244" s="8">
        <v>41456</v>
      </c>
    </row>
    <row r="245" spans="1:21" x14ac:dyDescent="0.25">
      <c r="A245" s="2">
        <f t="shared" si="9"/>
        <v>6</v>
      </c>
      <c r="B245" t="s">
        <v>732</v>
      </c>
      <c r="C245" s="2">
        <v>3</v>
      </c>
      <c r="D245" s="2">
        <v>31</v>
      </c>
      <c r="E245" s="2">
        <v>1</v>
      </c>
      <c r="F245" s="2">
        <v>4</v>
      </c>
      <c r="G245" s="2">
        <v>0</v>
      </c>
      <c r="J245" s="1"/>
      <c r="M245" t="s">
        <v>15</v>
      </c>
      <c r="N245" t="str">
        <f>IFERROR(VLOOKUP(B245,'[1]All Player'!$B$2:$C$1992,2,0),"")</f>
        <v>Rakib Hasan</v>
      </c>
      <c r="O245" s="2" t="s">
        <v>474</v>
      </c>
      <c r="P245" s="16" t="s">
        <v>480</v>
      </c>
      <c r="Q245" s="1">
        <f t="shared" si="8"/>
        <v>1</v>
      </c>
      <c r="R245" s="1">
        <v>42</v>
      </c>
      <c r="U245" s="8">
        <v>41456</v>
      </c>
    </row>
    <row r="246" spans="1:21" x14ac:dyDescent="0.25">
      <c r="A246" s="2">
        <f t="shared" si="9"/>
        <v>6</v>
      </c>
      <c r="B246" t="s">
        <v>733</v>
      </c>
      <c r="C246" s="2">
        <v>2</v>
      </c>
      <c r="D246" s="2">
        <v>3</v>
      </c>
      <c r="E246" s="2">
        <v>0</v>
      </c>
      <c r="F246" s="2">
        <v>2</v>
      </c>
      <c r="G246" s="2">
        <v>0</v>
      </c>
      <c r="J246" s="1"/>
      <c r="M246" t="s">
        <v>15</v>
      </c>
      <c r="N246" t="str">
        <f>IFERROR(VLOOKUP(B246,'[1]All Player'!$B$2:$C$1992,2,0),"")</f>
        <v>Wasim Al Sami</v>
      </c>
      <c r="O246" s="2" t="s">
        <v>474</v>
      </c>
      <c r="P246" s="16" t="s">
        <v>480</v>
      </c>
      <c r="Q246" s="1">
        <f t="shared" si="8"/>
        <v>1</v>
      </c>
      <c r="R246" s="1">
        <v>42</v>
      </c>
      <c r="U246" s="8">
        <v>41456</v>
      </c>
    </row>
    <row r="247" spans="1:21" x14ac:dyDescent="0.25">
      <c r="A247" s="2">
        <f t="shared" si="9"/>
        <v>6</v>
      </c>
      <c r="B247" t="s">
        <v>734</v>
      </c>
      <c r="J247" s="1"/>
      <c r="M247" t="s">
        <v>15</v>
      </c>
      <c r="N247" t="str">
        <f>IFERROR(VLOOKUP(B247,'[1]All Player'!$B$2:$C$1992,2,0),"")</f>
        <v/>
      </c>
      <c r="O247" s="2" t="s">
        <v>474</v>
      </c>
      <c r="P247" s="16" t="s">
        <v>538</v>
      </c>
      <c r="Q247" s="1">
        <f t="shared" si="8"/>
        <v>1</v>
      </c>
      <c r="R247" s="1">
        <v>43</v>
      </c>
      <c r="U247" s="8">
        <v>41456</v>
      </c>
    </row>
    <row r="248" spans="1:21" x14ac:dyDescent="0.25">
      <c r="A248" s="2">
        <f t="shared" si="9"/>
        <v>6</v>
      </c>
      <c r="B248" t="s">
        <v>735</v>
      </c>
      <c r="C248" s="2">
        <v>5</v>
      </c>
      <c r="D248" s="2">
        <v>103</v>
      </c>
      <c r="E248" s="2">
        <v>2</v>
      </c>
      <c r="F248" s="2">
        <v>11</v>
      </c>
      <c r="G248" s="2">
        <v>1</v>
      </c>
      <c r="I248" s="2">
        <v>0</v>
      </c>
      <c r="J248" s="1"/>
      <c r="M248" t="s">
        <v>15</v>
      </c>
      <c r="N248" t="str">
        <f>IFERROR(VLOOKUP(B248,'[1]All Player'!$B$2:$C$1992,2,0),"")</f>
        <v>Ahmad Sakib Abdullah</v>
      </c>
      <c r="O248" s="2" t="s">
        <v>474</v>
      </c>
      <c r="P248" s="16" t="s">
        <v>538</v>
      </c>
      <c r="Q248" s="1">
        <f t="shared" si="8"/>
        <v>1</v>
      </c>
      <c r="R248" s="1">
        <v>43</v>
      </c>
      <c r="U248" s="8">
        <v>41456</v>
      </c>
    </row>
    <row r="249" spans="1:21" x14ac:dyDescent="0.25">
      <c r="A249" s="2">
        <f t="shared" si="9"/>
        <v>6</v>
      </c>
      <c r="B249" t="s">
        <v>689</v>
      </c>
      <c r="C249" s="2">
        <v>5</v>
      </c>
      <c r="D249" s="2">
        <v>148</v>
      </c>
      <c r="E249" s="2">
        <v>15</v>
      </c>
      <c r="F249" s="2">
        <v>13</v>
      </c>
      <c r="G249" s="2">
        <v>2</v>
      </c>
      <c r="J249" s="1"/>
      <c r="M249" t="s">
        <v>15</v>
      </c>
      <c r="N249" t="str">
        <f>IFERROR(VLOOKUP(B249,'[1]All Player'!$B$2:$C$1992,2,0),"")</f>
        <v>Niamul Habib Setu</v>
      </c>
      <c r="O249" s="2" t="s">
        <v>474</v>
      </c>
      <c r="P249" s="16" t="s">
        <v>538</v>
      </c>
      <c r="Q249" s="1">
        <f t="shared" si="8"/>
        <v>1</v>
      </c>
      <c r="R249" s="1">
        <v>43</v>
      </c>
      <c r="U249" s="8">
        <v>41456</v>
      </c>
    </row>
    <row r="250" spans="1:21" x14ac:dyDescent="0.25">
      <c r="A250" s="2">
        <f t="shared" si="9"/>
        <v>6</v>
      </c>
      <c r="B250" t="s">
        <v>736</v>
      </c>
      <c r="C250" s="2">
        <v>4</v>
      </c>
      <c r="D250" s="2">
        <v>54</v>
      </c>
      <c r="E250" s="2">
        <v>2</v>
      </c>
      <c r="F250" s="2">
        <v>9</v>
      </c>
      <c r="G250" s="2">
        <v>0</v>
      </c>
      <c r="J250" s="1"/>
      <c r="M250" t="s">
        <v>15</v>
      </c>
      <c r="N250" t="str">
        <f>IFERROR(VLOOKUP(B250,'[1]All Player'!$B$2:$C$1992,2,0),"")</f>
        <v>Asif Iqbal Khan</v>
      </c>
      <c r="O250" s="2" t="s">
        <v>474</v>
      </c>
      <c r="P250" s="16" t="s">
        <v>538</v>
      </c>
      <c r="Q250" s="1">
        <f t="shared" si="8"/>
        <v>1</v>
      </c>
      <c r="R250" s="1">
        <v>43</v>
      </c>
      <c r="U250" s="8">
        <v>41456</v>
      </c>
    </row>
    <row r="251" spans="1:21" x14ac:dyDescent="0.25">
      <c r="A251" s="2">
        <f t="shared" si="9"/>
        <v>6</v>
      </c>
      <c r="B251" t="s">
        <v>737</v>
      </c>
      <c r="C251" s="2">
        <v>4</v>
      </c>
      <c r="D251" s="2">
        <v>11</v>
      </c>
      <c r="E251" s="2">
        <v>2</v>
      </c>
      <c r="F251" s="2">
        <v>3</v>
      </c>
      <c r="G251" s="2">
        <v>0</v>
      </c>
      <c r="J251" s="1"/>
      <c r="M251" t="s">
        <v>15</v>
      </c>
      <c r="N251" t="str">
        <f>IFERROR(VLOOKUP(B251,'[1]All Player'!$B$2:$C$1992,2,0),"")</f>
        <v>Neaimul Novel</v>
      </c>
      <c r="O251" s="2" t="s">
        <v>474</v>
      </c>
      <c r="P251" s="16" t="s">
        <v>538</v>
      </c>
      <c r="Q251" s="1">
        <f t="shared" si="8"/>
        <v>1</v>
      </c>
      <c r="R251" s="1">
        <v>43</v>
      </c>
      <c r="U251" s="8">
        <v>41456</v>
      </c>
    </row>
    <row r="252" spans="1:21" x14ac:dyDescent="0.25">
      <c r="A252" s="2">
        <f t="shared" si="9"/>
        <v>6</v>
      </c>
      <c r="B252" t="s">
        <v>738</v>
      </c>
      <c r="C252" s="2">
        <v>2</v>
      </c>
      <c r="D252" s="2">
        <v>3</v>
      </c>
      <c r="E252" s="2">
        <v>2</v>
      </c>
      <c r="F252" s="2">
        <v>2</v>
      </c>
      <c r="G252" s="2">
        <v>0</v>
      </c>
      <c r="J252" s="1"/>
      <c r="M252" t="s">
        <v>15</v>
      </c>
      <c r="N252" t="str">
        <f>IFERROR(VLOOKUP(B252,'[1]All Player'!$B$2:$C$1992,2,0),"")</f>
        <v>Sukamal Mahajan</v>
      </c>
      <c r="O252" s="2" t="s">
        <v>474</v>
      </c>
      <c r="P252" s="16" t="s">
        <v>538</v>
      </c>
      <c r="Q252" s="1">
        <f t="shared" si="8"/>
        <v>1</v>
      </c>
      <c r="R252" s="1">
        <v>43</v>
      </c>
      <c r="U252" s="8">
        <v>41456</v>
      </c>
    </row>
    <row r="253" spans="1:21" x14ac:dyDescent="0.25">
      <c r="A253" s="2">
        <f>A252</f>
        <v>6</v>
      </c>
      <c r="B253" t="s">
        <v>739</v>
      </c>
      <c r="J253" s="1"/>
      <c r="M253" t="s">
        <v>15</v>
      </c>
      <c r="N253" t="str">
        <f>IFERROR(VLOOKUP(B253,'[1]All Player'!$B$2:$C$1992,2,0),"")</f>
        <v/>
      </c>
      <c r="O253" s="2" t="s">
        <v>474</v>
      </c>
      <c r="P253" s="16" t="s">
        <v>529</v>
      </c>
      <c r="Q253" s="1">
        <f t="shared" si="8"/>
        <v>1</v>
      </c>
      <c r="R253" s="1">
        <v>44</v>
      </c>
      <c r="T253" s="1" t="s">
        <v>657</v>
      </c>
      <c r="U253" s="8">
        <v>41456</v>
      </c>
    </row>
    <row r="254" spans="1:21" x14ac:dyDescent="0.25">
      <c r="A254" s="2">
        <f t="shared" si="9"/>
        <v>6</v>
      </c>
      <c r="B254" t="s">
        <v>699</v>
      </c>
      <c r="C254" s="2">
        <v>8</v>
      </c>
      <c r="D254" s="2">
        <v>107</v>
      </c>
      <c r="E254" s="2">
        <v>15</v>
      </c>
      <c r="F254" s="2">
        <v>13</v>
      </c>
      <c r="G254" s="2">
        <v>2</v>
      </c>
      <c r="J254" s="1"/>
      <c r="M254" t="s">
        <v>15</v>
      </c>
      <c r="N254" t="str">
        <f>IFERROR(VLOOKUP(B254,'[1]All Player'!$B$2:$C$1992,2,0),"")</f>
        <v>Saiful Islam</v>
      </c>
      <c r="O254" s="2" t="s">
        <v>474</v>
      </c>
      <c r="P254" s="16" t="s">
        <v>529</v>
      </c>
      <c r="Q254" s="1">
        <f t="shared" si="8"/>
        <v>1</v>
      </c>
      <c r="R254" s="1">
        <v>44</v>
      </c>
      <c r="T254" s="1" t="s">
        <v>657</v>
      </c>
      <c r="U254" s="8">
        <v>41456</v>
      </c>
    </row>
    <row r="255" spans="1:21" x14ac:dyDescent="0.25">
      <c r="A255" s="2">
        <f t="shared" si="9"/>
        <v>6</v>
      </c>
      <c r="B255" t="s">
        <v>230</v>
      </c>
      <c r="C255" s="2">
        <v>5</v>
      </c>
      <c r="D255" s="2">
        <v>52</v>
      </c>
      <c r="E255" s="2">
        <v>4</v>
      </c>
      <c r="F255" s="2">
        <v>6</v>
      </c>
      <c r="G255" s="2">
        <v>0</v>
      </c>
      <c r="J255" s="1"/>
      <c r="M255" t="s">
        <v>15</v>
      </c>
      <c r="N255" t="str">
        <f>IFERROR(VLOOKUP(B255,'[1]All Player'!$B$2:$C$1992,2,0),"")</f>
        <v>S M Tawhid Zihad</v>
      </c>
      <c r="O255" s="2" t="s">
        <v>474</v>
      </c>
      <c r="P255" s="16" t="s">
        <v>529</v>
      </c>
      <c r="Q255" s="1">
        <f t="shared" si="8"/>
        <v>1</v>
      </c>
      <c r="R255" s="1">
        <v>44</v>
      </c>
      <c r="T255" s="1" t="s">
        <v>657</v>
      </c>
      <c r="U255" s="8">
        <v>41456</v>
      </c>
    </row>
    <row r="256" spans="1:21" x14ac:dyDescent="0.25">
      <c r="A256" s="2">
        <f t="shared" si="9"/>
        <v>6</v>
      </c>
      <c r="B256" t="s">
        <v>740</v>
      </c>
      <c r="C256" s="2">
        <v>8</v>
      </c>
      <c r="D256" s="2">
        <v>129</v>
      </c>
      <c r="E256" s="2">
        <v>14</v>
      </c>
      <c r="F256" s="2">
        <v>13</v>
      </c>
      <c r="G256" s="2">
        <v>1</v>
      </c>
      <c r="J256" s="1"/>
      <c r="M256" t="s">
        <v>15</v>
      </c>
      <c r="N256" t="str">
        <f>IFERROR(VLOOKUP(B256,'[1]All Player'!$B$2:$C$1992,2,0),"")</f>
        <v>Mohammad Asif</v>
      </c>
      <c r="O256" s="2" t="s">
        <v>474</v>
      </c>
      <c r="P256" s="16" t="s">
        <v>529</v>
      </c>
      <c r="Q256" s="1">
        <f t="shared" si="8"/>
        <v>1</v>
      </c>
      <c r="R256" s="1">
        <v>44</v>
      </c>
      <c r="T256" s="1" t="s">
        <v>657</v>
      </c>
      <c r="U256" s="8">
        <v>41456</v>
      </c>
    </row>
    <row r="257" spans="1:23" x14ac:dyDescent="0.25">
      <c r="A257" s="2">
        <f t="shared" si="9"/>
        <v>6</v>
      </c>
      <c r="B257" t="s">
        <v>741</v>
      </c>
      <c r="C257" s="2">
        <v>8</v>
      </c>
      <c r="D257" s="2">
        <v>237</v>
      </c>
      <c r="E257" s="2">
        <v>19</v>
      </c>
      <c r="F257" s="2">
        <v>15</v>
      </c>
      <c r="G257" s="2">
        <v>3</v>
      </c>
      <c r="J257" s="1"/>
      <c r="M257" t="s">
        <v>15</v>
      </c>
      <c r="N257" t="str">
        <f>IFERROR(VLOOKUP(B257,'[1]All Player'!$B$2:$C$1992,2,0),"")</f>
        <v>Towkir Ahmed Siddique</v>
      </c>
      <c r="O257" s="2" t="s">
        <v>474</v>
      </c>
      <c r="P257" s="16" t="s">
        <v>529</v>
      </c>
      <c r="Q257" s="1">
        <f t="shared" si="8"/>
        <v>1</v>
      </c>
      <c r="R257" s="1">
        <v>44</v>
      </c>
      <c r="S257" s="2" t="s">
        <v>658</v>
      </c>
      <c r="T257" s="1" t="s">
        <v>657</v>
      </c>
      <c r="U257" s="8">
        <v>41456</v>
      </c>
    </row>
    <row r="258" spans="1:23" x14ac:dyDescent="0.25">
      <c r="A258" s="2">
        <f t="shared" si="9"/>
        <v>6</v>
      </c>
      <c r="B258" t="s">
        <v>742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J258" s="1"/>
      <c r="M258" t="s">
        <v>15</v>
      </c>
      <c r="N258" t="str">
        <f>IFERROR(VLOOKUP(B258,'[1]All Player'!$B$2:$C$1992,2,0),"")</f>
        <v/>
      </c>
      <c r="O258" s="2" t="s">
        <v>474</v>
      </c>
      <c r="P258" s="16" t="s">
        <v>529</v>
      </c>
      <c r="Q258" s="1">
        <f t="shared" ref="Q258:Q321" si="10">IF(B258="","",1)</f>
        <v>1</v>
      </c>
      <c r="R258" s="1">
        <v>44</v>
      </c>
      <c r="T258" s="1" t="s">
        <v>657</v>
      </c>
      <c r="U258" s="8">
        <v>41456</v>
      </c>
    </row>
    <row r="259" spans="1:23" x14ac:dyDescent="0.25">
      <c r="A259" s="2">
        <f t="shared" si="9"/>
        <v>6</v>
      </c>
      <c r="B259" t="s">
        <v>743</v>
      </c>
      <c r="J259" s="1"/>
      <c r="M259" t="s">
        <v>15</v>
      </c>
      <c r="N259" t="str">
        <f>IFERROR(VLOOKUP(B259,'[1]All Player'!$B$2:$C$1992,2,0),"")</f>
        <v/>
      </c>
      <c r="O259" s="2" t="s">
        <v>474</v>
      </c>
      <c r="P259" s="16" t="s">
        <v>508</v>
      </c>
      <c r="Q259" s="1">
        <f t="shared" si="10"/>
        <v>1</v>
      </c>
      <c r="R259" s="1">
        <v>45</v>
      </c>
      <c r="U259" s="8">
        <v>41456</v>
      </c>
    </row>
    <row r="260" spans="1:23" x14ac:dyDescent="0.25">
      <c r="A260" s="2">
        <f t="shared" si="9"/>
        <v>6</v>
      </c>
      <c r="B260" t="s">
        <v>744</v>
      </c>
      <c r="C260" s="2">
        <v>5</v>
      </c>
      <c r="D260" s="2">
        <v>102</v>
      </c>
      <c r="E260" s="2">
        <v>14</v>
      </c>
      <c r="F260" s="2">
        <v>13</v>
      </c>
      <c r="G260" s="2">
        <v>1</v>
      </c>
      <c r="J260" s="1"/>
      <c r="M260" t="s">
        <v>15</v>
      </c>
      <c r="N260" t="str">
        <f>IFERROR(VLOOKUP(B260,'[1]All Player'!$B$2:$C$1992,2,0),"")</f>
        <v>Injamul Haque (Syed Injamul Haque)</v>
      </c>
      <c r="O260" s="2" t="s">
        <v>474</v>
      </c>
      <c r="P260" s="16" t="s">
        <v>508</v>
      </c>
      <c r="Q260" s="1">
        <f t="shared" si="10"/>
        <v>1</v>
      </c>
      <c r="R260" s="1">
        <v>45</v>
      </c>
      <c r="U260" s="8">
        <v>41456</v>
      </c>
    </row>
    <row r="261" spans="1:23" x14ac:dyDescent="0.25">
      <c r="A261" s="2">
        <f t="shared" si="9"/>
        <v>6</v>
      </c>
      <c r="B261" t="s">
        <v>702</v>
      </c>
      <c r="C261" s="2">
        <v>7</v>
      </c>
      <c r="D261" s="2">
        <v>173</v>
      </c>
      <c r="E261" s="2">
        <v>14</v>
      </c>
      <c r="F261" s="2">
        <v>12</v>
      </c>
      <c r="G261" s="2">
        <v>1</v>
      </c>
      <c r="J261" s="1"/>
      <c r="M261" t="s">
        <v>15</v>
      </c>
      <c r="N261" t="str">
        <f>IFERROR(VLOOKUP(B261,'[1]All Player'!$B$2:$C$1992,2,0),"")</f>
        <v>Fahim Shahrear Emon</v>
      </c>
      <c r="O261" s="2" t="s">
        <v>474</v>
      </c>
      <c r="P261" s="16" t="s">
        <v>508</v>
      </c>
      <c r="Q261" s="1">
        <f t="shared" si="10"/>
        <v>1</v>
      </c>
      <c r="R261" s="1">
        <v>45</v>
      </c>
      <c r="U261" s="8">
        <v>41456</v>
      </c>
    </row>
    <row r="262" spans="1:23" x14ac:dyDescent="0.25">
      <c r="A262" s="2">
        <f t="shared" ref="A262:A314" si="11">A261</f>
        <v>6</v>
      </c>
      <c r="B262" t="s">
        <v>745</v>
      </c>
      <c r="C262" s="2">
        <v>4</v>
      </c>
      <c r="D262" s="2">
        <v>72</v>
      </c>
      <c r="E262" s="2">
        <v>2</v>
      </c>
      <c r="F262" s="2">
        <v>6</v>
      </c>
      <c r="G262" s="2">
        <v>0</v>
      </c>
      <c r="J262" s="1"/>
      <c r="M262" t="s">
        <v>15</v>
      </c>
      <c r="N262" t="str">
        <f>IFERROR(VLOOKUP(B262,'[1]All Player'!$B$2:$C$1992,2,0),"")</f>
        <v>Cricket Pagla Arman</v>
      </c>
      <c r="O262" s="2" t="s">
        <v>474</v>
      </c>
      <c r="P262" s="16" t="s">
        <v>508</v>
      </c>
      <c r="Q262" s="1">
        <f t="shared" si="10"/>
        <v>1</v>
      </c>
      <c r="R262" s="1">
        <v>45</v>
      </c>
      <c r="U262" s="8">
        <v>41456</v>
      </c>
    </row>
    <row r="263" spans="1:23" x14ac:dyDescent="0.25">
      <c r="A263" s="2">
        <f t="shared" si="11"/>
        <v>6</v>
      </c>
      <c r="B263" t="s">
        <v>746</v>
      </c>
      <c r="C263" s="2">
        <v>7</v>
      </c>
      <c r="D263" s="2">
        <v>271</v>
      </c>
      <c r="E263" s="2">
        <v>12</v>
      </c>
      <c r="F263" s="2">
        <v>15</v>
      </c>
      <c r="G263" s="2">
        <v>1</v>
      </c>
      <c r="J263" s="1"/>
      <c r="M263" t="s">
        <v>15</v>
      </c>
      <c r="N263" t="str">
        <f>IFERROR(VLOOKUP(B263,'[1]All Player'!$B$2:$C$1992,2,0),"")</f>
        <v>Sakib Arafat</v>
      </c>
      <c r="O263" s="2" t="s">
        <v>474</v>
      </c>
      <c r="P263" s="16" t="s">
        <v>508</v>
      </c>
      <c r="Q263" s="1">
        <f t="shared" si="10"/>
        <v>1</v>
      </c>
      <c r="R263" s="1">
        <v>45</v>
      </c>
      <c r="U263" s="8">
        <v>41456</v>
      </c>
      <c r="V263" s="1">
        <v>1</v>
      </c>
    </row>
    <row r="264" spans="1:23" x14ac:dyDescent="0.25">
      <c r="A264" s="2">
        <f t="shared" si="11"/>
        <v>6</v>
      </c>
      <c r="B264" t="s">
        <v>747</v>
      </c>
      <c r="C264" s="2">
        <v>3</v>
      </c>
      <c r="D264" s="2">
        <v>46</v>
      </c>
      <c r="E264" s="2">
        <v>2</v>
      </c>
      <c r="F264" s="2">
        <v>3</v>
      </c>
      <c r="G264" s="2">
        <v>0</v>
      </c>
      <c r="J264" s="1"/>
      <c r="M264" t="s">
        <v>15</v>
      </c>
      <c r="N264" t="str">
        <f>IFERROR(VLOOKUP(B264,'[1]All Player'!$B$2:$C$1992,2,0),"")</f>
        <v>Jøwël Chý</v>
      </c>
      <c r="O264" s="2" t="s">
        <v>474</v>
      </c>
      <c r="P264" s="16" t="s">
        <v>508</v>
      </c>
      <c r="Q264" s="1">
        <f t="shared" si="10"/>
        <v>1</v>
      </c>
      <c r="R264" s="1">
        <v>45</v>
      </c>
      <c r="U264" s="8">
        <v>41456</v>
      </c>
    </row>
    <row r="265" spans="1:23" x14ac:dyDescent="0.25">
      <c r="A265" s="2">
        <f t="shared" si="11"/>
        <v>6</v>
      </c>
      <c r="B265" t="s">
        <v>748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J265" s="1"/>
      <c r="M265" t="s">
        <v>15</v>
      </c>
      <c r="N265" t="str">
        <f>IFERROR(VLOOKUP(B265,'[1]All Player'!$B$2:$C$1992,2,0),"")</f>
        <v>Lovely Rafe</v>
      </c>
      <c r="O265" s="2" t="s">
        <v>474</v>
      </c>
      <c r="P265" s="16" t="s">
        <v>508</v>
      </c>
      <c r="Q265" s="1">
        <f t="shared" si="10"/>
        <v>1</v>
      </c>
      <c r="R265" s="1">
        <v>45</v>
      </c>
      <c r="U265" s="8">
        <v>41456</v>
      </c>
    </row>
    <row r="266" spans="1:23" x14ac:dyDescent="0.25">
      <c r="A266" s="2">
        <f t="shared" si="11"/>
        <v>6</v>
      </c>
      <c r="B266" t="s">
        <v>749</v>
      </c>
      <c r="J266" s="1"/>
      <c r="M266" t="s">
        <v>15</v>
      </c>
      <c r="N266" t="str">
        <f>IFERROR(VLOOKUP(B266,'[1]All Player'!$B$2:$C$1992,2,0),"")</f>
        <v/>
      </c>
      <c r="O266" s="2" t="s">
        <v>474</v>
      </c>
      <c r="P266" s="16" t="s">
        <v>580</v>
      </c>
      <c r="Q266" s="1">
        <f t="shared" si="10"/>
        <v>1</v>
      </c>
      <c r="R266" s="1">
        <v>46</v>
      </c>
      <c r="U266" s="8">
        <v>41456</v>
      </c>
    </row>
    <row r="267" spans="1:23" x14ac:dyDescent="0.25">
      <c r="A267" s="2">
        <f t="shared" si="11"/>
        <v>6</v>
      </c>
      <c r="B267" t="s">
        <v>750</v>
      </c>
      <c r="C267" s="2">
        <v>6</v>
      </c>
      <c r="D267" s="2">
        <v>221</v>
      </c>
      <c r="E267" s="2">
        <v>26</v>
      </c>
      <c r="F267" s="2">
        <v>12</v>
      </c>
      <c r="G267" s="2">
        <v>4</v>
      </c>
      <c r="J267" s="1"/>
      <c r="M267" t="s">
        <v>15</v>
      </c>
      <c r="N267" t="str">
        <f>IFERROR(VLOOKUP(B267,'[1]All Player'!$B$2:$C$1992,2,0),"")</f>
        <v>Arif Ziad</v>
      </c>
      <c r="O267" s="2" t="s">
        <v>474</v>
      </c>
      <c r="P267" s="16" t="s">
        <v>1145</v>
      </c>
      <c r="Q267" s="1">
        <f t="shared" si="10"/>
        <v>1</v>
      </c>
      <c r="R267" s="22">
        <v>46</v>
      </c>
      <c r="S267" s="2" t="s">
        <v>660</v>
      </c>
      <c r="U267" s="8">
        <v>41456</v>
      </c>
      <c r="W267" s="1">
        <v>1</v>
      </c>
    </row>
    <row r="268" spans="1:23" x14ac:dyDescent="0.25">
      <c r="A268" s="2">
        <f t="shared" si="11"/>
        <v>6</v>
      </c>
      <c r="B268" t="s">
        <v>704</v>
      </c>
      <c r="C268" s="2">
        <v>6</v>
      </c>
      <c r="D268" s="2">
        <v>48</v>
      </c>
      <c r="E268" s="2">
        <v>10</v>
      </c>
      <c r="F268" s="2">
        <v>11</v>
      </c>
      <c r="G268" s="2">
        <v>0</v>
      </c>
      <c r="J268" s="1"/>
      <c r="M268" t="s">
        <v>15</v>
      </c>
      <c r="N268" t="str">
        <f>IFERROR(VLOOKUP(B268,'[1]All Player'!$B$2:$C$1992,2,0),"")</f>
        <v>Bishwajit Sarkar</v>
      </c>
      <c r="O268" s="2" t="s">
        <v>474</v>
      </c>
      <c r="P268" s="16" t="s">
        <v>580</v>
      </c>
      <c r="Q268" s="1">
        <f t="shared" si="10"/>
        <v>1</v>
      </c>
      <c r="R268" s="1">
        <v>46</v>
      </c>
      <c r="U268" s="8">
        <v>41456</v>
      </c>
    </row>
    <row r="269" spans="1:23" x14ac:dyDescent="0.25">
      <c r="A269" s="2">
        <f t="shared" si="11"/>
        <v>6</v>
      </c>
      <c r="B269" t="s">
        <v>692</v>
      </c>
      <c r="C269" s="2">
        <v>6</v>
      </c>
      <c r="D269" s="2">
        <v>153</v>
      </c>
      <c r="E269" s="2">
        <v>4</v>
      </c>
      <c r="F269" s="2">
        <v>10</v>
      </c>
      <c r="G269" s="2">
        <v>2</v>
      </c>
      <c r="J269" s="1"/>
      <c r="M269" t="s">
        <v>15</v>
      </c>
      <c r="N269" t="str">
        <f>IFERROR(VLOOKUP(B269,'[1]All Player'!$B$2:$C$1992,2,0),"")</f>
        <v>Taho D. Ace</v>
      </c>
      <c r="O269" s="2" t="s">
        <v>474</v>
      </c>
      <c r="P269" s="16" t="s">
        <v>580</v>
      </c>
      <c r="Q269" s="1">
        <f t="shared" si="10"/>
        <v>1</v>
      </c>
      <c r="R269" s="1">
        <v>46</v>
      </c>
      <c r="U269" s="8">
        <v>41456</v>
      </c>
    </row>
    <row r="270" spans="1:23" x14ac:dyDescent="0.25">
      <c r="A270" s="2">
        <f t="shared" si="11"/>
        <v>6</v>
      </c>
      <c r="B270" t="s">
        <v>356</v>
      </c>
      <c r="C270" s="2">
        <v>3</v>
      </c>
      <c r="D270" s="2">
        <v>21</v>
      </c>
      <c r="E270" s="2">
        <v>1</v>
      </c>
      <c r="F270" s="2">
        <v>3</v>
      </c>
      <c r="G270" s="2">
        <v>0</v>
      </c>
      <c r="J270" s="1"/>
      <c r="M270" t="s">
        <v>15</v>
      </c>
      <c r="N270" t="str">
        <f>IFERROR(VLOOKUP(B270,'[1]All Player'!$B$2:$C$1992,2,0),"")</f>
        <v>Shafayat Miraj</v>
      </c>
      <c r="O270" s="2" t="s">
        <v>474</v>
      </c>
      <c r="P270" s="16" t="s">
        <v>580</v>
      </c>
      <c r="Q270" s="1">
        <f t="shared" si="10"/>
        <v>1</v>
      </c>
      <c r="R270" s="1">
        <v>46</v>
      </c>
      <c r="U270" s="8">
        <v>41456</v>
      </c>
    </row>
    <row r="271" spans="1:23" x14ac:dyDescent="0.25">
      <c r="A271" s="2">
        <f t="shared" si="11"/>
        <v>6</v>
      </c>
      <c r="B271" t="s">
        <v>751</v>
      </c>
      <c r="C271" s="2">
        <v>1</v>
      </c>
      <c r="D271" s="2">
        <v>2</v>
      </c>
      <c r="E271" s="2">
        <v>0</v>
      </c>
      <c r="F271" s="2">
        <v>1</v>
      </c>
      <c r="G271" s="2">
        <v>0</v>
      </c>
      <c r="J271" s="1"/>
      <c r="M271" t="s">
        <v>15</v>
      </c>
      <c r="N271" t="str">
        <f>IFERROR(VLOOKUP(B271,'[1]All Player'!$B$2:$C$1992,2,0),"")</f>
        <v>Syeed Zeeshan Quadir</v>
      </c>
      <c r="O271" s="2" t="s">
        <v>474</v>
      </c>
      <c r="P271" s="16" t="s">
        <v>580</v>
      </c>
      <c r="Q271" s="1">
        <f t="shared" si="10"/>
        <v>1</v>
      </c>
      <c r="R271" s="1">
        <v>46</v>
      </c>
      <c r="U271" s="8">
        <v>41456</v>
      </c>
    </row>
    <row r="272" spans="1:23" x14ac:dyDescent="0.25">
      <c r="A272" s="2">
        <f t="shared" si="11"/>
        <v>6</v>
      </c>
      <c r="B272" t="s">
        <v>703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J272" s="1"/>
      <c r="M272" t="s">
        <v>15</v>
      </c>
      <c r="N272" t="str">
        <f>IFERROR(VLOOKUP(B272,'[1]All Player'!$B$2:$C$1992,2,0),"")</f>
        <v>Bishal Khan Ctg</v>
      </c>
      <c r="O272" s="2" t="s">
        <v>474</v>
      </c>
      <c r="P272" s="16" t="s">
        <v>580</v>
      </c>
      <c r="Q272" s="1">
        <f t="shared" si="10"/>
        <v>1</v>
      </c>
      <c r="R272" s="1">
        <v>46</v>
      </c>
      <c r="U272" s="8">
        <v>41456</v>
      </c>
    </row>
    <row r="273" spans="1:21" x14ac:dyDescent="0.25">
      <c r="A273" s="2">
        <f t="shared" si="11"/>
        <v>6</v>
      </c>
      <c r="B273" t="s">
        <v>752</v>
      </c>
      <c r="J273" s="1"/>
      <c r="M273" t="s">
        <v>15</v>
      </c>
      <c r="N273" t="str">
        <f>IFERROR(VLOOKUP(B273,'[1]All Player'!$B$2:$C$1992,2,0),"")</f>
        <v/>
      </c>
      <c r="O273" s="2" t="s">
        <v>474</v>
      </c>
      <c r="P273" s="16" t="s">
        <v>488</v>
      </c>
      <c r="Q273" s="1">
        <f t="shared" si="10"/>
        <v>1</v>
      </c>
      <c r="R273" s="1">
        <v>47</v>
      </c>
      <c r="U273" s="8">
        <v>41456</v>
      </c>
    </row>
    <row r="274" spans="1:21" x14ac:dyDescent="0.25">
      <c r="A274" s="2">
        <f t="shared" si="11"/>
        <v>6</v>
      </c>
      <c r="B274" t="s">
        <v>686</v>
      </c>
      <c r="C274" s="2">
        <v>5</v>
      </c>
      <c r="D274" s="2">
        <v>100</v>
      </c>
      <c r="E274" s="2">
        <v>12</v>
      </c>
      <c r="F274" s="2">
        <v>10</v>
      </c>
      <c r="G274" s="2">
        <v>1</v>
      </c>
      <c r="J274" s="1"/>
      <c r="M274" t="s">
        <v>15</v>
      </c>
      <c r="N274" t="str">
        <f>IFERROR(VLOOKUP(B274,'[1]All Player'!$B$2:$C$1992,2,0),"")</f>
        <v>Hetlar Shohag</v>
      </c>
      <c r="O274" s="2" t="s">
        <v>474</v>
      </c>
      <c r="P274" s="16" t="s">
        <v>488</v>
      </c>
      <c r="Q274" s="1">
        <f t="shared" si="10"/>
        <v>1</v>
      </c>
      <c r="R274" s="1">
        <v>47</v>
      </c>
      <c r="U274" s="8">
        <v>41456</v>
      </c>
    </row>
    <row r="275" spans="1:21" x14ac:dyDescent="0.25">
      <c r="A275" s="2">
        <f t="shared" si="11"/>
        <v>6</v>
      </c>
      <c r="B275" t="s">
        <v>683</v>
      </c>
      <c r="C275" s="2">
        <v>5</v>
      </c>
      <c r="D275" s="2">
        <v>126</v>
      </c>
      <c r="E275" s="2">
        <v>4</v>
      </c>
      <c r="F275" s="2">
        <v>10</v>
      </c>
      <c r="G275" s="2">
        <v>0</v>
      </c>
      <c r="J275" s="1"/>
      <c r="M275" t="s">
        <v>15</v>
      </c>
      <c r="N275" t="str">
        <f>IFERROR(VLOOKUP(B275,'[1]All Player'!$B$2:$C$1992,2,0),"")</f>
        <v>Foysal Ahmed Jumon</v>
      </c>
      <c r="O275" s="2" t="s">
        <v>474</v>
      </c>
      <c r="P275" s="16" t="s">
        <v>488</v>
      </c>
      <c r="Q275" s="1">
        <f t="shared" si="10"/>
        <v>1</v>
      </c>
      <c r="R275" s="1">
        <v>47</v>
      </c>
      <c r="U275" s="8">
        <v>41456</v>
      </c>
    </row>
    <row r="276" spans="1:21" x14ac:dyDescent="0.25">
      <c r="A276" s="2">
        <f t="shared" si="11"/>
        <v>6</v>
      </c>
      <c r="B276" t="s">
        <v>753</v>
      </c>
      <c r="C276" s="2">
        <v>5</v>
      </c>
      <c r="D276" s="2">
        <v>77</v>
      </c>
      <c r="E276" s="2">
        <v>6</v>
      </c>
      <c r="F276" s="2">
        <v>8</v>
      </c>
      <c r="G276" s="2">
        <v>0</v>
      </c>
      <c r="J276" s="1"/>
      <c r="M276" t="s">
        <v>15</v>
      </c>
      <c r="N276" t="str">
        <f>IFERROR(VLOOKUP(B276,'[1]All Player'!$B$2:$C$1992,2,0),"")</f>
        <v>Shuvayan Saha Brinto</v>
      </c>
      <c r="O276" s="2" t="s">
        <v>474</v>
      </c>
      <c r="P276" s="16" t="s">
        <v>488</v>
      </c>
      <c r="Q276" s="1">
        <f t="shared" si="10"/>
        <v>1</v>
      </c>
      <c r="R276" s="1">
        <v>47</v>
      </c>
      <c r="U276" s="8">
        <v>41456</v>
      </c>
    </row>
    <row r="277" spans="1:21" x14ac:dyDescent="0.25">
      <c r="A277" s="2">
        <f t="shared" si="11"/>
        <v>6</v>
      </c>
      <c r="B277" t="s">
        <v>46</v>
      </c>
      <c r="C277" s="2">
        <v>3</v>
      </c>
      <c r="D277" s="2">
        <v>29</v>
      </c>
      <c r="E277" s="2">
        <v>3</v>
      </c>
      <c r="F277" s="2">
        <v>5</v>
      </c>
      <c r="G277" s="2">
        <v>0</v>
      </c>
      <c r="J277" s="1"/>
      <c r="M277" t="s">
        <v>15</v>
      </c>
      <c r="N277" t="str">
        <f>IFERROR(VLOOKUP(B277,'[1]All Player'!$B$2:$C$1992,2,0),"")</f>
        <v>Roman mahamud Arko</v>
      </c>
      <c r="O277" s="2" t="s">
        <v>474</v>
      </c>
      <c r="P277" s="16" t="s">
        <v>488</v>
      </c>
      <c r="Q277" s="1">
        <f t="shared" si="10"/>
        <v>1</v>
      </c>
      <c r="R277" s="1">
        <v>47</v>
      </c>
      <c r="U277" s="8">
        <v>41456</v>
      </c>
    </row>
    <row r="278" spans="1:21" x14ac:dyDescent="0.25">
      <c r="A278" s="2">
        <f t="shared" si="11"/>
        <v>6</v>
      </c>
      <c r="B278" t="s">
        <v>754</v>
      </c>
      <c r="C278" s="2">
        <v>1</v>
      </c>
      <c r="D278" s="2">
        <v>0</v>
      </c>
      <c r="E278" s="2">
        <v>3</v>
      </c>
      <c r="F278" s="2">
        <v>0</v>
      </c>
      <c r="G278" s="2">
        <v>0</v>
      </c>
      <c r="J278" s="1"/>
      <c r="M278" t="s">
        <v>15</v>
      </c>
      <c r="N278" t="str">
        <f>IFERROR(VLOOKUP(B278,'[1]All Player'!$B$2:$C$1992,2,0),"")</f>
        <v>Saiful Rahat</v>
      </c>
      <c r="O278" s="2" t="s">
        <v>474</v>
      </c>
      <c r="P278" s="16" t="s">
        <v>488</v>
      </c>
      <c r="Q278" s="1">
        <f t="shared" si="10"/>
        <v>1</v>
      </c>
      <c r="R278" s="1">
        <v>47</v>
      </c>
      <c r="U278" s="8">
        <v>41456</v>
      </c>
    </row>
    <row r="279" spans="1:21" x14ac:dyDescent="0.25">
      <c r="A279" s="2">
        <f t="shared" si="11"/>
        <v>6</v>
      </c>
      <c r="B279" t="s">
        <v>755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J279" s="1"/>
      <c r="M279" t="s">
        <v>15</v>
      </c>
      <c r="N279" t="str">
        <f>IFERROR(VLOOKUP(B279,'[1]All Player'!$B$2:$C$1992,2,0),"")</f>
        <v>Robin Emon</v>
      </c>
      <c r="O279" s="2" t="s">
        <v>474</v>
      </c>
      <c r="P279" s="16" t="s">
        <v>488</v>
      </c>
      <c r="Q279" s="1">
        <f t="shared" si="10"/>
        <v>1</v>
      </c>
      <c r="R279" s="1">
        <v>47</v>
      </c>
      <c r="U279" s="8">
        <v>41456</v>
      </c>
    </row>
    <row r="280" spans="1:21" x14ac:dyDescent="0.25">
      <c r="A280" s="2">
        <f t="shared" si="11"/>
        <v>6</v>
      </c>
      <c r="B280" t="s">
        <v>756</v>
      </c>
      <c r="J280" s="1"/>
      <c r="M280" t="s">
        <v>15</v>
      </c>
      <c r="N280" t="str">
        <f>IFERROR(VLOOKUP(B280,'[1]All Player'!$B$2:$C$1992,2,0),"")</f>
        <v/>
      </c>
      <c r="O280" s="2" t="s">
        <v>474</v>
      </c>
      <c r="P280" s="16" t="s">
        <v>489</v>
      </c>
      <c r="Q280" s="1">
        <f t="shared" si="10"/>
        <v>1</v>
      </c>
      <c r="R280" s="1">
        <v>48</v>
      </c>
      <c r="U280" s="8">
        <v>41456</v>
      </c>
    </row>
    <row r="281" spans="1:21" x14ac:dyDescent="0.25">
      <c r="A281" s="2">
        <f t="shared" si="11"/>
        <v>6</v>
      </c>
      <c r="B281" t="s">
        <v>695</v>
      </c>
      <c r="C281" s="2">
        <v>3</v>
      </c>
      <c r="D281" s="2">
        <v>35</v>
      </c>
      <c r="E281" s="2">
        <v>2</v>
      </c>
      <c r="F281" s="2">
        <v>3</v>
      </c>
      <c r="G281" s="2">
        <v>0</v>
      </c>
      <c r="J281" s="1"/>
      <c r="M281" t="s">
        <v>15</v>
      </c>
      <c r="N281" t="str">
        <f>IFERROR(VLOOKUP(B281,'[1]All Player'!$B$2:$C$1992,2,0),"")</f>
        <v>Yahya Riyad</v>
      </c>
      <c r="O281" s="2" t="s">
        <v>474</v>
      </c>
      <c r="P281" s="16" t="s">
        <v>489</v>
      </c>
      <c r="Q281" s="1">
        <f t="shared" si="10"/>
        <v>1</v>
      </c>
      <c r="R281" s="1">
        <v>48</v>
      </c>
      <c r="U281" s="8">
        <v>41456</v>
      </c>
    </row>
    <row r="282" spans="1:21" x14ac:dyDescent="0.25">
      <c r="A282" s="2">
        <f t="shared" si="11"/>
        <v>6</v>
      </c>
      <c r="B282" t="s">
        <v>757</v>
      </c>
      <c r="C282" s="2">
        <v>4</v>
      </c>
      <c r="D282" s="2">
        <v>27</v>
      </c>
      <c r="E282" s="2">
        <v>5</v>
      </c>
      <c r="F282" s="2">
        <v>4</v>
      </c>
      <c r="G282" s="2">
        <v>0</v>
      </c>
      <c r="J282" s="1"/>
      <c r="M282" t="s">
        <v>15</v>
      </c>
      <c r="N282" t="str">
        <f>IFERROR(VLOOKUP(B282,'[1]All Player'!$B$2:$C$1992,2,0),"")</f>
        <v>Raihan Islam Akash</v>
      </c>
      <c r="O282" s="2" t="s">
        <v>474</v>
      </c>
      <c r="P282" s="16" t="s">
        <v>489</v>
      </c>
      <c r="Q282" s="1">
        <f t="shared" si="10"/>
        <v>1</v>
      </c>
      <c r="R282" s="1">
        <v>48</v>
      </c>
      <c r="U282" s="8">
        <v>41456</v>
      </c>
    </row>
    <row r="283" spans="1:21" x14ac:dyDescent="0.25">
      <c r="A283" s="2">
        <f t="shared" si="11"/>
        <v>6</v>
      </c>
      <c r="B283" t="s">
        <v>706</v>
      </c>
      <c r="C283" s="2">
        <v>4</v>
      </c>
      <c r="D283" s="2">
        <v>79</v>
      </c>
      <c r="E283" s="2">
        <v>10</v>
      </c>
      <c r="F283" s="2">
        <v>9</v>
      </c>
      <c r="G283" s="2">
        <v>0</v>
      </c>
      <c r="J283" s="1"/>
      <c r="M283" t="s">
        <v>15</v>
      </c>
      <c r="N283" t="str">
        <f>IFERROR(VLOOKUP(B283,'[1]All Player'!$B$2:$C$1992,2,0),"")</f>
        <v>Alauddin Lovelo</v>
      </c>
      <c r="O283" s="2" t="s">
        <v>474</v>
      </c>
      <c r="P283" s="16" t="s">
        <v>489</v>
      </c>
      <c r="Q283" s="1">
        <f t="shared" si="10"/>
        <v>1</v>
      </c>
      <c r="R283" s="1">
        <v>48</v>
      </c>
      <c r="U283" s="8">
        <v>41456</v>
      </c>
    </row>
    <row r="284" spans="1:21" x14ac:dyDescent="0.25">
      <c r="A284" s="2">
        <f t="shared" si="11"/>
        <v>6</v>
      </c>
      <c r="B284" t="s">
        <v>758</v>
      </c>
      <c r="C284" s="2">
        <v>4</v>
      </c>
      <c r="D284" s="2">
        <v>34</v>
      </c>
      <c r="E284" s="2">
        <v>4</v>
      </c>
      <c r="F284" s="2">
        <v>8</v>
      </c>
      <c r="G284" s="2">
        <v>0</v>
      </c>
      <c r="J284" s="1"/>
      <c r="M284" t="s">
        <v>15</v>
      </c>
      <c r="N284" t="str">
        <f>IFERROR(VLOOKUP(B284,'[1]All Player'!$B$2:$C$1992,2,0),"")</f>
        <v>Redwan Ahmed</v>
      </c>
      <c r="O284" s="2" t="s">
        <v>474</v>
      </c>
      <c r="P284" s="16" t="s">
        <v>489</v>
      </c>
      <c r="Q284" s="1">
        <f t="shared" si="10"/>
        <v>1</v>
      </c>
      <c r="R284" s="1">
        <v>48</v>
      </c>
      <c r="U284" s="8">
        <v>41456</v>
      </c>
    </row>
    <row r="285" spans="1:21" x14ac:dyDescent="0.25">
      <c r="A285" s="2">
        <f t="shared" si="11"/>
        <v>6</v>
      </c>
      <c r="B285" t="s">
        <v>759</v>
      </c>
      <c r="C285" s="2">
        <v>3</v>
      </c>
      <c r="D285" s="2">
        <v>143</v>
      </c>
      <c r="E285" s="2">
        <v>0</v>
      </c>
      <c r="F285" s="2">
        <v>8</v>
      </c>
      <c r="G285" s="2">
        <v>1</v>
      </c>
      <c r="J285" s="1"/>
      <c r="M285" t="s">
        <v>15</v>
      </c>
      <c r="N285" t="str">
        <f>IFERROR(VLOOKUP(B285,'[1]All Player'!$B$2:$C$1992,2,0),"")</f>
        <v>Mazharul Islam Moon</v>
      </c>
      <c r="O285" s="2" t="s">
        <v>474</v>
      </c>
      <c r="P285" s="16" t="s">
        <v>489</v>
      </c>
      <c r="Q285" s="1">
        <f t="shared" si="10"/>
        <v>1</v>
      </c>
      <c r="R285" s="1">
        <v>48</v>
      </c>
      <c r="U285" s="8">
        <v>41456</v>
      </c>
    </row>
    <row r="286" spans="1:21" x14ac:dyDescent="0.25">
      <c r="A286" s="2">
        <f t="shared" si="11"/>
        <v>6</v>
      </c>
      <c r="B286" t="s">
        <v>760</v>
      </c>
      <c r="C286" s="2">
        <v>2</v>
      </c>
      <c r="D286" s="2">
        <v>8</v>
      </c>
      <c r="E286" s="2">
        <v>1</v>
      </c>
      <c r="F286" s="2">
        <v>4</v>
      </c>
      <c r="G286" s="2">
        <v>0</v>
      </c>
      <c r="J286" s="1"/>
      <c r="M286" t="s">
        <v>15</v>
      </c>
      <c r="N286" t="str">
        <f>IFERROR(VLOOKUP(B286,'[1]All Player'!$B$2:$C$1992,2,0),"")</f>
        <v>Yousuf Riday</v>
      </c>
      <c r="O286" s="2" t="s">
        <v>474</v>
      </c>
      <c r="P286" s="16" t="s">
        <v>489</v>
      </c>
      <c r="Q286" s="1">
        <f t="shared" si="10"/>
        <v>1</v>
      </c>
      <c r="R286" s="1">
        <v>48</v>
      </c>
      <c r="U286" s="8">
        <v>41456</v>
      </c>
    </row>
    <row r="287" spans="1:21" x14ac:dyDescent="0.25">
      <c r="A287" s="2">
        <v>7</v>
      </c>
      <c r="B287" s="17" t="s">
        <v>761</v>
      </c>
      <c r="J287" s="1"/>
      <c r="M287" t="s">
        <v>15</v>
      </c>
      <c r="N287" t="str">
        <f>IFERROR(VLOOKUP(B287,'[1]All Player'!$B$2:$C$1992,2,0),"")</f>
        <v/>
      </c>
      <c r="O287" s="2" t="s">
        <v>490</v>
      </c>
      <c r="P287" s="16" t="s">
        <v>491</v>
      </c>
      <c r="Q287" s="1">
        <f t="shared" si="10"/>
        <v>1</v>
      </c>
      <c r="R287" s="1">
        <v>49</v>
      </c>
      <c r="U287" s="8">
        <v>41487</v>
      </c>
    </row>
    <row r="288" spans="1:21" x14ac:dyDescent="0.25">
      <c r="A288" s="2">
        <f>A287</f>
        <v>7</v>
      </c>
      <c r="B288" t="s">
        <v>46</v>
      </c>
      <c r="C288" s="2">
        <v>3</v>
      </c>
      <c r="D288" s="2">
        <v>8</v>
      </c>
      <c r="E288" s="2">
        <v>4</v>
      </c>
      <c r="F288" s="2">
        <v>2</v>
      </c>
      <c r="G288" s="2">
        <v>0</v>
      </c>
      <c r="H288" s="2">
        <v>1</v>
      </c>
      <c r="I288" s="2">
        <v>0</v>
      </c>
      <c r="J288" s="1"/>
      <c r="M288" t="s">
        <v>15</v>
      </c>
      <c r="N288" t="str">
        <f>IFERROR(VLOOKUP(B288,'[1]All Player'!$B$2:$C$1992,2,0),"")</f>
        <v>Roman mahamud Arko</v>
      </c>
      <c r="O288" s="2" t="s">
        <v>490</v>
      </c>
      <c r="P288" s="16" t="s">
        <v>491</v>
      </c>
      <c r="Q288" s="1">
        <f t="shared" si="10"/>
        <v>1</v>
      </c>
      <c r="R288" s="1">
        <v>49</v>
      </c>
      <c r="U288" s="8">
        <v>41487</v>
      </c>
    </row>
    <row r="289" spans="1:21" x14ac:dyDescent="0.25">
      <c r="A289" s="2">
        <f t="shared" si="11"/>
        <v>7</v>
      </c>
      <c r="B289" t="s">
        <v>205</v>
      </c>
      <c r="C289" s="2">
        <v>3</v>
      </c>
      <c r="D289" s="2">
        <v>88</v>
      </c>
      <c r="E289" s="2">
        <v>4</v>
      </c>
      <c r="F289" s="2">
        <v>7</v>
      </c>
      <c r="G289" s="2">
        <v>1</v>
      </c>
      <c r="H289" s="2">
        <v>4</v>
      </c>
      <c r="I289" s="2">
        <v>5</v>
      </c>
      <c r="J289" s="1"/>
      <c r="M289" t="s">
        <v>15</v>
      </c>
      <c r="N289" t="str">
        <f>IFERROR(VLOOKUP(B289,'[1]All Player'!$B$2:$C$1992,2,0),"")</f>
        <v>Injamul Haque (Syed Injamul Haque)</v>
      </c>
      <c r="O289" s="2" t="s">
        <v>490</v>
      </c>
      <c r="P289" s="16" t="s">
        <v>491</v>
      </c>
      <c r="Q289" s="1">
        <f t="shared" si="10"/>
        <v>1</v>
      </c>
      <c r="R289" s="1">
        <v>49</v>
      </c>
      <c r="U289" s="8">
        <v>41487</v>
      </c>
    </row>
    <row r="290" spans="1:21" x14ac:dyDescent="0.25">
      <c r="A290" s="2">
        <f t="shared" si="11"/>
        <v>7</v>
      </c>
      <c r="B290" t="s">
        <v>208</v>
      </c>
      <c r="C290" s="2">
        <v>3</v>
      </c>
      <c r="D290" s="2">
        <v>14</v>
      </c>
      <c r="E290" s="2">
        <v>4</v>
      </c>
      <c r="F290" s="2">
        <v>3</v>
      </c>
      <c r="G290" s="2">
        <v>0</v>
      </c>
      <c r="H290" s="2">
        <v>1</v>
      </c>
      <c r="I290" s="2">
        <v>1</v>
      </c>
      <c r="J290" s="1"/>
      <c r="M290" t="s">
        <v>15</v>
      </c>
      <c r="N290" t="str">
        <f>IFERROR(VLOOKUP(B290,'[1]All Player'!$B$2:$C$1992,2,0),"")</f>
        <v>Fahim Shahrear Emon</v>
      </c>
      <c r="O290" s="2" t="s">
        <v>490</v>
      </c>
      <c r="P290" s="16" t="s">
        <v>491</v>
      </c>
      <c r="Q290" s="1">
        <f t="shared" si="10"/>
        <v>1</v>
      </c>
      <c r="R290" s="1">
        <v>49</v>
      </c>
      <c r="U290" s="8">
        <v>41487</v>
      </c>
    </row>
    <row r="291" spans="1:21" x14ac:dyDescent="0.25">
      <c r="A291" s="2">
        <f t="shared" si="11"/>
        <v>7</v>
      </c>
      <c r="B291" t="s">
        <v>746</v>
      </c>
      <c r="C291" s="2">
        <v>2</v>
      </c>
      <c r="D291" s="2">
        <v>34</v>
      </c>
      <c r="E291" s="2">
        <v>1</v>
      </c>
      <c r="F291" s="2">
        <v>3</v>
      </c>
      <c r="G291" s="2">
        <v>0</v>
      </c>
      <c r="H291" s="2">
        <v>1</v>
      </c>
      <c r="I291" s="2">
        <v>1</v>
      </c>
      <c r="J291" s="1"/>
      <c r="M291" t="s">
        <v>15</v>
      </c>
      <c r="N291" t="str">
        <f>IFERROR(VLOOKUP(B291,'[1]All Player'!$B$2:$C$1992,2,0),"")</f>
        <v>Sakib Arafat</v>
      </c>
      <c r="O291" s="2" t="s">
        <v>490</v>
      </c>
      <c r="P291" s="16" t="s">
        <v>491</v>
      </c>
      <c r="Q291" s="1">
        <f t="shared" si="10"/>
        <v>1</v>
      </c>
      <c r="R291" s="1">
        <v>49</v>
      </c>
      <c r="U291" s="8">
        <v>41487</v>
      </c>
    </row>
    <row r="292" spans="1:21" x14ac:dyDescent="0.25">
      <c r="A292" s="2">
        <f t="shared" si="11"/>
        <v>7</v>
      </c>
      <c r="B292" t="s">
        <v>241</v>
      </c>
      <c r="C292" s="2">
        <v>2</v>
      </c>
      <c r="D292" s="2">
        <v>10</v>
      </c>
      <c r="E292" s="2">
        <v>0</v>
      </c>
      <c r="F292" s="2">
        <v>2</v>
      </c>
      <c r="G292" s="2">
        <v>0</v>
      </c>
      <c r="H292" s="2">
        <v>0</v>
      </c>
      <c r="I292" s="2">
        <v>1</v>
      </c>
      <c r="J292" s="1"/>
      <c r="M292" t="s">
        <v>15</v>
      </c>
      <c r="N292" t="str">
        <f>IFERROR(VLOOKUP(B292,'[1]All Player'!$B$2:$C$1992,2,0),"")</f>
        <v>Mehedi Hasan Shovon</v>
      </c>
      <c r="O292" s="2" t="s">
        <v>490</v>
      </c>
      <c r="P292" s="16" t="s">
        <v>491</v>
      </c>
      <c r="Q292" s="1">
        <f t="shared" si="10"/>
        <v>1</v>
      </c>
      <c r="R292" s="1">
        <v>49</v>
      </c>
      <c r="U292" s="8">
        <v>41487</v>
      </c>
    </row>
    <row r="293" spans="1:21" x14ac:dyDescent="0.25">
      <c r="A293" s="2">
        <f t="shared" si="11"/>
        <v>7</v>
      </c>
      <c r="B293" t="s">
        <v>762</v>
      </c>
      <c r="C293" s="2">
        <v>3</v>
      </c>
      <c r="D293" s="2">
        <v>35</v>
      </c>
      <c r="E293" s="2">
        <v>7</v>
      </c>
      <c r="F293" s="2">
        <v>5</v>
      </c>
      <c r="G293" s="2">
        <v>0</v>
      </c>
      <c r="H293" s="2">
        <v>0</v>
      </c>
      <c r="I293" s="2">
        <v>2</v>
      </c>
      <c r="J293" s="1"/>
      <c r="M293" t="s">
        <v>15</v>
      </c>
      <c r="N293" t="str">
        <f>IFERROR(VLOOKUP(B293,'[1]All Player'!$B$2:$C$1992,2,0),"")</f>
        <v>Mohammed Al Mamun</v>
      </c>
      <c r="O293" s="2" t="s">
        <v>490</v>
      </c>
      <c r="P293" s="16" t="s">
        <v>491</v>
      </c>
      <c r="Q293" s="1">
        <f t="shared" si="10"/>
        <v>1</v>
      </c>
      <c r="R293" s="1">
        <v>49</v>
      </c>
      <c r="U293" s="8">
        <v>41487</v>
      </c>
    </row>
    <row r="294" spans="1:21" x14ac:dyDescent="0.25">
      <c r="A294" s="2">
        <f>A293</f>
        <v>7</v>
      </c>
      <c r="B294" s="17" t="s">
        <v>763</v>
      </c>
      <c r="J294" s="1"/>
      <c r="M294" t="s">
        <v>15</v>
      </c>
      <c r="N294" t="str">
        <f>IFERROR(VLOOKUP(B294,'[1]All Player'!$B$2:$C$1992,2,0),"")</f>
        <v/>
      </c>
      <c r="O294" s="2" t="s">
        <v>490</v>
      </c>
      <c r="P294" s="16" t="s">
        <v>764</v>
      </c>
      <c r="Q294" s="1">
        <f t="shared" si="10"/>
        <v>1</v>
      </c>
      <c r="R294" s="1">
        <v>50</v>
      </c>
      <c r="U294" s="8">
        <v>41487</v>
      </c>
    </row>
    <row r="295" spans="1:21" x14ac:dyDescent="0.25">
      <c r="A295" s="2">
        <f>A294</f>
        <v>7</v>
      </c>
      <c r="B295" t="s">
        <v>230</v>
      </c>
      <c r="C295" s="2">
        <v>6</v>
      </c>
      <c r="D295" s="2">
        <v>56</v>
      </c>
      <c r="E295" s="2">
        <v>12</v>
      </c>
      <c r="F295" s="2">
        <v>7</v>
      </c>
      <c r="G295" s="2">
        <v>0</v>
      </c>
      <c r="H295" s="2">
        <v>3</v>
      </c>
      <c r="I295" s="2">
        <v>4</v>
      </c>
      <c r="J295" s="1"/>
      <c r="M295" t="s">
        <v>15</v>
      </c>
      <c r="N295" t="str">
        <f>IFERROR(VLOOKUP(B295,'[1]All Player'!$B$2:$C$1992,2,0),"")</f>
        <v>S M Tawhid Zihad</v>
      </c>
      <c r="O295" s="2" t="s">
        <v>490</v>
      </c>
      <c r="P295" s="16" t="s">
        <v>764</v>
      </c>
      <c r="Q295" s="1">
        <f t="shared" si="10"/>
        <v>1</v>
      </c>
      <c r="R295" s="1">
        <v>50</v>
      </c>
      <c r="U295" s="8">
        <v>41487</v>
      </c>
    </row>
    <row r="296" spans="1:21" x14ac:dyDescent="0.25">
      <c r="A296" s="2">
        <f t="shared" si="11"/>
        <v>7</v>
      </c>
      <c r="B296" t="s">
        <v>276</v>
      </c>
      <c r="C296" s="2">
        <v>4</v>
      </c>
      <c r="D296" s="2">
        <v>10</v>
      </c>
      <c r="E296" s="2">
        <v>6</v>
      </c>
      <c r="F296" s="2">
        <v>3</v>
      </c>
      <c r="G296" s="2">
        <v>0</v>
      </c>
      <c r="H296" s="2">
        <v>0</v>
      </c>
      <c r="I296" s="2">
        <v>0</v>
      </c>
      <c r="J296" s="1"/>
      <c r="M296" t="s">
        <v>15</v>
      </c>
      <c r="N296" t="str">
        <f>IFERROR(VLOOKUP(B296,'[1]All Player'!$B$2:$C$1992,2,0),"")</f>
        <v>Md Aneek Rashid</v>
      </c>
      <c r="O296" s="2" t="s">
        <v>490</v>
      </c>
      <c r="P296" s="16" t="s">
        <v>764</v>
      </c>
      <c r="Q296" s="1">
        <f t="shared" si="10"/>
        <v>1</v>
      </c>
      <c r="R296" s="1">
        <v>50</v>
      </c>
      <c r="U296" s="8">
        <v>41487</v>
      </c>
    </row>
    <row r="297" spans="1:21" x14ac:dyDescent="0.25">
      <c r="A297" s="2">
        <f t="shared" si="11"/>
        <v>7</v>
      </c>
      <c r="B297" t="s">
        <v>318</v>
      </c>
      <c r="C297" s="2">
        <v>5</v>
      </c>
      <c r="D297" s="2">
        <v>71</v>
      </c>
      <c r="E297" s="2">
        <v>8</v>
      </c>
      <c r="F297" s="2">
        <v>8</v>
      </c>
      <c r="G297" s="2">
        <v>1</v>
      </c>
      <c r="H297" s="2">
        <v>3</v>
      </c>
      <c r="I297" s="2">
        <v>3</v>
      </c>
      <c r="J297" s="1"/>
      <c r="M297" t="s">
        <v>15</v>
      </c>
      <c r="N297" t="str">
        <f>IFERROR(VLOOKUP(B297,'[1]All Player'!$B$2:$C$1992,2,0),"")</f>
        <v>Mazharul Islam Moon</v>
      </c>
      <c r="O297" s="2" t="s">
        <v>490</v>
      </c>
      <c r="P297" s="16" t="s">
        <v>764</v>
      </c>
      <c r="Q297" s="1">
        <f t="shared" si="10"/>
        <v>1</v>
      </c>
      <c r="R297" s="1">
        <v>50</v>
      </c>
      <c r="U297" s="8">
        <v>41487</v>
      </c>
    </row>
    <row r="298" spans="1:21" x14ac:dyDescent="0.25">
      <c r="A298" s="2">
        <f t="shared" si="11"/>
        <v>7</v>
      </c>
      <c r="B298" t="s">
        <v>118</v>
      </c>
      <c r="C298" s="2">
        <v>6</v>
      </c>
      <c r="D298" s="2">
        <v>96</v>
      </c>
      <c r="E298" s="2">
        <v>9</v>
      </c>
      <c r="F298" s="2">
        <v>8</v>
      </c>
      <c r="G298" s="2">
        <v>1</v>
      </c>
      <c r="H298" s="2">
        <v>10</v>
      </c>
      <c r="I298" s="2">
        <v>2</v>
      </c>
      <c r="J298" s="1"/>
      <c r="M298" t="s">
        <v>15</v>
      </c>
      <c r="N298" t="str">
        <f>IFERROR(VLOOKUP(B298,'[1]All Player'!$B$2:$C$1992,2,0),"")</f>
        <v>Rinkon Khan</v>
      </c>
      <c r="O298" s="2" t="s">
        <v>490</v>
      </c>
      <c r="P298" s="16" t="s">
        <v>764</v>
      </c>
      <c r="Q298" s="1">
        <f t="shared" si="10"/>
        <v>1</v>
      </c>
      <c r="R298" s="1">
        <v>50</v>
      </c>
      <c r="U298" s="8">
        <v>41487</v>
      </c>
    </row>
    <row r="299" spans="1:21" x14ac:dyDescent="0.25">
      <c r="A299" s="2">
        <f t="shared" si="11"/>
        <v>7</v>
      </c>
      <c r="B299" t="s">
        <v>99</v>
      </c>
      <c r="C299" s="2">
        <v>7</v>
      </c>
      <c r="D299" s="2">
        <v>131</v>
      </c>
      <c r="E299" s="2">
        <v>11</v>
      </c>
      <c r="F299" s="2">
        <v>12</v>
      </c>
      <c r="G299" s="2">
        <v>2</v>
      </c>
      <c r="H299" s="2">
        <v>9</v>
      </c>
      <c r="I299" s="2">
        <v>12</v>
      </c>
      <c r="J299" s="1"/>
      <c r="M299" t="s">
        <v>15</v>
      </c>
      <c r="N299" t="str">
        <f>IFERROR(VLOOKUP(B299,'[1]All Player'!$B$2:$C$1992,2,0),"")</f>
        <v>Bishwajit Sarkar</v>
      </c>
      <c r="O299" s="2" t="s">
        <v>490</v>
      </c>
      <c r="P299" s="16" t="s">
        <v>764</v>
      </c>
      <c r="Q299" s="1">
        <f t="shared" si="10"/>
        <v>1</v>
      </c>
      <c r="R299" s="1">
        <v>50</v>
      </c>
      <c r="U299" s="8">
        <v>41487</v>
      </c>
    </row>
    <row r="300" spans="1:21" x14ac:dyDescent="0.25">
      <c r="A300" s="2">
        <f t="shared" si="11"/>
        <v>7</v>
      </c>
      <c r="B300" t="s">
        <v>29</v>
      </c>
      <c r="C300" s="2">
        <v>6</v>
      </c>
      <c r="D300" s="2">
        <v>105</v>
      </c>
      <c r="E300" s="2">
        <v>5</v>
      </c>
      <c r="F300" s="2">
        <v>12</v>
      </c>
      <c r="G300" s="2">
        <v>1</v>
      </c>
      <c r="H300" s="2">
        <v>9</v>
      </c>
      <c r="I300" s="2">
        <v>5</v>
      </c>
      <c r="J300" s="1"/>
      <c r="M300" t="s">
        <v>15</v>
      </c>
      <c r="N300" t="str">
        <f>IFERROR(VLOOKUP(B300,'[1]All Player'!$B$2:$C$1992,2,0),"")</f>
        <v>Foysal Ahmed Jumon</v>
      </c>
      <c r="O300" s="2" t="s">
        <v>490</v>
      </c>
      <c r="P300" s="16" t="s">
        <v>764</v>
      </c>
      <c r="Q300" s="1">
        <f t="shared" si="10"/>
        <v>1</v>
      </c>
      <c r="R300" s="1">
        <v>50</v>
      </c>
      <c r="U300" s="8">
        <v>41487</v>
      </c>
    </row>
    <row r="301" spans="1:21" x14ac:dyDescent="0.25">
      <c r="A301" s="2">
        <f>A300</f>
        <v>7</v>
      </c>
      <c r="B301" s="17" t="s">
        <v>765</v>
      </c>
      <c r="J301" s="1"/>
      <c r="M301" t="s">
        <v>15</v>
      </c>
      <c r="N301" t="str">
        <f>IFERROR(VLOOKUP(B301,'[1]All Player'!$B$2:$C$1992,2,0),"")</f>
        <v/>
      </c>
      <c r="O301" s="2" t="s">
        <v>490</v>
      </c>
      <c r="P301" s="16" t="s">
        <v>581</v>
      </c>
      <c r="Q301" s="1">
        <f t="shared" si="10"/>
        <v>1</v>
      </c>
      <c r="R301" s="1">
        <v>51</v>
      </c>
      <c r="T301" s="1" t="s">
        <v>659</v>
      </c>
      <c r="U301" s="8">
        <v>41487</v>
      </c>
    </row>
    <row r="302" spans="1:21" x14ac:dyDescent="0.25">
      <c r="A302" s="2">
        <f>A301</f>
        <v>7</v>
      </c>
      <c r="B302" t="s">
        <v>225</v>
      </c>
      <c r="C302" s="2">
        <v>7</v>
      </c>
      <c r="D302" s="2">
        <v>65</v>
      </c>
      <c r="E302" s="2">
        <v>9</v>
      </c>
      <c r="F302" s="2">
        <v>9</v>
      </c>
      <c r="G302" s="2">
        <v>1</v>
      </c>
      <c r="H302" s="2">
        <v>6</v>
      </c>
      <c r="I302" s="2">
        <v>2</v>
      </c>
      <c r="J302" s="1"/>
      <c r="M302" t="s">
        <v>15</v>
      </c>
      <c r="N302" t="str">
        <f>IFERROR(VLOOKUP(B302,'[1]All Player'!$B$2:$C$1992,2,0),"")</f>
        <v>Md Ruvel</v>
      </c>
      <c r="O302" s="2" t="s">
        <v>490</v>
      </c>
      <c r="P302" s="16" t="s">
        <v>581</v>
      </c>
      <c r="Q302" s="1">
        <f t="shared" si="10"/>
        <v>1</v>
      </c>
      <c r="R302" s="1">
        <v>51</v>
      </c>
      <c r="T302" s="1" t="s">
        <v>659</v>
      </c>
      <c r="U302" s="8">
        <v>41487</v>
      </c>
    </row>
    <row r="303" spans="1:21" x14ac:dyDescent="0.25">
      <c r="A303" s="2">
        <f t="shared" si="11"/>
        <v>7</v>
      </c>
      <c r="B303" t="s">
        <v>201</v>
      </c>
      <c r="C303" s="2">
        <v>10</v>
      </c>
      <c r="D303" s="2">
        <v>191</v>
      </c>
      <c r="E303" s="2">
        <v>14</v>
      </c>
      <c r="F303" s="2">
        <v>14</v>
      </c>
      <c r="G303" s="2">
        <v>2</v>
      </c>
      <c r="H303" s="2">
        <v>14</v>
      </c>
      <c r="I303" s="2">
        <v>13</v>
      </c>
      <c r="J303" s="1"/>
      <c r="M303" t="s">
        <v>15</v>
      </c>
      <c r="N303" t="str">
        <f>IFERROR(VLOOKUP(B303,'[1]All Player'!$B$2:$C$1992,2,0),"")</f>
        <v>A.R. Shohag</v>
      </c>
      <c r="O303" s="2" t="s">
        <v>490</v>
      </c>
      <c r="P303" s="16" t="s">
        <v>581</v>
      </c>
      <c r="Q303" s="1">
        <f t="shared" si="10"/>
        <v>1</v>
      </c>
      <c r="R303" s="1">
        <v>51</v>
      </c>
      <c r="T303" s="1" t="s">
        <v>659</v>
      </c>
      <c r="U303" s="8">
        <v>41487</v>
      </c>
    </row>
    <row r="304" spans="1:21" x14ac:dyDescent="0.25">
      <c r="A304" s="2">
        <f t="shared" si="11"/>
        <v>7</v>
      </c>
      <c r="B304" t="s">
        <v>296</v>
      </c>
      <c r="C304" s="2">
        <v>10</v>
      </c>
      <c r="D304" s="2">
        <v>214</v>
      </c>
      <c r="E304" s="2">
        <v>17</v>
      </c>
      <c r="F304" s="2">
        <v>13</v>
      </c>
      <c r="G304" s="2">
        <v>1</v>
      </c>
      <c r="H304" s="2">
        <v>12</v>
      </c>
      <c r="I304" s="2">
        <v>21</v>
      </c>
      <c r="J304" s="1"/>
      <c r="M304" t="s">
        <v>15</v>
      </c>
      <c r="N304" t="str">
        <f>IFERROR(VLOOKUP(B304,'[1]All Player'!$B$2:$C$1992,2,0),"")</f>
        <v>Zi Zohir</v>
      </c>
      <c r="O304" s="2" t="s">
        <v>490</v>
      </c>
      <c r="P304" s="16" t="s">
        <v>581</v>
      </c>
      <c r="Q304" s="1">
        <f t="shared" si="10"/>
        <v>1</v>
      </c>
      <c r="R304" s="1">
        <v>51</v>
      </c>
      <c r="S304" s="2" t="s">
        <v>660</v>
      </c>
      <c r="T304" s="1" t="s">
        <v>659</v>
      </c>
      <c r="U304" s="8">
        <v>41487</v>
      </c>
    </row>
    <row r="305" spans="1:21" x14ac:dyDescent="0.25">
      <c r="A305" s="2">
        <f t="shared" si="11"/>
        <v>7</v>
      </c>
      <c r="B305" t="s">
        <v>320</v>
      </c>
      <c r="C305" s="2">
        <v>8</v>
      </c>
      <c r="D305" s="2">
        <v>139</v>
      </c>
      <c r="E305" s="2">
        <v>3</v>
      </c>
      <c r="F305" s="2">
        <v>8</v>
      </c>
      <c r="G305" s="2">
        <v>0</v>
      </c>
      <c r="H305" s="2">
        <v>11</v>
      </c>
      <c r="I305" s="2">
        <v>8</v>
      </c>
      <c r="J305" s="1"/>
      <c r="M305" t="s">
        <v>15</v>
      </c>
      <c r="N305" t="str">
        <f>IFERROR(VLOOKUP(B305,'[1]All Player'!$B$2:$C$1992,2,0),"")</f>
        <v>Abdul Atif</v>
      </c>
      <c r="O305" s="2" t="s">
        <v>490</v>
      </c>
      <c r="P305" s="16" t="s">
        <v>581</v>
      </c>
      <c r="Q305" s="1">
        <f t="shared" si="10"/>
        <v>1</v>
      </c>
      <c r="R305" s="1">
        <v>51</v>
      </c>
      <c r="T305" s="1" t="s">
        <v>659</v>
      </c>
      <c r="U305" s="8">
        <v>41487</v>
      </c>
    </row>
    <row r="306" spans="1:21" x14ac:dyDescent="0.25">
      <c r="A306" s="2">
        <f t="shared" si="11"/>
        <v>7</v>
      </c>
      <c r="B306" t="s">
        <v>735</v>
      </c>
      <c r="C306" s="2">
        <v>10</v>
      </c>
      <c r="D306" s="2">
        <v>163</v>
      </c>
      <c r="E306" s="2">
        <v>4</v>
      </c>
      <c r="F306" s="2">
        <v>12</v>
      </c>
      <c r="G306" s="2">
        <v>2</v>
      </c>
      <c r="H306" s="2">
        <v>16</v>
      </c>
      <c r="I306" s="2">
        <v>8</v>
      </c>
      <c r="J306" s="1"/>
      <c r="M306" t="s">
        <v>15</v>
      </c>
      <c r="N306" t="str">
        <f>IFERROR(VLOOKUP(B306,'[1]All Player'!$B$2:$C$1992,2,0),"")</f>
        <v>Ahmad Sakib Abdullah</v>
      </c>
      <c r="O306" s="2" t="s">
        <v>490</v>
      </c>
      <c r="P306" s="16" t="s">
        <v>581</v>
      </c>
      <c r="Q306" s="1">
        <f t="shared" si="10"/>
        <v>1</v>
      </c>
      <c r="R306" s="1">
        <v>51</v>
      </c>
      <c r="T306" s="1" t="s">
        <v>659</v>
      </c>
      <c r="U306" s="8">
        <v>41487</v>
      </c>
    </row>
    <row r="307" spans="1:21" x14ac:dyDescent="0.25">
      <c r="A307" s="2">
        <f t="shared" si="11"/>
        <v>7</v>
      </c>
      <c r="B307" t="s">
        <v>228</v>
      </c>
      <c r="C307" s="2">
        <v>10</v>
      </c>
      <c r="D307" s="2">
        <v>174</v>
      </c>
      <c r="E307" s="2">
        <v>17</v>
      </c>
      <c r="F307" s="2">
        <v>11</v>
      </c>
      <c r="G307" s="2">
        <v>1</v>
      </c>
      <c r="H307" s="2">
        <v>19</v>
      </c>
      <c r="I307" s="2">
        <v>9</v>
      </c>
      <c r="J307" s="1"/>
      <c r="M307" t="s">
        <v>15</v>
      </c>
      <c r="N307" t="str">
        <f>IFERROR(VLOOKUP(B307,'[1]All Player'!$B$2:$C$1992,2,0),"")</f>
        <v>Arif Ziad</v>
      </c>
      <c r="O307" s="2" t="s">
        <v>490</v>
      </c>
      <c r="P307" s="16" t="s">
        <v>581</v>
      </c>
      <c r="Q307" s="1">
        <f t="shared" si="10"/>
        <v>1</v>
      </c>
      <c r="R307" s="1">
        <v>51</v>
      </c>
      <c r="S307" s="2" t="s">
        <v>658</v>
      </c>
      <c r="T307" s="1" t="s">
        <v>659</v>
      </c>
      <c r="U307" s="8">
        <v>41487</v>
      </c>
    </row>
    <row r="308" spans="1:21" x14ac:dyDescent="0.25">
      <c r="A308" s="2">
        <f t="shared" si="11"/>
        <v>7</v>
      </c>
      <c r="B308" t="s">
        <v>322</v>
      </c>
      <c r="C308" s="2">
        <v>1</v>
      </c>
      <c r="D308" s="2">
        <v>3</v>
      </c>
      <c r="E308" s="2">
        <v>0</v>
      </c>
      <c r="F308" s="2">
        <v>1</v>
      </c>
      <c r="G308" s="2">
        <v>0</v>
      </c>
      <c r="H308" s="2">
        <v>0</v>
      </c>
      <c r="I308" s="2">
        <v>0</v>
      </c>
      <c r="J308" s="1"/>
      <c r="M308" t="s">
        <v>15</v>
      </c>
      <c r="N308" t="str">
        <f>IFERROR(VLOOKUP(B308,'[1]All Player'!$B$2:$C$1992,2,0),"")</f>
        <v>Rafeed Leon</v>
      </c>
      <c r="O308" s="2" t="s">
        <v>490</v>
      </c>
      <c r="P308" s="16" t="s">
        <v>581</v>
      </c>
      <c r="Q308" s="1">
        <f t="shared" si="10"/>
        <v>1</v>
      </c>
      <c r="R308" s="1">
        <v>51</v>
      </c>
      <c r="T308" s="1" t="s">
        <v>659</v>
      </c>
      <c r="U308" s="8">
        <v>41487</v>
      </c>
    </row>
    <row r="309" spans="1:21" x14ac:dyDescent="0.25">
      <c r="A309" s="2">
        <f>A308</f>
        <v>7</v>
      </c>
      <c r="B309" s="17" t="s">
        <v>766</v>
      </c>
      <c r="J309" s="1"/>
      <c r="M309" t="s">
        <v>15</v>
      </c>
      <c r="N309" t="str">
        <f>IFERROR(VLOOKUP(B309,'[1]All Player'!$B$2:$C$1992,2,0),"")</f>
        <v/>
      </c>
      <c r="O309" s="2" t="s">
        <v>490</v>
      </c>
      <c r="P309" s="16" t="s">
        <v>767</v>
      </c>
      <c r="Q309" s="1">
        <f t="shared" si="10"/>
        <v>1</v>
      </c>
      <c r="R309" s="1">
        <v>52</v>
      </c>
      <c r="U309" s="8">
        <v>41487</v>
      </c>
    </row>
    <row r="310" spans="1:21" x14ac:dyDescent="0.25">
      <c r="A310" s="2">
        <f>A309</f>
        <v>7</v>
      </c>
      <c r="B310" t="s">
        <v>158</v>
      </c>
      <c r="C310" s="2">
        <v>4</v>
      </c>
      <c r="D310" s="2">
        <v>32</v>
      </c>
      <c r="E310" s="2">
        <v>5</v>
      </c>
      <c r="F310" s="2">
        <v>7</v>
      </c>
      <c r="G310" s="2">
        <v>0</v>
      </c>
      <c r="H310" s="2">
        <v>2</v>
      </c>
      <c r="I310" s="2">
        <v>2</v>
      </c>
      <c r="J310" s="1"/>
      <c r="M310" t="s">
        <v>15</v>
      </c>
      <c r="N310" t="str">
        <f>IFERROR(VLOOKUP(B310,'[1]All Player'!$B$2:$C$1992,2,0),"")</f>
        <v>Sabbir Ahmed</v>
      </c>
      <c r="O310" s="2" t="s">
        <v>490</v>
      </c>
      <c r="P310" s="16" t="s">
        <v>767</v>
      </c>
      <c r="Q310" s="1">
        <f t="shared" si="10"/>
        <v>1</v>
      </c>
      <c r="R310" s="1">
        <v>52</v>
      </c>
      <c r="U310" s="8">
        <v>41487</v>
      </c>
    </row>
    <row r="311" spans="1:21" x14ac:dyDescent="0.25">
      <c r="A311" s="2">
        <f t="shared" si="11"/>
        <v>7</v>
      </c>
      <c r="B311" t="s">
        <v>768</v>
      </c>
      <c r="C311" s="2">
        <v>2</v>
      </c>
      <c r="D311" s="2">
        <v>8</v>
      </c>
      <c r="E311" s="2">
        <v>2</v>
      </c>
      <c r="F311" s="2">
        <v>2</v>
      </c>
      <c r="G311" s="2">
        <v>0</v>
      </c>
      <c r="H311" s="2">
        <v>1</v>
      </c>
      <c r="I311" s="2">
        <v>0</v>
      </c>
      <c r="J311" s="1"/>
      <c r="M311" t="s">
        <v>15</v>
      </c>
      <c r="N311" t="str">
        <f>IFERROR(VLOOKUP(B311,'[1]All Player'!$B$2:$C$1992,2,0),"")</f>
        <v>Cricket Pagla Arman</v>
      </c>
      <c r="O311" s="2" t="s">
        <v>490</v>
      </c>
      <c r="P311" s="16" t="s">
        <v>767</v>
      </c>
      <c r="Q311" s="1">
        <f t="shared" si="10"/>
        <v>1</v>
      </c>
      <c r="R311" s="1">
        <v>52</v>
      </c>
      <c r="U311" s="8">
        <v>41487</v>
      </c>
    </row>
    <row r="312" spans="1:21" x14ac:dyDescent="0.25">
      <c r="A312" s="2">
        <f t="shared" si="11"/>
        <v>7</v>
      </c>
      <c r="B312" t="s">
        <v>294</v>
      </c>
      <c r="C312" s="2">
        <v>6</v>
      </c>
      <c r="D312" s="2">
        <v>115</v>
      </c>
      <c r="E312" s="2">
        <v>3</v>
      </c>
      <c r="F312" s="2">
        <v>12</v>
      </c>
      <c r="G312" s="2">
        <v>0</v>
      </c>
      <c r="H312" s="2">
        <v>3</v>
      </c>
      <c r="I312" s="2">
        <v>10</v>
      </c>
      <c r="J312" s="1"/>
      <c r="M312" t="s">
        <v>15</v>
      </c>
      <c r="N312" t="str">
        <f>IFERROR(VLOOKUP(B312,'[1]All Player'!$B$2:$C$1992,2,0),"")</f>
        <v>Farhanul Habib Alif</v>
      </c>
      <c r="O312" s="2" t="s">
        <v>490</v>
      </c>
      <c r="P312" s="16" t="s">
        <v>767</v>
      </c>
      <c r="Q312" s="1">
        <f t="shared" si="10"/>
        <v>1</v>
      </c>
      <c r="R312" s="1">
        <v>52</v>
      </c>
      <c r="U312" s="8">
        <v>41487</v>
      </c>
    </row>
    <row r="313" spans="1:21" x14ac:dyDescent="0.25">
      <c r="A313" s="2">
        <f t="shared" si="11"/>
        <v>7</v>
      </c>
      <c r="B313" t="s">
        <v>152</v>
      </c>
      <c r="C313" s="2">
        <v>6</v>
      </c>
      <c r="D313" s="2">
        <v>105</v>
      </c>
      <c r="E313" s="2">
        <v>12</v>
      </c>
      <c r="F313" s="2">
        <v>13</v>
      </c>
      <c r="G313" s="2">
        <v>0</v>
      </c>
      <c r="H313" s="2">
        <v>4</v>
      </c>
      <c r="I313" s="2">
        <v>8</v>
      </c>
      <c r="J313" s="1"/>
      <c r="M313" t="s">
        <v>15</v>
      </c>
      <c r="N313" t="str">
        <f>IFERROR(VLOOKUP(B313,'[1]All Player'!$B$2:$C$1992,2,0),"")</f>
        <v>Niamul Habib Setu</v>
      </c>
      <c r="O313" s="2" t="s">
        <v>490</v>
      </c>
      <c r="P313" s="16" t="s">
        <v>767</v>
      </c>
      <c r="Q313" s="1">
        <f t="shared" si="10"/>
        <v>1</v>
      </c>
      <c r="R313" s="1">
        <v>52</v>
      </c>
      <c r="U313" s="8">
        <v>41487</v>
      </c>
    </row>
    <row r="314" spans="1:21" x14ac:dyDescent="0.25">
      <c r="A314" s="2">
        <f t="shared" si="11"/>
        <v>7</v>
      </c>
      <c r="B314" t="s">
        <v>183</v>
      </c>
      <c r="C314" s="2">
        <v>6</v>
      </c>
      <c r="D314" s="2">
        <v>134</v>
      </c>
      <c r="E314" s="2">
        <v>13</v>
      </c>
      <c r="F314" s="2">
        <v>14</v>
      </c>
      <c r="G314" s="2">
        <v>1</v>
      </c>
      <c r="H314" s="2">
        <v>6</v>
      </c>
      <c r="I314" s="2">
        <v>12</v>
      </c>
      <c r="J314" s="1"/>
      <c r="M314" t="s">
        <v>15</v>
      </c>
      <c r="N314" t="str">
        <f>IFERROR(VLOOKUP(B314,'[1]All Player'!$B$2:$C$1992,2,0),"")</f>
        <v>Red Heart Faisal (Fayze Ahamed)</v>
      </c>
      <c r="O314" s="2" t="s">
        <v>490</v>
      </c>
      <c r="P314" s="16" t="s">
        <v>767</v>
      </c>
      <c r="Q314" s="1">
        <f t="shared" si="10"/>
        <v>1</v>
      </c>
      <c r="R314" s="1">
        <v>52</v>
      </c>
      <c r="U314" s="8">
        <v>41487</v>
      </c>
    </row>
    <row r="315" spans="1:21" x14ac:dyDescent="0.25">
      <c r="A315" s="2">
        <f>A314</f>
        <v>7</v>
      </c>
      <c r="B315" s="17" t="s">
        <v>769</v>
      </c>
      <c r="J315" s="1"/>
      <c r="M315" t="s">
        <v>15</v>
      </c>
      <c r="N315" t="str">
        <f>IFERROR(VLOOKUP(B315,'[1]All Player'!$B$2:$C$1992,2,0),"")</f>
        <v/>
      </c>
      <c r="O315" s="2" t="s">
        <v>490</v>
      </c>
      <c r="P315" s="16" t="s">
        <v>770</v>
      </c>
      <c r="Q315" s="1">
        <f t="shared" si="10"/>
        <v>1</v>
      </c>
      <c r="R315" s="1">
        <v>53</v>
      </c>
      <c r="U315" s="8">
        <v>41487</v>
      </c>
    </row>
    <row r="316" spans="1:21" x14ac:dyDescent="0.25">
      <c r="A316" s="2">
        <f>A315</f>
        <v>7</v>
      </c>
      <c r="B316" s="4" t="s">
        <v>304</v>
      </c>
      <c r="C316" s="2">
        <v>7</v>
      </c>
      <c r="D316" s="2">
        <v>41</v>
      </c>
      <c r="E316" s="2">
        <v>4</v>
      </c>
      <c r="F316" s="2">
        <v>7</v>
      </c>
      <c r="G316" s="2">
        <v>0</v>
      </c>
      <c r="H316" s="2">
        <v>1</v>
      </c>
      <c r="I316" s="2">
        <v>0</v>
      </c>
      <c r="J316" s="1"/>
      <c r="M316" t="s">
        <v>15</v>
      </c>
      <c r="N316" t="str">
        <f>IFERROR(VLOOKUP(B316,'[1]All Player'!$B$2:$C$1992,2,0),"")</f>
        <v>Oliy Saif</v>
      </c>
      <c r="O316" s="2" t="s">
        <v>490</v>
      </c>
      <c r="P316" s="16" t="s">
        <v>770</v>
      </c>
      <c r="Q316" s="1">
        <f t="shared" si="10"/>
        <v>1</v>
      </c>
      <c r="R316" s="1">
        <v>53</v>
      </c>
      <c r="U316" s="8">
        <v>41487</v>
      </c>
    </row>
    <row r="317" spans="1:21" x14ac:dyDescent="0.25">
      <c r="A317" s="2">
        <f t="shared" ref="A317:A362" si="12">A316</f>
        <v>7</v>
      </c>
      <c r="B317" s="4" t="s">
        <v>146</v>
      </c>
      <c r="C317" s="2">
        <v>8</v>
      </c>
      <c r="D317" s="2">
        <v>90</v>
      </c>
      <c r="E317" s="2">
        <v>9</v>
      </c>
      <c r="F317" s="2">
        <v>8</v>
      </c>
      <c r="G317" s="2">
        <v>0</v>
      </c>
      <c r="H317" s="2">
        <v>4</v>
      </c>
      <c r="I317" s="2">
        <v>8</v>
      </c>
      <c r="J317" s="1"/>
      <c r="M317" t="s">
        <v>15</v>
      </c>
      <c r="N317" t="str">
        <f>IFERROR(VLOOKUP(B317,'[1]All Player'!$B$2:$C$1992,2,0),"")</f>
        <v>Nahid Saifullah</v>
      </c>
      <c r="O317" s="2" t="s">
        <v>490</v>
      </c>
      <c r="P317" s="16" t="s">
        <v>770</v>
      </c>
      <c r="Q317" s="1">
        <f t="shared" si="10"/>
        <v>1</v>
      </c>
      <c r="R317" s="1">
        <v>53</v>
      </c>
      <c r="U317" s="8">
        <v>41487</v>
      </c>
    </row>
    <row r="318" spans="1:21" x14ac:dyDescent="0.25">
      <c r="A318" s="2">
        <f t="shared" si="12"/>
        <v>7</v>
      </c>
      <c r="B318" s="4" t="s">
        <v>60</v>
      </c>
      <c r="C318" s="2">
        <v>8</v>
      </c>
      <c r="D318" s="2">
        <v>194</v>
      </c>
      <c r="E318" s="2">
        <v>4</v>
      </c>
      <c r="F318" s="2">
        <v>10</v>
      </c>
      <c r="G318" s="2">
        <v>1</v>
      </c>
      <c r="H318" s="2">
        <v>16</v>
      </c>
      <c r="I318" s="2">
        <v>11</v>
      </c>
      <c r="J318" s="1"/>
      <c r="M318" t="s">
        <v>15</v>
      </c>
      <c r="N318" t="str">
        <f>IFERROR(VLOOKUP(B318,'[1]All Player'!$B$2:$C$1992,2,0),"")</f>
        <v>Jahin Shahriar Chowdhury</v>
      </c>
      <c r="O318" s="2" t="s">
        <v>490</v>
      </c>
      <c r="P318" s="16" t="s">
        <v>770</v>
      </c>
      <c r="Q318" s="1">
        <f t="shared" si="10"/>
        <v>1</v>
      </c>
      <c r="R318" s="1">
        <v>53</v>
      </c>
      <c r="U318" s="8">
        <v>41487</v>
      </c>
    </row>
    <row r="319" spans="1:21" x14ac:dyDescent="0.25">
      <c r="A319" s="2">
        <f t="shared" si="12"/>
        <v>7</v>
      </c>
      <c r="B319" t="s">
        <v>179</v>
      </c>
      <c r="C319" s="2">
        <v>8</v>
      </c>
      <c r="D319" s="2">
        <v>104</v>
      </c>
      <c r="E319" s="2">
        <v>15</v>
      </c>
      <c r="F319" s="2">
        <v>8</v>
      </c>
      <c r="G319" s="2">
        <v>1</v>
      </c>
      <c r="H319" s="2">
        <v>5</v>
      </c>
      <c r="I319" s="2">
        <v>9</v>
      </c>
      <c r="J319" s="1"/>
      <c r="M319" t="s">
        <v>15</v>
      </c>
      <c r="N319" t="str">
        <f>IFERROR(VLOOKUP(B319,'[1]All Player'!$B$2:$C$1992,2,0),"")</f>
        <v>Shuvayan Saha Brinto</v>
      </c>
      <c r="O319" s="2" t="s">
        <v>490</v>
      </c>
      <c r="P319" s="16" t="s">
        <v>770</v>
      </c>
      <c r="Q319" s="1">
        <f t="shared" si="10"/>
        <v>1</v>
      </c>
      <c r="R319" s="1">
        <v>53</v>
      </c>
      <c r="U319" s="8">
        <v>41487</v>
      </c>
    </row>
    <row r="320" spans="1:21" x14ac:dyDescent="0.25">
      <c r="A320" s="2">
        <f t="shared" si="12"/>
        <v>7</v>
      </c>
      <c r="B320" s="4" t="s">
        <v>70</v>
      </c>
      <c r="C320" s="2">
        <v>8</v>
      </c>
      <c r="D320" s="2">
        <v>93</v>
      </c>
      <c r="E320" s="2">
        <v>7</v>
      </c>
      <c r="F320" s="2">
        <v>10</v>
      </c>
      <c r="G320" s="2">
        <v>0</v>
      </c>
      <c r="H320" s="2">
        <v>9</v>
      </c>
      <c r="I320" s="2">
        <v>7</v>
      </c>
      <c r="J320" s="1"/>
      <c r="M320" t="s">
        <v>15</v>
      </c>
      <c r="N320" t="str">
        <f>IFERROR(VLOOKUP(B320,'[1]All Player'!$B$2:$C$1992,2,0),"")</f>
        <v>Sheik Helal Ahmed</v>
      </c>
      <c r="O320" s="2" t="s">
        <v>490</v>
      </c>
      <c r="P320" s="16" t="s">
        <v>770</v>
      </c>
      <c r="Q320" s="1">
        <f t="shared" si="10"/>
        <v>1</v>
      </c>
      <c r="R320" s="1">
        <v>53</v>
      </c>
      <c r="U320" s="8">
        <v>41487</v>
      </c>
    </row>
    <row r="321" spans="1:23" x14ac:dyDescent="0.25">
      <c r="A321" s="2">
        <f t="shared" si="12"/>
        <v>7</v>
      </c>
      <c r="B321" t="s">
        <v>72</v>
      </c>
      <c r="C321" s="2">
        <v>8</v>
      </c>
      <c r="D321" s="2">
        <v>265</v>
      </c>
      <c r="E321" s="2">
        <v>7</v>
      </c>
      <c r="F321" s="2">
        <v>13</v>
      </c>
      <c r="G321" s="2">
        <v>2</v>
      </c>
      <c r="H321" s="2">
        <v>19</v>
      </c>
      <c r="I321" s="2">
        <v>13</v>
      </c>
      <c r="J321" s="1"/>
      <c r="M321" t="s">
        <v>15</v>
      </c>
      <c r="N321" t="str">
        <f>IFERROR(VLOOKUP(B321,'[1]All Player'!$B$2:$C$1992,2,0),"")</f>
        <v>Akram Husan (Washim)</v>
      </c>
      <c r="O321" s="2" t="s">
        <v>490</v>
      </c>
      <c r="P321" s="16" t="s">
        <v>770</v>
      </c>
      <c r="Q321" s="1">
        <f t="shared" si="10"/>
        <v>1</v>
      </c>
      <c r="R321" s="1">
        <v>53</v>
      </c>
      <c r="U321" s="8">
        <v>41487</v>
      </c>
      <c r="V321" s="1">
        <v>1</v>
      </c>
    </row>
    <row r="322" spans="1:23" x14ac:dyDescent="0.25">
      <c r="A322" s="2">
        <f t="shared" si="12"/>
        <v>7</v>
      </c>
      <c r="B322" t="s">
        <v>737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1"/>
      <c r="M322" t="s">
        <v>15</v>
      </c>
      <c r="N322" t="str">
        <f>IFERROR(VLOOKUP(B322,'[1]All Player'!$B$2:$C$1992,2,0),"")</f>
        <v>Neaimul Novel</v>
      </c>
      <c r="O322" s="2" t="s">
        <v>490</v>
      </c>
      <c r="P322" s="16" t="s">
        <v>770</v>
      </c>
      <c r="Q322" s="1">
        <f t="shared" ref="Q322:Q385" si="13">IF(B322="","",1)</f>
        <v>1</v>
      </c>
      <c r="R322" s="1">
        <v>53</v>
      </c>
      <c r="U322" s="8">
        <v>41487</v>
      </c>
    </row>
    <row r="323" spans="1:23" x14ac:dyDescent="0.25">
      <c r="A323" s="2">
        <f>A322</f>
        <v>7</v>
      </c>
      <c r="B323" s="17" t="s">
        <v>771</v>
      </c>
      <c r="J323" s="1"/>
      <c r="M323" t="s">
        <v>15</v>
      </c>
      <c r="N323" t="str">
        <f>IFERROR(VLOOKUP(B323,'[1]All Player'!$B$2:$C$1992,2,0),"")</f>
        <v/>
      </c>
      <c r="O323" s="2" t="s">
        <v>490</v>
      </c>
      <c r="P323" s="16" t="s">
        <v>545</v>
      </c>
      <c r="Q323" s="1">
        <f t="shared" si="13"/>
        <v>1</v>
      </c>
      <c r="R323" s="1">
        <v>54</v>
      </c>
      <c r="U323" s="8">
        <v>41487</v>
      </c>
    </row>
    <row r="324" spans="1:23" x14ac:dyDescent="0.25">
      <c r="A324" s="2">
        <f>A323</f>
        <v>7</v>
      </c>
      <c r="B324" t="s">
        <v>772</v>
      </c>
      <c r="C324" s="2">
        <v>5</v>
      </c>
      <c r="D324" s="2">
        <v>28</v>
      </c>
      <c r="E324" s="2">
        <v>0</v>
      </c>
      <c r="F324" s="2">
        <v>4</v>
      </c>
      <c r="G324" s="2">
        <v>0</v>
      </c>
      <c r="H324" s="2">
        <v>1</v>
      </c>
      <c r="I324" s="2">
        <v>3</v>
      </c>
      <c r="J324" s="1"/>
      <c r="M324" t="s">
        <v>15</v>
      </c>
      <c r="N324" t="str">
        <f>IFERROR(VLOOKUP(B324,'[1]All Player'!$B$2:$C$1992,2,0),"")</f>
        <v>Ashikur Rahman Ashik</v>
      </c>
      <c r="O324" s="2" t="s">
        <v>490</v>
      </c>
      <c r="P324" s="16" t="s">
        <v>545</v>
      </c>
      <c r="Q324" s="1">
        <f t="shared" si="13"/>
        <v>1</v>
      </c>
      <c r="R324" s="1">
        <v>54</v>
      </c>
      <c r="U324" s="8">
        <v>41487</v>
      </c>
    </row>
    <row r="325" spans="1:23" x14ac:dyDescent="0.25">
      <c r="A325" s="2">
        <f t="shared" si="12"/>
        <v>7</v>
      </c>
      <c r="B325" t="s">
        <v>298</v>
      </c>
      <c r="C325" s="2">
        <v>7</v>
      </c>
      <c r="D325" s="2">
        <v>114</v>
      </c>
      <c r="E325" s="2">
        <v>5</v>
      </c>
      <c r="F325" s="2">
        <v>11</v>
      </c>
      <c r="G325" s="2">
        <v>1</v>
      </c>
      <c r="H325" s="2">
        <v>4</v>
      </c>
      <c r="I325" s="2">
        <v>11</v>
      </c>
      <c r="J325" s="1"/>
      <c r="M325" t="s">
        <v>15</v>
      </c>
      <c r="N325" t="str">
        <f>IFERROR(VLOOKUP(B325,'[1]All Player'!$B$2:$C$1992,2,0),"")</f>
        <v>Sahed Hossain Masum</v>
      </c>
      <c r="O325" s="2" t="s">
        <v>490</v>
      </c>
      <c r="P325" s="16" t="s">
        <v>545</v>
      </c>
      <c r="Q325" s="1">
        <f t="shared" si="13"/>
        <v>1</v>
      </c>
      <c r="R325" s="1">
        <v>54</v>
      </c>
      <c r="U325" s="8">
        <v>41487</v>
      </c>
    </row>
    <row r="326" spans="1:23" x14ac:dyDescent="0.25">
      <c r="A326" s="2">
        <f t="shared" si="12"/>
        <v>7</v>
      </c>
      <c r="B326" t="s">
        <v>120</v>
      </c>
      <c r="C326" s="2">
        <v>7</v>
      </c>
      <c r="D326" s="2">
        <v>207</v>
      </c>
      <c r="E326" s="2">
        <v>7</v>
      </c>
      <c r="F326" s="2">
        <v>11</v>
      </c>
      <c r="G326" s="2">
        <v>1</v>
      </c>
      <c r="H326" s="2">
        <v>14</v>
      </c>
      <c r="I326" s="2">
        <v>14</v>
      </c>
      <c r="J326" s="1"/>
      <c r="M326" t="s">
        <v>15</v>
      </c>
      <c r="N326" t="str">
        <f>IFERROR(VLOOKUP(B326,'[1]All Player'!$B$2:$C$1992,2,0),"")</f>
        <v>Kamrul Hasan Hridoy</v>
      </c>
      <c r="O326" s="2" t="s">
        <v>490</v>
      </c>
      <c r="P326" s="16" t="s">
        <v>545</v>
      </c>
      <c r="Q326" s="1">
        <f t="shared" si="13"/>
        <v>1</v>
      </c>
      <c r="R326" s="1">
        <v>54</v>
      </c>
      <c r="U326" s="8">
        <v>41487</v>
      </c>
    </row>
    <row r="327" spans="1:23" x14ac:dyDescent="0.25">
      <c r="A327" s="2">
        <f t="shared" si="12"/>
        <v>7</v>
      </c>
      <c r="B327" t="s">
        <v>95</v>
      </c>
      <c r="C327" s="2">
        <v>7</v>
      </c>
      <c r="D327" s="2">
        <v>58</v>
      </c>
      <c r="E327" s="2">
        <v>20</v>
      </c>
      <c r="F327" s="2">
        <v>7</v>
      </c>
      <c r="G327" s="2">
        <v>2</v>
      </c>
      <c r="H327" s="2">
        <v>3</v>
      </c>
      <c r="I327" s="2">
        <v>1</v>
      </c>
      <c r="J327" s="1"/>
      <c r="M327" t="s">
        <v>15</v>
      </c>
      <c r="N327" t="str">
        <f>IFERROR(VLOOKUP(B327,'[1]All Player'!$B$2:$C$1992,2,0),"")</f>
        <v>Sadrul Anam</v>
      </c>
      <c r="O327" s="2" t="s">
        <v>490</v>
      </c>
      <c r="P327" s="16" t="s">
        <v>1141</v>
      </c>
      <c r="Q327" s="1">
        <f t="shared" si="13"/>
        <v>1</v>
      </c>
      <c r="R327" s="1">
        <v>54</v>
      </c>
      <c r="U327" s="8">
        <v>41487</v>
      </c>
      <c r="W327" s="1">
        <v>1</v>
      </c>
    </row>
    <row r="328" spans="1:23" x14ac:dyDescent="0.25">
      <c r="A328" s="2">
        <f t="shared" si="12"/>
        <v>7</v>
      </c>
      <c r="B328" t="s">
        <v>203</v>
      </c>
      <c r="C328" s="2">
        <v>3</v>
      </c>
      <c r="D328" s="2">
        <v>37</v>
      </c>
      <c r="E328" s="2">
        <v>4</v>
      </c>
      <c r="F328" s="2">
        <v>1</v>
      </c>
      <c r="G328" s="2">
        <v>0</v>
      </c>
      <c r="H328" s="2">
        <v>3</v>
      </c>
      <c r="I328" s="2">
        <v>2</v>
      </c>
      <c r="J328" s="1"/>
      <c r="M328" t="s">
        <v>15</v>
      </c>
      <c r="N328" t="str">
        <f>IFERROR(VLOOKUP(B328,'[1]All Player'!$B$2:$C$1992,2,0),"")</f>
        <v>Rifat Ullah</v>
      </c>
      <c r="O328" s="2" t="s">
        <v>490</v>
      </c>
      <c r="P328" s="16" t="s">
        <v>545</v>
      </c>
      <c r="Q328" s="1">
        <f t="shared" si="13"/>
        <v>1</v>
      </c>
      <c r="R328" s="1">
        <v>54</v>
      </c>
      <c r="U328" s="8">
        <v>41487</v>
      </c>
    </row>
    <row r="329" spans="1:23" x14ac:dyDescent="0.25">
      <c r="A329" s="2">
        <f t="shared" si="12"/>
        <v>7</v>
      </c>
      <c r="B329" t="s">
        <v>33</v>
      </c>
      <c r="C329" s="2">
        <v>6</v>
      </c>
      <c r="D329" s="2">
        <v>71</v>
      </c>
      <c r="E329" s="2">
        <v>4</v>
      </c>
      <c r="F329" s="2">
        <v>5</v>
      </c>
      <c r="G329" s="2">
        <v>0</v>
      </c>
      <c r="H329" s="2">
        <v>1</v>
      </c>
      <c r="I329" s="2">
        <v>6</v>
      </c>
      <c r="J329" s="1"/>
      <c r="M329" t="s">
        <v>15</v>
      </c>
      <c r="N329" t="str">
        <f>IFERROR(VLOOKUP(B329,'[1]All Player'!$B$2:$C$1992,2,0),"")</f>
        <v>Rakib Hasan</v>
      </c>
      <c r="O329" s="2" t="s">
        <v>490</v>
      </c>
      <c r="P329" s="16" t="s">
        <v>545</v>
      </c>
      <c r="Q329" s="1">
        <f t="shared" si="13"/>
        <v>1</v>
      </c>
      <c r="R329" s="1">
        <v>54</v>
      </c>
      <c r="U329" s="8">
        <v>41487</v>
      </c>
    </row>
    <row r="330" spans="1:23" x14ac:dyDescent="0.25">
      <c r="A330" s="2">
        <f t="shared" si="12"/>
        <v>7</v>
      </c>
      <c r="B330" t="s">
        <v>154</v>
      </c>
      <c r="C330" s="2">
        <v>6</v>
      </c>
      <c r="D330" s="2">
        <v>29</v>
      </c>
      <c r="E330" s="2">
        <v>4</v>
      </c>
      <c r="F330" s="2">
        <v>4</v>
      </c>
      <c r="G330" s="2">
        <v>0</v>
      </c>
      <c r="H330" s="2">
        <v>3</v>
      </c>
      <c r="I330" s="2">
        <v>2</v>
      </c>
      <c r="J330" s="1"/>
      <c r="M330" t="s">
        <v>15</v>
      </c>
      <c r="N330" t="str">
        <f>IFERROR(VLOOKUP(B330,'[1]All Player'!$B$2:$C$1992,2,0),"")</f>
        <v>Meyaz Al Emon</v>
      </c>
      <c r="O330" s="2" t="s">
        <v>490</v>
      </c>
      <c r="P330" s="16" t="s">
        <v>545</v>
      </c>
      <c r="Q330" s="1">
        <f t="shared" si="13"/>
        <v>1</v>
      </c>
      <c r="R330" s="1">
        <v>54</v>
      </c>
      <c r="U330" s="8">
        <v>41487</v>
      </c>
    </row>
    <row r="331" spans="1:23" x14ac:dyDescent="0.25">
      <c r="A331" s="2">
        <f>A330</f>
        <v>7</v>
      </c>
      <c r="B331" s="17" t="s">
        <v>773</v>
      </c>
      <c r="J331" s="1"/>
      <c r="M331" t="s">
        <v>15</v>
      </c>
      <c r="N331" t="str">
        <f>IFERROR(VLOOKUP(B331,'[1]All Player'!$B$2:$C$1992,2,0),"")</f>
        <v/>
      </c>
      <c r="O331" s="2" t="s">
        <v>490</v>
      </c>
      <c r="P331" s="16" t="s">
        <v>774</v>
      </c>
      <c r="Q331" s="1">
        <f t="shared" si="13"/>
        <v>1</v>
      </c>
      <c r="R331" s="1">
        <v>55</v>
      </c>
      <c r="U331" s="8">
        <v>41487</v>
      </c>
    </row>
    <row r="332" spans="1:23" x14ac:dyDescent="0.25">
      <c r="A332" s="2">
        <f>A331</f>
        <v>7</v>
      </c>
      <c r="B332" t="s">
        <v>138</v>
      </c>
      <c r="C332" s="2">
        <v>5</v>
      </c>
      <c r="D332" s="2">
        <v>50</v>
      </c>
      <c r="E332" s="2">
        <v>6</v>
      </c>
      <c r="F332" s="2">
        <v>6</v>
      </c>
      <c r="G332" s="2">
        <v>0</v>
      </c>
      <c r="H332" s="2">
        <v>1</v>
      </c>
      <c r="I332" s="2">
        <v>3</v>
      </c>
      <c r="J332" s="1"/>
      <c r="M332" t="s">
        <v>15</v>
      </c>
      <c r="N332" t="str">
        <f>IFERROR(VLOOKUP(B332,'[1]All Player'!$B$2:$C$1992,2,0),"")</f>
        <v>Asif Iqbal Khan</v>
      </c>
      <c r="O332" s="2" t="s">
        <v>490</v>
      </c>
      <c r="P332" s="16" t="s">
        <v>774</v>
      </c>
      <c r="Q332" s="1">
        <f t="shared" si="13"/>
        <v>1</v>
      </c>
      <c r="R332" s="1">
        <v>55</v>
      </c>
      <c r="U332" s="8">
        <v>41487</v>
      </c>
    </row>
    <row r="333" spans="1:23" x14ac:dyDescent="0.25">
      <c r="A333" s="2">
        <f t="shared" si="12"/>
        <v>7</v>
      </c>
      <c r="B333" t="s">
        <v>122</v>
      </c>
      <c r="C333" s="2">
        <v>5</v>
      </c>
      <c r="D333" s="2">
        <v>27</v>
      </c>
      <c r="E333" s="2">
        <v>3</v>
      </c>
      <c r="F333" s="2">
        <v>6</v>
      </c>
      <c r="G333" s="2">
        <v>0</v>
      </c>
      <c r="H333" s="2">
        <v>0</v>
      </c>
      <c r="I333" s="2">
        <v>0</v>
      </c>
      <c r="J333" s="1"/>
      <c r="M333" t="s">
        <v>15</v>
      </c>
      <c r="N333" t="str">
        <f>IFERROR(VLOOKUP(B333,'[1]All Player'!$B$2:$C$1992,2,0),"")</f>
        <v>Towkir Ahmed Siddique</v>
      </c>
      <c r="O333" s="2" t="s">
        <v>490</v>
      </c>
      <c r="P333" s="16" t="s">
        <v>774</v>
      </c>
      <c r="Q333" s="1">
        <f t="shared" si="13"/>
        <v>1</v>
      </c>
      <c r="R333" s="1">
        <v>55</v>
      </c>
      <c r="U333" s="8">
        <v>41487</v>
      </c>
    </row>
    <row r="334" spans="1:23" x14ac:dyDescent="0.25">
      <c r="A334" s="2">
        <f t="shared" si="12"/>
        <v>7</v>
      </c>
      <c r="B334" t="s">
        <v>279</v>
      </c>
      <c r="C334" s="2">
        <v>4</v>
      </c>
      <c r="D334" s="2">
        <v>40</v>
      </c>
      <c r="E334" s="2">
        <v>8</v>
      </c>
      <c r="F334" s="2">
        <v>5</v>
      </c>
      <c r="G334" s="2">
        <v>0</v>
      </c>
      <c r="H334" s="2">
        <v>5</v>
      </c>
      <c r="I334" s="2">
        <v>2</v>
      </c>
      <c r="J334" s="1"/>
      <c r="M334" t="s">
        <v>15</v>
      </c>
      <c r="N334" t="str">
        <f>IFERROR(VLOOKUP(B334,'[1]All Player'!$B$2:$C$1992,2,0),"")</f>
        <v>Ahmed Kawser Da Neymar</v>
      </c>
      <c r="O334" s="2" t="s">
        <v>490</v>
      </c>
      <c r="P334" s="16" t="s">
        <v>774</v>
      </c>
      <c r="Q334" s="1">
        <f t="shared" si="13"/>
        <v>1</v>
      </c>
      <c r="R334" s="1">
        <v>55</v>
      </c>
      <c r="U334" s="8">
        <v>41487</v>
      </c>
    </row>
    <row r="335" spans="1:23" x14ac:dyDescent="0.25">
      <c r="A335" s="2">
        <f t="shared" si="12"/>
        <v>7</v>
      </c>
      <c r="B335" t="s">
        <v>144</v>
      </c>
      <c r="C335" s="2">
        <v>5</v>
      </c>
      <c r="D335" s="2">
        <v>135</v>
      </c>
      <c r="E335" s="2">
        <v>9</v>
      </c>
      <c r="F335" s="2">
        <v>9</v>
      </c>
      <c r="G335" s="2">
        <v>1</v>
      </c>
      <c r="H335" s="2">
        <v>10</v>
      </c>
      <c r="I335" s="2">
        <v>9</v>
      </c>
      <c r="J335" s="1"/>
      <c r="M335" t="s">
        <v>15</v>
      </c>
      <c r="N335" t="str">
        <f>IFERROR(VLOOKUP(B335,'[1]All Player'!$B$2:$C$1992,2,0),"")</f>
        <v>Toufiq Ahmed Ovi</v>
      </c>
      <c r="O335" s="2" t="s">
        <v>490</v>
      </c>
      <c r="P335" s="16" t="s">
        <v>774</v>
      </c>
      <c r="Q335" s="1">
        <f t="shared" si="13"/>
        <v>1</v>
      </c>
      <c r="R335" s="1">
        <v>55</v>
      </c>
      <c r="U335" s="8">
        <v>41487</v>
      </c>
    </row>
    <row r="336" spans="1:23" x14ac:dyDescent="0.25">
      <c r="A336" s="2">
        <f t="shared" si="12"/>
        <v>7</v>
      </c>
      <c r="B336" t="s">
        <v>282</v>
      </c>
      <c r="C336" s="2">
        <v>5</v>
      </c>
      <c r="D336" s="2">
        <v>93</v>
      </c>
      <c r="E336" s="2">
        <v>4</v>
      </c>
      <c r="F336" s="2">
        <v>8</v>
      </c>
      <c r="G336" s="2">
        <v>0</v>
      </c>
      <c r="H336" s="2">
        <v>1</v>
      </c>
      <c r="I336" s="2">
        <v>7</v>
      </c>
      <c r="J336" s="1"/>
      <c r="M336" t="s">
        <v>15</v>
      </c>
      <c r="N336" t="str">
        <f>IFERROR(VLOOKUP(B336,'[1]All Player'!$B$2:$C$1992,2,0),"")</f>
        <v>Mohammad Asif</v>
      </c>
      <c r="O336" s="2" t="s">
        <v>490</v>
      </c>
      <c r="P336" s="16" t="s">
        <v>774</v>
      </c>
      <c r="Q336" s="1">
        <f t="shared" si="13"/>
        <v>1</v>
      </c>
      <c r="R336" s="1">
        <v>55</v>
      </c>
      <c r="U336" s="8">
        <v>41487</v>
      </c>
    </row>
    <row r="337" spans="1:23" x14ac:dyDescent="0.25">
      <c r="A337" s="2">
        <f t="shared" si="12"/>
        <v>7</v>
      </c>
      <c r="B337" t="s">
        <v>169</v>
      </c>
      <c r="C337" s="2">
        <v>3</v>
      </c>
      <c r="D337" s="2">
        <v>10</v>
      </c>
      <c r="E337" s="2">
        <v>3</v>
      </c>
      <c r="F337" s="2">
        <v>3</v>
      </c>
      <c r="G337" s="2">
        <v>1</v>
      </c>
      <c r="H337" s="2">
        <v>0</v>
      </c>
      <c r="I337" s="2">
        <v>1</v>
      </c>
      <c r="J337" s="1"/>
      <c r="M337" t="s">
        <v>15</v>
      </c>
      <c r="N337" t="str">
        <f>IFERROR(VLOOKUP(B337,'[1]All Player'!$B$2:$C$1992,2,0),"")</f>
        <v>Saiful Islam</v>
      </c>
      <c r="O337" s="2" t="s">
        <v>490</v>
      </c>
      <c r="P337" s="16" t="s">
        <v>774</v>
      </c>
      <c r="Q337" s="1">
        <f t="shared" si="13"/>
        <v>1</v>
      </c>
      <c r="R337" s="1">
        <v>55</v>
      </c>
      <c r="U337" s="8">
        <v>41487</v>
      </c>
    </row>
    <row r="338" spans="1:23" x14ac:dyDescent="0.25">
      <c r="A338" s="2">
        <f t="shared" si="12"/>
        <v>7</v>
      </c>
      <c r="B338" t="s">
        <v>291</v>
      </c>
      <c r="C338" s="2">
        <v>2</v>
      </c>
      <c r="D338" s="2">
        <v>8</v>
      </c>
      <c r="E338" s="2">
        <v>1</v>
      </c>
      <c r="F338" s="2">
        <v>2</v>
      </c>
      <c r="G338" s="2">
        <v>0</v>
      </c>
      <c r="H338" s="2">
        <v>0</v>
      </c>
      <c r="I338" s="2">
        <v>1</v>
      </c>
      <c r="J338" s="1"/>
      <c r="M338" t="s">
        <v>15</v>
      </c>
      <c r="N338" t="str">
        <f>IFERROR(VLOOKUP(B338,'[1]All Player'!$B$2:$C$1992,2,0),"")</f>
        <v>Taho D. Ace</v>
      </c>
      <c r="O338" s="2" t="s">
        <v>490</v>
      </c>
      <c r="P338" s="16" t="s">
        <v>774</v>
      </c>
      <c r="Q338" s="1">
        <f t="shared" si="13"/>
        <v>1</v>
      </c>
      <c r="R338" s="1">
        <v>55</v>
      </c>
      <c r="U338" s="8">
        <v>41487</v>
      </c>
    </row>
    <row r="339" spans="1:23" x14ac:dyDescent="0.25">
      <c r="A339" s="2">
        <f>A338</f>
        <v>7</v>
      </c>
      <c r="B339" s="17" t="s">
        <v>775</v>
      </c>
      <c r="J339" s="1"/>
      <c r="M339" t="s">
        <v>15</v>
      </c>
      <c r="N339" t="str">
        <f>IFERROR(VLOOKUP(B339,'[1]All Player'!$B$2:$C$1992,2,0),"")</f>
        <v/>
      </c>
      <c r="O339" s="2" t="s">
        <v>490</v>
      </c>
      <c r="P339" s="16" t="s">
        <v>775</v>
      </c>
      <c r="Q339" s="1">
        <f t="shared" si="13"/>
        <v>1</v>
      </c>
      <c r="R339" s="1">
        <v>56</v>
      </c>
      <c r="T339" s="1" t="s">
        <v>657</v>
      </c>
      <c r="U339" s="8">
        <v>41487</v>
      </c>
    </row>
    <row r="340" spans="1:23" x14ac:dyDescent="0.25">
      <c r="A340" s="2">
        <f>A339</f>
        <v>7</v>
      </c>
      <c r="B340" t="s">
        <v>38</v>
      </c>
      <c r="C340" s="2">
        <v>7</v>
      </c>
      <c r="D340" s="2">
        <v>56</v>
      </c>
      <c r="E340" s="2">
        <v>9</v>
      </c>
      <c r="F340" s="2">
        <v>5</v>
      </c>
      <c r="G340" s="2">
        <v>0</v>
      </c>
      <c r="H340" s="2">
        <v>1</v>
      </c>
      <c r="I340" s="2">
        <v>5</v>
      </c>
      <c r="J340" s="1"/>
      <c r="M340" t="s">
        <v>15</v>
      </c>
      <c r="N340" t="str">
        <f>IFERROR(VLOOKUP(B340,'[1]All Player'!$B$2:$C$1992,2,0),"")</f>
        <v>Rayhan Rahman</v>
      </c>
      <c r="O340" s="2" t="s">
        <v>490</v>
      </c>
      <c r="P340" s="16" t="s">
        <v>775</v>
      </c>
      <c r="Q340" s="1">
        <f t="shared" si="13"/>
        <v>1</v>
      </c>
      <c r="R340" s="1">
        <v>56</v>
      </c>
      <c r="T340" s="1" t="s">
        <v>657</v>
      </c>
      <c r="U340" s="8">
        <v>41487</v>
      </c>
    </row>
    <row r="341" spans="1:23" x14ac:dyDescent="0.25">
      <c r="A341" s="2">
        <f t="shared" si="12"/>
        <v>7</v>
      </c>
      <c r="B341" t="s">
        <v>245</v>
      </c>
      <c r="C341" s="2">
        <v>8</v>
      </c>
      <c r="D341" s="2">
        <v>189</v>
      </c>
      <c r="E341" s="2">
        <v>14</v>
      </c>
      <c r="F341" s="2">
        <v>11</v>
      </c>
      <c r="G341" s="2">
        <v>1</v>
      </c>
      <c r="H341" s="2">
        <v>21</v>
      </c>
      <c r="I341" s="2">
        <v>12</v>
      </c>
      <c r="J341" s="1"/>
      <c r="M341" t="s">
        <v>15</v>
      </c>
      <c r="N341" t="str">
        <f>IFERROR(VLOOKUP(B341,'[1]All Player'!$B$2:$C$1992,2,0),"")</f>
        <v>Akram Hosen Himal</v>
      </c>
      <c r="O341" s="2" t="s">
        <v>490</v>
      </c>
      <c r="P341" s="16" t="s">
        <v>775</v>
      </c>
      <c r="Q341" s="1">
        <f t="shared" si="13"/>
        <v>1</v>
      </c>
      <c r="R341" s="1">
        <v>56</v>
      </c>
      <c r="T341" s="1" t="s">
        <v>657</v>
      </c>
      <c r="U341" s="8">
        <v>41487</v>
      </c>
    </row>
    <row r="342" spans="1:23" x14ac:dyDescent="0.25">
      <c r="A342" s="2">
        <f t="shared" si="12"/>
        <v>7</v>
      </c>
      <c r="B342" t="s">
        <v>306</v>
      </c>
      <c r="C342" s="2">
        <v>8</v>
      </c>
      <c r="D342" s="2">
        <v>212</v>
      </c>
      <c r="E342" s="2">
        <v>6</v>
      </c>
      <c r="F342" s="2">
        <v>15</v>
      </c>
      <c r="G342" s="2">
        <v>4</v>
      </c>
      <c r="H342" s="2">
        <v>11</v>
      </c>
      <c r="I342" s="2">
        <v>12</v>
      </c>
      <c r="J342" s="1"/>
      <c r="M342" t="s">
        <v>15</v>
      </c>
      <c r="N342" t="str">
        <f>IFERROR(VLOOKUP(B342,'[1]All Player'!$B$2:$C$1992,2,0),"")</f>
        <v>Shahan Ahmed</v>
      </c>
      <c r="O342" s="2" t="s">
        <v>490</v>
      </c>
      <c r="P342" s="16" t="s">
        <v>775</v>
      </c>
      <c r="Q342" s="1">
        <f t="shared" si="13"/>
        <v>1</v>
      </c>
      <c r="R342" s="1">
        <v>56</v>
      </c>
      <c r="T342" s="1" t="s">
        <v>657</v>
      </c>
      <c r="U342" s="8">
        <v>41487</v>
      </c>
    </row>
    <row r="343" spans="1:23" x14ac:dyDescent="0.25">
      <c r="A343" s="2">
        <f t="shared" si="12"/>
        <v>7</v>
      </c>
      <c r="B343" t="s">
        <v>80</v>
      </c>
      <c r="C343" s="2">
        <v>8</v>
      </c>
      <c r="D343" s="2">
        <v>135</v>
      </c>
      <c r="E343" s="2">
        <v>7</v>
      </c>
      <c r="F343" s="2">
        <v>10</v>
      </c>
      <c r="G343" s="2">
        <v>1</v>
      </c>
      <c r="H343" s="2">
        <v>4</v>
      </c>
      <c r="I343" s="2">
        <v>10</v>
      </c>
      <c r="J343" s="1"/>
      <c r="M343" t="s">
        <v>15</v>
      </c>
      <c r="N343" t="str">
        <f>IFERROR(VLOOKUP(B343,'[1]All Player'!$B$2:$C$1992,2,0),"")</f>
        <v>Kamrul Hasan Tutul</v>
      </c>
      <c r="O343" s="2" t="s">
        <v>490</v>
      </c>
      <c r="P343" s="16" t="s">
        <v>775</v>
      </c>
      <c r="Q343" s="1">
        <f t="shared" si="13"/>
        <v>1</v>
      </c>
      <c r="R343" s="1">
        <v>56</v>
      </c>
      <c r="T343" s="1" t="s">
        <v>657</v>
      </c>
      <c r="U343" s="8">
        <v>41487</v>
      </c>
    </row>
    <row r="344" spans="1:23" x14ac:dyDescent="0.25">
      <c r="A344" s="2">
        <f t="shared" si="12"/>
        <v>7</v>
      </c>
      <c r="B344" t="s">
        <v>27</v>
      </c>
      <c r="C344" s="2">
        <v>7</v>
      </c>
      <c r="D344" s="2">
        <v>63</v>
      </c>
      <c r="E344" s="2">
        <v>6</v>
      </c>
      <c r="F344" s="2">
        <v>5</v>
      </c>
      <c r="G344" s="2">
        <v>0</v>
      </c>
      <c r="H344" s="2">
        <v>1</v>
      </c>
      <c r="I344" s="2">
        <v>4</v>
      </c>
      <c r="J344" s="1"/>
      <c r="M344" t="s">
        <v>15</v>
      </c>
      <c r="N344" t="str">
        <f>IFERROR(VLOOKUP(B344,'[1]All Player'!$B$2:$C$1992,2,0),"")</f>
        <v>Susmoy Paul</v>
      </c>
      <c r="O344" s="2" t="s">
        <v>490</v>
      </c>
      <c r="P344" s="16" t="s">
        <v>775</v>
      </c>
      <c r="Q344" s="1">
        <f t="shared" si="13"/>
        <v>1</v>
      </c>
      <c r="R344" s="1">
        <v>56</v>
      </c>
      <c r="T344" s="1" t="s">
        <v>657</v>
      </c>
      <c r="U344" s="8">
        <v>41487</v>
      </c>
    </row>
    <row r="345" spans="1:23" x14ac:dyDescent="0.25">
      <c r="A345" s="2">
        <f t="shared" si="12"/>
        <v>7</v>
      </c>
      <c r="B345" t="s">
        <v>93</v>
      </c>
      <c r="C345" s="2">
        <v>8</v>
      </c>
      <c r="D345" s="2">
        <v>90</v>
      </c>
      <c r="E345" s="2">
        <v>19</v>
      </c>
      <c r="F345" s="2">
        <v>6</v>
      </c>
      <c r="G345" s="2">
        <v>0</v>
      </c>
      <c r="H345" s="2">
        <v>8</v>
      </c>
      <c r="I345" s="2">
        <v>3</v>
      </c>
      <c r="M345" t="s">
        <v>15</v>
      </c>
      <c r="N345" t="str">
        <f>IFERROR(VLOOKUP(B345,'[1]All Player'!$B$2:$C$1992,2,0),"")</f>
        <v>Zaheed Hasan</v>
      </c>
      <c r="O345" s="2" t="s">
        <v>490</v>
      </c>
      <c r="P345" s="16" t="s">
        <v>775</v>
      </c>
      <c r="Q345" s="1">
        <f t="shared" si="13"/>
        <v>1</v>
      </c>
      <c r="R345" s="1">
        <v>56</v>
      </c>
      <c r="T345" s="1" t="s">
        <v>657</v>
      </c>
      <c r="U345" s="8">
        <v>41487</v>
      </c>
    </row>
    <row r="346" spans="1:23" x14ac:dyDescent="0.25">
      <c r="A346" s="2">
        <v>8</v>
      </c>
      <c r="B346" s="17" t="s">
        <v>776</v>
      </c>
      <c r="J346" s="1"/>
      <c r="M346" t="s">
        <v>15</v>
      </c>
      <c r="N346" t="str">
        <f>IFERROR(VLOOKUP(B346,'[1]All Player'!$B$2:$C$1992,2,0),"")</f>
        <v/>
      </c>
      <c r="O346" s="2" t="s">
        <v>499</v>
      </c>
      <c r="P346" s="16" t="s">
        <v>776</v>
      </c>
      <c r="Q346" s="1">
        <f t="shared" si="13"/>
        <v>1</v>
      </c>
      <c r="R346" s="1">
        <v>57</v>
      </c>
      <c r="T346" s="1" t="s">
        <v>657</v>
      </c>
      <c r="U346" s="8">
        <v>41548</v>
      </c>
    </row>
    <row r="347" spans="1:23" x14ac:dyDescent="0.25">
      <c r="A347" s="2">
        <f t="shared" si="12"/>
        <v>8</v>
      </c>
      <c r="B347" t="s">
        <v>183</v>
      </c>
      <c r="C347" s="2">
        <v>9</v>
      </c>
      <c r="D347" s="2">
        <v>333</v>
      </c>
      <c r="E347" s="2">
        <v>22</v>
      </c>
      <c r="F347" s="2">
        <v>15</v>
      </c>
      <c r="G347" s="2">
        <v>3</v>
      </c>
      <c r="J347" s="1"/>
      <c r="M347" t="s">
        <v>15</v>
      </c>
      <c r="N347" t="str">
        <f>IFERROR(VLOOKUP(B347,'[1]All Player'!$B$2:$C$1992,2,0),"")</f>
        <v>Red Heart Faisal (Fayze Ahamed)</v>
      </c>
      <c r="O347" s="2" t="s">
        <v>499</v>
      </c>
      <c r="P347" s="16" t="s">
        <v>776</v>
      </c>
      <c r="Q347" s="1">
        <f t="shared" si="13"/>
        <v>1</v>
      </c>
      <c r="R347" s="1">
        <v>57</v>
      </c>
      <c r="S347" s="2" t="s">
        <v>660</v>
      </c>
      <c r="T347" s="1" t="s">
        <v>657</v>
      </c>
      <c r="U347" s="8">
        <v>41548</v>
      </c>
      <c r="V347" s="1">
        <v>1</v>
      </c>
      <c r="W347" s="1">
        <v>1</v>
      </c>
    </row>
    <row r="348" spans="1:23" x14ac:dyDescent="0.25">
      <c r="A348" s="2">
        <f t="shared" si="12"/>
        <v>8</v>
      </c>
      <c r="B348" t="s">
        <v>118</v>
      </c>
      <c r="C348" s="2">
        <v>5</v>
      </c>
      <c r="D348" s="2">
        <v>72</v>
      </c>
      <c r="E348" s="2">
        <v>9</v>
      </c>
      <c r="F348" s="2">
        <v>5</v>
      </c>
      <c r="G348" s="2">
        <v>0</v>
      </c>
      <c r="J348" s="1"/>
      <c r="M348" t="s">
        <v>15</v>
      </c>
      <c r="N348" t="str">
        <f>IFERROR(VLOOKUP(B348,'[1]All Player'!$B$2:$C$1992,2,0),"")</f>
        <v>Rinkon Khan</v>
      </c>
      <c r="O348" s="2" t="s">
        <v>499</v>
      </c>
      <c r="P348" s="16" t="s">
        <v>776</v>
      </c>
      <c r="Q348" s="1">
        <f t="shared" si="13"/>
        <v>1</v>
      </c>
      <c r="R348" s="1">
        <v>57</v>
      </c>
      <c r="T348" s="1" t="s">
        <v>657</v>
      </c>
      <c r="U348" s="8">
        <v>41548</v>
      </c>
    </row>
    <row r="349" spans="1:23" x14ac:dyDescent="0.25">
      <c r="A349" s="2">
        <f t="shared" si="12"/>
        <v>8</v>
      </c>
      <c r="B349" t="s">
        <v>318</v>
      </c>
      <c r="C349" s="2">
        <v>9</v>
      </c>
      <c r="D349" s="2">
        <v>75</v>
      </c>
      <c r="E349" s="2">
        <v>5</v>
      </c>
      <c r="F349" s="2">
        <v>8</v>
      </c>
      <c r="G349" s="2">
        <v>1</v>
      </c>
      <c r="J349" s="1"/>
      <c r="M349" t="s">
        <v>15</v>
      </c>
      <c r="N349" t="str">
        <f>IFERROR(VLOOKUP(B349,'[1]All Player'!$B$2:$C$1992,2,0),"")</f>
        <v>Mazharul Islam Moon</v>
      </c>
      <c r="O349" s="2" t="s">
        <v>499</v>
      </c>
      <c r="P349" s="16" t="s">
        <v>776</v>
      </c>
      <c r="Q349" s="1">
        <f t="shared" si="13"/>
        <v>1</v>
      </c>
      <c r="R349" s="1">
        <v>57</v>
      </c>
      <c r="T349" s="1" t="s">
        <v>657</v>
      </c>
      <c r="U349" s="8">
        <v>41548</v>
      </c>
    </row>
    <row r="350" spans="1:23" x14ac:dyDescent="0.25">
      <c r="A350" s="2">
        <f t="shared" si="12"/>
        <v>8</v>
      </c>
      <c r="B350" t="s">
        <v>768</v>
      </c>
      <c r="C350" s="2">
        <v>8</v>
      </c>
      <c r="D350" s="2">
        <v>60</v>
      </c>
      <c r="E350" s="2">
        <v>12</v>
      </c>
      <c r="F350" s="2">
        <v>10</v>
      </c>
      <c r="G350" s="2">
        <v>0</v>
      </c>
      <c r="J350" s="1"/>
      <c r="M350" t="s">
        <v>15</v>
      </c>
      <c r="N350" t="str">
        <f>IFERROR(VLOOKUP(B350,'[1]All Player'!$B$2:$C$1992,2,0),"")</f>
        <v>Cricket Pagla Arman</v>
      </c>
      <c r="O350" s="2" t="s">
        <v>499</v>
      </c>
      <c r="P350" s="16" t="s">
        <v>776</v>
      </c>
      <c r="Q350" s="1">
        <f t="shared" si="13"/>
        <v>1</v>
      </c>
      <c r="R350" s="1">
        <v>57</v>
      </c>
      <c r="T350" s="1" t="s">
        <v>657</v>
      </c>
      <c r="U350" s="8">
        <v>41548</v>
      </c>
    </row>
    <row r="351" spans="1:23" x14ac:dyDescent="0.25">
      <c r="A351" s="2">
        <f t="shared" si="12"/>
        <v>8</v>
      </c>
      <c r="B351" t="s">
        <v>356</v>
      </c>
      <c r="C351" s="2">
        <v>7</v>
      </c>
      <c r="D351" s="2">
        <v>136</v>
      </c>
      <c r="E351" s="2">
        <v>6</v>
      </c>
      <c r="F351" s="2">
        <v>5</v>
      </c>
      <c r="G351" s="2">
        <v>1</v>
      </c>
      <c r="J351" s="1"/>
      <c r="M351" t="s">
        <v>15</v>
      </c>
      <c r="N351" t="str">
        <f>IFERROR(VLOOKUP(B351,'[1]All Player'!$B$2:$C$1992,2,0),"")</f>
        <v>Shafayat Miraj</v>
      </c>
      <c r="O351" s="2" t="s">
        <v>499</v>
      </c>
      <c r="P351" s="16" t="s">
        <v>776</v>
      </c>
      <c r="Q351" s="1">
        <f t="shared" si="13"/>
        <v>1</v>
      </c>
      <c r="R351" s="1">
        <v>57</v>
      </c>
      <c r="T351" s="1" t="s">
        <v>657</v>
      </c>
      <c r="U351" s="8">
        <v>41548</v>
      </c>
    </row>
    <row r="352" spans="1:23" x14ac:dyDescent="0.25">
      <c r="A352" s="2">
        <f t="shared" si="12"/>
        <v>8</v>
      </c>
      <c r="B352" s="17" t="s">
        <v>585</v>
      </c>
      <c r="J352" s="1"/>
      <c r="M352" t="s">
        <v>15</v>
      </c>
      <c r="N352" t="str">
        <f>IFERROR(VLOOKUP(B352,'[1]All Player'!$B$2:$C$1992,2,0),"")</f>
        <v/>
      </c>
      <c r="O352" s="2" t="s">
        <v>499</v>
      </c>
      <c r="P352" s="16" t="s">
        <v>585</v>
      </c>
      <c r="Q352" s="1">
        <f t="shared" si="13"/>
        <v>1</v>
      </c>
      <c r="R352" s="1">
        <v>58</v>
      </c>
      <c r="T352" s="1" t="s">
        <v>659</v>
      </c>
      <c r="U352" s="8">
        <v>41548</v>
      </c>
    </row>
    <row r="353" spans="1:21" x14ac:dyDescent="0.25">
      <c r="A353" s="2">
        <f t="shared" si="12"/>
        <v>8</v>
      </c>
      <c r="B353" t="s">
        <v>282</v>
      </c>
      <c r="C353" s="2">
        <v>8</v>
      </c>
      <c r="D353" s="2">
        <v>242</v>
      </c>
      <c r="E353" s="2">
        <v>7</v>
      </c>
      <c r="F353" s="2">
        <v>13</v>
      </c>
      <c r="G353" s="2">
        <v>1</v>
      </c>
      <c r="J353" s="1"/>
      <c r="M353" t="s">
        <v>15</v>
      </c>
      <c r="N353" t="str">
        <f>IFERROR(VLOOKUP(B353,'[1]All Player'!$B$2:$C$1992,2,0),"")</f>
        <v>Mohammad Asif</v>
      </c>
      <c r="O353" s="2" t="s">
        <v>499</v>
      </c>
      <c r="P353" s="16" t="s">
        <v>585</v>
      </c>
      <c r="Q353" s="1">
        <f t="shared" si="13"/>
        <v>1</v>
      </c>
      <c r="R353" s="1">
        <v>58</v>
      </c>
      <c r="T353" s="1" t="s">
        <v>659</v>
      </c>
      <c r="U353" s="8">
        <v>41548</v>
      </c>
    </row>
    <row r="354" spans="1:21" x14ac:dyDescent="0.25">
      <c r="A354" s="2">
        <f t="shared" si="12"/>
        <v>8</v>
      </c>
      <c r="B354" t="s">
        <v>99</v>
      </c>
      <c r="C354" s="2">
        <v>8</v>
      </c>
      <c r="D354" s="2">
        <v>189</v>
      </c>
      <c r="E354" s="2">
        <v>9</v>
      </c>
      <c r="F354" s="2">
        <v>13</v>
      </c>
      <c r="G354" s="2">
        <v>0</v>
      </c>
      <c r="J354" s="1"/>
      <c r="M354" t="s">
        <v>15</v>
      </c>
      <c r="N354" t="str">
        <f>IFERROR(VLOOKUP(B354,'[1]All Player'!$B$2:$C$1992,2,0),"")</f>
        <v>Bishwajit Sarkar</v>
      </c>
      <c r="O354" s="2" t="s">
        <v>499</v>
      </c>
      <c r="P354" s="16" t="s">
        <v>585</v>
      </c>
      <c r="Q354" s="1">
        <f t="shared" si="13"/>
        <v>1</v>
      </c>
      <c r="R354" s="1">
        <v>58</v>
      </c>
      <c r="T354" s="1" t="s">
        <v>659</v>
      </c>
      <c r="U354" s="8">
        <v>41548</v>
      </c>
    </row>
    <row r="355" spans="1:21" x14ac:dyDescent="0.25">
      <c r="A355" s="2">
        <f t="shared" si="12"/>
        <v>8</v>
      </c>
      <c r="B355" t="s">
        <v>298</v>
      </c>
      <c r="C355" s="2">
        <v>5</v>
      </c>
      <c r="D355" s="2">
        <v>24</v>
      </c>
      <c r="E355" s="2">
        <v>7</v>
      </c>
      <c r="F355" s="2">
        <v>4</v>
      </c>
      <c r="G355" s="2">
        <v>0</v>
      </c>
      <c r="J355" s="1"/>
      <c r="M355" t="s">
        <v>15</v>
      </c>
      <c r="N355" t="str">
        <f>IFERROR(VLOOKUP(B355,'[1]All Player'!$B$2:$C$1992,2,0),"")</f>
        <v>Sahed Hossain Masum</v>
      </c>
      <c r="O355" s="2" t="s">
        <v>499</v>
      </c>
      <c r="P355" s="16" t="s">
        <v>585</v>
      </c>
      <c r="Q355" s="1">
        <f t="shared" si="13"/>
        <v>1</v>
      </c>
      <c r="R355" s="1">
        <v>58</v>
      </c>
      <c r="T355" s="1" t="s">
        <v>659</v>
      </c>
      <c r="U355" s="8">
        <v>41548</v>
      </c>
    </row>
    <row r="356" spans="1:21" x14ac:dyDescent="0.25">
      <c r="A356" s="2">
        <f t="shared" si="12"/>
        <v>8</v>
      </c>
      <c r="B356" t="s">
        <v>333</v>
      </c>
      <c r="C356" s="2">
        <v>7</v>
      </c>
      <c r="D356" s="2">
        <v>69</v>
      </c>
      <c r="E356" s="2">
        <v>14</v>
      </c>
      <c r="F356" s="2">
        <v>9</v>
      </c>
      <c r="G356" s="2">
        <v>1</v>
      </c>
      <c r="J356" s="1"/>
      <c r="M356" t="s">
        <v>15</v>
      </c>
      <c r="N356" t="str">
        <f>IFERROR(VLOOKUP(B356,'[1]All Player'!$B$2:$C$1992,2,0),"")</f>
        <v>Shah Abi Talib Adnan</v>
      </c>
      <c r="O356" s="2" t="s">
        <v>499</v>
      </c>
      <c r="P356" s="16" t="s">
        <v>585</v>
      </c>
      <c r="Q356" s="1">
        <f t="shared" si="13"/>
        <v>1</v>
      </c>
      <c r="R356" s="1">
        <v>58</v>
      </c>
      <c r="T356" s="1" t="s">
        <v>659</v>
      </c>
      <c r="U356" s="8">
        <v>41548</v>
      </c>
    </row>
    <row r="357" spans="1:21" x14ac:dyDescent="0.25">
      <c r="A357" s="2">
        <f t="shared" si="12"/>
        <v>8</v>
      </c>
      <c r="B357" t="s">
        <v>158</v>
      </c>
      <c r="C357" s="2">
        <v>7</v>
      </c>
      <c r="D357" s="2">
        <v>85</v>
      </c>
      <c r="E357" s="2">
        <v>5</v>
      </c>
      <c r="F357" s="2">
        <v>8</v>
      </c>
      <c r="G357" s="2">
        <v>0</v>
      </c>
      <c r="J357" s="1"/>
      <c r="M357" t="s">
        <v>15</v>
      </c>
      <c r="N357" t="str">
        <f>IFERROR(VLOOKUP(B357,'[1]All Player'!$B$2:$C$1992,2,0),"")</f>
        <v>Sabbir Ahmed</v>
      </c>
      <c r="O357" s="2" t="s">
        <v>499</v>
      </c>
      <c r="P357" s="16" t="s">
        <v>585</v>
      </c>
      <c r="Q357" s="1">
        <f t="shared" si="13"/>
        <v>1</v>
      </c>
      <c r="R357" s="1">
        <v>58</v>
      </c>
      <c r="T357" s="1" t="s">
        <v>659</v>
      </c>
      <c r="U357" s="8">
        <v>41548</v>
      </c>
    </row>
    <row r="358" spans="1:21" x14ac:dyDescent="0.25">
      <c r="A358" s="2">
        <f t="shared" si="12"/>
        <v>8</v>
      </c>
      <c r="B358" t="s">
        <v>208</v>
      </c>
      <c r="C358" s="2">
        <v>8</v>
      </c>
      <c r="D358" s="2">
        <v>62</v>
      </c>
      <c r="E358" s="2">
        <v>6</v>
      </c>
      <c r="F358" s="2">
        <v>8</v>
      </c>
      <c r="G358" s="2">
        <v>1</v>
      </c>
      <c r="J358" s="1"/>
      <c r="M358" t="s">
        <v>15</v>
      </c>
      <c r="N358" t="str">
        <f>IFERROR(VLOOKUP(B358,'[1]All Player'!$B$2:$C$1992,2,0),"")</f>
        <v>Fahim Shahrear Emon</v>
      </c>
      <c r="O358" s="2" t="s">
        <v>499</v>
      </c>
      <c r="P358" s="16" t="s">
        <v>585</v>
      </c>
      <c r="Q358" s="1">
        <f t="shared" si="13"/>
        <v>1</v>
      </c>
      <c r="R358" s="1">
        <v>58</v>
      </c>
      <c r="T358" s="1" t="s">
        <v>659</v>
      </c>
      <c r="U358" s="8">
        <v>41548</v>
      </c>
    </row>
    <row r="359" spans="1:21" ht="15.75" x14ac:dyDescent="0.25">
      <c r="A359" s="2">
        <f>A358</f>
        <v>8</v>
      </c>
      <c r="B359" s="18" t="s">
        <v>534</v>
      </c>
      <c r="J359" s="1"/>
      <c r="M359" t="s">
        <v>15</v>
      </c>
      <c r="N359" t="str">
        <f>IFERROR(VLOOKUP(B359,'[1]All Player'!$B$2:$C$1992,2,0),"")</f>
        <v/>
      </c>
      <c r="O359" s="2" t="s">
        <v>499</v>
      </c>
      <c r="P359" s="16" t="s">
        <v>534</v>
      </c>
      <c r="Q359" s="1">
        <f t="shared" si="13"/>
        <v>1</v>
      </c>
      <c r="R359" s="1">
        <v>59</v>
      </c>
      <c r="U359" s="8">
        <v>41548</v>
      </c>
    </row>
    <row r="360" spans="1:21" x14ac:dyDescent="0.25">
      <c r="A360" s="2">
        <f t="shared" si="12"/>
        <v>8</v>
      </c>
      <c r="B360" t="s">
        <v>144</v>
      </c>
      <c r="C360" s="2">
        <v>8</v>
      </c>
      <c r="D360" s="2">
        <v>132</v>
      </c>
      <c r="E360" s="2">
        <v>20</v>
      </c>
      <c r="F360" s="2">
        <v>13</v>
      </c>
      <c r="G360" s="2">
        <v>1</v>
      </c>
      <c r="J360" s="1"/>
      <c r="M360" t="s">
        <v>15</v>
      </c>
      <c r="N360" t="str">
        <f>IFERROR(VLOOKUP(B360,'[1]All Player'!$B$2:$C$1992,2,0),"")</f>
        <v>Toufiq Ahmed Ovi</v>
      </c>
      <c r="O360" s="2" t="s">
        <v>499</v>
      </c>
      <c r="P360" s="16" t="s">
        <v>534</v>
      </c>
      <c r="Q360" s="1">
        <f t="shared" si="13"/>
        <v>1</v>
      </c>
      <c r="R360" s="1">
        <v>59</v>
      </c>
      <c r="S360" s="2" t="s">
        <v>658</v>
      </c>
      <c r="U360" s="8">
        <v>41548</v>
      </c>
    </row>
    <row r="361" spans="1:21" x14ac:dyDescent="0.25">
      <c r="A361" s="2">
        <f t="shared" si="12"/>
        <v>8</v>
      </c>
      <c r="B361" t="s">
        <v>205</v>
      </c>
      <c r="C361" s="2">
        <v>7</v>
      </c>
      <c r="D361" s="2">
        <v>162</v>
      </c>
      <c r="E361" s="2">
        <v>2</v>
      </c>
      <c r="F361" s="2">
        <v>8</v>
      </c>
      <c r="G361" s="2">
        <v>1</v>
      </c>
      <c r="J361" s="1"/>
      <c r="M361" t="s">
        <v>15</v>
      </c>
      <c r="N361" t="str">
        <f>IFERROR(VLOOKUP(B361,'[1]All Player'!$B$2:$C$1992,2,0),"")</f>
        <v>Injamul Haque (Syed Injamul Haque)</v>
      </c>
      <c r="O361" s="2" t="s">
        <v>499</v>
      </c>
      <c r="P361" s="16" t="s">
        <v>534</v>
      </c>
      <c r="Q361" s="1">
        <f t="shared" si="13"/>
        <v>1</v>
      </c>
      <c r="R361" s="1">
        <v>59</v>
      </c>
      <c r="U361" s="8">
        <v>41548</v>
      </c>
    </row>
    <row r="362" spans="1:21" x14ac:dyDescent="0.25">
      <c r="A362" s="2">
        <f t="shared" si="12"/>
        <v>8</v>
      </c>
      <c r="B362" t="s">
        <v>201</v>
      </c>
      <c r="C362" s="2">
        <v>6</v>
      </c>
      <c r="D362" s="2">
        <v>77</v>
      </c>
      <c r="E362" s="2">
        <v>4</v>
      </c>
      <c r="F362" s="2">
        <v>9</v>
      </c>
      <c r="G362" s="2">
        <v>0</v>
      </c>
      <c r="J362" s="1"/>
      <c r="M362" t="s">
        <v>15</v>
      </c>
      <c r="N362" t="str">
        <f>IFERROR(VLOOKUP(B362,'[1]All Player'!$B$2:$C$1992,2,0),"")</f>
        <v>A.R. Shohag</v>
      </c>
      <c r="O362" s="2" t="s">
        <v>499</v>
      </c>
      <c r="P362" s="16" t="s">
        <v>534</v>
      </c>
      <c r="Q362" s="1">
        <f t="shared" si="13"/>
        <v>1</v>
      </c>
      <c r="R362" s="1">
        <v>59</v>
      </c>
      <c r="U362" s="8">
        <v>41548</v>
      </c>
    </row>
    <row r="363" spans="1:21" x14ac:dyDescent="0.25">
      <c r="A363" s="2">
        <f>A362</f>
        <v>8</v>
      </c>
      <c r="B363" t="s">
        <v>179</v>
      </c>
      <c r="C363" s="2">
        <v>7</v>
      </c>
      <c r="D363" s="2">
        <v>33</v>
      </c>
      <c r="E363" s="2">
        <v>8</v>
      </c>
      <c r="F363" s="2">
        <v>7</v>
      </c>
      <c r="G363" s="2">
        <v>0</v>
      </c>
      <c r="J363" s="1"/>
      <c r="M363" t="s">
        <v>15</v>
      </c>
      <c r="N363" t="str">
        <f>IFERROR(VLOOKUP(B363,'[1]All Player'!$B$2:$C$1992,2,0),"")</f>
        <v>Shuvayan Saha Brinto</v>
      </c>
      <c r="O363" s="2" t="s">
        <v>499</v>
      </c>
      <c r="P363" s="16" t="s">
        <v>534</v>
      </c>
      <c r="Q363" s="1">
        <f t="shared" si="13"/>
        <v>1</v>
      </c>
      <c r="R363" s="1">
        <v>59</v>
      </c>
      <c r="U363" s="8">
        <v>41548</v>
      </c>
    </row>
    <row r="364" spans="1:21" x14ac:dyDescent="0.25">
      <c r="A364" s="2">
        <f t="shared" ref="A364:A427" si="14">A363</f>
        <v>8</v>
      </c>
      <c r="B364" t="s">
        <v>146</v>
      </c>
      <c r="C364" s="2">
        <v>7</v>
      </c>
      <c r="D364" s="2">
        <v>132</v>
      </c>
      <c r="E364" s="2">
        <v>4</v>
      </c>
      <c r="F364" s="2">
        <v>8</v>
      </c>
      <c r="G364" s="2">
        <v>0</v>
      </c>
      <c r="J364" s="1"/>
      <c r="M364" t="s">
        <v>15</v>
      </c>
      <c r="N364" t="str">
        <f>IFERROR(VLOOKUP(B364,'[1]All Player'!$B$2:$C$1992,2,0),"")</f>
        <v>Nahid Saifullah</v>
      </c>
      <c r="O364" s="2" t="s">
        <v>499</v>
      </c>
      <c r="P364" s="16" t="s">
        <v>534</v>
      </c>
      <c r="Q364" s="1">
        <f t="shared" si="13"/>
        <v>1</v>
      </c>
      <c r="R364" s="1">
        <v>59</v>
      </c>
      <c r="U364" s="8">
        <v>41548</v>
      </c>
    </row>
    <row r="365" spans="1:21" x14ac:dyDescent="0.25">
      <c r="A365" s="2">
        <f t="shared" si="14"/>
        <v>8</v>
      </c>
      <c r="B365" t="s">
        <v>130</v>
      </c>
      <c r="C365" s="2">
        <v>7</v>
      </c>
      <c r="D365" s="2">
        <v>98</v>
      </c>
      <c r="E365" s="2">
        <v>5</v>
      </c>
      <c r="F365" s="2">
        <v>11</v>
      </c>
      <c r="G365" s="2">
        <v>0</v>
      </c>
      <c r="J365" s="1"/>
      <c r="M365" t="s">
        <v>15</v>
      </c>
      <c r="N365" t="str">
        <f>IFERROR(VLOOKUP(B365,'[1]All Player'!$B$2:$C$1992,2,0),"")</f>
        <v>Shahriar Khokon</v>
      </c>
      <c r="O365" s="2" t="s">
        <v>499</v>
      </c>
      <c r="P365" s="16" t="s">
        <v>534</v>
      </c>
      <c r="Q365" s="1">
        <f t="shared" si="13"/>
        <v>1</v>
      </c>
      <c r="R365" s="1">
        <v>59</v>
      </c>
      <c r="U365" s="8">
        <v>41548</v>
      </c>
    </row>
    <row r="366" spans="1:21" ht="15.75" x14ac:dyDescent="0.25">
      <c r="A366" s="2">
        <f>A365</f>
        <v>8</v>
      </c>
      <c r="B366" s="18" t="s">
        <v>500</v>
      </c>
      <c r="J366" s="1"/>
      <c r="M366" t="s">
        <v>15</v>
      </c>
      <c r="N366" t="str">
        <f>IFERROR(VLOOKUP(B366,'[1]All Player'!$B$2:$C$1992,2,0),"")</f>
        <v/>
      </c>
      <c r="O366" s="2" t="s">
        <v>499</v>
      </c>
      <c r="P366" s="16" t="s">
        <v>500</v>
      </c>
      <c r="Q366" s="1">
        <f t="shared" si="13"/>
        <v>1</v>
      </c>
      <c r="R366" s="1">
        <v>60</v>
      </c>
      <c r="U366" s="8">
        <v>41548</v>
      </c>
    </row>
    <row r="367" spans="1:21" x14ac:dyDescent="0.25">
      <c r="A367" s="2">
        <f t="shared" si="14"/>
        <v>8</v>
      </c>
      <c r="B367" t="s">
        <v>60</v>
      </c>
      <c r="C367" s="2">
        <v>7</v>
      </c>
      <c r="D367" s="2">
        <v>116</v>
      </c>
      <c r="E367" s="2">
        <v>9</v>
      </c>
      <c r="F367" s="2">
        <v>11</v>
      </c>
      <c r="G367" s="2">
        <v>3</v>
      </c>
      <c r="J367" s="1"/>
      <c r="M367" t="s">
        <v>15</v>
      </c>
      <c r="N367" t="str">
        <f>IFERROR(VLOOKUP(B367,'[1]All Player'!$B$2:$C$1992,2,0),"")</f>
        <v>Jahin Shahriar Chowdhury</v>
      </c>
      <c r="O367" s="2" t="s">
        <v>499</v>
      </c>
      <c r="P367" s="16" t="s">
        <v>500</v>
      </c>
      <c r="Q367" s="1">
        <f t="shared" si="13"/>
        <v>1</v>
      </c>
      <c r="R367" s="1">
        <v>60</v>
      </c>
      <c r="U367" s="8">
        <v>41548</v>
      </c>
    </row>
    <row r="368" spans="1:21" x14ac:dyDescent="0.25">
      <c r="A368" s="2">
        <f t="shared" si="14"/>
        <v>8</v>
      </c>
      <c r="B368" t="s">
        <v>66</v>
      </c>
      <c r="C368" s="2">
        <v>7</v>
      </c>
      <c r="D368" s="2">
        <v>165</v>
      </c>
      <c r="E368" s="2">
        <v>9</v>
      </c>
      <c r="F368" s="2">
        <v>9</v>
      </c>
      <c r="G368" s="2">
        <v>1</v>
      </c>
      <c r="H368" s="2">
        <v>0</v>
      </c>
      <c r="I368" s="2">
        <v>0</v>
      </c>
      <c r="J368" s="1"/>
      <c r="M368" t="s">
        <v>15</v>
      </c>
      <c r="N368" t="str">
        <f>IFERROR(VLOOKUP(B368,'[1]All Player'!$B$2:$C$1992,2,0),"")</f>
        <v>Ahmad Sakib Abdullah</v>
      </c>
      <c r="O368" s="2" t="s">
        <v>499</v>
      </c>
      <c r="P368" s="16" t="s">
        <v>500</v>
      </c>
      <c r="Q368" s="1">
        <f t="shared" si="13"/>
        <v>1</v>
      </c>
      <c r="R368" s="1">
        <v>60</v>
      </c>
      <c r="U368" s="8">
        <v>41548</v>
      </c>
    </row>
    <row r="369" spans="1:21" x14ac:dyDescent="0.25">
      <c r="A369" s="2">
        <f t="shared" si="14"/>
        <v>8</v>
      </c>
      <c r="B369" t="s">
        <v>62</v>
      </c>
      <c r="C369" s="2">
        <v>7</v>
      </c>
      <c r="D369" s="2">
        <v>115</v>
      </c>
      <c r="E369" s="2">
        <v>11</v>
      </c>
      <c r="F369" s="2">
        <v>10</v>
      </c>
      <c r="G369" s="2">
        <v>1</v>
      </c>
      <c r="J369" s="1"/>
      <c r="M369" t="s">
        <v>15</v>
      </c>
      <c r="N369" t="str">
        <f>IFERROR(VLOOKUP(B369,'[1]All Player'!$B$2:$C$1992,2,0),"")</f>
        <v>MD Tofayel Ahmed</v>
      </c>
      <c r="O369" s="2" t="s">
        <v>499</v>
      </c>
      <c r="P369" s="16" t="s">
        <v>500</v>
      </c>
      <c r="Q369" s="1">
        <f t="shared" si="13"/>
        <v>1</v>
      </c>
      <c r="R369" s="1">
        <v>60</v>
      </c>
      <c r="U369" s="8">
        <v>41548</v>
      </c>
    </row>
    <row r="370" spans="1:21" x14ac:dyDescent="0.25">
      <c r="A370" s="2">
        <f t="shared" si="14"/>
        <v>8</v>
      </c>
      <c r="B370" t="s">
        <v>74</v>
      </c>
      <c r="C370" s="2">
        <v>4</v>
      </c>
      <c r="D370" s="2">
        <v>41</v>
      </c>
      <c r="E370" s="2">
        <v>0</v>
      </c>
      <c r="F370" s="2">
        <v>4</v>
      </c>
      <c r="G370" s="2">
        <v>0</v>
      </c>
      <c r="J370" s="1"/>
      <c r="M370" t="s">
        <v>15</v>
      </c>
      <c r="N370" t="str">
        <f>IFERROR(VLOOKUP(B370,'[1]All Player'!$B$2:$C$1992,2,0),"")</f>
        <v>Sakib Arafat</v>
      </c>
      <c r="O370" s="2" t="s">
        <v>499</v>
      </c>
      <c r="P370" s="16" t="s">
        <v>500</v>
      </c>
      <c r="Q370" s="1">
        <f t="shared" si="13"/>
        <v>1</v>
      </c>
      <c r="R370" s="1">
        <v>60</v>
      </c>
      <c r="U370" s="8">
        <v>41548</v>
      </c>
    </row>
    <row r="371" spans="1:21" x14ac:dyDescent="0.25">
      <c r="A371" s="2">
        <f t="shared" si="14"/>
        <v>8</v>
      </c>
      <c r="B371" t="s">
        <v>304</v>
      </c>
      <c r="C371" s="2">
        <v>6</v>
      </c>
      <c r="D371" s="2">
        <v>43</v>
      </c>
      <c r="E371" s="2">
        <v>6</v>
      </c>
      <c r="F371" s="2">
        <v>5</v>
      </c>
      <c r="G371" s="2">
        <v>0</v>
      </c>
      <c r="J371" s="1"/>
      <c r="M371" t="s">
        <v>15</v>
      </c>
      <c r="N371" t="str">
        <f>IFERROR(VLOOKUP(B371,'[1]All Player'!$B$2:$C$1992,2,0),"")</f>
        <v>Oliy Saif</v>
      </c>
      <c r="O371" s="2" t="s">
        <v>499</v>
      </c>
      <c r="P371" s="16" t="s">
        <v>500</v>
      </c>
      <c r="Q371" s="1">
        <f t="shared" si="13"/>
        <v>1</v>
      </c>
      <c r="R371" s="1">
        <v>60</v>
      </c>
      <c r="U371" s="8">
        <v>41548</v>
      </c>
    </row>
    <row r="372" spans="1:21" x14ac:dyDescent="0.25">
      <c r="A372" s="2">
        <f t="shared" si="14"/>
        <v>8</v>
      </c>
      <c r="B372" t="s">
        <v>279</v>
      </c>
      <c r="C372" s="2">
        <v>7</v>
      </c>
      <c r="D372" s="2">
        <v>45</v>
      </c>
      <c r="E372" s="2">
        <v>4</v>
      </c>
      <c r="F372" s="2">
        <v>6</v>
      </c>
      <c r="G372" s="2">
        <v>0</v>
      </c>
      <c r="J372" s="1"/>
      <c r="M372" t="s">
        <v>15</v>
      </c>
      <c r="N372" t="str">
        <f>IFERROR(VLOOKUP(B372,'[1]All Player'!$B$2:$C$1992,2,0),"")</f>
        <v>Ahmed Kawser Da Neymar</v>
      </c>
      <c r="O372" s="2" t="s">
        <v>499</v>
      </c>
      <c r="P372" s="16" t="s">
        <v>500</v>
      </c>
      <c r="Q372" s="1">
        <f t="shared" si="13"/>
        <v>1</v>
      </c>
      <c r="R372" s="1">
        <v>60</v>
      </c>
      <c r="U372" s="8">
        <v>41548</v>
      </c>
    </row>
    <row r="373" spans="1:21" x14ac:dyDescent="0.25">
      <c r="A373" s="2">
        <f t="shared" si="14"/>
        <v>8</v>
      </c>
      <c r="B373" t="s">
        <v>70</v>
      </c>
      <c r="C373" s="2">
        <v>4</v>
      </c>
      <c r="D373" s="2">
        <v>25</v>
      </c>
      <c r="E373" s="2">
        <v>6</v>
      </c>
      <c r="F373" s="2">
        <v>3</v>
      </c>
      <c r="G373" s="2">
        <v>0</v>
      </c>
      <c r="J373" s="1"/>
      <c r="M373" t="s">
        <v>15</v>
      </c>
      <c r="N373" t="str">
        <f>IFERROR(VLOOKUP(B373,'[1]All Player'!$B$2:$C$1992,2,0),"")</f>
        <v>Sheik Helal Ahmed</v>
      </c>
      <c r="O373" s="2" t="s">
        <v>499</v>
      </c>
      <c r="P373" s="16" t="s">
        <v>500</v>
      </c>
      <c r="Q373" s="1">
        <f t="shared" si="13"/>
        <v>1</v>
      </c>
      <c r="R373" s="1">
        <v>60</v>
      </c>
      <c r="U373" s="8">
        <v>41548</v>
      </c>
    </row>
    <row r="374" spans="1:21" x14ac:dyDescent="0.25">
      <c r="A374" s="2">
        <f>A373</f>
        <v>8</v>
      </c>
      <c r="B374" s="17" t="s">
        <v>582</v>
      </c>
      <c r="J374" s="1"/>
      <c r="M374" t="s">
        <v>15</v>
      </c>
      <c r="N374" t="str">
        <f>IFERROR(VLOOKUP(B374,'[1]All Player'!$B$2:$C$1992,2,0),"")</f>
        <v/>
      </c>
      <c r="O374" s="2" t="s">
        <v>499</v>
      </c>
      <c r="P374" s="16" t="s">
        <v>582</v>
      </c>
      <c r="Q374" s="1">
        <f t="shared" si="13"/>
        <v>1</v>
      </c>
      <c r="R374" s="1">
        <v>61</v>
      </c>
      <c r="U374" s="8">
        <v>41548</v>
      </c>
    </row>
    <row r="375" spans="1:21" x14ac:dyDescent="0.25">
      <c r="A375" s="2">
        <f t="shared" si="14"/>
        <v>8</v>
      </c>
      <c r="B375" t="s">
        <v>93</v>
      </c>
      <c r="C375" s="2">
        <v>6</v>
      </c>
      <c r="D375" s="2">
        <v>107</v>
      </c>
      <c r="E375" s="2">
        <v>16</v>
      </c>
      <c r="F375" s="2">
        <v>8</v>
      </c>
      <c r="G375" s="2">
        <v>1</v>
      </c>
      <c r="M375" t="s">
        <v>15</v>
      </c>
      <c r="N375" t="str">
        <f>IFERROR(VLOOKUP(B375,'[1]All Player'!$B$2:$C$1992,2,0),"")</f>
        <v>Zaheed Hasan</v>
      </c>
      <c r="O375" s="2" t="s">
        <v>499</v>
      </c>
      <c r="P375" s="16" t="s">
        <v>582</v>
      </c>
      <c r="Q375" s="1">
        <f t="shared" si="13"/>
        <v>1</v>
      </c>
      <c r="R375" s="1">
        <v>61</v>
      </c>
      <c r="U375" s="8">
        <v>41548</v>
      </c>
    </row>
    <row r="376" spans="1:21" x14ac:dyDescent="0.25">
      <c r="A376" s="2">
        <f t="shared" si="14"/>
        <v>8</v>
      </c>
      <c r="B376" t="s">
        <v>122</v>
      </c>
      <c r="C376" s="2">
        <v>6</v>
      </c>
      <c r="D376" s="2">
        <v>65</v>
      </c>
      <c r="E376" s="2">
        <v>11</v>
      </c>
      <c r="F376" s="2">
        <v>8</v>
      </c>
      <c r="G376" s="2">
        <v>1</v>
      </c>
      <c r="J376" s="1"/>
      <c r="M376" t="s">
        <v>15</v>
      </c>
      <c r="N376" t="str">
        <f>IFERROR(VLOOKUP(B376,'[1]All Player'!$B$2:$C$1992,2,0),"")</f>
        <v>Towkir Ahmed Siddique</v>
      </c>
      <c r="O376" s="2" t="s">
        <v>499</v>
      </c>
      <c r="P376" s="16" t="s">
        <v>582</v>
      </c>
      <c r="Q376" s="1">
        <f t="shared" si="13"/>
        <v>1</v>
      </c>
      <c r="R376" s="1">
        <v>61</v>
      </c>
      <c r="U376" s="8">
        <v>41548</v>
      </c>
    </row>
    <row r="377" spans="1:21" x14ac:dyDescent="0.25">
      <c r="A377" s="2">
        <f t="shared" si="14"/>
        <v>8</v>
      </c>
      <c r="B377" t="s">
        <v>80</v>
      </c>
      <c r="C377" s="2">
        <v>6</v>
      </c>
      <c r="D377" s="2">
        <v>113</v>
      </c>
      <c r="E377" s="2">
        <v>4</v>
      </c>
      <c r="F377" s="2">
        <v>8</v>
      </c>
      <c r="G377" s="2">
        <v>1</v>
      </c>
      <c r="J377" s="1"/>
      <c r="M377" t="s">
        <v>15</v>
      </c>
      <c r="N377" t="str">
        <f>IFERROR(VLOOKUP(B377,'[1]All Player'!$B$2:$C$1992,2,0),"")</f>
        <v>Kamrul Hasan Tutul</v>
      </c>
      <c r="O377" s="2" t="s">
        <v>499</v>
      </c>
      <c r="P377" s="16" t="s">
        <v>582</v>
      </c>
      <c r="Q377" s="1">
        <f t="shared" si="13"/>
        <v>1</v>
      </c>
      <c r="R377" s="1">
        <v>61</v>
      </c>
      <c r="U377" s="8">
        <v>41548</v>
      </c>
    </row>
    <row r="378" spans="1:21" x14ac:dyDescent="0.25">
      <c r="A378" s="2">
        <f t="shared" si="14"/>
        <v>8</v>
      </c>
      <c r="B378" t="s">
        <v>52</v>
      </c>
      <c r="C378" s="2">
        <v>6</v>
      </c>
      <c r="D378" s="2">
        <v>52</v>
      </c>
      <c r="E378" s="2">
        <v>2</v>
      </c>
      <c r="F378" s="2">
        <v>8</v>
      </c>
      <c r="G378" s="2">
        <v>1</v>
      </c>
      <c r="J378" s="1"/>
      <c r="M378" t="s">
        <v>15</v>
      </c>
      <c r="N378" t="str">
        <f>IFERROR(VLOOKUP(B378,'[1]All Player'!$B$2:$C$1992,2,0),"")</f>
        <v>Mohammed Al Mamun</v>
      </c>
      <c r="O378" s="2" t="s">
        <v>499</v>
      </c>
      <c r="P378" s="16" t="s">
        <v>582</v>
      </c>
      <c r="Q378" s="1">
        <f t="shared" si="13"/>
        <v>1</v>
      </c>
      <c r="R378" s="1">
        <v>61</v>
      </c>
      <c r="U378" s="8">
        <v>41548</v>
      </c>
    </row>
    <row r="379" spans="1:21" x14ac:dyDescent="0.25">
      <c r="A379" s="2">
        <f t="shared" si="14"/>
        <v>8</v>
      </c>
      <c r="B379" t="s">
        <v>772</v>
      </c>
      <c r="C379" s="2">
        <v>6</v>
      </c>
      <c r="D379" s="2">
        <v>51</v>
      </c>
      <c r="E379" s="2">
        <v>3</v>
      </c>
      <c r="F379" s="2">
        <v>5</v>
      </c>
      <c r="G379" s="2">
        <v>0</v>
      </c>
      <c r="J379" s="1"/>
      <c r="M379" t="s">
        <v>15</v>
      </c>
      <c r="N379" t="str">
        <f>IFERROR(VLOOKUP(B379,'[1]All Player'!$B$2:$C$1992,2,0),"")</f>
        <v>Ashikur Rahman Ashik</v>
      </c>
      <c r="O379" s="2" t="s">
        <v>499</v>
      </c>
      <c r="P379" s="16" t="s">
        <v>582</v>
      </c>
      <c r="Q379" s="1">
        <f t="shared" si="13"/>
        <v>1</v>
      </c>
      <c r="R379" s="1">
        <v>61</v>
      </c>
      <c r="U379" s="8">
        <v>41548</v>
      </c>
    </row>
    <row r="380" spans="1:21" x14ac:dyDescent="0.25">
      <c r="A380" s="2">
        <f t="shared" si="14"/>
        <v>8</v>
      </c>
      <c r="B380" t="s">
        <v>324</v>
      </c>
      <c r="C380" s="2">
        <v>2</v>
      </c>
      <c r="D380" s="2">
        <v>18</v>
      </c>
      <c r="E380" s="2">
        <v>2</v>
      </c>
      <c r="F380" s="2">
        <v>2</v>
      </c>
      <c r="G380" s="2">
        <v>0</v>
      </c>
      <c r="J380" s="1"/>
      <c r="M380" t="s">
        <v>15</v>
      </c>
      <c r="N380" t="str">
        <f>IFERROR(VLOOKUP(B380,'[1]All Player'!$B$2:$C$1992,2,0),"")</f>
        <v>JAHIDUL ISLAM TUSHER</v>
      </c>
      <c r="O380" s="2" t="s">
        <v>499</v>
      </c>
      <c r="P380" s="16" t="s">
        <v>582</v>
      </c>
      <c r="Q380" s="1">
        <f t="shared" si="13"/>
        <v>1</v>
      </c>
      <c r="R380" s="1">
        <v>61</v>
      </c>
      <c r="U380" s="8">
        <v>41548</v>
      </c>
    </row>
    <row r="381" spans="1:21" x14ac:dyDescent="0.25">
      <c r="A381" s="2">
        <f t="shared" si="14"/>
        <v>8</v>
      </c>
      <c r="B381" s="17" t="s">
        <v>583</v>
      </c>
      <c r="J381" s="1"/>
      <c r="M381" t="s">
        <v>15</v>
      </c>
      <c r="N381" t="str">
        <f>IFERROR(VLOOKUP(B381,'[1]All Player'!$B$2:$C$1992,2,0),"")</f>
        <v/>
      </c>
      <c r="O381" s="2" t="s">
        <v>499</v>
      </c>
      <c r="P381" s="16" t="s">
        <v>583</v>
      </c>
      <c r="Q381" s="1">
        <f t="shared" si="13"/>
        <v>1</v>
      </c>
      <c r="R381" s="1">
        <v>62</v>
      </c>
      <c r="U381" s="8">
        <v>41548</v>
      </c>
    </row>
    <row r="382" spans="1:21" x14ac:dyDescent="0.25">
      <c r="A382" s="2">
        <f t="shared" si="14"/>
        <v>8</v>
      </c>
      <c r="B382" t="s">
        <v>152</v>
      </c>
      <c r="C382" s="2">
        <v>5</v>
      </c>
      <c r="D382" s="2">
        <v>81</v>
      </c>
      <c r="E382" s="2">
        <v>3</v>
      </c>
      <c r="F382" s="2">
        <v>7</v>
      </c>
      <c r="G382" s="2">
        <v>0</v>
      </c>
      <c r="J382" s="1"/>
      <c r="M382" t="s">
        <v>15</v>
      </c>
      <c r="N382" t="str">
        <f>IFERROR(VLOOKUP(B382,'[1]All Player'!$B$2:$C$1992,2,0),"")</f>
        <v>Niamul Habib Setu</v>
      </c>
      <c r="O382" s="2" t="s">
        <v>499</v>
      </c>
      <c r="P382" s="16" t="s">
        <v>583</v>
      </c>
      <c r="Q382" s="1">
        <f t="shared" si="13"/>
        <v>1</v>
      </c>
      <c r="R382" s="1">
        <v>62</v>
      </c>
      <c r="U382" s="8">
        <v>41548</v>
      </c>
    </row>
    <row r="383" spans="1:21" x14ac:dyDescent="0.25">
      <c r="A383" s="2">
        <f t="shared" si="14"/>
        <v>8</v>
      </c>
      <c r="B383" t="s">
        <v>120</v>
      </c>
      <c r="C383" s="2">
        <v>6</v>
      </c>
      <c r="D383" s="2">
        <v>193</v>
      </c>
      <c r="E383" s="2">
        <v>13</v>
      </c>
      <c r="F383" s="2">
        <v>12</v>
      </c>
      <c r="G383" s="2">
        <v>0</v>
      </c>
      <c r="J383" s="1"/>
      <c r="M383" t="s">
        <v>15</v>
      </c>
      <c r="N383" t="str">
        <f>IFERROR(VLOOKUP(B383,'[1]All Player'!$B$2:$C$1992,2,0),"")</f>
        <v>Kamrul Hasan Hridoy</v>
      </c>
      <c r="O383" s="2" t="s">
        <v>499</v>
      </c>
      <c r="P383" s="16" t="s">
        <v>583</v>
      </c>
      <c r="Q383" s="1">
        <f t="shared" si="13"/>
        <v>1</v>
      </c>
      <c r="R383" s="1">
        <v>62</v>
      </c>
      <c r="U383" s="8">
        <v>41548</v>
      </c>
    </row>
    <row r="384" spans="1:21" x14ac:dyDescent="0.25">
      <c r="A384" s="2">
        <f t="shared" si="14"/>
        <v>8</v>
      </c>
      <c r="B384" t="s">
        <v>72</v>
      </c>
      <c r="C384" s="2">
        <v>5</v>
      </c>
      <c r="D384" s="2">
        <v>166</v>
      </c>
      <c r="E384" s="2">
        <v>6</v>
      </c>
      <c r="F384" s="2">
        <v>9</v>
      </c>
      <c r="G384" s="2">
        <v>1</v>
      </c>
      <c r="J384" s="1"/>
      <c r="M384" t="s">
        <v>15</v>
      </c>
      <c r="N384" t="str">
        <f>IFERROR(VLOOKUP(B384,'[1]All Player'!$B$2:$C$1992,2,0),"")</f>
        <v>Akram Husan (Washim)</v>
      </c>
      <c r="O384" s="2" t="s">
        <v>499</v>
      </c>
      <c r="P384" s="16" t="s">
        <v>583</v>
      </c>
      <c r="Q384" s="1">
        <f t="shared" si="13"/>
        <v>1</v>
      </c>
      <c r="R384" s="1">
        <v>62</v>
      </c>
      <c r="U384" s="8">
        <v>41548</v>
      </c>
    </row>
    <row r="385" spans="1:21" x14ac:dyDescent="0.25">
      <c r="A385" s="2">
        <f t="shared" si="14"/>
        <v>8</v>
      </c>
      <c r="B385" t="s">
        <v>154</v>
      </c>
      <c r="C385" s="2">
        <v>4</v>
      </c>
      <c r="D385" s="2">
        <v>48</v>
      </c>
      <c r="E385" s="2">
        <v>6</v>
      </c>
      <c r="F385" s="2">
        <v>5</v>
      </c>
      <c r="G385" s="2">
        <v>0</v>
      </c>
      <c r="J385" s="1"/>
      <c r="M385" t="s">
        <v>15</v>
      </c>
      <c r="N385" t="str">
        <f>IFERROR(VLOOKUP(B385,'[1]All Player'!$B$2:$C$1992,2,0),"")</f>
        <v>Meyaz Al Emon</v>
      </c>
      <c r="O385" s="2" t="s">
        <v>499</v>
      </c>
      <c r="P385" s="16" t="s">
        <v>583</v>
      </c>
      <c r="Q385" s="1">
        <f t="shared" si="13"/>
        <v>1</v>
      </c>
      <c r="R385" s="1">
        <v>62</v>
      </c>
      <c r="U385" s="8">
        <v>41548</v>
      </c>
    </row>
    <row r="386" spans="1:21" x14ac:dyDescent="0.25">
      <c r="A386" s="2">
        <f t="shared" si="14"/>
        <v>8</v>
      </c>
      <c r="B386" t="s">
        <v>296</v>
      </c>
      <c r="C386" s="2">
        <v>3</v>
      </c>
      <c r="D386" s="2">
        <v>16</v>
      </c>
      <c r="E386" s="2">
        <v>2</v>
      </c>
      <c r="F386" s="2">
        <v>3</v>
      </c>
      <c r="G386" s="2">
        <v>0</v>
      </c>
      <c r="J386" s="1"/>
      <c r="M386" t="s">
        <v>15</v>
      </c>
      <c r="N386" t="str">
        <f>IFERROR(VLOOKUP(B386,'[1]All Player'!$B$2:$C$1992,2,0),"")</f>
        <v>Zi Zohir</v>
      </c>
      <c r="O386" s="2" t="s">
        <v>499</v>
      </c>
      <c r="P386" s="16" t="s">
        <v>583</v>
      </c>
      <c r="Q386" s="1">
        <f t="shared" ref="Q386:Q449" si="15">IF(B386="","",1)</f>
        <v>1</v>
      </c>
      <c r="R386" s="1">
        <v>62</v>
      </c>
      <c r="U386" s="8">
        <v>41548</v>
      </c>
    </row>
    <row r="387" spans="1:21" x14ac:dyDescent="0.25">
      <c r="A387" s="2">
        <f t="shared" si="14"/>
        <v>8</v>
      </c>
      <c r="B387" t="s">
        <v>327</v>
      </c>
      <c r="C387" s="2">
        <v>6</v>
      </c>
      <c r="D387" s="2">
        <v>42</v>
      </c>
      <c r="E387" s="2">
        <v>7</v>
      </c>
      <c r="F387" s="2">
        <v>5</v>
      </c>
      <c r="G387" s="2">
        <v>1</v>
      </c>
      <c r="J387" s="1"/>
      <c r="M387" t="s">
        <v>15</v>
      </c>
      <c r="N387" t="str">
        <f>IFERROR(VLOOKUP(B387,'[1]All Player'!$B$2:$C$1992,2,0),"")</f>
        <v>Fairooz Wasif Saiku</v>
      </c>
      <c r="O387" s="2" t="s">
        <v>499</v>
      </c>
      <c r="P387" s="16" t="s">
        <v>583</v>
      </c>
      <c r="Q387" s="1">
        <f t="shared" si="15"/>
        <v>1</v>
      </c>
      <c r="R387" s="1">
        <v>62</v>
      </c>
      <c r="U387" s="8">
        <v>41548</v>
      </c>
    </row>
    <row r="388" spans="1:21" x14ac:dyDescent="0.25">
      <c r="A388" s="2">
        <f t="shared" si="14"/>
        <v>8</v>
      </c>
      <c r="B388" t="s">
        <v>38</v>
      </c>
      <c r="C388" s="2">
        <v>1</v>
      </c>
      <c r="D388" s="2">
        <v>0</v>
      </c>
      <c r="E388" s="2">
        <v>1</v>
      </c>
      <c r="F388" s="2">
        <v>0</v>
      </c>
      <c r="G388" s="2">
        <v>0</v>
      </c>
      <c r="J388" s="1"/>
      <c r="M388" t="s">
        <v>15</v>
      </c>
      <c r="N388" t="str">
        <f>IFERROR(VLOOKUP(B388,'[1]All Player'!$B$2:$C$1992,2,0),"")</f>
        <v>Rayhan Rahman</v>
      </c>
      <c r="O388" s="2" t="s">
        <v>499</v>
      </c>
      <c r="P388" s="16" t="s">
        <v>583</v>
      </c>
      <c r="Q388" s="1">
        <f t="shared" si="15"/>
        <v>1</v>
      </c>
      <c r="R388" s="1">
        <v>62</v>
      </c>
      <c r="U388" s="8">
        <v>41548</v>
      </c>
    </row>
    <row r="389" spans="1:21" x14ac:dyDescent="0.25">
      <c r="A389" s="2">
        <f t="shared" si="14"/>
        <v>8</v>
      </c>
      <c r="B389" s="17" t="s">
        <v>777</v>
      </c>
      <c r="J389" s="1"/>
      <c r="M389" t="s">
        <v>15</v>
      </c>
      <c r="N389" t="str">
        <f>IFERROR(VLOOKUP(B389,'[1]All Player'!$B$2:$C$1992,2,0),"")</f>
        <v/>
      </c>
      <c r="O389" s="2" t="s">
        <v>499</v>
      </c>
      <c r="P389" s="16" t="s">
        <v>777</v>
      </c>
      <c r="Q389" s="1">
        <f t="shared" si="15"/>
        <v>1</v>
      </c>
      <c r="R389" s="1">
        <v>63</v>
      </c>
      <c r="U389" s="8">
        <v>41548</v>
      </c>
    </row>
    <row r="390" spans="1:21" x14ac:dyDescent="0.25">
      <c r="A390" s="2">
        <f t="shared" si="14"/>
        <v>8</v>
      </c>
      <c r="B390" t="s">
        <v>245</v>
      </c>
      <c r="C390" s="2">
        <v>6</v>
      </c>
      <c r="D390" s="2">
        <v>135</v>
      </c>
      <c r="E390" s="2">
        <v>9</v>
      </c>
      <c r="F390" s="2">
        <v>10</v>
      </c>
      <c r="G390" s="2">
        <v>2</v>
      </c>
      <c r="J390" s="1"/>
      <c r="M390" t="s">
        <v>15</v>
      </c>
      <c r="N390" t="str">
        <f>IFERROR(VLOOKUP(B390,'[1]All Player'!$B$2:$C$1992,2,0),"")</f>
        <v>Akram Hosen Himal</v>
      </c>
      <c r="O390" s="2" t="s">
        <v>499</v>
      </c>
      <c r="P390" s="16" t="s">
        <v>777</v>
      </c>
      <c r="Q390" s="1">
        <f t="shared" si="15"/>
        <v>1</v>
      </c>
      <c r="R390" s="1">
        <v>63</v>
      </c>
      <c r="U390" s="8">
        <v>41548</v>
      </c>
    </row>
    <row r="391" spans="1:21" x14ac:dyDescent="0.25">
      <c r="A391" s="2">
        <f t="shared" si="14"/>
        <v>8</v>
      </c>
      <c r="B391" t="s">
        <v>29</v>
      </c>
      <c r="C391" s="2">
        <v>6</v>
      </c>
      <c r="D391" s="2">
        <v>70</v>
      </c>
      <c r="E391" s="2">
        <v>6</v>
      </c>
      <c r="F391" s="2">
        <v>8</v>
      </c>
      <c r="G391" s="2">
        <v>0</v>
      </c>
      <c r="J391" s="1"/>
      <c r="M391" t="s">
        <v>15</v>
      </c>
      <c r="N391" t="str">
        <f>IFERROR(VLOOKUP(B391,'[1]All Player'!$B$2:$C$1992,2,0),"")</f>
        <v>Foysal Ahmed Jumon</v>
      </c>
      <c r="O391" s="2" t="s">
        <v>499</v>
      </c>
      <c r="P391" s="16" t="s">
        <v>777</v>
      </c>
      <c r="Q391" s="1">
        <f t="shared" si="15"/>
        <v>1</v>
      </c>
      <c r="R391" s="1">
        <v>63</v>
      </c>
      <c r="U391" s="8">
        <v>41548</v>
      </c>
    </row>
    <row r="392" spans="1:21" x14ac:dyDescent="0.25">
      <c r="A392" s="2">
        <f t="shared" si="14"/>
        <v>8</v>
      </c>
      <c r="B392" t="s">
        <v>778</v>
      </c>
      <c r="C392" s="2">
        <v>6</v>
      </c>
      <c r="D392" s="2">
        <v>45</v>
      </c>
      <c r="E392" s="2">
        <v>5</v>
      </c>
      <c r="F392" s="2">
        <v>7</v>
      </c>
      <c r="G392" s="2">
        <v>0</v>
      </c>
      <c r="J392" s="1"/>
      <c r="M392" t="s">
        <v>15</v>
      </c>
      <c r="N392" t="str">
        <f>IFERROR(VLOOKUP(B392,'[1]All Player'!$B$2:$C$1992,2,0),"")</f>
        <v>Md. Abutaleb</v>
      </c>
      <c r="O392" s="2" t="s">
        <v>499</v>
      </c>
      <c r="P392" s="16" t="s">
        <v>777</v>
      </c>
      <c r="Q392" s="1">
        <f t="shared" si="15"/>
        <v>1</v>
      </c>
      <c r="R392" s="1">
        <v>63</v>
      </c>
      <c r="U392" s="8">
        <v>41548</v>
      </c>
    </row>
    <row r="393" spans="1:21" x14ac:dyDescent="0.25">
      <c r="A393" s="2">
        <f t="shared" si="14"/>
        <v>8</v>
      </c>
      <c r="B393" t="s">
        <v>46</v>
      </c>
      <c r="C393" s="2">
        <v>6</v>
      </c>
      <c r="D393" s="2">
        <v>108</v>
      </c>
      <c r="E393" s="2">
        <v>12</v>
      </c>
      <c r="F393" s="2">
        <v>9</v>
      </c>
      <c r="G393" s="2">
        <v>0</v>
      </c>
      <c r="J393" s="1"/>
      <c r="M393" t="s">
        <v>15</v>
      </c>
      <c r="N393" t="str">
        <f>IFERROR(VLOOKUP(B393,'[1]All Player'!$B$2:$C$1992,2,0),"")</f>
        <v>Roman mahamud Arko</v>
      </c>
      <c r="O393" s="2" t="s">
        <v>499</v>
      </c>
      <c r="P393" s="16" t="s">
        <v>777</v>
      </c>
      <c r="Q393" s="1">
        <f t="shared" si="15"/>
        <v>1</v>
      </c>
      <c r="R393" s="1">
        <v>63</v>
      </c>
      <c r="U393" s="8">
        <v>41548</v>
      </c>
    </row>
    <row r="394" spans="1:21" x14ac:dyDescent="0.25">
      <c r="A394" s="2">
        <f t="shared" si="14"/>
        <v>8</v>
      </c>
      <c r="B394" t="s">
        <v>138</v>
      </c>
      <c r="C394" s="2">
        <v>6</v>
      </c>
      <c r="D394" s="2">
        <v>172</v>
      </c>
      <c r="E394" s="2">
        <v>4</v>
      </c>
      <c r="F394" s="2">
        <v>8</v>
      </c>
      <c r="G394" s="2">
        <v>1</v>
      </c>
      <c r="J394" s="1"/>
      <c r="M394" t="s">
        <v>15</v>
      </c>
      <c r="N394" t="str">
        <f>IFERROR(VLOOKUP(B394,'[1]All Player'!$B$2:$C$1992,2,0),"")</f>
        <v>Asif Iqbal Khan</v>
      </c>
      <c r="O394" s="2" t="s">
        <v>499</v>
      </c>
      <c r="P394" s="16" t="s">
        <v>777</v>
      </c>
      <c r="Q394" s="1">
        <f t="shared" si="15"/>
        <v>1</v>
      </c>
      <c r="R394" s="1">
        <v>63</v>
      </c>
      <c r="U394" s="8">
        <v>41548</v>
      </c>
    </row>
    <row r="395" spans="1:21" x14ac:dyDescent="0.25">
      <c r="A395" s="2">
        <v>9</v>
      </c>
      <c r="B395" t="s">
        <v>779</v>
      </c>
      <c r="J395" s="1"/>
      <c r="M395" t="s">
        <v>15</v>
      </c>
      <c r="N395" t="str">
        <f>IFERROR(VLOOKUP(B395,'[1]All Player'!$B$2:$C$1992,2,0),"")</f>
        <v/>
      </c>
      <c r="O395" s="2" t="s">
        <v>501</v>
      </c>
      <c r="P395" s="16" t="s">
        <v>780</v>
      </c>
      <c r="Q395" s="1">
        <f t="shared" si="15"/>
        <v>1</v>
      </c>
      <c r="R395" s="1">
        <v>64</v>
      </c>
      <c r="U395" s="8">
        <v>41609</v>
      </c>
    </row>
    <row r="396" spans="1:21" x14ac:dyDescent="0.25">
      <c r="A396" s="2">
        <f t="shared" si="14"/>
        <v>9</v>
      </c>
      <c r="B396" t="s">
        <v>138</v>
      </c>
      <c r="C396" s="2">
        <v>2</v>
      </c>
      <c r="D396" s="2">
        <v>14</v>
      </c>
      <c r="E396" s="2">
        <v>4</v>
      </c>
      <c r="F396" s="2">
        <v>4</v>
      </c>
      <c r="G396" s="2">
        <v>0</v>
      </c>
      <c r="H396" s="2">
        <v>0</v>
      </c>
      <c r="I396" s="2">
        <v>1</v>
      </c>
      <c r="J396" s="1"/>
      <c r="M396" t="s">
        <v>15</v>
      </c>
      <c r="N396" t="str">
        <f>IFERROR(VLOOKUP(B396,'[1]All Player'!$B$2:$C$1992,2,0),"")</f>
        <v>Asif Iqbal Khan</v>
      </c>
      <c r="O396" s="2" t="s">
        <v>501</v>
      </c>
      <c r="P396" s="16" t="s">
        <v>780</v>
      </c>
      <c r="Q396" s="1">
        <f t="shared" si="15"/>
        <v>1</v>
      </c>
      <c r="R396" s="1">
        <v>64</v>
      </c>
      <c r="U396" s="8">
        <v>41609</v>
      </c>
    </row>
    <row r="397" spans="1:21" x14ac:dyDescent="0.25">
      <c r="A397" s="2">
        <f t="shared" si="14"/>
        <v>9</v>
      </c>
      <c r="B397" t="s">
        <v>130</v>
      </c>
      <c r="C397" s="2">
        <v>3</v>
      </c>
      <c r="D397" s="2">
        <v>32</v>
      </c>
      <c r="E397" s="2">
        <v>2</v>
      </c>
      <c r="F397" s="2">
        <v>5</v>
      </c>
      <c r="G397" s="2">
        <v>0</v>
      </c>
      <c r="H397" s="2">
        <v>0</v>
      </c>
      <c r="I397" s="2">
        <v>1</v>
      </c>
      <c r="J397" s="1"/>
      <c r="M397" t="s">
        <v>15</v>
      </c>
      <c r="N397" t="str">
        <f>IFERROR(VLOOKUP(B397,'[1]All Player'!$B$2:$C$1992,2,0),"")</f>
        <v>Shahriar Khokon</v>
      </c>
      <c r="O397" s="2" t="s">
        <v>501</v>
      </c>
      <c r="P397" s="16" t="s">
        <v>780</v>
      </c>
      <c r="Q397" s="1">
        <f t="shared" si="15"/>
        <v>1</v>
      </c>
      <c r="R397" s="1">
        <v>64</v>
      </c>
      <c r="U397" s="8">
        <v>41609</v>
      </c>
    </row>
    <row r="398" spans="1:21" x14ac:dyDescent="0.25">
      <c r="A398" s="2">
        <f t="shared" si="14"/>
        <v>9</v>
      </c>
      <c r="B398" t="s">
        <v>203</v>
      </c>
      <c r="C398" s="2">
        <v>2</v>
      </c>
      <c r="D398" s="2">
        <v>38</v>
      </c>
      <c r="E398" s="2">
        <v>4</v>
      </c>
      <c r="F398" s="2">
        <v>4</v>
      </c>
      <c r="G398" s="2">
        <v>0</v>
      </c>
      <c r="H398" s="2">
        <v>4</v>
      </c>
      <c r="I398" s="2">
        <v>2</v>
      </c>
      <c r="J398" s="1"/>
      <c r="M398" t="s">
        <v>15</v>
      </c>
      <c r="N398" t="str">
        <f>IFERROR(VLOOKUP(B398,'[1]All Player'!$B$2:$C$1992,2,0),"")</f>
        <v>Rifat Ullah</v>
      </c>
      <c r="O398" s="2" t="s">
        <v>501</v>
      </c>
      <c r="P398" s="16" t="s">
        <v>780</v>
      </c>
      <c r="Q398" s="1">
        <f t="shared" si="15"/>
        <v>1</v>
      </c>
      <c r="R398" s="1">
        <v>64</v>
      </c>
      <c r="U398" s="8">
        <v>41609</v>
      </c>
    </row>
    <row r="399" spans="1:21" x14ac:dyDescent="0.25">
      <c r="A399" s="2">
        <f t="shared" si="14"/>
        <v>9</v>
      </c>
      <c r="B399" t="s">
        <v>536</v>
      </c>
      <c r="J399" s="1"/>
      <c r="M399" t="s">
        <v>15</v>
      </c>
      <c r="N399" t="str">
        <f>IFERROR(VLOOKUP(B399,'[1]All Player'!$B$2:$C$1992,2,0),"")</f>
        <v/>
      </c>
      <c r="O399" s="2" t="s">
        <v>501</v>
      </c>
      <c r="P399" s="16" t="s">
        <v>536</v>
      </c>
      <c r="Q399" s="1">
        <f t="shared" si="15"/>
        <v>1</v>
      </c>
      <c r="R399" s="1">
        <v>65</v>
      </c>
      <c r="U399" s="8">
        <v>41609</v>
      </c>
    </row>
    <row r="400" spans="1:21" x14ac:dyDescent="0.25">
      <c r="A400" s="2">
        <f t="shared" si="14"/>
        <v>9</v>
      </c>
      <c r="B400" t="s">
        <v>60</v>
      </c>
      <c r="C400" s="2">
        <v>6</v>
      </c>
      <c r="D400" s="2">
        <v>115</v>
      </c>
      <c r="E400" s="2">
        <v>11</v>
      </c>
      <c r="F400" s="2">
        <v>10</v>
      </c>
      <c r="G400" s="2">
        <v>2</v>
      </c>
      <c r="H400" s="2">
        <v>15</v>
      </c>
      <c r="I400" s="2">
        <v>4</v>
      </c>
      <c r="J400" s="1"/>
      <c r="M400" t="s">
        <v>15</v>
      </c>
      <c r="N400" t="str">
        <f>IFERROR(VLOOKUP(B400,'[1]All Player'!$B$2:$C$1992,2,0),"")</f>
        <v>Jahin Shahriar Chowdhury</v>
      </c>
      <c r="O400" s="2" t="s">
        <v>501</v>
      </c>
      <c r="P400" s="16" t="s">
        <v>536</v>
      </c>
      <c r="Q400" s="1">
        <f t="shared" si="15"/>
        <v>1</v>
      </c>
      <c r="R400" s="1">
        <v>65</v>
      </c>
      <c r="U400" s="8">
        <v>41609</v>
      </c>
    </row>
    <row r="401" spans="1:21" x14ac:dyDescent="0.25">
      <c r="A401" s="2">
        <f t="shared" si="14"/>
        <v>9</v>
      </c>
      <c r="B401" t="s">
        <v>62</v>
      </c>
      <c r="C401" s="2">
        <v>5</v>
      </c>
      <c r="D401" s="2">
        <v>120</v>
      </c>
      <c r="E401" s="2">
        <v>6</v>
      </c>
      <c r="F401" s="2">
        <v>10</v>
      </c>
      <c r="G401" s="2">
        <v>1</v>
      </c>
      <c r="H401" s="2">
        <v>9</v>
      </c>
      <c r="I401" s="2">
        <v>9</v>
      </c>
      <c r="J401" s="1"/>
      <c r="M401" t="s">
        <v>15</v>
      </c>
      <c r="N401" t="str">
        <f>IFERROR(VLOOKUP(B401,'[1]All Player'!$B$2:$C$1992,2,0),"")</f>
        <v>MD Tofayel Ahmed</v>
      </c>
      <c r="O401" s="2" t="s">
        <v>501</v>
      </c>
      <c r="P401" s="16" t="s">
        <v>536</v>
      </c>
      <c r="Q401" s="1">
        <f t="shared" si="15"/>
        <v>1</v>
      </c>
      <c r="R401" s="1">
        <v>65</v>
      </c>
      <c r="U401" s="8">
        <v>41609</v>
      </c>
    </row>
    <row r="402" spans="1:21" x14ac:dyDescent="0.25">
      <c r="A402" s="2">
        <f t="shared" si="14"/>
        <v>9</v>
      </c>
      <c r="B402" t="s">
        <v>772</v>
      </c>
      <c r="C402" s="2">
        <v>5</v>
      </c>
      <c r="D402" s="2">
        <v>70</v>
      </c>
      <c r="E402" s="2">
        <v>8</v>
      </c>
      <c r="F402" s="2">
        <v>7</v>
      </c>
      <c r="G402" s="2">
        <v>0</v>
      </c>
      <c r="H402" s="2">
        <v>6</v>
      </c>
      <c r="I402" s="2">
        <v>1</v>
      </c>
      <c r="J402" s="1"/>
      <c r="M402" t="s">
        <v>15</v>
      </c>
      <c r="N402" t="str">
        <f>IFERROR(VLOOKUP(B402,'[1]All Player'!$B$2:$C$1992,2,0),"")</f>
        <v>Ashikur Rahman Ashik</v>
      </c>
      <c r="O402" s="2" t="s">
        <v>501</v>
      </c>
      <c r="P402" s="16" t="s">
        <v>536</v>
      </c>
      <c r="Q402" s="1">
        <f t="shared" si="15"/>
        <v>1</v>
      </c>
      <c r="R402" s="1">
        <v>65</v>
      </c>
      <c r="U402" s="8">
        <v>41609</v>
      </c>
    </row>
    <row r="403" spans="1:21" x14ac:dyDescent="0.25">
      <c r="A403" s="2">
        <f t="shared" si="14"/>
        <v>9</v>
      </c>
      <c r="B403" t="s">
        <v>134</v>
      </c>
      <c r="C403" s="2">
        <v>2</v>
      </c>
      <c r="D403" s="2">
        <v>18</v>
      </c>
      <c r="E403" s="2">
        <v>0</v>
      </c>
      <c r="F403" s="2">
        <v>2</v>
      </c>
      <c r="G403" s="2">
        <v>0</v>
      </c>
      <c r="H403" s="2">
        <v>0</v>
      </c>
      <c r="I403" s="2">
        <v>2</v>
      </c>
      <c r="J403" s="1"/>
      <c r="M403" t="s">
        <v>15</v>
      </c>
      <c r="N403" t="str">
        <f>IFERROR(VLOOKUP(B403,'[1]All Player'!$B$2:$C$1992,2,0),"")</f>
        <v>Md Dulal Miah</v>
      </c>
      <c r="O403" s="2" t="s">
        <v>501</v>
      </c>
      <c r="P403" s="16" t="s">
        <v>536</v>
      </c>
      <c r="Q403" s="1">
        <f t="shared" si="15"/>
        <v>1</v>
      </c>
      <c r="R403" s="1">
        <v>65</v>
      </c>
      <c r="U403" s="8">
        <v>41609</v>
      </c>
    </row>
    <row r="404" spans="1:21" x14ac:dyDescent="0.25">
      <c r="A404" s="2">
        <f t="shared" si="14"/>
        <v>9</v>
      </c>
      <c r="B404" t="s">
        <v>781</v>
      </c>
      <c r="J404" s="1"/>
      <c r="M404" t="s">
        <v>15</v>
      </c>
      <c r="N404" t="str">
        <f>IFERROR(VLOOKUP(B404,'[1]All Player'!$B$2:$C$1992,2,0),"")</f>
        <v/>
      </c>
      <c r="O404" s="2" t="s">
        <v>501</v>
      </c>
      <c r="P404" s="16" t="s">
        <v>519</v>
      </c>
      <c r="Q404" s="1">
        <f t="shared" si="15"/>
        <v>1</v>
      </c>
      <c r="R404" s="1">
        <v>66</v>
      </c>
      <c r="U404" s="8">
        <v>41609</v>
      </c>
    </row>
    <row r="405" spans="1:21" x14ac:dyDescent="0.25">
      <c r="A405" s="2">
        <f t="shared" si="14"/>
        <v>9</v>
      </c>
      <c r="B405" t="s">
        <v>183</v>
      </c>
      <c r="C405" s="2">
        <v>5</v>
      </c>
      <c r="D405" s="2">
        <v>56</v>
      </c>
      <c r="E405" s="2">
        <v>7</v>
      </c>
      <c r="F405" s="2">
        <v>6</v>
      </c>
      <c r="G405" s="2">
        <v>0</v>
      </c>
      <c r="H405" s="2">
        <v>1</v>
      </c>
      <c r="I405" s="2">
        <v>6</v>
      </c>
      <c r="J405" s="1"/>
      <c r="M405" t="s">
        <v>15</v>
      </c>
      <c r="N405" t="str">
        <f>IFERROR(VLOOKUP(B405,'[1]All Player'!$B$2:$C$1992,2,0),"")</f>
        <v>Red Heart Faisal (Fayze Ahamed)</v>
      </c>
      <c r="O405" s="2" t="s">
        <v>501</v>
      </c>
      <c r="P405" s="16" t="s">
        <v>519</v>
      </c>
      <c r="Q405" s="1">
        <f t="shared" si="15"/>
        <v>1</v>
      </c>
      <c r="R405" s="1">
        <v>66</v>
      </c>
      <c r="U405" s="8">
        <v>41609</v>
      </c>
    </row>
    <row r="406" spans="1:21" x14ac:dyDescent="0.25">
      <c r="A406" s="2">
        <f t="shared" si="14"/>
        <v>9</v>
      </c>
      <c r="B406" t="s">
        <v>169</v>
      </c>
      <c r="C406" s="2">
        <v>6</v>
      </c>
      <c r="D406" s="2">
        <v>58</v>
      </c>
      <c r="E406" s="2">
        <v>6</v>
      </c>
      <c r="F406" s="2">
        <v>7</v>
      </c>
      <c r="G406" s="2">
        <v>0</v>
      </c>
      <c r="H406" s="2">
        <v>1</v>
      </c>
      <c r="I406" s="2">
        <v>6</v>
      </c>
      <c r="J406" s="1"/>
      <c r="M406" t="s">
        <v>15</v>
      </c>
      <c r="N406" t="str">
        <f>IFERROR(VLOOKUP(B406,'[1]All Player'!$B$2:$C$1992,2,0),"")</f>
        <v>Saiful Islam</v>
      </c>
      <c r="O406" s="2" t="s">
        <v>501</v>
      </c>
      <c r="P406" s="16" t="s">
        <v>519</v>
      </c>
      <c r="Q406" s="1">
        <f t="shared" si="15"/>
        <v>1</v>
      </c>
      <c r="R406" s="1">
        <v>66</v>
      </c>
      <c r="U406" s="8">
        <v>41609</v>
      </c>
    </row>
    <row r="407" spans="1:21" x14ac:dyDescent="0.25">
      <c r="A407" s="2">
        <f t="shared" si="14"/>
        <v>9</v>
      </c>
      <c r="B407" t="s">
        <v>782</v>
      </c>
      <c r="C407" s="2">
        <v>6</v>
      </c>
      <c r="D407" s="2">
        <v>64</v>
      </c>
      <c r="E407" s="2">
        <v>6</v>
      </c>
      <c r="F407" s="2">
        <v>7</v>
      </c>
      <c r="G407" s="2">
        <v>0</v>
      </c>
      <c r="H407" s="2">
        <v>1</v>
      </c>
      <c r="I407" s="2">
        <v>3</v>
      </c>
      <c r="J407" s="1"/>
      <c r="M407" t="s">
        <v>15</v>
      </c>
      <c r="N407" t="str">
        <f>IFERROR(VLOOKUP(B407,'[1]All Player'!$B$2:$C$1992,2,0),"")</f>
        <v>Shah Abi Talib Adnan</v>
      </c>
      <c r="O407" s="2" t="s">
        <v>501</v>
      </c>
      <c r="P407" s="16" t="s">
        <v>519</v>
      </c>
      <c r="Q407" s="1">
        <f t="shared" si="15"/>
        <v>1</v>
      </c>
      <c r="R407" s="1">
        <v>66</v>
      </c>
      <c r="U407" s="8">
        <v>41609</v>
      </c>
    </row>
    <row r="408" spans="1:21" x14ac:dyDescent="0.25">
      <c r="A408" s="2">
        <f t="shared" si="14"/>
        <v>9</v>
      </c>
      <c r="B408" t="s">
        <v>97</v>
      </c>
      <c r="C408" s="2">
        <v>1</v>
      </c>
      <c r="D408" s="2">
        <v>9</v>
      </c>
      <c r="E408" s="2">
        <v>0</v>
      </c>
      <c r="F408" s="2">
        <v>1</v>
      </c>
      <c r="G408" s="2">
        <v>1</v>
      </c>
      <c r="H408" s="2">
        <v>0</v>
      </c>
      <c r="I408" s="2">
        <v>1</v>
      </c>
      <c r="J408" s="1"/>
      <c r="M408" t="s">
        <v>15</v>
      </c>
      <c r="N408" t="str">
        <f>IFERROR(VLOOKUP(B408,'[1]All Player'!$B$2:$C$1992,2,0),"")</f>
        <v>Sanju Pritom</v>
      </c>
      <c r="O408" s="2" t="s">
        <v>501</v>
      </c>
      <c r="P408" s="16" t="s">
        <v>519</v>
      </c>
      <c r="Q408" s="1">
        <f t="shared" si="15"/>
        <v>1</v>
      </c>
      <c r="R408" s="1">
        <v>66</v>
      </c>
      <c r="U408" s="8">
        <v>41609</v>
      </c>
    </row>
    <row r="409" spans="1:21" x14ac:dyDescent="0.25">
      <c r="A409" s="2">
        <f t="shared" si="14"/>
        <v>9</v>
      </c>
      <c r="B409" t="s">
        <v>179</v>
      </c>
      <c r="C409" s="2">
        <v>2</v>
      </c>
      <c r="D409" s="2">
        <v>95</v>
      </c>
      <c r="E409" s="2">
        <v>3</v>
      </c>
      <c r="F409" s="2">
        <v>2</v>
      </c>
      <c r="G409" s="2">
        <v>1</v>
      </c>
      <c r="H409" s="2">
        <v>8</v>
      </c>
      <c r="I409" s="2">
        <v>3</v>
      </c>
      <c r="J409" s="1"/>
      <c r="M409" t="s">
        <v>15</v>
      </c>
      <c r="N409" t="str">
        <f>IFERROR(VLOOKUP(B409,'[1]All Player'!$B$2:$C$1992,2,0),"")</f>
        <v>Shuvayan Saha Brinto</v>
      </c>
      <c r="O409" s="2" t="s">
        <v>501</v>
      </c>
      <c r="P409" s="16" t="s">
        <v>519</v>
      </c>
      <c r="Q409" s="1">
        <f t="shared" si="15"/>
        <v>1</v>
      </c>
      <c r="R409" s="1">
        <v>66</v>
      </c>
      <c r="U409" s="8">
        <v>41609</v>
      </c>
    </row>
    <row r="410" spans="1:21" x14ac:dyDescent="0.25">
      <c r="A410" s="2">
        <f t="shared" si="14"/>
        <v>9</v>
      </c>
      <c r="B410" t="s">
        <v>783</v>
      </c>
      <c r="J410" s="1"/>
      <c r="M410" t="s">
        <v>15</v>
      </c>
      <c r="N410" t="str">
        <f>IFERROR(VLOOKUP(B410,'[1]All Player'!$B$2:$C$1992,2,0),"")</f>
        <v/>
      </c>
      <c r="O410" s="2" t="s">
        <v>501</v>
      </c>
      <c r="P410" s="16" t="s">
        <v>515</v>
      </c>
      <c r="Q410" s="1">
        <f t="shared" si="15"/>
        <v>1</v>
      </c>
      <c r="R410" s="1">
        <v>67</v>
      </c>
      <c r="U410" s="8">
        <v>41609</v>
      </c>
    </row>
    <row r="411" spans="1:21" x14ac:dyDescent="0.25">
      <c r="A411" s="2">
        <f t="shared" si="14"/>
        <v>9</v>
      </c>
      <c r="B411" t="s">
        <v>70</v>
      </c>
      <c r="C411" s="2">
        <v>6</v>
      </c>
      <c r="D411" s="2">
        <v>154</v>
      </c>
      <c r="E411" s="2">
        <v>4</v>
      </c>
      <c r="F411" s="2">
        <v>11</v>
      </c>
      <c r="G411" s="2">
        <v>0</v>
      </c>
      <c r="H411" s="2">
        <v>16</v>
      </c>
      <c r="I411" s="2">
        <v>9</v>
      </c>
      <c r="J411" s="1"/>
      <c r="M411" t="s">
        <v>15</v>
      </c>
      <c r="N411" t="str">
        <f>IFERROR(VLOOKUP(B411,'[1]All Player'!$B$2:$C$1992,2,0),"")</f>
        <v>Sheik Helal Ahmed</v>
      </c>
      <c r="O411" s="2" t="s">
        <v>501</v>
      </c>
      <c r="P411" s="16" t="s">
        <v>515</v>
      </c>
      <c r="Q411" s="1">
        <f t="shared" si="15"/>
        <v>1</v>
      </c>
      <c r="R411" s="1">
        <v>67</v>
      </c>
      <c r="U411" s="8">
        <v>41609</v>
      </c>
    </row>
    <row r="412" spans="1:21" x14ac:dyDescent="0.25">
      <c r="A412" s="2">
        <f t="shared" si="14"/>
        <v>9</v>
      </c>
      <c r="B412" t="s">
        <v>778</v>
      </c>
      <c r="C412" s="2">
        <v>6</v>
      </c>
      <c r="D412" s="2">
        <v>43</v>
      </c>
      <c r="E412" s="2">
        <v>4</v>
      </c>
      <c r="F412" s="2">
        <v>8</v>
      </c>
      <c r="G412" s="2">
        <v>0</v>
      </c>
      <c r="H412" s="2">
        <v>3</v>
      </c>
      <c r="I412" s="2">
        <v>2</v>
      </c>
      <c r="J412" s="1"/>
      <c r="M412" t="s">
        <v>15</v>
      </c>
      <c r="N412" t="str">
        <f>IFERROR(VLOOKUP(B412,'[1]All Player'!$B$2:$C$1992,2,0),"")</f>
        <v>Md. Abutaleb</v>
      </c>
      <c r="O412" s="2" t="s">
        <v>501</v>
      </c>
      <c r="P412" s="16" t="s">
        <v>515</v>
      </c>
      <c r="Q412" s="1">
        <f t="shared" si="15"/>
        <v>1</v>
      </c>
      <c r="R412" s="1">
        <v>67</v>
      </c>
      <c r="U412" s="8">
        <v>41609</v>
      </c>
    </row>
    <row r="413" spans="1:21" x14ac:dyDescent="0.25">
      <c r="A413" s="2">
        <f t="shared" si="14"/>
        <v>9</v>
      </c>
      <c r="B413" t="s">
        <v>85</v>
      </c>
      <c r="C413" s="2">
        <v>6</v>
      </c>
      <c r="D413" s="2">
        <v>93</v>
      </c>
      <c r="E413" s="2">
        <v>11</v>
      </c>
      <c r="F413" s="2">
        <v>7</v>
      </c>
      <c r="G413" s="2">
        <v>0</v>
      </c>
      <c r="H413" s="2">
        <v>5</v>
      </c>
      <c r="I413" s="2">
        <v>7</v>
      </c>
      <c r="J413" s="1"/>
      <c r="M413" t="s">
        <v>15</v>
      </c>
      <c r="N413" t="str">
        <f>IFERROR(VLOOKUP(B413,'[1]All Player'!$B$2:$C$1992,2,0),"")</f>
        <v>Asik Hassan Tonmoy</v>
      </c>
      <c r="O413" s="2" t="s">
        <v>501</v>
      </c>
      <c r="P413" s="16" t="s">
        <v>515</v>
      </c>
      <c r="Q413" s="1">
        <f t="shared" si="15"/>
        <v>1</v>
      </c>
      <c r="R413" s="1">
        <v>67</v>
      </c>
      <c r="U413" s="8">
        <v>41609</v>
      </c>
    </row>
    <row r="414" spans="1:21" x14ac:dyDescent="0.25">
      <c r="A414" s="2">
        <f t="shared" si="14"/>
        <v>9</v>
      </c>
      <c r="B414" t="s">
        <v>52</v>
      </c>
      <c r="C414" s="2">
        <v>6</v>
      </c>
      <c r="D414" s="2">
        <v>59</v>
      </c>
      <c r="E414" s="2">
        <v>4</v>
      </c>
      <c r="F414" s="2">
        <v>10</v>
      </c>
      <c r="G414" s="2">
        <v>1</v>
      </c>
      <c r="H414" s="2">
        <v>4</v>
      </c>
      <c r="I414" s="2">
        <v>2</v>
      </c>
      <c r="J414" s="1"/>
      <c r="M414" t="s">
        <v>15</v>
      </c>
      <c r="N414" t="str">
        <f>IFERROR(VLOOKUP(B414,'[1]All Player'!$B$2:$C$1992,2,0),"")</f>
        <v>Mohammed Al Mamun</v>
      </c>
      <c r="O414" s="2" t="s">
        <v>501</v>
      </c>
      <c r="P414" s="16" t="s">
        <v>515</v>
      </c>
      <c r="Q414" s="1">
        <f t="shared" si="15"/>
        <v>1</v>
      </c>
      <c r="R414" s="1">
        <v>67</v>
      </c>
      <c r="U414" s="8">
        <v>41609</v>
      </c>
    </row>
    <row r="415" spans="1:21" x14ac:dyDescent="0.25">
      <c r="A415" s="2">
        <f t="shared" si="14"/>
        <v>9</v>
      </c>
      <c r="B415" t="s">
        <v>784</v>
      </c>
      <c r="J415" s="1"/>
      <c r="M415" t="s">
        <v>15</v>
      </c>
      <c r="N415" t="str">
        <f>IFERROR(VLOOKUP(B415,'[1]All Player'!$B$2:$C$1992,2,0),"")</f>
        <v/>
      </c>
      <c r="O415" s="2" t="s">
        <v>501</v>
      </c>
      <c r="P415" s="16" t="s">
        <v>586</v>
      </c>
      <c r="Q415" s="1">
        <f t="shared" si="15"/>
        <v>1</v>
      </c>
      <c r="R415" s="1">
        <v>68</v>
      </c>
      <c r="U415" s="8">
        <v>41609</v>
      </c>
    </row>
    <row r="416" spans="1:21" x14ac:dyDescent="0.25">
      <c r="A416" s="2">
        <f t="shared" si="14"/>
        <v>9</v>
      </c>
      <c r="B416" t="s">
        <v>334</v>
      </c>
      <c r="C416" s="2">
        <v>11</v>
      </c>
      <c r="D416" s="2">
        <v>85</v>
      </c>
      <c r="E416" s="2">
        <v>12</v>
      </c>
      <c r="F416" s="2">
        <v>13</v>
      </c>
      <c r="G416" s="2">
        <v>0</v>
      </c>
      <c r="H416" s="2">
        <v>6</v>
      </c>
      <c r="I416" s="2">
        <v>4</v>
      </c>
      <c r="J416" s="1"/>
      <c r="M416" t="s">
        <v>15</v>
      </c>
      <c r="N416" t="str">
        <f>IFERROR(VLOOKUP(B416,'[1]All Player'!$B$2:$C$1992,2,0),"")</f>
        <v>Sakib Mortaza</v>
      </c>
      <c r="O416" s="2" t="s">
        <v>501</v>
      </c>
      <c r="P416" s="16" t="s">
        <v>586</v>
      </c>
      <c r="Q416" s="1">
        <f t="shared" si="15"/>
        <v>1</v>
      </c>
      <c r="R416" s="1">
        <v>68</v>
      </c>
      <c r="U416" s="8">
        <v>41609</v>
      </c>
    </row>
    <row r="417" spans="1:21" x14ac:dyDescent="0.25">
      <c r="A417" s="2">
        <f t="shared" si="14"/>
        <v>9</v>
      </c>
      <c r="B417" t="s">
        <v>122</v>
      </c>
      <c r="C417" s="2">
        <v>11</v>
      </c>
      <c r="D417" s="2">
        <v>235</v>
      </c>
      <c r="E417" s="2">
        <v>14</v>
      </c>
      <c r="F417" s="2">
        <v>16</v>
      </c>
      <c r="G417" s="2">
        <v>3</v>
      </c>
      <c r="H417" s="2">
        <v>27</v>
      </c>
      <c r="I417" s="2">
        <v>12</v>
      </c>
      <c r="J417" s="1"/>
      <c r="M417" t="s">
        <v>15</v>
      </c>
      <c r="N417" t="str">
        <f>IFERROR(VLOOKUP(B417,'[1]All Player'!$B$2:$C$1992,2,0),"")</f>
        <v>Towkir Ahmed Siddique</v>
      </c>
      <c r="O417" s="2" t="s">
        <v>501</v>
      </c>
      <c r="P417" s="16" t="s">
        <v>586</v>
      </c>
      <c r="Q417" s="1">
        <f t="shared" si="15"/>
        <v>1</v>
      </c>
      <c r="R417" s="1">
        <v>68</v>
      </c>
      <c r="U417" s="8">
        <v>41609</v>
      </c>
    </row>
    <row r="418" spans="1:21" x14ac:dyDescent="0.25">
      <c r="A418" s="2">
        <f t="shared" si="14"/>
        <v>9</v>
      </c>
      <c r="B418" t="s">
        <v>336</v>
      </c>
      <c r="C418" s="2">
        <v>9</v>
      </c>
      <c r="D418" s="2">
        <v>177</v>
      </c>
      <c r="E418" s="2">
        <v>10</v>
      </c>
      <c r="F418" s="2">
        <v>16</v>
      </c>
      <c r="G418" s="2">
        <v>2</v>
      </c>
      <c r="H418" s="2">
        <v>12</v>
      </c>
      <c r="I418" s="2">
        <v>12</v>
      </c>
      <c r="J418" s="1"/>
      <c r="M418" t="s">
        <v>15</v>
      </c>
      <c r="N418" t="str">
        <f>IFERROR(VLOOKUP(B418,'[1]All Player'!$B$2:$C$1992,2,0),"")</f>
        <v>Samiul Meraj</v>
      </c>
      <c r="O418" s="2" t="s">
        <v>501</v>
      </c>
      <c r="P418" s="16" t="s">
        <v>586</v>
      </c>
      <c r="Q418" s="1">
        <f t="shared" si="15"/>
        <v>1</v>
      </c>
      <c r="R418" s="1">
        <v>68</v>
      </c>
      <c r="U418" s="8">
        <v>41609</v>
      </c>
    </row>
    <row r="419" spans="1:21" x14ac:dyDescent="0.25">
      <c r="A419" s="2">
        <f t="shared" si="14"/>
        <v>9</v>
      </c>
      <c r="B419" t="s">
        <v>33</v>
      </c>
      <c r="C419" s="2">
        <v>10</v>
      </c>
      <c r="D419" s="2">
        <v>100</v>
      </c>
      <c r="E419" s="2">
        <v>13</v>
      </c>
      <c r="F419" s="2">
        <v>12</v>
      </c>
      <c r="G419" s="2">
        <v>1</v>
      </c>
      <c r="H419" s="2">
        <v>3</v>
      </c>
      <c r="I419" s="2">
        <v>6</v>
      </c>
      <c r="J419" s="1"/>
      <c r="M419" t="s">
        <v>15</v>
      </c>
      <c r="N419" t="str">
        <f>IFERROR(VLOOKUP(B419,'[1]All Player'!$B$2:$C$1992,2,0),"")</f>
        <v>Rakib Hasan</v>
      </c>
      <c r="O419" s="2" t="s">
        <v>501</v>
      </c>
      <c r="P419" s="16" t="s">
        <v>586</v>
      </c>
      <c r="Q419" s="1">
        <f t="shared" si="15"/>
        <v>1</v>
      </c>
      <c r="R419" s="1">
        <v>68</v>
      </c>
      <c r="U419" s="8">
        <v>41609</v>
      </c>
    </row>
    <row r="420" spans="1:21" x14ac:dyDescent="0.25">
      <c r="A420" s="2">
        <f t="shared" si="14"/>
        <v>9</v>
      </c>
      <c r="B420" t="s">
        <v>785</v>
      </c>
      <c r="J420" s="1"/>
      <c r="M420" t="s">
        <v>15</v>
      </c>
      <c r="N420" t="str">
        <f>IFERROR(VLOOKUP(B420,'[1]All Player'!$B$2:$C$1992,2,0),"")</f>
        <v/>
      </c>
      <c r="O420" s="2" t="s">
        <v>501</v>
      </c>
      <c r="P420" s="16" t="s">
        <v>502</v>
      </c>
      <c r="Q420" s="1">
        <f t="shared" si="15"/>
        <v>1</v>
      </c>
      <c r="R420" s="1">
        <v>69</v>
      </c>
      <c r="U420" s="8">
        <v>41609</v>
      </c>
    </row>
    <row r="421" spans="1:21" x14ac:dyDescent="0.25">
      <c r="A421" s="2">
        <f t="shared" si="14"/>
        <v>9</v>
      </c>
      <c r="B421" t="s">
        <v>245</v>
      </c>
      <c r="C421" s="2">
        <v>3</v>
      </c>
      <c r="D421" s="2">
        <v>39</v>
      </c>
      <c r="E421" s="2">
        <v>4</v>
      </c>
      <c r="F421" s="2">
        <v>7</v>
      </c>
      <c r="G421" s="2">
        <v>0</v>
      </c>
      <c r="H421" s="2">
        <v>2</v>
      </c>
      <c r="I421" s="2">
        <v>2</v>
      </c>
      <c r="J421" s="1"/>
      <c r="M421" t="s">
        <v>15</v>
      </c>
      <c r="N421" t="str">
        <f>IFERROR(VLOOKUP(B421,'[1]All Player'!$B$2:$C$1992,2,0),"")</f>
        <v>Akram Hosen Himal</v>
      </c>
      <c r="O421" s="2" t="s">
        <v>501</v>
      </c>
      <c r="P421" s="16" t="s">
        <v>502</v>
      </c>
      <c r="Q421" s="1">
        <f t="shared" si="15"/>
        <v>1</v>
      </c>
      <c r="R421" s="1">
        <v>69</v>
      </c>
      <c r="U421" s="8">
        <v>41609</v>
      </c>
    </row>
    <row r="422" spans="1:21" x14ac:dyDescent="0.25">
      <c r="A422" s="2">
        <f t="shared" si="14"/>
        <v>9</v>
      </c>
      <c r="B422" t="s">
        <v>768</v>
      </c>
      <c r="C422" s="2">
        <v>3</v>
      </c>
      <c r="D422" s="2">
        <v>55</v>
      </c>
      <c r="E422" s="2">
        <v>1</v>
      </c>
      <c r="F422" s="2">
        <v>5</v>
      </c>
      <c r="G422" s="2">
        <v>0</v>
      </c>
      <c r="H422" s="2">
        <v>9</v>
      </c>
      <c r="I422" s="2">
        <v>1</v>
      </c>
      <c r="J422" s="1"/>
      <c r="M422" t="s">
        <v>15</v>
      </c>
      <c r="N422" t="str">
        <f>IFERROR(VLOOKUP(B422,'[1]All Player'!$B$2:$C$1992,2,0),"")</f>
        <v>Cricket Pagla Arman</v>
      </c>
      <c r="O422" s="2" t="s">
        <v>501</v>
      </c>
      <c r="P422" s="16" t="s">
        <v>502</v>
      </c>
      <c r="Q422" s="1">
        <f t="shared" si="15"/>
        <v>1</v>
      </c>
      <c r="R422" s="1">
        <v>69</v>
      </c>
      <c r="U422" s="8">
        <v>41609</v>
      </c>
    </row>
    <row r="423" spans="1:21" x14ac:dyDescent="0.25">
      <c r="A423" s="2">
        <f t="shared" si="14"/>
        <v>9</v>
      </c>
      <c r="B423" t="s">
        <v>64</v>
      </c>
      <c r="C423" s="2">
        <v>2</v>
      </c>
      <c r="D423" s="2">
        <v>20</v>
      </c>
      <c r="E423" s="2">
        <v>2</v>
      </c>
      <c r="F423" s="2">
        <v>2</v>
      </c>
      <c r="G423" s="2">
        <v>0</v>
      </c>
      <c r="H423" s="2">
        <v>2</v>
      </c>
      <c r="I423" s="2">
        <v>1</v>
      </c>
      <c r="J423" s="1"/>
      <c r="M423" t="s">
        <v>15</v>
      </c>
      <c r="N423" t="str">
        <f>IFERROR(VLOOKUP(B423,'[1]All Player'!$B$2:$C$1992,2,0),"")</f>
        <v>Sumon Ab</v>
      </c>
      <c r="O423" s="2" t="s">
        <v>501</v>
      </c>
      <c r="P423" s="16" t="s">
        <v>502</v>
      </c>
      <c r="Q423" s="1">
        <f t="shared" si="15"/>
        <v>1</v>
      </c>
      <c r="R423" s="1">
        <v>69</v>
      </c>
      <c r="U423" s="8">
        <v>41609</v>
      </c>
    </row>
    <row r="424" spans="1:21" x14ac:dyDescent="0.25">
      <c r="A424" s="2">
        <f t="shared" si="14"/>
        <v>9</v>
      </c>
      <c r="B424" t="s">
        <v>338</v>
      </c>
      <c r="C424" s="2">
        <v>2</v>
      </c>
      <c r="D424" s="2">
        <v>3</v>
      </c>
      <c r="E424" s="2">
        <v>1</v>
      </c>
      <c r="F424" s="2">
        <v>2</v>
      </c>
      <c r="G424" s="2">
        <v>0</v>
      </c>
      <c r="H424" s="2">
        <v>0</v>
      </c>
      <c r="I424" s="2">
        <v>0</v>
      </c>
      <c r="J424" s="1"/>
      <c r="M424" t="s">
        <v>15</v>
      </c>
      <c r="N424" t="str">
        <f>IFERROR(VLOOKUP(B424,'[1]All Player'!$B$2:$C$1992,2,0),"")</f>
        <v>Manik Feni</v>
      </c>
      <c r="O424" s="2" t="s">
        <v>501</v>
      </c>
      <c r="P424" s="16" t="s">
        <v>587</v>
      </c>
      <c r="Q424" s="1">
        <f t="shared" si="15"/>
        <v>1</v>
      </c>
      <c r="R424" s="1">
        <v>70</v>
      </c>
      <c r="U424" s="8">
        <v>41609</v>
      </c>
    </row>
    <row r="425" spans="1:21" x14ac:dyDescent="0.25">
      <c r="A425" s="2">
        <f t="shared" si="14"/>
        <v>9</v>
      </c>
      <c r="B425" t="s">
        <v>786</v>
      </c>
      <c r="J425" s="1"/>
      <c r="M425" t="s">
        <v>15</v>
      </c>
      <c r="N425" t="str">
        <f>IFERROR(VLOOKUP(B425,'[1]All Player'!$B$2:$C$1992,2,0),"")</f>
        <v/>
      </c>
      <c r="O425" s="2" t="s">
        <v>501</v>
      </c>
      <c r="P425" s="16" t="s">
        <v>587</v>
      </c>
      <c r="Q425" s="1">
        <f t="shared" si="15"/>
        <v>1</v>
      </c>
      <c r="R425" s="1">
        <v>70</v>
      </c>
      <c r="T425" s="1" t="s">
        <v>657</v>
      </c>
      <c r="U425" s="8">
        <v>41609</v>
      </c>
    </row>
    <row r="426" spans="1:21" x14ac:dyDescent="0.25">
      <c r="A426" s="2">
        <f t="shared" si="14"/>
        <v>9</v>
      </c>
      <c r="B426" t="s">
        <v>144</v>
      </c>
      <c r="C426" s="2">
        <v>11</v>
      </c>
      <c r="D426" s="2">
        <v>257</v>
      </c>
      <c r="E426" s="2">
        <v>24</v>
      </c>
      <c r="F426" s="2">
        <v>16</v>
      </c>
      <c r="G426" s="2">
        <v>2</v>
      </c>
      <c r="H426" s="2">
        <v>28</v>
      </c>
      <c r="I426" s="2">
        <v>17</v>
      </c>
      <c r="J426" s="1"/>
      <c r="M426" t="s">
        <v>15</v>
      </c>
      <c r="N426" t="str">
        <f>IFERROR(VLOOKUP(B426,'[1]All Player'!$B$2:$C$1992,2,0),"")</f>
        <v>Toufiq Ahmed Ovi</v>
      </c>
      <c r="O426" s="2" t="s">
        <v>501</v>
      </c>
      <c r="P426" s="16" t="s">
        <v>587</v>
      </c>
      <c r="Q426" s="1">
        <f t="shared" si="15"/>
        <v>1</v>
      </c>
      <c r="R426" s="1">
        <v>70</v>
      </c>
      <c r="S426" s="2" t="s">
        <v>658</v>
      </c>
      <c r="T426" s="1" t="s">
        <v>657</v>
      </c>
      <c r="U426" s="8">
        <v>41609</v>
      </c>
    </row>
    <row r="427" spans="1:21" x14ac:dyDescent="0.25">
      <c r="A427" s="2">
        <f t="shared" si="14"/>
        <v>9</v>
      </c>
      <c r="B427" t="s">
        <v>302</v>
      </c>
      <c r="C427" s="2">
        <v>6</v>
      </c>
      <c r="D427" s="2">
        <v>88</v>
      </c>
      <c r="E427" s="2">
        <v>5</v>
      </c>
      <c r="F427" s="2">
        <v>7</v>
      </c>
      <c r="G427" s="2">
        <v>0</v>
      </c>
      <c r="H427" s="2">
        <v>7</v>
      </c>
      <c r="I427" s="2">
        <v>5</v>
      </c>
      <c r="J427" s="1"/>
      <c r="M427" t="s">
        <v>15</v>
      </c>
      <c r="N427" t="str">
        <f>IFERROR(VLOOKUP(B427,'[1]All Player'!$B$2:$C$1992,2,0),"")</f>
        <v>Raihan Al-maMun</v>
      </c>
      <c r="O427" s="2" t="s">
        <v>501</v>
      </c>
      <c r="P427" s="16" t="s">
        <v>587</v>
      </c>
      <c r="Q427" s="1">
        <f t="shared" si="15"/>
        <v>1</v>
      </c>
      <c r="R427" s="1">
        <v>70</v>
      </c>
      <c r="T427" s="1" t="s">
        <v>657</v>
      </c>
      <c r="U427" s="8">
        <v>41609</v>
      </c>
    </row>
    <row r="428" spans="1:21" x14ac:dyDescent="0.25">
      <c r="A428" s="2">
        <f t="shared" ref="A428:A491" si="16">A427</f>
        <v>9</v>
      </c>
      <c r="B428" t="s">
        <v>29</v>
      </c>
      <c r="C428" s="2">
        <v>12</v>
      </c>
      <c r="D428" s="2">
        <v>208</v>
      </c>
      <c r="E428" s="2">
        <v>16</v>
      </c>
      <c r="F428" s="2">
        <v>20</v>
      </c>
      <c r="G428" s="2">
        <v>2</v>
      </c>
      <c r="H428" s="2">
        <v>20</v>
      </c>
      <c r="I428" s="2">
        <v>11</v>
      </c>
      <c r="J428" s="1"/>
      <c r="M428" t="s">
        <v>15</v>
      </c>
      <c r="N428" t="str">
        <f>IFERROR(VLOOKUP(B428,'[1]All Player'!$B$2:$C$1992,2,0),"")</f>
        <v>Foysal Ahmed Jumon</v>
      </c>
      <c r="O428" s="2" t="s">
        <v>501</v>
      </c>
      <c r="P428" s="16" t="s">
        <v>587</v>
      </c>
      <c r="Q428" s="1">
        <f t="shared" si="15"/>
        <v>1</v>
      </c>
      <c r="R428" s="1">
        <v>70</v>
      </c>
      <c r="T428" s="1" t="s">
        <v>657</v>
      </c>
      <c r="U428" s="8">
        <v>41609</v>
      </c>
    </row>
    <row r="429" spans="1:21" x14ac:dyDescent="0.25">
      <c r="A429" s="2">
        <f t="shared" si="16"/>
        <v>9</v>
      </c>
      <c r="B429" t="s">
        <v>146</v>
      </c>
      <c r="C429" s="2">
        <v>10</v>
      </c>
      <c r="D429" s="2">
        <v>100</v>
      </c>
      <c r="E429" s="2">
        <v>8</v>
      </c>
      <c r="F429" s="2">
        <v>13</v>
      </c>
      <c r="G429" s="2">
        <v>1</v>
      </c>
      <c r="H429" s="2">
        <v>6</v>
      </c>
      <c r="I429" s="2">
        <v>9</v>
      </c>
      <c r="J429" s="1"/>
      <c r="M429" t="s">
        <v>15</v>
      </c>
      <c r="N429" t="str">
        <f>IFERROR(VLOOKUP(B429,'[1]All Player'!$B$2:$C$1992,2,0),"")</f>
        <v>Nahid Saifullah</v>
      </c>
      <c r="O429" s="2" t="s">
        <v>501</v>
      </c>
      <c r="P429" s="16" t="s">
        <v>587</v>
      </c>
      <c r="Q429" s="1">
        <f t="shared" si="15"/>
        <v>1</v>
      </c>
      <c r="R429" s="1">
        <v>70</v>
      </c>
      <c r="T429" s="1" t="s">
        <v>657</v>
      </c>
      <c r="U429" s="8">
        <v>41609</v>
      </c>
    </row>
    <row r="430" spans="1:21" x14ac:dyDescent="0.25">
      <c r="A430" s="2">
        <f t="shared" si="16"/>
        <v>9</v>
      </c>
      <c r="B430" t="s">
        <v>291</v>
      </c>
      <c r="C430" s="2">
        <v>2</v>
      </c>
      <c r="D430" s="2">
        <v>0</v>
      </c>
      <c r="E430" s="2">
        <v>0</v>
      </c>
      <c r="F430" s="2">
        <v>1</v>
      </c>
      <c r="G430" s="2">
        <v>0</v>
      </c>
      <c r="H430" s="2">
        <v>0</v>
      </c>
      <c r="I430" s="2">
        <v>0</v>
      </c>
      <c r="J430" s="1"/>
      <c r="M430" t="s">
        <v>15</v>
      </c>
      <c r="N430" t="str">
        <f>IFERROR(VLOOKUP(B430,'[1]All Player'!$B$2:$C$1992,2,0),"")</f>
        <v>Taho D. Ace</v>
      </c>
      <c r="O430" s="2" t="s">
        <v>501</v>
      </c>
      <c r="P430" s="16" t="s">
        <v>587</v>
      </c>
      <c r="Q430" s="1">
        <f t="shared" si="15"/>
        <v>1</v>
      </c>
      <c r="R430" s="1">
        <v>70</v>
      </c>
      <c r="T430" s="1" t="s">
        <v>657</v>
      </c>
      <c r="U430" s="8">
        <v>41609</v>
      </c>
    </row>
    <row r="431" spans="1:21" x14ac:dyDescent="0.25">
      <c r="A431" s="2">
        <f t="shared" si="16"/>
        <v>9</v>
      </c>
      <c r="B431" t="s">
        <v>787</v>
      </c>
      <c r="J431" s="1"/>
      <c r="M431" t="s">
        <v>15</v>
      </c>
      <c r="N431" t="str">
        <f>IFERROR(VLOOKUP(B431,'[1]All Player'!$B$2:$C$1992,2,0),"")</f>
        <v/>
      </c>
      <c r="O431" s="2" t="s">
        <v>501</v>
      </c>
      <c r="P431" s="16" t="s">
        <v>788</v>
      </c>
      <c r="Q431" s="1">
        <f t="shared" si="15"/>
        <v>1</v>
      </c>
      <c r="R431" s="1">
        <v>71</v>
      </c>
      <c r="U431" s="8">
        <v>41609</v>
      </c>
    </row>
    <row r="432" spans="1:21" x14ac:dyDescent="0.25">
      <c r="A432" s="2">
        <f t="shared" si="16"/>
        <v>9</v>
      </c>
      <c r="B432" t="s">
        <v>99</v>
      </c>
      <c r="C432" s="2">
        <v>12</v>
      </c>
      <c r="D432" s="2">
        <v>232</v>
      </c>
      <c r="E432" s="2">
        <v>17</v>
      </c>
      <c r="F432" s="2">
        <v>20</v>
      </c>
      <c r="G432" s="2">
        <v>2</v>
      </c>
      <c r="H432" s="2">
        <v>16</v>
      </c>
      <c r="I432" s="2">
        <v>18</v>
      </c>
      <c r="J432" s="1"/>
      <c r="M432" t="s">
        <v>15</v>
      </c>
      <c r="N432" t="str">
        <f>IFERROR(VLOOKUP(B432,'[1]All Player'!$B$2:$C$1992,2,0),"")</f>
        <v>Bishwajit Sarkar</v>
      </c>
      <c r="O432" s="2" t="s">
        <v>501</v>
      </c>
      <c r="P432" s="16" t="s">
        <v>788</v>
      </c>
      <c r="Q432" s="1">
        <f t="shared" si="15"/>
        <v>1</v>
      </c>
      <c r="R432" s="1">
        <v>71</v>
      </c>
      <c r="U432" s="8">
        <v>41609</v>
      </c>
    </row>
    <row r="433" spans="1:23" x14ac:dyDescent="0.25">
      <c r="A433" s="2">
        <f t="shared" si="16"/>
        <v>9</v>
      </c>
      <c r="B433" t="s">
        <v>27</v>
      </c>
      <c r="C433" s="2">
        <v>11</v>
      </c>
      <c r="D433" s="2">
        <v>113</v>
      </c>
      <c r="E433" s="2">
        <v>12</v>
      </c>
      <c r="F433" s="2">
        <v>15</v>
      </c>
      <c r="G433" s="2">
        <v>1</v>
      </c>
      <c r="H433" s="2">
        <v>8</v>
      </c>
      <c r="I433" s="2">
        <v>4</v>
      </c>
      <c r="J433" s="1"/>
      <c r="M433" t="s">
        <v>15</v>
      </c>
      <c r="N433" t="str">
        <f>IFERROR(VLOOKUP(B433,'[1]All Player'!$B$2:$C$1992,2,0),"")</f>
        <v>Susmoy Paul</v>
      </c>
      <c r="O433" s="2" t="s">
        <v>501</v>
      </c>
      <c r="P433" s="16" t="s">
        <v>788</v>
      </c>
      <c r="Q433" s="1">
        <f t="shared" si="15"/>
        <v>1</v>
      </c>
      <c r="R433" s="1">
        <v>71</v>
      </c>
      <c r="U433" s="8">
        <v>41609</v>
      </c>
    </row>
    <row r="434" spans="1:23" x14ac:dyDescent="0.25">
      <c r="A434" s="2">
        <f t="shared" si="16"/>
        <v>9</v>
      </c>
      <c r="B434" t="s">
        <v>789</v>
      </c>
      <c r="C434" s="2">
        <v>12</v>
      </c>
      <c r="D434" s="2">
        <v>189</v>
      </c>
      <c r="E434" s="2">
        <v>18</v>
      </c>
      <c r="F434" s="2">
        <v>16</v>
      </c>
      <c r="G434" s="2">
        <v>3</v>
      </c>
      <c r="H434" s="2">
        <v>19</v>
      </c>
      <c r="I434" s="2">
        <v>8</v>
      </c>
      <c r="J434" s="1"/>
      <c r="M434" t="s">
        <v>15</v>
      </c>
      <c r="N434" t="str">
        <f>IFERROR(VLOOKUP(B434,'[1]All Player'!$B$2:$C$1992,2,0),"")</f>
        <v>Azwad Awsaf</v>
      </c>
      <c r="O434" s="2" t="s">
        <v>501</v>
      </c>
      <c r="P434" s="16" t="s">
        <v>788</v>
      </c>
      <c r="Q434" s="1">
        <f t="shared" si="15"/>
        <v>1</v>
      </c>
      <c r="R434" s="1">
        <v>71</v>
      </c>
      <c r="U434" s="8">
        <v>41609</v>
      </c>
    </row>
    <row r="435" spans="1:23" x14ac:dyDescent="0.25">
      <c r="A435" s="2">
        <f t="shared" si="16"/>
        <v>9</v>
      </c>
      <c r="B435" t="s">
        <v>790</v>
      </c>
      <c r="C435" s="2">
        <v>4</v>
      </c>
      <c r="D435" s="2">
        <v>14</v>
      </c>
      <c r="E435" s="2">
        <v>5</v>
      </c>
      <c r="F435" s="2">
        <v>3</v>
      </c>
      <c r="G435" s="2">
        <v>0</v>
      </c>
      <c r="H435" s="2">
        <v>2</v>
      </c>
      <c r="I435" s="2">
        <v>0</v>
      </c>
      <c r="J435" s="1"/>
      <c r="M435" t="s">
        <v>15</v>
      </c>
      <c r="N435" t="str">
        <f>IFERROR(VLOOKUP(B435,'[1]All Player'!$B$2:$C$1992,2,0),"")</f>
        <v>Oli Ullah</v>
      </c>
      <c r="O435" s="2" t="s">
        <v>501</v>
      </c>
      <c r="P435" s="16" t="s">
        <v>788</v>
      </c>
      <c r="Q435" s="1">
        <f t="shared" si="15"/>
        <v>1</v>
      </c>
      <c r="R435" s="1">
        <v>71</v>
      </c>
      <c r="U435" s="8">
        <v>41609</v>
      </c>
    </row>
    <row r="436" spans="1:23" x14ac:dyDescent="0.25">
      <c r="A436" s="2">
        <f t="shared" si="16"/>
        <v>9</v>
      </c>
      <c r="B436" t="s">
        <v>791</v>
      </c>
      <c r="J436" s="1"/>
      <c r="M436" t="s">
        <v>15</v>
      </c>
      <c r="N436" t="str">
        <f>IFERROR(VLOOKUP(B436,'[1]All Player'!$B$2:$C$1992,2,0),"")</f>
        <v/>
      </c>
      <c r="O436" s="2" t="s">
        <v>501</v>
      </c>
      <c r="P436" s="16" t="s">
        <v>584</v>
      </c>
      <c r="Q436" s="1">
        <f t="shared" si="15"/>
        <v>1</v>
      </c>
      <c r="R436" s="1">
        <v>72</v>
      </c>
      <c r="T436" s="1" t="s">
        <v>792</v>
      </c>
      <c r="U436" s="8">
        <v>41609</v>
      </c>
    </row>
    <row r="437" spans="1:23" x14ac:dyDescent="0.25">
      <c r="A437" s="2">
        <f t="shared" si="16"/>
        <v>9</v>
      </c>
      <c r="B437" t="s">
        <v>80</v>
      </c>
      <c r="C437" s="2">
        <v>12</v>
      </c>
      <c r="D437" s="2">
        <v>217</v>
      </c>
      <c r="E437" s="2">
        <v>20</v>
      </c>
      <c r="F437" s="2">
        <v>22</v>
      </c>
      <c r="G437" s="2">
        <v>2</v>
      </c>
      <c r="H437" s="2">
        <v>16</v>
      </c>
      <c r="I437" s="2">
        <v>13</v>
      </c>
      <c r="J437" s="1"/>
      <c r="M437" t="s">
        <v>15</v>
      </c>
      <c r="N437" t="str">
        <f>IFERROR(VLOOKUP(B437,'[1]All Player'!$B$2:$C$1992,2,0),"")</f>
        <v>Kamrul Hasan Tutul</v>
      </c>
      <c r="O437" s="2" t="s">
        <v>501</v>
      </c>
      <c r="P437" s="16" t="s">
        <v>584</v>
      </c>
      <c r="Q437" s="1">
        <f t="shared" si="15"/>
        <v>1</v>
      </c>
      <c r="R437" s="1">
        <v>72</v>
      </c>
      <c r="T437" s="1" t="s">
        <v>792</v>
      </c>
      <c r="U437" s="8">
        <v>41609</v>
      </c>
    </row>
    <row r="438" spans="1:23" x14ac:dyDescent="0.25">
      <c r="A438" s="2">
        <f t="shared" si="16"/>
        <v>9</v>
      </c>
      <c r="B438" t="s">
        <v>93</v>
      </c>
      <c r="C438" s="2">
        <v>12</v>
      </c>
      <c r="D438" s="2">
        <v>244</v>
      </c>
      <c r="E438" s="2">
        <v>36</v>
      </c>
      <c r="F438" s="2">
        <v>20</v>
      </c>
      <c r="G438" s="2">
        <v>2</v>
      </c>
      <c r="H438" s="2">
        <v>17</v>
      </c>
      <c r="I438" s="2">
        <v>16</v>
      </c>
      <c r="J438" s="2">
        <v>3</v>
      </c>
      <c r="M438" t="s">
        <v>15</v>
      </c>
      <c r="N438" t="str">
        <f>IFERROR(VLOOKUP(B438,'[1]All Player'!$B$2:$C$1992,2,0),"")</f>
        <v>Zaheed Hasan</v>
      </c>
      <c r="O438" s="2" t="s">
        <v>501</v>
      </c>
      <c r="P438" s="16" t="s">
        <v>584</v>
      </c>
      <c r="Q438" s="1">
        <f t="shared" si="15"/>
        <v>1</v>
      </c>
      <c r="R438" s="1">
        <v>72</v>
      </c>
      <c r="S438" s="2" t="s">
        <v>660</v>
      </c>
      <c r="T438" s="1" t="s">
        <v>792</v>
      </c>
      <c r="U438" s="8">
        <v>41609</v>
      </c>
      <c r="W438" s="1">
        <v>1</v>
      </c>
    </row>
    <row r="439" spans="1:23" x14ac:dyDescent="0.25">
      <c r="A439" s="2">
        <f t="shared" si="16"/>
        <v>9</v>
      </c>
      <c r="B439" t="s">
        <v>340</v>
      </c>
      <c r="C439" s="2">
        <v>9</v>
      </c>
      <c r="D439" s="2">
        <v>85</v>
      </c>
      <c r="E439" s="2">
        <v>2</v>
      </c>
      <c r="F439" s="2">
        <v>11</v>
      </c>
      <c r="G439" s="2">
        <v>2</v>
      </c>
      <c r="H439" s="2">
        <v>8</v>
      </c>
      <c r="I439" s="2">
        <v>8</v>
      </c>
      <c r="J439" s="1"/>
      <c r="M439" t="s">
        <v>15</v>
      </c>
      <c r="N439" t="str">
        <f>IFERROR(VLOOKUP(B439,'[1]All Player'!$B$2:$C$1992,2,0),"")</f>
        <v>Striker Rafikul</v>
      </c>
      <c r="O439" s="2" t="s">
        <v>501</v>
      </c>
      <c r="P439" s="16" t="s">
        <v>584</v>
      </c>
      <c r="Q439" s="1">
        <f t="shared" si="15"/>
        <v>1</v>
      </c>
      <c r="R439" s="1">
        <v>72</v>
      </c>
      <c r="T439" s="1" t="s">
        <v>792</v>
      </c>
      <c r="U439" s="8">
        <v>41609</v>
      </c>
    </row>
    <row r="440" spans="1:23" x14ac:dyDescent="0.25">
      <c r="A440" s="2">
        <f t="shared" si="16"/>
        <v>9</v>
      </c>
      <c r="B440" t="s">
        <v>329</v>
      </c>
      <c r="C440" s="2">
        <v>5</v>
      </c>
      <c r="D440" s="2">
        <v>58</v>
      </c>
      <c r="E440" s="2">
        <v>1</v>
      </c>
      <c r="F440" s="2">
        <v>6</v>
      </c>
      <c r="G440" s="2">
        <v>2</v>
      </c>
      <c r="H440" s="2">
        <v>5</v>
      </c>
      <c r="I440" s="2">
        <v>4</v>
      </c>
      <c r="J440" s="1"/>
      <c r="M440" t="s">
        <v>15</v>
      </c>
      <c r="N440" t="str">
        <f>IFERROR(VLOOKUP(B440,'[1]All Player'!$B$2:$C$1992,2,0),"")</f>
        <v>Golam Morshed Nahid</v>
      </c>
      <c r="O440" s="2" t="s">
        <v>501</v>
      </c>
      <c r="P440" s="16" t="s">
        <v>584</v>
      </c>
      <c r="Q440" s="1">
        <f t="shared" si="15"/>
        <v>1</v>
      </c>
      <c r="R440" s="1">
        <v>72</v>
      </c>
      <c r="T440" s="1" t="s">
        <v>792</v>
      </c>
      <c r="U440" s="8">
        <v>41609</v>
      </c>
    </row>
    <row r="441" spans="1:23" x14ac:dyDescent="0.25">
      <c r="A441" s="2">
        <f t="shared" si="16"/>
        <v>9</v>
      </c>
      <c r="B441" t="s">
        <v>793</v>
      </c>
      <c r="J441" s="1"/>
      <c r="M441" t="s">
        <v>15</v>
      </c>
      <c r="N441" t="str">
        <f>IFERROR(VLOOKUP(B441,'[1]All Player'!$B$2:$C$1992,2,0),"")</f>
        <v/>
      </c>
      <c r="O441" s="2" t="s">
        <v>501</v>
      </c>
      <c r="P441" s="16" t="s">
        <v>588</v>
      </c>
      <c r="Q441" s="1">
        <f t="shared" si="15"/>
        <v>1</v>
      </c>
      <c r="R441" s="1">
        <v>73</v>
      </c>
      <c r="T441" s="1" t="s">
        <v>659</v>
      </c>
      <c r="U441" s="8">
        <v>41609</v>
      </c>
    </row>
    <row r="442" spans="1:23" x14ac:dyDescent="0.25">
      <c r="A442" s="2">
        <f t="shared" si="16"/>
        <v>9</v>
      </c>
      <c r="B442" t="s">
        <v>46</v>
      </c>
      <c r="C442" s="2">
        <v>13</v>
      </c>
      <c r="D442" s="2">
        <v>282</v>
      </c>
      <c r="E442" s="2">
        <v>20</v>
      </c>
      <c r="F442" s="2">
        <v>26</v>
      </c>
      <c r="G442" s="2">
        <v>0</v>
      </c>
      <c r="H442" s="2">
        <v>26</v>
      </c>
      <c r="I442" s="2">
        <v>17</v>
      </c>
      <c r="J442" s="1"/>
      <c r="M442" t="s">
        <v>15</v>
      </c>
      <c r="N442" t="str">
        <f>IFERROR(VLOOKUP(B442,'[1]All Player'!$B$2:$C$1992,2,0),"")</f>
        <v>Roman mahamud Arko</v>
      </c>
      <c r="O442" s="2" t="s">
        <v>501</v>
      </c>
      <c r="P442" s="16" t="s">
        <v>588</v>
      </c>
      <c r="Q442" s="1">
        <f t="shared" si="15"/>
        <v>1</v>
      </c>
      <c r="R442" s="1">
        <v>73</v>
      </c>
      <c r="T442" s="1" t="s">
        <v>659</v>
      </c>
      <c r="U442" s="8">
        <v>41609</v>
      </c>
    </row>
    <row r="443" spans="1:23" x14ac:dyDescent="0.25">
      <c r="A443" s="2">
        <f t="shared" si="16"/>
        <v>9</v>
      </c>
      <c r="B443" t="s">
        <v>318</v>
      </c>
      <c r="C443" s="2">
        <v>13</v>
      </c>
      <c r="D443" s="2">
        <v>269</v>
      </c>
      <c r="E443" s="2">
        <v>21</v>
      </c>
      <c r="F443" s="2">
        <v>23</v>
      </c>
      <c r="G443" s="2">
        <v>5</v>
      </c>
      <c r="H443" s="2">
        <v>19</v>
      </c>
      <c r="I443" s="2">
        <v>11</v>
      </c>
      <c r="J443" s="1"/>
      <c r="M443" t="s">
        <v>15</v>
      </c>
      <c r="N443" t="str">
        <f>IFERROR(VLOOKUP(B443,'[1]All Player'!$B$2:$C$1992,2,0),"")</f>
        <v>Mazharul Islam Moon</v>
      </c>
      <c r="O443" s="2" t="s">
        <v>501</v>
      </c>
      <c r="P443" s="16" t="s">
        <v>588</v>
      </c>
      <c r="Q443" s="1">
        <f t="shared" si="15"/>
        <v>1</v>
      </c>
      <c r="R443" s="1">
        <v>73</v>
      </c>
      <c r="T443" s="1" t="s">
        <v>659</v>
      </c>
      <c r="U443" s="8">
        <v>41609</v>
      </c>
    </row>
    <row r="444" spans="1:23" x14ac:dyDescent="0.25">
      <c r="A444" s="2">
        <f t="shared" si="16"/>
        <v>9</v>
      </c>
      <c r="B444" t="s">
        <v>213</v>
      </c>
      <c r="C444" s="2">
        <v>7</v>
      </c>
      <c r="D444" s="2">
        <v>92</v>
      </c>
      <c r="E444" s="2">
        <v>8</v>
      </c>
      <c r="F444" s="2">
        <v>8</v>
      </c>
      <c r="G444" s="2">
        <v>0</v>
      </c>
      <c r="H444" s="2">
        <v>8</v>
      </c>
      <c r="I444" s="2">
        <v>4</v>
      </c>
      <c r="J444" s="1"/>
      <c r="M444" t="s">
        <v>15</v>
      </c>
      <c r="N444" t="str">
        <f>IFERROR(VLOOKUP(B444,'[1]All Player'!$B$2:$C$1992,2,0),"")</f>
        <v>Raihan Islam Akash</v>
      </c>
      <c r="O444" s="2" t="s">
        <v>501</v>
      </c>
      <c r="P444" s="16" t="s">
        <v>588</v>
      </c>
      <c r="Q444" s="1">
        <f t="shared" si="15"/>
        <v>1</v>
      </c>
      <c r="R444" s="1">
        <v>73</v>
      </c>
      <c r="T444" s="1" t="s">
        <v>659</v>
      </c>
      <c r="U444" s="8">
        <v>41609</v>
      </c>
    </row>
    <row r="445" spans="1:23" x14ac:dyDescent="0.25">
      <c r="A445" s="2">
        <f t="shared" si="16"/>
        <v>9</v>
      </c>
      <c r="B445" t="s">
        <v>342</v>
      </c>
      <c r="C445" s="2">
        <v>12</v>
      </c>
      <c r="D445" s="2">
        <v>93</v>
      </c>
      <c r="E445" s="2">
        <v>16</v>
      </c>
      <c r="F445" s="2">
        <v>11</v>
      </c>
      <c r="G445" s="2">
        <v>1</v>
      </c>
      <c r="H445" s="2">
        <v>4</v>
      </c>
      <c r="I445" s="2">
        <v>5</v>
      </c>
      <c r="J445" s="1"/>
      <c r="M445" t="s">
        <v>15</v>
      </c>
      <c r="N445" t="str">
        <f>IFERROR(VLOOKUP(B445,'[1]All Player'!$B$2:$C$1992,2,0),"")</f>
        <v>Siyam Ahmed</v>
      </c>
      <c r="O445" s="2" t="s">
        <v>501</v>
      </c>
      <c r="P445" s="16" t="s">
        <v>588</v>
      </c>
      <c r="Q445" s="1">
        <f t="shared" si="15"/>
        <v>1</v>
      </c>
      <c r="R445" s="1">
        <v>73</v>
      </c>
      <c r="T445" s="1" t="s">
        <v>659</v>
      </c>
      <c r="U445" s="8">
        <v>41609</v>
      </c>
    </row>
    <row r="446" spans="1:23" x14ac:dyDescent="0.25">
      <c r="A446" s="2">
        <f t="shared" si="16"/>
        <v>9</v>
      </c>
      <c r="B446" t="s">
        <v>794</v>
      </c>
      <c r="J446" s="1"/>
      <c r="M446" t="s">
        <v>15</v>
      </c>
      <c r="N446" t="str">
        <f>IFERROR(VLOOKUP(B446,'[1]All Player'!$B$2:$C$1992,2,0),"")</f>
        <v/>
      </c>
      <c r="O446" s="2" t="s">
        <v>501</v>
      </c>
      <c r="P446" s="16" t="s">
        <v>589</v>
      </c>
      <c r="Q446" s="1">
        <f t="shared" si="15"/>
        <v>1</v>
      </c>
      <c r="R446" s="1">
        <v>74</v>
      </c>
      <c r="U446" s="8">
        <v>41609</v>
      </c>
    </row>
    <row r="447" spans="1:23" x14ac:dyDescent="0.25">
      <c r="A447" s="2">
        <f t="shared" si="16"/>
        <v>9</v>
      </c>
      <c r="B447" t="s">
        <v>298</v>
      </c>
      <c r="C447" s="2">
        <v>3</v>
      </c>
      <c r="D447" s="2">
        <v>38</v>
      </c>
      <c r="E447" s="2">
        <v>1</v>
      </c>
      <c r="F447" s="2">
        <v>6</v>
      </c>
      <c r="G447" s="2">
        <v>0</v>
      </c>
      <c r="H447" s="2">
        <v>2</v>
      </c>
      <c r="I447" s="2">
        <v>0</v>
      </c>
      <c r="J447" s="1"/>
      <c r="M447" t="s">
        <v>15</v>
      </c>
      <c r="N447" t="str">
        <f>IFERROR(VLOOKUP(B447,'[1]All Player'!$B$2:$C$1992,2,0),"")</f>
        <v>Sahed Hossain Masum</v>
      </c>
      <c r="O447" s="2" t="s">
        <v>501</v>
      </c>
      <c r="P447" s="16" t="s">
        <v>589</v>
      </c>
      <c r="Q447" s="1">
        <f t="shared" si="15"/>
        <v>1</v>
      </c>
      <c r="R447" s="1">
        <v>74</v>
      </c>
      <c r="U447" s="8">
        <v>41609</v>
      </c>
    </row>
    <row r="448" spans="1:23" x14ac:dyDescent="0.25">
      <c r="A448" s="2">
        <f t="shared" si="16"/>
        <v>9</v>
      </c>
      <c r="B448" t="s">
        <v>118</v>
      </c>
      <c r="C448" s="2">
        <v>3</v>
      </c>
      <c r="D448" s="2">
        <v>70</v>
      </c>
      <c r="E448" s="2">
        <v>6</v>
      </c>
      <c r="F448" s="2">
        <v>6</v>
      </c>
      <c r="G448" s="2">
        <v>0</v>
      </c>
      <c r="H448" s="2">
        <v>3</v>
      </c>
      <c r="I448" s="2">
        <v>5</v>
      </c>
      <c r="J448" s="1"/>
      <c r="M448" t="s">
        <v>15</v>
      </c>
      <c r="N448" t="str">
        <f>IFERROR(VLOOKUP(B448,'[1]All Player'!$B$2:$C$1992,2,0),"")</f>
        <v>Rinkon Khan</v>
      </c>
      <c r="O448" s="2" t="s">
        <v>501</v>
      </c>
      <c r="P448" s="16" t="s">
        <v>589</v>
      </c>
      <c r="Q448" s="1">
        <f t="shared" si="15"/>
        <v>1</v>
      </c>
      <c r="R448" s="1">
        <v>74</v>
      </c>
      <c r="U448" s="8">
        <v>41609</v>
      </c>
    </row>
    <row r="449" spans="1:21" x14ac:dyDescent="0.25">
      <c r="A449" s="2">
        <f t="shared" si="16"/>
        <v>9</v>
      </c>
      <c r="B449" t="s">
        <v>296</v>
      </c>
      <c r="C449" s="2">
        <v>3</v>
      </c>
      <c r="D449" s="2">
        <v>50</v>
      </c>
      <c r="E449" s="2">
        <v>6</v>
      </c>
      <c r="F449" s="2">
        <v>4</v>
      </c>
      <c r="G449" s="2">
        <v>0</v>
      </c>
      <c r="H449" s="2">
        <v>3</v>
      </c>
      <c r="I449" s="2">
        <v>5</v>
      </c>
      <c r="J449" s="1"/>
      <c r="M449" t="s">
        <v>15</v>
      </c>
      <c r="N449" t="str">
        <f>IFERROR(VLOOKUP(B449,'[1]All Player'!$B$2:$C$1992,2,0),"")</f>
        <v>Zi Zohir</v>
      </c>
      <c r="O449" s="2" t="s">
        <v>501</v>
      </c>
      <c r="P449" s="16" t="s">
        <v>589</v>
      </c>
      <c r="Q449" s="1">
        <f t="shared" si="15"/>
        <v>1</v>
      </c>
      <c r="R449" s="1">
        <v>74</v>
      </c>
      <c r="U449" s="8">
        <v>41609</v>
      </c>
    </row>
    <row r="450" spans="1:21" x14ac:dyDescent="0.25">
      <c r="A450" s="2">
        <f t="shared" si="16"/>
        <v>9</v>
      </c>
      <c r="B450" t="s">
        <v>344</v>
      </c>
      <c r="C450" s="2">
        <v>2</v>
      </c>
      <c r="D450" s="2">
        <v>14</v>
      </c>
      <c r="E450" s="2">
        <v>0</v>
      </c>
      <c r="F450" s="2">
        <v>2</v>
      </c>
      <c r="G450" s="2">
        <v>0</v>
      </c>
      <c r="H450" s="2">
        <v>0</v>
      </c>
      <c r="I450" s="2">
        <v>0</v>
      </c>
      <c r="J450" s="1"/>
      <c r="M450" t="s">
        <v>15</v>
      </c>
      <c r="N450" t="str">
        <f>IFERROR(VLOOKUP(B450,'[1]All Player'!$B$2:$C$1992,2,0),"")</f>
        <v>Suhel Ahmed</v>
      </c>
      <c r="O450" s="2" t="s">
        <v>501</v>
      </c>
      <c r="P450" s="16" t="s">
        <v>589</v>
      </c>
      <c r="Q450" s="1">
        <f t="shared" ref="Q450:Q513" si="17">IF(B450="","",1)</f>
        <v>1</v>
      </c>
      <c r="R450" s="1">
        <v>74</v>
      </c>
      <c r="U450" s="8">
        <v>41609</v>
      </c>
    </row>
    <row r="451" spans="1:21" x14ac:dyDescent="0.25">
      <c r="A451" s="2">
        <f t="shared" si="16"/>
        <v>9</v>
      </c>
      <c r="B451" t="s">
        <v>795</v>
      </c>
      <c r="J451" s="1"/>
      <c r="M451" t="s">
        <v>15</v>
      </c>
      <c r="N451" t="str">
        <f>IFERROR(VLOOKUP(B451,'[1]All Player'!$B$2:$C$1992,2,0),"")</f>
        <v/>
      </c>
      <c r="O451" s="2" t="s">
        <v>501</v>
      </c>
      <c r="P451" s="16" t="s">
        <v>520</v>
      </c>
      <c r="Q451" s="1">
        <f t="shared" si="17"/>
        <v>1</v>
      </c>
      <c r="R451" s="1">
        <v>75</v>
      </c>
      <c r="U451" s="8">
        <v>41609</v>
      </c>
    </row>
    <row r="452" spans="1:21" x14ac:dyDescent="0.25">
      <c r="A452" s="2">
        <f t="shared" si="16"/>
        <v>9</v>
      </c>
      <c r="B452" t="s">
        <v>66</v>
      </c>
      <c r="C452" s="2">
        <v>6</v>
      </c>
      <c r="D452" s="2">
        <v>186</v>
      </c>
      <c r="E452" s="2">
        <v>7</v>
      </c>
      <c r="F452" s="2">
        <v>11</v>
      </c>
      <c r="G452" s="2">
        <v>0</v>
      </c>
      <c r="H452" s="2">
        <v>18</v>
      </c>
      <c r="I452" s="2">
        <v>6</v>
      </c>
      <c r="J452" s="1"/>
      <c r="M452" t="s">
        <v>15</v>
      </c>
      <c r="N452" t="str">
        <f>IFERROR(VLOOKUP(B452,'[1]All Player'!$B$2:$C$1992,2,0),"")</f>
        <v>Ahmad Sakib Abdullah</v>
      </c>
      <c r="O452" s="2" t="s">
        <v>501</v>
      </c>
      <c r="P452" s="16" t="s">
        <v>520</v>
      </c>
      <c r="Q452" s="1">
        <f t="shared" si="17"/>
        <v>1</v>
      </c>
      <c r="R452" s="1">
        <v>75</v>
      </c>
      <c r="U452" s="8">
        <v>41609</v>
      </c>
    </row>
    <row r="453" spans="1:21" x14ac:dyDescent="0.25">
      <c r="A453" s="2">
        <f t="shared" si="16"/>
        <v>9</v>
      </c>
      <c r="B453" t="s">
        <v>223</v>
      </c>
      <c r="C453" s="2">
        <v>5</v>
      </c>
      <c r="D453" s="2">
        <v>41</v>
      </c>
      <c r="E453" s="2">
        <v>10</v>
      </c>
      <c r="F453" s="2">
        <v>7</v>
      </c>
      <c r="G453" s="2">
        <v>0</v>
      </c>
      <c r="H453" s="2">
        <v>3</v>
      </c>
      <c r="I453" s="2">
        <v>3</v>
      </c>
      <c r="J453" s="1"/>
      <c r="M453" t="s">
        <v>15</v>
      </c>
      <c r="N453" t="str">
        <f>IFERROR(VLOOKUP(B453,'[1]All Player'!$B$2:$C$1992,2,0),"")</f>
        <v>Saiful Rahat</v>
      </c>
      <c r="O453" s="2" t="s">
        <v>501</v>
      </c>
      <c r="P453" s="16" t="s">
        <v>520</v>
      </c>
      <c r="Q453" s="1">
        <f t="shared" si="17"/>
        <v>1</v>
      </c>
      <c r="R453" s="1">
        <v>75</v>
      </c>
      <c r="U453" s="8">
        <v>41609</v>
      </c>
    </row>
    <row r="454" spans="1:21" x14ac:dyDescent="0.25">
      <c r="A454" s="2">
        <f t="shared" si="16"/>
        <v>9</v>
      </c>
      <c r="B454" t="s">
        <v>102</v>
      </c>
      <c r="C454" s="2">
        <v>3</v>
      </c>
      <c r="D454" s="2">
        <v>4</v>
      </c>
      <c r="E454" s="2">
        <v>6</v>
      </c>
      <c r="F454" s="2">
        <v>3</v>
      </c>
      <c r="G454" s="2">
        <v>0</v>
      </c>
      <c r="H454" s="2">
        <v>1</v>
      </c>
      <c r="I454" s="2">
        <v>0</v>
      </c>
      <c r="J454" s="1">
        <v>1</v>
      </c>
      <c r="M454" t="s">
        <v>15</v>
      </c>
      <c r="N454" t="str">
        <f>IFERROR(VLOOKUP(B454,'[1]All Player'!$B$2:$C$1992,2,0),"")</f>
        <v>Mustofa Muddassir Mahmud Mashuk</v>
      </c>
      <c r="O454" s="2" t="s">
        <v>501</v>
      </c>
      <c r="P454" s="16" t="s">
        <v>520</v>
      </c>
      <c r="Q454" s="1">
        <f t="shared" si="17"/>
        <v>1</v>
      </c>
      <c r="R454" s="1">
        <v>75</v>
      </c>
      <c r="U454" s="8">
        <v>41609</v>
      </c>
    </row>
    <row r="455" spans="1:21" x14ac:dyDescent="0.25">
      <c r="A455" s="2">
        <f t="shared" si="16"/>
        <v>9</v>
      </c>
      <c r="B455" s="23" t="s">
        <v>156</v>
      </c>
      <c r="C455" s="2">
        <v>6</v>
      </c>
      <c r="D455" s="2">
        <v>104</v>
      </c>
      <c r="E455" s="2">
        <v>7</v>
      </c>
      <c r="F455" s="2">
        <v>8</v>
      </c>
      <c r="G455" s="2">
        <v>3</v>
      </c>
      <c r="H455" s="2">
        <v>3</v>
      </c>
      <c r="I455" s="2">
        <v>11</v>
      </c>
      <c r="J455" s="1"/>
      <c r="M455" t="s">
        <v>15</v>
      </c>
      <c r="N455" t="str">
        <f>IFERROR(VLOOKUP(B455,'[1]All Player'!$B$2:$C$1992,2,0),"")</f>
        <v>Prince Tarek</v>
      </c>
      <c r="O455" s="2" t="s">
        <v>501</v>
      </c>
      <c r="P455" s="16" t="s">
        <v>520</v>
      </c>
      <c r="Q455" s="1">
        <f t="shared" si="17"/>
        <v>1</v>
      </c>
      <c r="R455" s="1">
        <v>75</v>
      </c>
      <c r="U455" s="8">
        <v>41609</v>
      </c>
    </row>
    <row r="456" spans="1:21" x14ac:dyDescent="0.25">
      <c r="A456" s="2">
        <f t="shared" si="16"/>
        <v>9</v>
      </c>
      <c r="B456" t="s">
        <v>796</v>
      </c>
      <c r="J456" s="1"/>
      <c r="M456" t="s">
        <v>15</v>
      </c>
      <c r="N456" t="str">
        <f>IFERROR(VLOOKUP(B456,'[1]All Player'!$B$2:$C$1992,2,0),"")</f>
        <v/>
      </c>
      <c r="O456" s="2" t="s">
        <v>501</v>
      </c>
      <c r="P456" s="16" t="s">
        <v>797</v>
      </c>
      <c r="Q456" s="1">
        <f t="shared" si="17"/>
        <v>1</v>
      </c>
      <c r="R456" s="1">
        <v>76</v>
      </c>
      <c r="U456" s="8">
        <v>41609</v>
      </c>
    </row>
    <row r="457" spans="1:21" x14ac:dyDescent="0.25">
      <c r="A457" s="2">
        <f t="shared" si="16"/>
        <v>9</v>
      </c>
      <c r="B457" t="s">
        <v>158</v>
      </c>
      <c r="C457" s="2">
        <v>6</v>
      </c>
      <c r="D457" s="2">
        <v>73</v>
      </c>
      <c r="E457" s="2">
        <v>17</v>
      </c>
      <c r="F457" s="2">
        <v>10</v>
      </c>
      <c r="G457" s="2">
        <v>0</v>
      </c>
      <c r="H457" s="2">
        <v>4</v>
      </c>
      <c r="I457" s="2">
        <v>6</v>
      </c>
      <c r="J457" s="1"/>
      <c r="M457" t="s">
        <v>15</v>
      </c>
      <c r="N457" t="str">
        <f>IFERROR(VLOOKUP(B457,'[1]All Player'!$B$2:$C$1992,2,0),"")</f>
        <v>Sabbir Ahmed</v>
      </c>
      <c r="O457" s="2" t="s">
        <v>501</v>
      </c>
      <c r="P457" s="16" t="s">
        <v>797</v>
      </c>
      <c r="Q457" s="1">
        <f t="shared" si="17"/>
        <v>1</v>
      </c>
      <c r="R457" s="1">
        <v>76</v>
      </c>
      <c r="U457" s="8">
        <v>41609</v>
      </c>
    </row>
    <row r="458" spans="1:21" x14ac:dyDescent="0.25">
      <c r="A458" s="2">
        <f t="shared" si="16"/>
        <v>9</v>
      </c>
      <c r="B458" t="s">
        <v>120</v>
      </c>
      <c r="C458" s="2">
        <v>6</v>
      </c>
      <c r="D458" s="2">
        <v>92</v>
      </c>
      <c r="E458" s="2">
        <v>7</v>
      </c>
      <c r="F458" s="2">
        <v>12</v>
      </c>
      <c r="G458" s="2">
        <v>2</v>
      </c>
      <c r="H458" s="2">
        <v>3</v>
      </c>
      <c r="I458" s="2">
        <v>6</v>
      </c>
      <c r="J458" s="1"/>
      <c r="M458" t="s">
        <v>15</v>
      </c>
      <c r="N458" t="str">
        <f>IFERROR(VLOOKUP(B458,'[1]All Player'!$B$2:$C$1992,2,0),"")</f>
        <v>Kamrul Hasan Hridoy</v>
      </c>
      <c r="O458" s="2" t="s">
        <v>501</v>
      </c>
      <c r="P458" s="16" t="s">
        <v>797</v>
      </c>
      <c r="Q458" s="1">
        <f t="shared" si="17"/>
        <v>1</v>
      </c>
      <c r="R458" s="1">
        <v>76</v>
      </c>
      <c r="U458" s="8">
        <v>41609</v>
      </c>
    </row>
    <row r="459" spans="1:21" x14ac:dyDescent="0.25">
      <c r="A459" s="2">
        <f t="shared" si="16"/>
        <v>9</v>
      </c>
      <c r="B459" t="s">
        <v>306</v>
      </c>
      <c r="C459" s="2">
        <v>1</v>
      </c>
      <c r="D459" s="2">
        <v>0</v>
      </c>
      <c r="E459" s="2">
        <v>2</v>
      </c>
      <c r="F459" s="2">
        <v>1</v>
      </c>
      <c r="G459" s="2">
        <v>0</v>
      </c>
      <c r="H459" s="2">
        <v>0</v>
      </c>
      <c r="I459" s="2">
        <v>0</v>
      </c>
      <c r="J459" s="1"/>
      <c r="M459" t="s">
        <v>15</v>
      </c>
      <c r="N459" t="str">
        <f>IFERROR(VLOOKUP(B459,'[1]All Player'!$B$2:$C$1992,2,0),"")</f>
        <v>Shahan Ahmed</v>
      </c>
      <c r="O459" s="2" t="s">
        <v>501</v>
      </c>
      <c r="P459" s="16" t="s">
        <v>797</v>
      </c>
      <c r="Q459" s="1">
        <f t="shared" si="17"/>
        <v>1</v>
      </c>
      <c r="R459" s="1">
        <v>76</v>
      </c>
      <c r="U459" s="8">
        <v>41609</v>
      </c>
    </row>
    <row r="460" spans="1:21" x14ac:dyDescent="0.25">
      <c r="A460" s="2">
        <f t="shared" si="16"/>
        <v>9</v>
      </c>
      <c r="B460" t="s">
        <v>798</v>
      </c>
      <c r="C460" s="2">
        <v>3</v>
      </c>
      <c r="D460" s="2">
        <v>44</v>
      </c>
      <c r="E460" s="2">
        <v>4</v>
      </c>
      <c r="F460" s="2">
        <v>5</v>
      </c>
      <c r="G460" s="2">
        <v>0</v>
      </c>
      <c r="H460" s="2">
        <v>5</v>
      </c>
      <c r="I460" s="2">
        <v>2</v>
      </c>
      <c r="J460" s="1"/>
      <c r="M460" t="s">
        <v>15</v>
      </c>
      <c r="N460" t="str">
        <f>IFERROR(VLOOKUP(B460,'[1]All Player'!$B$2:$C$1992,2,0),"")</f>
        <v>Sixer Bappi</v>
      </c>
      <c r="O460" s="2" t="s">
        <v>501</v>
      </c>
      <c r="P460" s="16" t="s">
        <v>797</v>
      </c>
      <c r="Q460" s="1">
        <f t="shared" si="17"/>
        <v>1</v>
      </c>
      <c r="R460" s="1">
        <v>76</v>
      </c>
      <c r="U460" s="8">
        <v>41609</v>
      </c>
    </row>
    <row r="461" spans="1:21" x14ac:dyDescent="0.25">
      <c r="A461" s="2">
        <f t="shared" si="16"/>
        <v>9</v>
      </c>
      <c r="B461" t="s">
        <v>279</v>
      </c>
      <c r="C461" s="2">
        <v>2</v>
      </c>
      <c r="D461" s="2">
        <v>73</v>
      </c>
      <c r="E461" s="2">
        <v>3</v>
      </c>
      <c r="F461" s="2">
        <v>3</v>
      </c>
      <c r="G461" s="2">
        <v>1</v>
      </c>
      <c r="H461" s="2">
        <v>4</v>
      </c>
      <c r="I461" s="2">
        <v>7</v>
      </c>
      <c r="J461" s="1"/>
      <c r="M461" t="s">
        <v>15</v>
      </c>
      <c r="N461" t="str">
        <f>IFERROR(VLOOKUP(B461,'[1]All Player'!$B$2:$C$1992,2,0),"")</f>
        <v>Ahmed Kawser Da Neymar</v>
      </c>
      <c r="O461" s="2" t="s">
        <v>501</v>
      </c>
      <c r="P461" s="16" t="s">
        <v>797</v>
      </c>
      <c r="Q461" s="1">
        <f t="shared" si="17"/>
        <v>1</v>
      </c>
      <c r="R461" s="1">
        <v>76</v>
      </c>
      <c r="U461" s="8">
        <v>41609</v>
      </c>
    </row>
    <row r="462" spans="1:21" x14ac:dyDescent="0.25">
      <c r="A462" s="2">
        <f t="shared" si="16"/>
        <v>9</v>
      </c>
      <c r="B462" t="s">
        <v>799</v>
      </c>
      <c r="J462" s="1"/>
      <c r="M462" t="s">
        <v>15</v>
      </c>
      <c r="N462" t="str">
        <f>IFERROR(VLOOKUP(B462,'[1]All Player'!$B$2:$C$1992,2,0),"")</f>
        <v/>
      </c>
      <c r="O462" s="2" t="s">
        <v>501</v>
      </c>
      <c r="P462" s="16" t="s">
        <v>800</v>
      </c>
      <c r="Q462" s="1">
        <f t="shared" si="17"/>
        <v>1</v>
      </c>
      <c r="R462" s="1">
        <v>77</v>
      </c>
      <c r="U462" s="8">
        <v>41609</v>
      </c>
    </row>
    <row r="463" spans="1:21" x14ac:dyDescent="0.25">
      <c r="A463" s="2">
        <f t="shared" si="16"/>
        <v>9</v>
      </c>
      <c r="B463" t="s">
        <v>138</v>
      </c>
      <c r="C463" s="2">
        <v>3</v>
      </c>
      <c r="D463" s="2">
        <v>35</v>
      </c>
      <c r="E463" s="2">
        <v>3</v>
      </c>
      <c r="F463" s="2">
        <v>5</v>
      </c>
      <c r="G463" s="2">
        <v>0</v>
      </c>
      <c r="H463" s="2">
        <v>2</v>
      </c>
      <c r="I463" s="2">
        <v>2</v>
      </c>
      <c r="J463" s="1"/>
      <c r="M463" t="s">
        <v>15</v>
      </c>
      <c r="N463" t="str">
        <f>IFERROR(VLOOKUP(B463,'[1]All Player'!$B$2:$C$1992,2,0),"")</f>
        <v>Asif Iqbal Khan</v>
      </c>
      <c r="O463" s="2" t="s">
        <v>501</v>
      </c>
      <c r="P463" s="16" t="s">
        <v>800</v>
      </c>
      <c r="Q463" s="1">
        <f t="shared" si="17"/>
        <v>1</v>
      </c>
      <c r="R463" s="1">
        <v>77</v>
      </c>
      <c r="U463" s="8">
        <v>41609</v>
      </c>
    </row>
    <row r="464" spans="1:21" x14ac:dyDescent="0.25">
      <c r="A464" s="2">
        <f t="shared" si="16"/>
        <v>9</v>
      </c>
      <c r="B464" t="s">
        <v>208</v>
      </c>
      <c r="C464" s="2">
        <v>3</v>
      </c>
      <c r="D464" s="2">
        <v>49</v>
      </c>
      <c r="E464" s="2">
        <v>1</v>
      </c>
      <c r="F464" s="2">
        <v>4</v>
      </c>
      <c r="G464" s="2">
        <v>0</v>
      </c>
      <c r="H464" s="2">
        <v>3</v>
      </c>
      <c r="I464" s="2">
        <v>2</v>
      </c>
      <c r="J464" s="1"/>
      <c r="M464" t="s">
        <v>15</v>
      </c>
      <c r="N464" t="str">
        <f>IFERROR(VLOOKUP(B464,'[1]All Player'!$B$2:$C$1992,2,0),"")</f>
        <v>Fahim Shahrear Emon</v>
      </c>
      <c r="O464" s="2" t="s">
        <v>501</v>
      </c>
      <c r="P464" s="16" t="s">
        <v>800</v>
      </c>
      <c r="Q464" s="1">
        <f t="shared" si="17"/>
        <v>1</v>
      </c>
      <c r="R464" s="1">
        <v>77</v>
      </c>
      <c r="U464" s="8">
        <v>41609</v>
      </c>
    </row>
    <row r="465" spans="1:22" x14ac:dyDescent="0.25">
      <c r="A465" s="2">
        <f t="shared" si="16"/>
        <v>9</v>
      </c>
      <c r="B465" t="s">
        <v>304</v>
      </c>
      <c r="C465" s="2">
        <v>3</v>
      </c>
      <c r="D465" s="2">
        <v>22</v>
      </c>
      <c r="E465" s="2">
        <v>4</v>
      </c>
      <c r="F465" s="2">
        <v>4</v>
      </c>
      <c r="G465" s="2">
        <v>0</v>
      </c>
      <c r="H465" s="2">
        <v>1</v>
      </c>
      <c r="I465" s="2">
        <v>1</v>
      </c>
      <c r="J465" s="1"/>
      <c r="M465" t="s">
        <v>15</v>
      </c>
      <c r="N465" t="str">
        <f>IFERROR(VLOOKUP(B465,'[1]All Player'!$B$2:$C$1992,2,0),"")</f>
        <v>Oliy Saif</v>
      </c>
      <c r="O465" s="2" t="s">
        <v>501</v>
      </c>
      <c r="P465" s="16" t="s">
        <v>800</v>
      </c>
      <c r="Q465" s="1">
        <f t="shared" si="17"/>
        <v>1</v>
      </c>
      <c r="R465" s="1">
        <v>77</v>
      </c>
      <c r="U465" s="8">
        <v>41609</v>
      </c>
    </row>
    <row r="466" spans="1:22" x14ac:dyDescent="0.25">
      <c r="A466" s="2">
        <f t="shared" si="16"/>
        <v>9</v>
      </c>
      <c r="B466" t="s">
        <v>31</v>
      </c>
      <c r="C466" s="2">
        <v>3</v>
      </c>
      <c r="D466" s="2">
        <v>40</v>
      </c>
      <c r="E466" s="2">
        <v>3</v>
      </c>
      <c r="F466" s="2">
        <v>3</v>
      </c>
      <c r="G466" s="2">
        <v>0</v>
      </c>
      <c r="H466" s="2">
        <v>4</v>
      </c>
      <c r="I466" s="2">
        <v>4</v>
      </c>
      <c r="J466" s="1"/>
      <c r="M466" t="s">
        <v>15</v>
      </c>
      <c r="N466" t="str">
        <f>IFERROR(VLOOKUP(B466,'[1]All Player'!$B$2:$C$1992,2,0),"")</f>
        <v>Hetlar Shohag</v>
      </c>
      <c r="O466" s="2" t="s">
        <v>501</v>
      </c>
      <c r="P466" s="16" t="s">
        <v>800</v>
      </c>
      <c r="Q466" s="1">
        <f t="shared" si="17"/>
        <v>1</v>
      </c>
      <c r="R466" s="1">
        <v>77</v>
      </c>
      <c r="U466" s="8">
        <v>41609</v>
      </c>
    </row>
    <row r="467" spans="1:22" x14ac:dyDescent="0.25">
      <c r="A467" s="2">
        <f t="shared" si="16"/>
        <v>9</v>
      </c>
      <c r="B467" t="s">
        <v>801</v>
      </c>
      <c r="J467" s="1"/>
      <c r="M467" t="s">
        <v>15</v>
      </c>
      <c r="N467" t="str">
        <f>IFERROR(VLOOKUP(B467,'[1]All Player'!$B$2:$C$1992,2,0),"")</f>
        <v/>
      </c>
      <c r="O467" s="2" t="s">
        <v>501</v>
      </c>
      <c r="P467" s="16" t="s">
        <v>802</v>
      </c>
      <c r="Q467" s="1">
        <f t="shared" si="17"/>
        <v>1</v>
      </c>
      <c r="R467" s="1">
        <v>78</v>
      </c>
      <c r="U467" s="8">
        <v>41609</v>
      </c>
    </row>
    <row r="468" spans="1:22" x14ac:dyDescent="0.25">
      <c r="A468" s="2">
        <f t="shared" si="16"/>
        <v>9</v>
      </c>
      <c r="B468" t="s">
        <v>239</v>
      </c>
      <c r="C468" s="2">
        <v>6</v>
      </c>
      <c r="D468" s="2">
        <v>149</v>
      </c>
      <c r="E468" s="2">
        <v>10</v>
      </c>
      <c r="F468" s="2">
        <v>11</v>
      </c>
      <c r="G468" s="2">
        <v>2</v>
      </c>
      <c r="H468" s="2">
        <v>12</v>
      </c>
      <c r="I468" s="2">
        <v>7</v>
      </c>
      <c r="J468" s="1"/>
      <c r="M468" t="s">
        <v>15</v>
      </c>
      <c r="N468" t="str">
        <f>IFERROR(VLOOKUP(B468,'[1]All Player'!$B$2:$C$1992,2,0),"")</f>
        <v>GM Manik</v>
      </c>
      <c r="O468" s="2" t="s">
        <v>501</v>
      </c>
      <c r="P468" s="16" t="s">
        <v>802</v>
      </c>
      <c r="Q468" s="1">
        <f t="shared" si="17"/>
        <v>1</v>
      </c>
      <c r="R468" s="1">
        <v>78</v>
      </c>
      <c r="U468" s="8">
        <v>41609</v>
      </c>
    </row>
    <row r="469" spans="1:22" x14ac:dyDescent="0.25">
      <c r="A469" s="2">
        <f t="shared" si="16"/>
        <v>9</v>
      </c>
      <c r="B469" t="s">
        <v>221</v>
      </c>
      <c r="C469" s="2">
        <v>2</v>
      </c>
      <c r="D469" s="2">
        <v>6</v>
      </c>
      <c r="E469" s="2">
        <v>3</v>
      </c>
      <c r="F469" s="2">
        <v>1</v>
      </c>
      <c r="G469" s="2">
        <v>0</v>
      </c>
      <c r="H469" s="2">
        <v>1</v>
      </c>
      <c r="I469" s="2">
        <v>0</v>
      </c>
      <c r="J469" s="1"/>
      <c r="M469" t="s">
        <v>15</v>
      </c>
      <c r="N469" t="str">
        <f>IFERROR(VLOOKUP(B469,'[1]All Player'!$B$2:$C$1992,2,0),"")</f>
        <v>Yahya Riyad</v>
      </c>
      <c r="O469" s="2" t="s">
        <v>501</v>
      </c>
      <c r="P469" s="16" t="s">
        <v>802</v>
      </c>
      <c r="Q469" s="1">
        <f t="shared" si="17"/>
        <v>1</v>
      </c>
      <c r="R469" s="1">
        <v>78</v>
      </c>
      <c r="U469" s="8">
        <v>41609</v>
      </c>
    </row>
    <row r="470" spans="1:22" x14ac:dyDescent="0.25">
      <c r="A470" s="2">
        <f t="shared" si="16"/>
        <v>9</v>
      </c>
      <c r="B470" t="s">
        <v>211</v>
      </c>
      <c r="C470" s="2">
        <v>1</v>
      </c>
      <c r="D470" s="2">
        <v>10</v>
      </c>
      <c r="E470" s="2">
        <v>0</v>
      </c>
      <c r="F470" s="2">
        <v>2</v>
      </c>
      <c r="G470" s="2">
        <v>1</v>
      </c>
      <c r="H470" s="2">
        <v>0</v>
      </c>
      <c r="I470" s="2">
        <v>0</v>
      </c>
      <c r="J470" s="1"/>
      <c r="M470" t="s">
        <v>15</v>
      </c>
      <c r="N470" t="str">
        <f>IFERROR(VLOOKUP(B470,'[1]All Player'!$B$2:$C$1992,2,0),"")</f>
        <v>Backbencher Sakib</v>
      </c>
      <c r="O470" s="2" t="s">
        <v>501</v>
      </c>
      <c r="P470" s="16" t="s">
        <v>802</v>
      </c>
      <c r="Q470" s="1">
        <f t="shared" si="17"/>
        <v>1</v>
      </c>
      <c r="R470" s="1">
        <v>78</v>
      </c>
      <c r="U470" s="8">
        <v>41609</v>
      </c>
    </row>
    <row r="471" spans="1:22" x14ac:dyDescent="0.25">
      <c r="A471" s="2">
        <f t="shared" si="16"/>
        <v>9</v>
      </c>
      <c r="B471" t="s">
        <v>228</v>
      </c>
      <c r="C471" s="2">
        <v>6</v>
      </c>
      <c r="D471" s="2">
        <v>96</v>
      </c>
      <c r="E471" s="24">
        <v>6</v>
      </c>
      <c r="F471" s="2">
        <v>10</v>
      </c>
      <c r="G471" s="2">
        <v>0</v>
      </c>
      <c r="H471" s="2">
        <v>9</v>
      </c>
      <c r="I471" s="2">
        <v>6</v>
      </c>
      <c r="J471" s="1"/>
      <c r="M471" t="s">
        <v>15</v>
      </c>
      <c r="N471" t="str">
        <f>IFERROR(VLOOKUP(B471,'[1]All Player'!$B$2:$C$1992,2,0),"")</f>
        <v>Arif Ziad</v>
      </c>
      <c r="O471" s="2" t="s">
        <v>501</v>
      </c>
      <c r="P471" s="16" t="s">
        <v>802</v>
      </c>
      <c r="Q471" s="1">
        <f t="shared" si="17"/>
        <v>1</v>
      </c>
      <c r="R471" s="1">
        <v>78</v>
      </c>
      <c r="U471" s="8">
        <v>41609</v>
      </c>
    </row>
    <row r="472" spans="1:22" x14ac:dyDescent="0.25">
      <c r="A472" s="2">
        <f t="shared" si="16"/>
        <v>9</v>
      </c>
      <c r="B472" t="s">
        <v>95</v>
      </c>
      <c r="C472" s="2">
        <v>4</v>
      </c>
      <c r="D472" s="2">
        <v>40</v>
      </c>
      <c r="E472" s="2">
        <v>6</v>
      </c>
      <c r="F472" s="2">
        <v>8</v>
      </c>
      <c r="G472" s="2">
        <v>0</v>
      </c>
      <c r="H472" s="2">
        <v>2</v>
      </c>
      <c r="I472" s="2">
        <v>2</v>
      </c>
      <c r="J472" s="1"/>
      <c r="M472" t="s">
        <v>15</v>
      </c>
      <c r="N472" t="str">
        <f>IFERROR(VLOOKUP(B472,'[1]All Player'!$B$2:$C$1992,2,0),"")</f>
        <v>Sadrul Anam</v>
      </c>
      <c r="O472" s="2" t="s">
        <v>501</v>
      </c>
      <c r="P472" s="16" t="s">
        <v>802</v>
      </c>
      <c r="Q472" s="1">
        <f t="shared" si="17"/>
        <v>1</v>
      </c>
      <c r="R472" s="1">
        <v>78</v>
      </c>
      <c r="U472" s="8">
        <v>41609</v>
      </c>
    </row>
    <row r="473" spans="1:22" x14ac:dyDescent="0.25">
      <c r="A473" s="2">
        <f t="shared" si="16"/>
        <v>9</v>
      </c>
      <c r="B473" t="s">
        <v>803</v>
      </c>
      <c r="J473" s="1"/>
      <c r="M473" t="s">
        <v>15</v>
      </c>
      <c r="N473" t="str">
        <f>IFERROR(VLOOKUP(B473,'[1]All Player'!$B$2:$C$1992,2,0),"")</f>
        <v/>
      </c>
      <c r="O473" s="2" t="s">
        <v>501</v>
      </c>
      <c r="P473" s="16" t="s">
        <v>535</v>
      </c>
      <c r="Q473" s="1">
        <f t="shared" si="17"/>
        <v>1</v>
      </c>
      <c r="R473" s="1">
        <v>79</v>
      </c>
      <c r="T473" s="2" t="s">
        <v>672</v>
      </c>
      <c r="U473" s="8">
        <v>41609</v>
      </c>
    </row>
    <row r="474" spans="1:22" x14ac:dyDescent="0.25">
      <c r="A474" s="2">
        <f t="shared" si="16"/>
        <v>9</v>
      </c>
      <c r="B474" t="s">
        <v>152</v>
      </c>
      <c r="C474" s="2">
        <v>12</v>
      </c>
      <c r="D474" s="2">
        <v>135</v>
      </c>
      <c r="E474" s="2">
        <v>26</v>
      </c>
      <c r="F474" s="2">
        <v>17</v>
      </c>
      <c r="G474" s="2">
        <v>1</v>
      </c>
      <c r="H474" s="2">
        <v>9</v>
      </c>
      <c r="I474" s="2">
        <v>9</v>
      </c>
      <c r="J474" s="1"/>
      <c r="M474" t="s">
        <v>15</v>
      </c>
      <c r="N474" t="str">
        <f>IFERROR(VLOOKUP(B474,'[1]All Player'!$B$2:$C$1992,2,0),"")</f>
        <v>Niamul Habib Setu</v>
      </c>
      <c r="O474" s="2" t="s">
        <v>501</v>
      </c>
      <c r="P474" s="16" t="s">
        <v>535</v>
      </c>
      <c r="Q474" s="1">
        <f t="shared" si="17"/>
        <v>1</v>
      </c>
      <c r="R474" s="1">
        <v>79</v>
      </c>
      <c r="T474" s="2" t="s">
        <v>672</v>
      </c>
      <c r="U474" s="8">
        <v>41609</v>
      </c>
    </row>
    <row r="475" spans="1:22" x14ac:dyDescent="0.25">
      <c r="A475" s="2">
        <f t="shared" si="16"/>
        <v>9</v>
      </c>
      <c r="B475" t="s">
        <v>154</v>
      </c>
      <c r="C475" s="2">
        <v>12</v>
      </c>
      <c r="D475" s="2">
        <v>287</v>
      </c>
      <c r="E475" s="2">
        <v>14</v>
      </c>
      <c r="F475" s="2">
        <v>20</v>
      </c>
      <c r="G475" s="2">
        <v>3</v>
      </c>
      <c r="H475" s="2">
        <v>24</v>
      </c>
      <c r="I475" s="2">
        <v>20</v>
      </c>
      <c r="J475" s="1"/>
      <c r="M475" t="s">
        <v>15</v>
      </c>
      <c r="N475" t="str">
        <f>IFERROR(VLOOKUP(B475,'[1]All Player'!$B$2:$C$1992,2,0),"")</f>
        <v>Meyaz Al Emon</v>
      </c>
      <c r="O475" s="2" t="s">
        <v>501</v>
      </c>
      <c r="P475" s="16" t="s">
        <v>535</v>
      </c>
      <c r="Q475" s="1">
        <f t="shared" si="17"/>
        <v>1</v>
      </c>
      <c r="R475" s="1">
        <v>79</v>
      </c>
      <c r="T475" s="2" t="s">
        <v>672</v>
      </c>
      <c r="U475" s="8">
        <v>41609</v>
      </c>
      <c r="V475" s="1">
        <v>1</v>
      </c>
    </row>
    <row r="476" spans="1:22" x14ac:dyDescent="0.25">
      <c r="A476" s="2">
        <f t="shared" si="16"/>
        <v>9</v>
      </c>
      <c r="B476" t="s">
        <v>331</v>
      </c>
      <c r="C476" s="2">
        <v>2</v>
      </c>
      <c r="D476" s="2">
        <v>5</v>
      </c>
      <c r="E476" s="2">
        <v>2</v>
      </c>
      <c r="F476" s="2">
        <v>3</v>
      </c>
      <c r="G476" s="2">
        <v>0</v>
      </c>
      <c r="H476" s="2">
        <v>0</v>
      </c>
      <c r="I476" s="2">
        <v>0</v>
      </c>
      <c r="J476" s="1"/>
      <c r="M476" t="s">
        <v>15</v>
      </c>
      <c r="N476" t="str">
        <f>IFERROR(VLOOKUP(B476,'[1]All Player'!$B$2:$C$1992,2,0),"")</f>
        <v>Abdur Rahaman</v>
      </c>
      <c r="O476" s="2" t="s">
        <v>501</v>
      </c>
      <c r="P476" s="16" t="s">
        <v>535</v>
      </c>
      <c r="Q476" s="1">
        <f t="shared" si="17"/>
        <v>1</v>
      </c>
      <c r="R476" s="1">
        <v>79</v>
      </c>
      <c r="T476" s="2" t="s">
        <v>672</v>
      </c>
      <c r="U476" s="8">
        <v>41609</v>
      </c>
    </row>
    <row r="477" spans="1:22" x14ac:dyDescent="0.25">
      <c r="A477" s="2">
        <f t="shared" si="16"/>
        <v>9</v>
      </c>
      <c r="B477" t="s">
        <v>132</v>
      </c>
      <c r="C477" s="2">
        <v>10</v>
      </c>
      <c r="D477" s="2">
        <v>132</v>
      </c>
      <c r="E477" s="2">
        <v>15</v>
      </c>
      <c r="F477" s="2">
        <v>15</v>
      </c>
      <c r="G477" s="2">
        <v>2</v>
      </c>
      <c r="H477" s="2">
        <v>7</v>
      </c>
      <c r="I477" s="2">
        <v>9</v>
      </c>
      <c r="J477" s="1"/>
      <c r="M477" t="s">
        <v>15</v>
      </c>
      <c r="N477" t="str">
        <f>IFERROR(VLOOKUP(B477,'[1]All Player'!$B$2:$C$1992,2,0),"")</f>
        <v>ShiShir Hossain</v>
      </c>
      <c r="O477" s="2" t="s">
        <v>501</v>
      </c>
      <c r="P477" s="16" t="s">
        <v>535</v>
      </c>
      <c r="Q477" s="1">
        <f t="shared" si="17"/>
        <v>1</v>
      </c>
      <c r="R477" s="1">
        <v>79</v>
      </c>
      <c r="T477" s="2" t="s">
        <v>672</v>
      </c>
      <c r="U477" s="8">
        <v>41609</v>
      </c>
    </row>
    <row r="478" spans="1:22" x14ac:dyDescent="0.25">
      <c r="A478" s="2">
        <v>10</v>
      </c>
      <c r="B478" t="s">
        <v>804</v>
      </c>
      <c r="J478" s="1"/>
      <c r="M478" t="s">
        <v>15</v>
      </c>
      <c r="N478" t="str">
        <f>IFERROR(VLOOKUP(B478,'[1]All Player'!$B$2:$C$1992,2,0),"")</f>
        <v/>
      </c>
      <c r="O478" s="2" t="s">
        <v>471</v>
      </c>
      <c r="P478" s="16" t="s">
        <v>804</v>
      </c>
      <c r="Q478" s="1">
        <f t="shared" si="17"/>
        <v>1</v>
      </c>
      <c r="R478" s="1">
        <v>80</v>
      </c>
      <c r="U478" s="8">
        <v>41699</v>
      </c>
    </row>
    <row r="479" spans="1:22" x14ac:dyDescent="0.25">
      <c r="A479" s="2">
        <f t="shared" si="16"/>
        <v>10</v>
      </c>
      <c r="B479" t="s">
        <v>228</v>
      </c>
      <c r="C479" s="2">
        <v>1</v>
      </c>
      <c r="D479" s="2">
        <v>0</v>
      </c>
      <c r="E479" s="24">
        <v>1</v>
      </c>
      <c r="F479" s="2">
        <v>0</v>
      </c>
      <c r="G479" s="2">
        <v>0</v>
      </c>
      <c r="H479" s="2">
        <v>0</v>
      </c>
      <c r="I479" s="2">
        <v>0</v>
      </c>
      <c r="J479" s="1"/>
      <c r="M479" t="s">
        <v>15</v>
      </c>
      <c r="N479" t="str">
        <f>IFERROR(VLOOKUP(B479,'[1]All Player'!$B$2:$C$1992,2,0),"")</f>
        <v>Arif Ziad</v>
      </c>
      <c r="O479" s="2" t="s">
        <v>471</v>
      </c>
      <c r="P479" s="16" t="s">
        <v>804</v>
      </c>
      <c r="Q479" s="1">
        <f t="shared" si="17"/>
        <v>1</v>
      </c>
      <c r="R479" s="1">
        <v>80</v>
      </c>
      <c r="U479" s="8">
        <v>41699</v>
      </c>
    </row>
    <row r="480" spans="1:22" x14ac:dyDescent="0.25">
      <c r="A480" s="2">
        <f t="shared" si="16"/>
        <v>10</v>
      </c>
      <c r="B480" t="s">
        <v>158</v>
      </c>
      <c r="C480" s="2">
        <v>1</v>
      </c>
      <c r="D480" s="2">
        <v>7</v>
      </c>
      <c r="E480" s="2">
        <v>0</v>
      </c>
      <c r="F480" s="2">
        <v>1</v>
      </c>
      <c r="G480" s="2">
        <v>0</v>
      </c>
      <c r="H480" s="2">
        <v>1</v>
      </c>
      <c r="I480" s="2">
        <v>0</v>
      </c>
      <c r="J480" s="1"/>
      <c r="M480" t="s">
        <v>15</v>
      </c>
      <c r="N480" t="str">
        <f>IFERROR(VLOOKUP(B480,'[1]All Player'!$B$2:$C$1992,2,0),"")</f>
        <v>Sabbir Ahmed</v>
      </c>
      <c r="O480" s="2" t="s">
        <v>471</v>
      </c>
      <c r="P480" s="16" t="s">
        <v>804</v>
      </c>
      <c r="Q480" s="1">
        <f t="shared" si="17"/>
        <v>1</v>
      </c>
      <c r="R480" s="1">
        <v>80</v>
      </c>
      <c r="U480" s="8">
        <v>41699</v>
      </c>
    </row>
    <row r="481" spans="1:23" x14ac:dyDescent="0.25">
      <c r="A481" s="2">
        <f t="shared" si="16"/>
        <v>10</v>
      </c>
      <c r="B481" t="s">
        <v>298</v>
      </c>
      <c r="C481" s="2">
        <v>1</v>
      </c>
      <c r="D481" s="2">
        <v>0</v>
      </c>
      <c r="E481" s="2">
        <v>2</v>
      </c>
      <c r="F481" s="2">
        <v>1</v>
      </c>
      <c r="G481" s="2">
        <v>0</v>
      </c>
      <c r="H481" s="2">
        <v>0</v>
      </c>
      <c r="I481" s="2">
        <v>0</v>
      </c>
      <c r="J481" s="1"/>
      <c r="M481" t="s">
        <v>15</v>
      </c>
      <c r="N481" t="str">
        <f>IFERROR(VLOOKUP(B481,'[1]All Player'!$B$2:$C$1992,2,0),"")</f>
        <v>Sahed Hossain Masum</v>
      </c>
      <c r="O481" s="2" t="s">
        <v>471</v>
      </c>
      <c r="P481" s="16" t="s">
        <v>804</v>
      </c>
      <c r="Q481" s="1">
        <f t="shared" si="17"/>
        <v>1</v>
      </c>
      <c r="R481" s="1">
        <v>80</v>
      </c>
      <c r="U481" s="8">
        <v>41699</v>
      </c>
    </row>
    <row r="482" spans="1:23" x14ac:dyDescent="0.25">
      <c r="A482" s="2">
        <f t="shared" si="16"/>
        <v>10</v>
      </c>
      <c r="B482" t="s">
        <v>336</v>
      </c>
      <c r="C482" s="2">
        <v>1</v>
      </c>
      <c r="D482" s="2">
        <v>15</v>
      </c>
      <c r="E482" s="2">
        <v>0</v>
      </c>
      <c r="F482" s="2">
        <v>1</v>
      </c>
      <c r="G482" s="2">
        <v>0</v>
      </c>
      <c r="H482" s="2">
        <v>0</v>
      </c>
      <c r="I482" s="2">
        <v>1</v>
      </c>
      <c r="J482" s="1"/>
      <c r="M482" t="s">
        <v>15</v>
      </c>
      <c r="N482" t="str">
        <f>IFERROR(VLOOKUP(B482,'[1]All Player'!$B$2:$C$1992,2,0),"")</f>
        <v>Samiul Meraj</v>
      </c>
      <c r="O482" s="2" t="s">
        <v>471</v>
      </c>
      <c r="P482" s="16" t="s">
        <v>804</v>
      </c>
      <c r="Q482" s="1">
        <f t="shared" si="17"/>
        <v>1</v>
      </c>
      <c r="R482" s="1">
        <v>80</v>
      </c>
      <c r="U482" s="8">
        <v>41699</v>
      </c>
    </row>
    <row r="483" spans="1:23" x14ac:dyDescent="0.25">
      <c r="A483" s="2">
        <f t="shared" si="16"/>
        <v>10</v>
      </c>
      <c r="B483" t="s">
        <v>132</v>
      </c>
      <c r="C483" s="2">
        <v>1</v>
      </c>
      <c r="D483" s="2">
        <v>22</v>
      </c>
      <c r="E483" s="2">
        <v>1</v>
      </c>
      <c r="F483" s="2">
        <v>2</v>
      </c>
      <c r="G483" s="2">
        <v>0</v>
      </c>
      <c r="H483" s="2">
        <v>3</v>
      </c>
      <c r="I483" s="2">
        <v>0</v>
      </c>
      <c r="J483" s="1"/>
      <c r="M483" t="s">
        <v>15</v>
      </c>
      <c r="N483" t="str">
        <f>IFERROR(VLOOKUP(B483,'[1]All Player'!$B$2:$C$1992,2,0),"")</f>
        <v>ShiShir Hossain</v>
      </c>
      <c r="O483" s="2" t="s">
        <v>471</v>
      </c>
      <c r="P483" s="16" t="s">
        <v>804</v>
      </c>
      <c r="Q483" s="1">
        <f t="shared" si="17"/>
        <v>1</v>
      </c>
      <c r="R483" s="1">
        <v>80</v>
      </c>
      <c r="U483" s="8">
        <v>41699</v>
      </c>
    </row>
    <row r="484" spans="1:23" x14ac:dyDescent="0.25">
      <c r="A484" s="2">
        <f t="shared" si="16"/>
        <v>10</v>
      </c>
      <c r="B484" t="s">
        <v>99</v>
      </c>
      <c r="C484" s="2">
        <v>1</v>
      </c>
      <c r="D484" s="2">
        <v>0</v>
      </c>
      <c r="E484" s="2">
        <v>2</v>
      </c>
      <c r="F484" s="2">
        <v>1</v>
      </c>
      <c r="G484" s="2">
        <v>0</v>
      </c>
      <c r="H484" s="2">
        <v>0</v>
      </c>
      <c r="I484" s="2">
        <v>0</v>
      </c>
      <c r="J484" s="1"/>
      <c r="M484" t="s">
        <v>15</v>
      </c>
      <c r="N484" t="str">
        <f>IFERROR(VLOOKUP(B484,'[1]All Player'!$B$2:$C$1992,2,0),"")</f>
        <v>Bishwajit Sarkar</v>
      </c>
      <c r="O484" s="2" t="s">
        <v>471</v>
      </c>
      <c r="P484" s="16" t="s">
        <v>804</v>
      </c>
      <c r="Q484" s="1">
        <f t="shared" si="17"/>
        <v>1</v>
      </c>
      <c r="R484" s="1">
        <v>80</v>
      </c>
      <c r="U484" s="8">
        <v>41699</v>
      </c>
    </row>
    <row r="485" spans="1:23" x14ac:dyDescent="0.25">
      <c r="A485" s="2">
        <f t="shared" si="16"/>
        <v>10</v>
      </c>
      <c r="B485" s="17" t="s">
        <v>473</v>
      </c>
      <c r="C485" s="2" t="s">
        <v>805</v>
      </c>
      <c r="J485" s="1"/>
      <c r="M485" t="s">
        <v>15</v>
      </c>
      <c r="N485" t="str">
        <f>IFERROR(VLOOKUP(B485,'[1]All Player'!$B$2:$C$1992,2,0),"")</f>
        <v/>
      </c>
      <c r="O485" s="2" t="s">
        <v>471</v>
      </c>
      <c r="P485" s="16" t="s">
        <v>473</v>
      </c>
      <c r="Q485" s="1">
        <f t="shared" si="17"/>
        <v>1</v>
      </c>
      <c r="R485" s="1">
        <v>81</v>
      </c>
      <c r="T485" s="1" t="s">
        <v>672</v>
      </c>
      <c r="U485" s="8">
        <v>41699</v>
      </c>
    </row>
    <row r="486" spans="1:23" x14ac:dyDescent="0.25">
      <c r="A486" s="2">
        <f t="shared" si="16"/>
        <v>10</v>
      </c>
      <c r="B486" t="s">
        <v>66</v>
      </c>
      <c r="C486" s="2">
        <v>2</v>
      </c>
      <c r="D486" s="2">
        <v>15</v>
      </c>
      <c r="E486" s="2">
        <v>0</v>
      </c>
      <c r="F486" s="2">
        <v>2</v>
      </c>
      <c r="G486" s="2">
        <v>1</v>
      </c>
      <c r="H486" s="2">
        <v>2</v>
      </c>
      <c r="I486" s="2">
        <v>0</v>
      </c>
      <c r="J486" s="1"/>
      <c r="M486" t="s">
        <v>15</v>
      </c>
      <c r="N486" t="str">
        <f>IFERROR(VLOOKUP(B486,'[1]All Player'!$B$2:$C$1992,2,0),"")</f>
        <v>Ahmad Sakib Abdullah</v>
      </c>
      <c r="O486" s="2" t="s">
        <v>471</v>
      </c>
      <c r="P486" s="16" t="s">
        <v>473</v>
      </c>
      <c r="Q486" s="1">
        <f t="shared" si="17"/>
        <v>1</v>
      </c>
      <c r="R486" s="1">
        <v>81</v>
      </c>
      <c r="T486" s="1" t="s">
        <v>672</v>
      </c>
      <c r="U486" s="8">
        <v>41699</v>
      </c>
    </row>
    <row r="487" spans="1:23" x14ac:dyDescent="0.25">
      <c r="A487" s="2">
        <f t="shared" si="16"/>
        <v>10</v>
      </c>
      <c r="B487" t="s">
        <v>102</v>
      </c>
      <c r="C487" s="2">
        <v>3</v>
      </c>
      <c r="D487" s="2">
        <v>42</v>
      </c>
      <c r="E487" s="2">
        <v>7</v>
      </c>
      <c r="F487" s="2">
        <v>3</v>
      </c>
      <c r="G487" s="2">
        <v>1</v>
      </c>
      <c r="H487" s="2">
        <v>2</v>
      </c>
      <c r="I487" s="2">
        <v>3</v>
      </c>
      <c r="J487" s="1"/>
      <c r="M487" t="s">
        <v>15</v>
      </c>
      <c r="N487" t="str">
        <f>IFERROR(VLOOKUP(B487,'[1]All Player'!$B$2:$C$1992,2,0),"")</f>
        <v>Mustofa Muddassir Mahmud Mashuk</v>
      </c>
      <c r="O487" s="2" t="s">
        <v>471</v>
      </c>
      <c r="P487" s="16" t="s">
        <v>473</v>
      </c>
      <c r="Q487" s="1">
        <f t="shared" si="17"/>
        <v>1</v>
      </c>
      <c r="R487" s="1">
        <v>81</v>
      </c>
      <c r="S487" s="2" t="s">
        <v>660</v>
      </c>
      <c r="T487" s="1" t="s">
        <v>672</v>
      </c>
      <c r="U487" s="8">
        <v>41699</v>
      </c>
      <c r="W487" s="1">
        <v>1</v>
      </c>
    </row>
    <row r="488" spans="1:23" x14ac:dyDescent="0.25">
      <c r="A488" s="2">
        <f t="shared" si="16"/>
        <v>10</v>
      </c>
      <c r="B488" t="s">
        <v>85</v>
      </c>
      <c r="C488" s="2">
        <v>3</v>
      </c>
      <c r="D488" s="2">
        <v>24</v>
      </c>
      <c r="E488" s="2">
        <v>3</v>
      </c>
      <c r="F488" s="2">
        <v>3</v>
      </c>
      <c r="G488" s="2">
        <v>0</v>
      </c>
      <c r="H488" s="2">
        <v>2</v>
      </c>
      <c r="I488" s="2">
        <v>1</v>
      </c>
      <c r="J488" s="1"/>
      <c r="M488" t="s">
        <v>15</v>
      </c>
      <c r="N488" t="str">
        <f>IFERROR(VLOOKUP(B488,'[1]All Player'!$B$2:$C$1992,2,0),"")</f>
        <v>Asik Hassan Tonmoy</v>
      </c>
      <c r="O488" s="2" t="s">
        <v>471</v>
      </c>
      <c r="P488" s="16" t="s">
        <v>473</v>
      </c>
      <c r="Q488" s="1">
        <f t="shared" si="17"/>
        <v>1</v>
      </c>
      <c r="R488" s="1">
        <v>81</v>
      </c>
      <c r="T488" s="1" t="s">
        <v>672</v>
      </c>
      <c r="U488" s="8">
        <v>41699</v>
      </c>
    </row>
    <row r="489" spans="1:23" x14ac:dyDescent="0.25">
      <c r="A489" s="2">
        <f t="shared" si="16"/>
        <v>10</v>
      </c>
      <c r="B489" t="s">
        <v>62</v>
      </c>
      <c r="C489" s="2">
        <v>2</v>
      </c>
      <c r="D489" s="2">
        <v>34</v>
      </c>
      <c r="E489" s="2">
        <v>1</v>
      </c>
      <c r="F489" s="2">
        <v>1</v>
      </c>
      <c r="G489" s="2">
        <v>0</v>
      </c>
      <c r="H489" s="2">
        <v>1</v>
      </c>
      <c r="I489" s="2">
        <v>4</v>
      </c>
      <c r="J489" s="1"/>
      <c r="M489" t="s">
        <v>15</v>
      </c>
      <c r="N489" t="str">
        <f>IFERROR(VLOOKUP(B489,'[1]All Player'!$B$2:$C$1992,2,0),"")</f>
        <v>MD Tofayel Ahmed</v>
      </c>
      <c r="O489" s="2" t="s">
        <v>471</v>
      </c>
      <c r="P489" s="16" t="s">
        <v>473</v>
      </c>
      <c r="Q489" s="1">
        <f t="shared" si="17"/>
        <v>1</v>
      </c>
      <c r="R489" s="1">
        <v>81</v>
      </c>
      <c r="T489" s="1" t="s">
        <v>672</v>
      </c>
      <c r="U489" s="8">
        <v>41699</v>
      </c>
    </row>
    <row r="490" spans="1:23" x14ac:dyDescent="0.25">
      <c r="A490" s="2">
        <f t="shared" si="16"/>
        <v>10</v>
      </c>
      <c r="B490" t="s">
        <v>768</v>
      </c>
      <c r="C490" s="2">
        <v>2</v>
      </c>
      <c r="D490" s="2">
        <v>0</v>
      </c>
      <c r="E490" s="2">
        <v>2</v>
      </c>
      <c r="F490" s="2">
        <v>0</v>
      </c>
      <c r="G490" s="2">
        <v>0</v>
      </c>
      <c r="H490" s="2">
        <v>0</v>
      </c>
      <c r="I490" s="2">
        <v>0</v>
      </c>
      <c r="J490" s="1"/>
      <c r="M490" t="s">
        <v>15</v>
      </c>
      <c r="N490" t="str">
        <f>IFERROR(VLOOKUP(B490,'[1]All Player'!$B$2:$C$1992,2,0),"")</f>
        <v>Cricket Pagla Arman</v>
      </c>
      <c r="O490" s="2" t="s">
        <v>471</v>
      </c>
      <c r="P490" s="16" t="s">
        <v>473</v>
      </c>
      <c r="Q490" s="1">
        <f t="shared" si="17"/>
        <v>1</v>
      </c>
      <c r="R490" s="1">
        <v>81</v>
      </c>
      <c r="T490" s="1" t="s">
        <v>672</v>
      </c>
      <c r="U490" s="8">
        <v>41699</v>
      </c>
    </row>
    <row r="491" spans="1:23" x14ac:dyDescent="0.25">
      <c r="A491" s="2">
        <f t="shared" si="16"/>
        <v>10</v>
      </c>
      <c r="B491" t="s">
        <v>24</v>
      </c>
      <c r="C491" s="2">
        <v>3</v>
      </c>
      <c r="D491" s="2">
        <v>55</v>
      </c>
      <c r="E491" s="2">
        <v>0</v>
      </c>
      <c r="F491" s="2">
        <v>3</v>
      </c>
      <c r="G491" s="24">
        <v>0</v>
      </c>
      <c r="H491" s="2">
        <v>2</v>
      </c>
      <c r="I491" s="2">
        <v>4</v>
      </c>
      <c r="J491" s="1"/>
      <c r="M491" t="s">
        <v>15</v>
      </c>
      <c r="N491" t="str">
        <f>IFERROR(VLOOKUP(B491,'[1]All Player'!$B$2:$C$1992,2,0),"")</f>
        <v>Nur Muhammad</v>
      </c>
      <c r="O491" s="2" t="s">
        <v>471</v>
      </c>
      <c r="P491" s="16" t="s">
        <v>473</v>
      </c>
      <c r="Q491" s="1">
        <f t="shared" si="17"/>
        <v>1</v>
      </c>
      <c r="R491" s="1">
        <v>81</v>
      </c>
      <c r="T491" s="1" t="s">
        <v>672</v>
      </c>
      <c r="U491" s="8">
        <v>41699</v>
      </c>
    </row>
    <row r="492" spans="1:23" x14ac:dyDescent="0.25">
      <c r="A492" s="2">
        <f t="shared" ref="A492:A555" si="18">A491</f>
        <v>10</v>
      </c>
      <c r="B492" s="17" t="s">
        <v>590</v>
      </c>
      <c r="C492" s="2" t="s">
        <v>805</v>
      </c>
      <c r="J492" s="1"/>
      <c r="M492" t="s">
        <v>15</v>
      </c>
      <c r="N492" t="str">
        <f>IFERROR(VLOOKUP(B492,'[1]All Player'!$B$2:$C$1992,2,0),"")</f>
        <v/>
      </c>
      <c r="O492" s="2" t="s">
        <v>471</v>
      </c>
      <c r="P492" s="16" t="s">
        <v>590</v>
      </c>
      <c r="Q492" s="1">
        <f t="shared" si="17"/>
        <v>1</v>
      </c>
      <c r="R492" s="1">
        <v>82</v>
      </c>
      <c r="T492" s="1" t="s">
        <v>659</v>
      </c>
      <c r="U492" s="8">
        <v>41699</v>
      </c>
    </row>
    <row r="493" spans="1:23" x14ac:dyDescent="0.25">
      <c r="A493" s="2">
        <f t="shared" si="18"/>
        <v>10</v>
      </c>
      <c r="B493" t="s">
        <v>95</v>
      </c>
      <c r="C493" s="2">
        <v>3</v>
      </c>
      <c r="D493" s="2">
        <v>26</v>
      </c>
      <c r="E493" s="2">
        <v>4</v>
      </c>
      <c r="F493" s="2">
        <v>5</v>
      </c>
      <c r="G493" s="2">
        <v>1</v>
      </c>
      <c r="H493" s="2">
        <v>3</v>
      </c>
      <c r="I493" s="2">
        <v>0</v>
      </c>
      <c r="J493" s="1"/>
      <c r="M493" t="s">
        <v>15</v>
      </c>
      <c r="N493" t="str">
        <f>IFERROR(VLOOKUP(B493,'[1]All Player'!$B$2:$C$1992,2,0),"")</f>
        <v>Sadrul Anam</v>
      </c>
      <c r="O493" s="2" t="s">
        <v>471</v>
      </c>
      <c r="P493" s="16" t="s">
        <v>590</v>
      </c>
      <c r="Q493" s="1">
        <f t="shared" si="17"/>
        <v>1</v>
      </c>
      <c r="R493" s="1">
        <v>82</v>
      </c>
      <c r="T493" s="1" t="s">
        <v>659</v>
      </c>
      <c r="U493" s="8">
        <v>41699</v>
      </c>
    </row>
    <row r="494" spans="1:23" x14ac:dyDescent="0.25">
      <c r="A494" s="2">
        <f t="shared" si="18"/>
        <v>10</v>
      </c>
      <c r="B494" t="s">
        <v>346</v>
      </c>
      <c r="C494" s="2">
        <v>2</v>
      </c>
      <c r="D494" s="2">
        <v>11</v>
      </c>
      <c r="E494" s="2">
        <v>4</v>
      </c>
      <c r="F494" s="2">
        <v>2</v>
      </c>
      <c r="G494" s="2">
        <v>0</v>
      </c>
      <c r="H494" s="2">
        <v>1</v>
      </c>
      <c r="I494" s="2">
        <v>0</v>
      </c>
      <c r="J494" s="1"/>
      <c r="M494" t="s">
        <v>15</v>
      </c>
      <c r="N494" t="str">
        <f>IFERROR(VLOOKUP(B494,'[1]All Player'!$B$2:$C$1992,2,0),"")</f>
        <v>Zamil Khan</v>
      </c>
      <c r="O494" s="2" t="s">
        <v>471</v>
      </c>
      <c r="P494" s="16" t="s">
        <v>590</v>
      </c>
      <c r="Q494" s="1">
        <f t="shared" si="17"/>
        <v>1</v>
      </c>
      <c r="R494" s="1">
        <v>82</v>
      </c>
      <c r="T494" s="1" t="s">
        <v>659</v>
      </c>
      <c r="U494" s="8">
        <v>41699</v>
      </c>
    </row>
    <row r="495" spans="1:23" x14ac:dyDescent="0.25">
      <c r="A495" s="2">
        <f t="shared" si="18"/>
        <v>10</v>
      </c>
      <c r="B495" t="s">
        <v>350</v>
      </c>
      <c r="C495" s="2">
        <v>1</v>
      </c>
      <c r="D495" s="2">
        <v>3</v>
      </c>
      <c r="E495" s="2">
        <v>0</v>
      </c>
      <c r="F495" s="2">
        <v>1</v>
      </c>
      <c r="G495" s="2">
        <v>0</v>
      </c>
      <c r="H495" s="2">
        <v>0</v>
      </c>
      <c r="I495" s="2">
        <v>0</v>
      </c>
      <c r="J495" s="1"/>
      <c r="M495" t="s">
        <v>15</v>
      </c>
      <c r="N495" t="str">
        <f>IFERROR(VLOOKUP(B495,'[1]All Player'!$B$2:$C$1992,2,0),"")</f>
        <v>Shahriar Shuvro</v>
      </c>
      <c r="O495" s="2" t="s">
        <v>471</v>
      </c>
      <c r="P495" s="16" t="s">
        <v>590</v>
      </c>
      <c r="Q495" s="1">
        <f t="shared" si="17"/>
        <v>1</v>
      </c>
      <c r="R495" s="1">
        <v>82</v>
      </c>
      <c r="T495" s="1" t="s">
        <v>659</v>
      </c>
      <c r="U495" s="8">
        <v>41699</v>
      </c>
    </row>
    <row r="496" spans="1:23" x14ac:dyDescent="0.25">
      <c r="A496" s="2">
        <f t="shared" si="18"/>
        <v>10</v>
      </c>
      <c r="B496" t="s">
        <v>134</v>
      </c>
      <c r="C496" s="2">
        <v>3</v>
      </c>
      <c r="D496" s="2">
        <v>56</v>
      </c>
      <c r="E496" s="2">
        <v>3</v>
      </c>
      <c r="F496" s="2">
        <v>4</v>
      </c>
      <c r="G496" s="2">
        <v>0</v>
      </c>
      <c r="H496" s="2">
        <v>3</v>
      </c>
      <c r="I496" s="2">
        <v>5</v>
      </c>
      <c r="J496" s="1"/>
      <c r="M496" t="s">
        <v>15</v>
      </c>
      <c r="N496" t="str">
        <f>IFERROR(VLOOKUP(B496,'[1]All Player'!$B$2:$C$1992,2,0),"")</f>
        <v>Md Dulal Miah</v>
      </c>
      <c r="O496" s="2" t="s">
        <v>471</v>
      </c>
      <c r="P496" s="16" t="s">
        <v>590</v>
      </c>
      <c r="Q496" s="1">
        <f t="shared" si="17"/>
        <v>1</v>
      </c>
      <c r="R496" s="1">
        <v>82</v>
      </c>
      <c r="T496" s="1" t="s">
        <v>659</v>
      </c>
      <c r="U496" s="8">
        <v>41699</v>
      </c>
    </row>
    <row r="497" spans="1:21" x14ac:dyDescent="0.25">
      <c r="A497" s="2">
        <f t="shared" si="18"/>
        <v>10</v>
      </c>
      <c r="B497" t="s">
        <v>306</v>
      </c>
      <c r="C497" s="2">
        <v>1</v>
      </c>
      <c r="D497" s="2">
        <v>0</v>
      </c>
      <c r="E497" s="2">
        <v>0</v>
      </c>
      <c r="F497" s="2">
        <v>1</v>
      </c>
      <c r="G497" s="2">
        <v>0</v>
      </c>
      <c r="H497" s="2">
        <v>0</v>
      </c>
      <c r="I497" s="2">
        <v>0</v>
      </c>
      <c r="J497" s="1"/>
      <c r="M497" t="s">
        <v>15</v>
      </c>
      <c r="N497" t="str">
        <f>IFERROR(VLOOKUP(B497,'[1]All Player'!$B$2:$C$1992,2,0),"")</f>
        <v>Shahan Ahmed</v>
      </c>
      <c r="O497" s="2" t="s">
        <v>471</v>
      </c>
      <c r="P497" s="16" t="s">
        <v>590</v>
      </c>
      <c r="Q497" s="1">
        <f t="shared" si="17"/>
        <v>1</v>
      </c>
      <c r="R497" s="1">
        <v>82</v>
      </c>
      <c r="T497" s="1" t="s">
        <v>659</v>
      </c>
      <c r="U497" s="8">
        <v>41699</v>
      </c>
    </row>
    <row r="498" spans="1:21" x14ac:dyDescent="0.25">
      <c r="A498" s="2">
        <f t="shared" si="18"/>
        <v>10</v>
      </c>
      <c r="B498" t="s">
        <v>120</v>
      </c>
      <c r="C498" s="2">
        <v>3</v>
      </c>
      <c r="D498" s="2">
        <v>25</v>
      </c>
      <c r="E498" s="2">
        <v>3</v>
      </c>
      <c r="F498" s="2">
        <v>3</v>
      </c>
      <c r="G498" s="2">
        <v>0</v>
      </c>
      <c r="H498" s="2">
        <v>2</v>
      </c>
      <c r="I498" s="2">
        <v>2</v>
      </c>
      <c r="J498" s="1"/>
      <c r="M498" t="s">
        <v>15</v>
      </c>
      <c r="N498" t="str">
        <f>IFERROR(VLOOKUP(B498,'[1]All Player'!$B$2:$C$1992,2,0),"")</f>
        <v>Kamrul Hasan Hridoy</v>
      </c>
      <c r="O498" s="2" t="s">
        <v>471</v>
      </c>
      <c r="P498" s="16" t="s">
        <v>590</v>
      </c>
      <c r="Q498" s="1">
        <f t="shared" si="17"/>
        <v>1</v>
      </c>
      <c r="R498" s="1">
        <v>82</v>
      </c>
      <c r="T498" s="1" t="s">
        <v>659</v>
      </c>
      <c r="U498" s="8">
        <v>41699</v>
      </c>
    </row>
    <row r="499" spans="1:21" x14ac:dyDescent="0.25">
      <c r="A499" s="2">
        <f t="shared" si="18"/>
        <v>10</v>
      </c>
      <c r="B499" t="s">
        <v>52</v>
      </c>
      <c r="C499" s="2">
        <v>1</v>
      </c>
      <c r="D499" s="2">
        <v>6</v>
      </c>
      <c r="E499" s="2">
        <v>1</v>
      </c>
      <c r="F499" s="2">
        <v>2</v>
      </c>
      <c r="G499" s="2">
        <v>0</v>
      </c>
      <c r="H499" s="2">
        <v>1</v>
      </c>
      <c r="I499" s="2">
        <v>0</v>
      </c>
      <c r="J499" s="1"/>
      <c r="M499" t="s">
        <v>15</v>
      </c>
      <c r="N499" t="str">
        <f>IFERROR(VLOOKUP(B499,'[1]All Player'!$B$2:$C$1992,2,0),"")</f>
        <v>Mohammed Al Mamun</v>
      </c>
      <c r="O499" s="2" t="s">
        <v>471</v>
      </c>
      <c r="P499" s="16" t="s">
        <v>590</v>
      </c>
      <c r="Q499" s="1">
        <f t="shared" si="17"/>
        <v>1</v>
      </c>
      <c r="R499" s="1">
        <v>82</v>
      </c>
      <c r="T499" s="1" t="s">
        <v>659</v>
      </c>
      <c r="U499" s="8">
        <v>41699</v>
      </c>
    </row>
    <row r="500" spans="1:21" x14ac:dyDescent="0.25">
      <c r="A500" s="2">
        <f t="shared" si="18"/>
        <v>10</v>
      </c>
      <c r="B500" s="17" t="s">
        <v>472</v>
      </c>
      <c r="C500" s="2" t="s">
        <v>805</v>
      </c>
      <c r="J500" s="1"/>
      <c r="M500" t="s">
        <v>15</v>
      </c>
      <c r="N500" t="str">
        <f>IFERROR(VLOOKUP(B500,'[1]All Player'!$B$2:$C$1992,2,0),"")</f>
        <v/>
      </c>
      <c r="O500" s="2" t="s">
        <v>471</v>
      </c>
      <c r="P500" s="16" t="s">
        <v>472</v>
      </c>
      <c r="Q500" s="1">
        <f t="shared" si="17"/>
        <v>1</v>
      </c>
      <c r="R500" s="1">
        <v>83</v>
      </c>
      <c r="U500" s="8">
        <v>41699</v>
      </c>
    </row>
    <row r="501" spans="1:21" x14ac:dyDescent="0.25">
      <c r="A501" s="2">
        <f t="shared" si="18"/>
        <v>10</v>
      </c>
      <c r="B501" t="s">
        <v>239</v>
      </c>
      <c r="C501" s="2">
        <v>1</v>
      </c>
      <c r="D501" s="2">
        <v>16</v>
      </c>
      <c r="E501" s="2">
        <v>1</v>
      </c>
      <c r="F501" s="2">
        <v>1</v>
      </c>
      <c r="G501" s="2">
        <v>0</v>
      </c>
      <c r="H501" s="2">
        <v>4</v>
      </c>
      <c r="I501" s="2">
        <v>0</v>
      </c>
      <c r="J501" s="1"/>
      <c r="M501" t="s">
        <v>15</v>
      </c>
      <c r="N501" t="str">
        <f>IFERROR(VLOOKUP(B501,'[1]All Player'!$B$2:$C$1992,2,0),"")</f>
        <v>GM Manik</v>
      </c>
      <c r="O501" s="2" t="s">
        <v>471</v>
      </c>
      <c r="P501" s="16" t="s">
        <v>472</v>
      </c>
      <c r="Q501" s="1">
        <f t="shared" si="17"/>
        <v>1</v>
      </c>
      <c r="R501" s="1">
        <v>83</v>
      </c>
      <c r="U501" s="8">
        <v>41699</v>
      </c>
    </row>
    <row r="502" spans="1:21" x14ac:dyDescent="0.25">
      <c r="A502" s="2">
        <f t="shared" si="18"/>
        <v>10</v>
      </c>
      <c r="B502" t="s">
        <v>114</v>
      </c>
      <c r="C502" s="2">
        <v>1</v>
      </c>
      <c r="D502" s="2">
        <v>18</v>
      </c>
      <c r="E502" s="2">
        <v>0</v>
      </c>
      <c r="F502" s="2">
        <v>2</v>
      </c>
      <c r="G502" s="2">
        <v>0</v>
      </c>
      <c r="H502" s="2">
        <v>1</v>
      </c>
      <c r="I502" s="2">
        <v>1</v>
      </c>
      <c r="J502" s="1"/>
      <c r="M502" t="s">
        <v>15</v>
      </c>
      <c r="N502" t="str">
        <f>IFERROR(VLOOKUP(B502,'[1]All Player'!$B$2:$C$1992,2,0),"")</f>
        <v>Tanvir Shakib</v>
      </c>
      <c r="O502" s="2" t="s">
        <v>471</v>
      </c>
      <c r="P502" s="16" t="s">
        <v>472</v>
      </c>
      <c r="Q502" s="1">
        <f t="shared" si="17"/>
        <v>1</v>
      </c>
      <c r="R502" s="1">
        <v>83</v>
      </c>
      <c r="S502" s="25"/>
      <c r="U502" s="8">
        <v>41699</v>
      </c>
    </row>
    <row r="503" spans="1:21" x14ac:dyDescent="0.25">
      <c r="A503" s="2">
        <f t="shared" si="18"/>
        <v>10</v>
      </c>
      <c r="B503" t="s">
        <v>21</v>
      </c>
      <c r="C503" s="2">
        <v>1</v>
      </c>
      <c r="D503" s="2">
        <v>12</v>
      </c>
      <c r="E503" s="2">
        <v>0</v>
      </c>
      <c r="F503" s="2">
        <v>1</v>
      </c>
      <c r="G503" s="2">
        <v>0</v>
      </c>
      <c r="H503" s="2">
        <v>0</v>
      </c>
      <c r="I503" s="2">
        <v>1</v>
      </c>
      <c r="J503" s="1"/>
      <c r="M503" t="s">
        <v>15</v>
      </c>
      <c r="N503" t="str">
        <f>IFERROR(VLOOKUP(B503,'[1]All Player'!$B$2:$C$1992,2,0),"")</f>
        <v>Faisal Ahmed Jhony</v>
      </c>
      <c r="O503" s="2" t="s">
        <v>471</v>
      </c>
      <c r="P503" s="16" t="s">
        <v>472</v>
      </c>
      <c r="Q503" s="1">
        <f t="shared" si="17"/>
        <v>1</v>
      </c>
      <c r="R503" s="1">
        <v>83</v>
      </c>
      <c r="U503" s="8">
        <v>41699</v>
      </c>
    </row>
    <row r="504" spans="1:21" x14ac:dyDescent="0.25">
      <c r="A504" s="2">
        <f t="shared" si="18"/>
        <v>10</v>
      </c>
      <c r="B504" t="s">
        <v>169</v>
      </c>
      <c r="C504" s="2">
        <v>1</v>
      </c>
      <c r="D504" s="2">
        <v>0</v>
      </c>
      <c r="E504" s="2">
        <v>1</v>
      </c>
      <c r="F504" s="2">
        <v>1</v>
      </c>
      <c r="G504" s="2">
        <v>0</v>
      </c>
      <c r="H504" s="2">
        <v>0</v>
      </c>
      <c r="I504" s="2">
        <v>0</v>
      </c>
      <c r="J504" s="1"/>
      <c r="M504" t="s">
        <v>15</v>
      </c>
      <c r="N504" t="str">
        <f>IFERROR(VLOOKUP(B504,'[1]All Player'!$B$2:$C$1992,2,0),"")</f>
        <v>Saiful Islam</v>
      </c>
      <c r="O504" s="2" t="s">
        <v>471</v>
      </c>
      <c r="P504" s="16" t="s">
        <v>472</v>
      </c>
      <c r="Q504" s="1">
        <f t="shared" si="17"/>
        <v>1</v>
      </c>
      <c r="R504" s="1">
        <v>83</v>
      </c>
      <c r="U504" s="8">
        <v>41699</v>
      </c>
    </row>
    <row r="505" spans="1:21" x14ac:dyDescent="0.25">
      <c r="A505" s="2">
        <f t="shared" si="18"/>
        <v>10</v>
      </c>
      <c r="B505" t="s">
        <v>197</v>
      </c>
      <c r="C505" s="2">
        <v>1</v>
      </c>
      <c r="D505" s="2">
        <v>0</v>
      </c>
      <c r="E505" s="2">
        <v>0</v>
      </c>
      <c r="F505" s="2">
        <v>1</v>
      </c>
      <c r="G505" s="2">
        <v>0</v>
      </c>
      <c r="H505" s="2">
        <v>0</v>
      </c>
      <c r="I505" s="2">
        <v>0</v>
      </c>
      <c r="J505" s="1"/>
      <c r="M505" t="s">
        <v>15</v>
      </c>
      <c r="N505" t="str">
        <f>IFERROR(VLOOKUP(B505,'[1]All Player'!$B$2:$C$1992,2,0),"")</f>
        <v>Noushed Mijan</v>
      </c>
      <c r="O505" s="2" t="s">
        <v>471</v>
      </c>
      <c r="P505" s="16" t="s">
        <v>472</v>
      </c>
      <c r="Q505" s="1">
        <f t="shared" si="17"/>
        <v>1</v>
      </c>
      <c r="R505" s="1">
        <v>83</v>
      </c>
      <c r="U505" s="8">
        <v>41699</v>
      </c>
    </row>
    <row r="506" spans="1:21" x14ac:dyDescent="0.25">
      <c r="A506" s="2">
        <f t="shared" si="18"/>
        <v>10</v>
      </c>
      <c r="B506" t="s">
        <v>333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1"/>
      <c r="M506" t="s">
        <v>15</v>
      </c>
      <c r="N506" t="str">
        <f>IFERROR(VLOOKUP(B506,'[1]All Player'!$B$2:$C$1992,2,0),"")</f>
        <v>Shah Abi Talib Adnan</v>
      </c>
      <c r="O506" s="2" t="s">
        <v>471</v>
      </c>
      <c r="P506" s="16" t="s">
        <v>472</v>
      </c>
      <c r="Q506" s="1">
        <f t="shared" si="17"/>
        <v>1</v>
      </c>
      <c r="R506" s="1">
        <v>83</v>
      </c>
      <c r="U506" s="8">
        <v>41699</v>
      </c>
    </row>
    <row r="507" spans="1:21" x14ac:dyDescent="0.25">
      <c r="A507" s="2">
        <f t="shared" si="18"/>
        <v>10</v>
      </c>
      <c r="B507" s="17" t="s">
        <v>481</v>
      </c>
      <c r="C507" s="2" t="s">
        <v>805</v>
      </c>
      <c r="J507" s="1"/>
      <c r="M507" t="s">
        <v>15</v>
      </c>
      <c r="N507" t="str">
        <f>IFERROR(VLOOKUP(B507,'[1]All Player'!$B$2:$C$1992,2,0),"")</f>
        <v/>
      </c>
      <c r="O507" s="2" t="s">
        <v>471</v>
      </c>
      <c r="P507" s="16" t="s">
        <v>481</v>
      </c>
      <c r="Q507" s="1">
        <f t="shared" si="17"/>
        <v>1</v>
      </c>
      <c r="R507" s="1">
        <v>84</v>
      </c>
      <c r="U507" s="8">
        <v>41699</v>
      </c>
    </row>
    <row r="508" spans="1:21" x14ac:dyDescent="0.25">
      <c r="A508" s="2">
        <f t="shared" si="18"/>
        <v>10</v>
      </c>
      <c r="B508" t="s">
        <v>60</v>
      </c>
      <c r="C508" s="2">
        <v>1</v>
      </c>
      <c r="D508" s="2">
        <v>26</v>
      </c>
      <c r="E508" s="2">
        <v>1</v>
      </c>
      <c r="F508" s="2">
        <v>1</v>
      </c>
      <c r="G508" s="2">
        <v>0</v>
      </c>
      <c r="H508" s="2">
        <v>2</v>
      </c>
      <c r="I508" s="2">
        <v>2</v>
      </c>
      <c r="J508" s="1"/>
      <c r="M508" t="s">
        <v>15</v>
      </c>
      <c r="N508" t="str">
        <f>IFERROR(VLOOKUP(B508,'[1]All Player'!$B$2:$C$1992,2,0),"")</f>
        <v>Jahin Shahriar Chowdhury</v>
      </c>
      <c r="O508" s="2" t="s">
        <v>471</v>
      </c>
      <c r="P508" s="16" t="s">
        <v>481</v>
      </c>
      <c r="Q508" s="1">
        <f t="shared" si="17"/>
        <v>1</v>
      </c>
      <c r="R508" s="1">
        <v>84</v>
      </c>
      <c r="U508" s="8">
        <v>41699</v>
      </c>
    </row>
    <row r="509" spans="1:21" x14ac:dyDescent="0.25">
      <c r="A509" s="2">
        <f t="shared" si="18"/>
        <v>10</v>
      </c>
      <c r="B509" t="s">
        <v>64</v>
      </c>
      <c r="C509" s="2">
        <v>1</v>
      </c>
      <c r="D509" s="2">
        <v>0</v>
      </c>
      <c r="E509" s="2">
        <v>0</v>
      </c>
      <c r="F509" s="2">
        <v>1</v>
      </c>
      <c r="G509" s="2">
        <v>0</v>
      </c>
      <c r="H509" s="2">
        <v>0</v>
      </c>
      <c r="I509" s="2">
        <v>0</v>
      </c>
      <c r="J509" s="1"/>
      <c r="M509" t="s">
        <v>15</v>
      </c>
      <c r="N509" t="str">
        <f>IFERROR(VLOOKUP(B509,'[1]All Player'!$B$2:$C$1992,2,0),"")</f>
        <v>Sumon Ab</v>
      </c>
      <c r="O509" s="2" t="s">
        <v>471</v>
      </c>
      <c r="P509" s="16" t="s">
        <v>481</v>
      </c>
      <c r="Q509" s="1">
        <f t="shared" si="17"/>
        <v>1</v>
      </c>
      <c r="R509" s="1">
        <v>84</v>
      </c>
      <c r="U509" s="8">
        <v>41699</v>
      </c>
    </row>
    <row r="510" spans="1:21" x14ac:dyDescent="0.25">
      <c r="A510" s="2">
        <f t="shared" si="18"/>
        <v>10</v>
      </c>
      <c r="B510" t="s">
        <v>35</v>
      </c>
      <c r="C510" s="2">
        <v>1</v>
      </c>
      <c r="D510" s="2">
        <v>0</v>
      </c>
      <c r="E510" s="2">
        <v>0</v>
      </c>
      <c r="F510" s="2">
        <v>1</v>
      </c>
      <c r="G510" s="2">
        <v>0</v>
      </c>
      <c r="H510" s="2">
        <v>0</v>
      </c>
      <c r="I510" s="2">
        <v>0</v>
      </c>
      <c r="J510" s="1"/>
      <c r="M510" t="s">
        <v>15</v>
      </c>
      <c r="N510" t="str">
        <f>IFERROR(VLOOKUP(B510,'[1]All Player'!$B$2:$C$1992,2,0),"")</f>
        <v>Neyem khan</v>
      </c>
      <c r="O510" s="2" t="s">
        <v>471</v>
      </c>
      <c r="P510" s="16" t="s">
        <v>481</v>
      </c>
      <c r="Q510" s="1">
        <f t="shared" si="17"/>
        <v>1</v>
      </c>
      <c r="R510" s="1">
        <v>84</v>
      </c>
      <c r="U510" s="8">
        <v>41699</v>
      </c>
    </row>
    <row r="511" spans="1:21" x14ac:dyDescent="0.25">
      <c r="A511" s="2">
        <f t="shared" si="18"/>
        <v>10</v>
      </c>
      <c r="B511" t="s">
        <v>130</v>
      </c>
      <c r="C511" s="2">
        <v>1</v>
      </c>
      <c r="D511" s="2">
        <v>4</v>
      </c>
      <c r="E511" s="2">
        <v>0</v>
      </c>
      <c r="F511" s="2">
        <v>1</v>
      </c>
      <c r="G511" s="2">
        <v>0</v>
      </c>
      <c r="H511" s="2">
        <v>1</v>
      </c>
      <c r="I511" s="2">
        <v>0</v>
      </c>
      <c r="J511" s="1"/>
      <c r="M511" t="s">
        <v>15</v>
      </c>
      <c r="N511" t="str">
        <f>IFERROR(VLOOKUP(B511,'[1]All Player'!$B$2:$C$1992,2,0),"")</f>
        <v>Shahriar Khokon</v>
      </c>
      <c r="O511" s="2" t="s">
        <v>471</v>
      </c>
      <c r="P511" s="16" t="s">
        <v>481</v>
      </c>
      <c r="Q511" s="1">
        <f t="shared" si="17"/>
        <v>1</v>
      </c>
      <c r="R511" s="1">
        <v>84</v>
      </c>
      <c r="U511" s="8">
        <v>41699</v>
      </c>
    </row>
    <row r="512" spans="1:21" x14ac:dyDescent="0.25">
      <c r="A512" s="2">
        <f t="shared" si="18"/>
        <v>10</v>
      </c>
      <c r="B512" t="s">
        <v>279</v>
      </c>
      <c r="C512" s="2">
        <v>1</v>
      </c>
      <c r="D512" s="2">
        <v>13</v>
      </c>
      <c r="E512" s="2">
        <v>0</v>
      </c>
      <c r="F512" s="2">
        <v>1</v>
      </c>
      <c r="G512" s="2">
        <v>0</v>
      </c>
      <c r="H512" s="2">
        <v>1</v>
      </c>
      <c r="I512" s="2">
        <v>0</v>
      </c>
      <c r="J512" s="1"/>
      <c r="M512" t="s">
        <v>15</v>
      </c>
      <c r="N512" t="str">
        <f>IFERROR(VLOOKUP(B512,'[1]All Player'!$B$2:$C$1992,2,0),"")</f>
        <v>Ahmed Kawser Da Neymar</v>
      </c>
      <c r="O512" s="2" t="s">
        <v>471</v>
      </c>
      <c r="P512" s="16" t="s">
        <v>481</v>
      </c>
      <c r="Q512" s="1">
        <f t="shared" si="17"/>
        <v>1</v>
      </c>
      <c r="R512" s="1">
        <v>84</v>
      </c>
      <c r="U512" s="8">
        <v>41699</v>
      </c>
    </row>
    <row r="513" spans="1:22" x14ac:dyDescent="0.25">
      <c r="A513" s="2">
        <f t="shared" si="18"/>
        <v>10</v>
      </c>
      <c r="B513" t="s">
        <v>27</v>
      </c>
      <c r="C513" s="2">
        <v>1</v>
      </c>
      <c r="D513" s="2">
        <v>2</v>
      </c>
      <c r="E513" s="2">
        <v>0</v>
      </c>
      <c r="F513" s="2">
        <v>1</v>
      </c>
      <c r="G513" s="2">
        <v>0</v>
      </c>
      <c r="H513" s="2">
        <v>0</v>
      </c>
      <c r="I513" s="2">
        <v>0</v>
      </c>
      <c r="J513" s="1"/>
      <c r="M513" t="s">
        <v>15</v>
      </c>
      <c r="N513" t="str">
        <f>IFERROR(VLOOKUP(B513,'[1]All Player'!$B$2:$C$1992,2,0),"")</f>
        <v>Susmoy Paul</v>
      </c>
      <c r="O513" s="2" t="s">
        <v>471</v>
      </c>
      <c r="P513" s="16" t="s">
        <v>481</v>
      </c>
      <c r="Q513" s="1">
        <f t="shared" si="17"/>
        <v>1</v>
      </c>
      <c r="R513" s="1">
        <v>84</v>
      </c>
      <c r="U513" s="8">
        <v>41699</v>
      </c>
    </row>
    <row r="514" spans="1:22" x14ac:dyDescent="0.25">
      <c r="A514" s="2">
        <f t="shared" si="18"/>
        <v>10</v>
      </c>
      <c r="B514" s="17" t="s">
        <v>592</v>
      </c>
      <c r="C514" s="2" t="s">
        <v>805</v>
      </c>
      <c r="J514" s="1"/>
      <c r="M514" t="s">
        <v>15</v>
      </c>
      <c r="N514" t="str">
        <f>IFERROR(VLOOKUP(B514,'[1]All Player'!$B$2:$C$1992,2,0),"")</f>
        <v/>
      </c>
      <c r="O514" s="2" t="s">
        <v>471</v>
      </c>
      <c r="P514" s="16" t="s">
        <v>592</v>
      </c>
      <c r="Q514" s="1">
        <f t="shared" ref="Q514:Q577" si="19">IF(B514="","",1)</f>
        <v>1</v>
      </c>
      <c r="R514" s="1">
        <v>85</v>
      </c>
      <c r="T514" s="1" t="s">
        <v>657</v>
      </c>
      <c r="U514" s="8">
        <v>41699</v>
      </c>
    </row>
    <row r="515" spans="1:22" x14ac:dyDescent="0.25">
      <c r="A515" s="2">
        <f t="shared" si="18"/>
        <v>10</v>
      </c>
      <c r="B515" t="s">
        <v>93</v>
      </c>
      <c r="C515" s="2">
        <v>3</v>
      </c>
      <c r="D515" s="2">
        <v>58</v>
      </c>
      <c r="E515" s="2">
        <v>3</v>
      </c>
      <c r="F515" s="2">
        <v>2</v>
      </c>
      <c r="G515" s="2">
        <v>1</v>
      </c>
      <c r="H515" s="2">
        <v>5</v>
      </c>
      <c r="I515" s="2">
        <v>2</v>
      </c>
      <c r="M515" t="s">
        <v>15</v>
      </c>
      <c r="N515" t="str">
        <f>IFERROR(VLOOKUP(B515,'[1]All Player'!$B$2:$C$1992,2,0),"")</f>
        <v>Zaheed Hasan</v>
      </c>
      <c r="O515" s="2" t="s">
        <v>471</v>
      </c>
      <c r="P515" s="16" t="s">
        <v>592</v>
      </c>
      <c r="Q515" s="1">
        <f t="shared" si="19"/>
        <v>1</v>
      </c>
      <c r="R515" s="1">
        <v>85</v>
      </c>
      <c r="T515" s="1" t="s">
        <v>657</v>
      </c>
      <c r="U515" s="8">
        <v>41699</v>
      </c>
      <c r="V515" s="1">
        <v>1</v>
      </c>
    </row>
    <row r="516" spans="1:22" x14ac:dyDescent="0.25">
      <c r="A516" s="2">
        <f t="shared" si="18"/>
        <v>10</v>
      </c>
      <c r="B516" t="s">
        <v>778</v>
      </c>
      <c r="C516" s="2">
        <v>3</v>
      </c>
      <c r="D516" s="2">
        <v>4</v>
      </c>
      <c r="E516" s="2">
        <v>3</v>
      </c>
      <c r="F516" s="2">
        <v>2</v>
      </c>
      <c r="G516" s="2">
        <v>0</v>
      </c>
      <c r="H516" s="2">
        <v>0</v>
      </c>
      <c r="I516" s="2">
        <v>0</v>
      </c>
      <c r="J516" s="1"/>
      <c r="M516" t="s">
        <v>15</v>
      </c>
      <c r="N516" t="str">
        <f>IFERROR(VLOOKUP(B516,'[1]All Player'!$B$2:$C$1992,2,0),"")</f>
        <v>Md. Abutaleb</v>
      </c>
      <c r="O516" s="2" t="s">
        <v>471</v>
      </c>
      <c r="P516" s="16" t="s">
        <v>592</v>
      </c>
      <c r="Q516" s="1">
        <f t="shared" si="19"/>
        <v>1</v>
      </c>
      <c r="R516" s="1">
        <v>85</v>
      </c>
      <c r="T516" s="1" t="s">
        <v>657</v>
      </c>
      <c r="U516" s="8">
        <v>41699</v>
      </c>
    </row>
    <row r="517" spans="1:22" x14ac:dyDescent="0.25">
      <c r="A517" s="2">
        <f t="shared" si="18"/>
        <v>10</v>
      </c>
      <c r="B517" t="s">
        <v>179</v>
      </c>
      <c r="C517" s="2">
        <v>3</v>
      </c>
      <c r="D517" s="2">
        <v>15</v>
      </c>
      <c r="E517" s="2">
        <v>1</v>
      </c>
      <c r="F517" s="2">
        <v>2</v>
      </c>
      <c r="G517" s="2">
        <v>0</v>
      </c>
      <c r="H517" s="2">
        <v>0</v>
      </c>
      <c r="I517" s="2">
        <v>1</v>
      </c>
      <c r="J517" s="1"/>
      <c r="M517" t="s">
        <v>15</v>
      </c>
      <c r="N517" t="str">
        <f>IFERROR(VLOOKUP(B517,'[1]All Player'!$B$2:$C$1992,2,0),"")</f>
        <v>Shuvayan Saha Brinto</v>
      </c>
      <c r="O517" s="2" t="s">
        <v>471</v>
      </c>
      <c r="P517" s="16" t="s">
        <v>592</v>
      </c>
      <c r="Q517" s="1">
        <f t="shared" si="19"/>
        <v>1</v>
      </c>
      <c r="R517" s="1">
        <v>85</v>
      </c>
      <c r="T517" s="1" t="s">
        <v>657</v>
      </c>
      <c r="U517" s="8">
        <v>41699</v>
      </c>
    </row>
    <row r="518" spans="1:22" x14ac:dyDescent="0.25">
      <c r="A518" s="2">
        <f t="shared" si="18"/>
        <v>10</v>
      </c>
      <c r="B518" t="s">
        <v>318</v>
      </c>
      <c r="C518" s="2">
        <v>3</v>
      </c>
      <c r="D518" s="2">
        <v>57</v>
      </c>
      <c r="E518" s="2">
        <v>5</v>
      </c>
      <c r="F518" s="2">
        <v>2</v>
      </c>
      <c r="G518" s="2">
        <v>0</v>
      </c>
      <c r="H518" s="2">
        <v>6</v>
      </c>
      <c r="I518" s="2">
        <v>2</v>
      </c>
      <c r="J518" s="1"/>
      <c r="M518" t="s">
        <v>15</v>
      </c>
      <c r="N518" t="str">
        <f>IFERROR(VLOOKUP(B518,'[1]All Player'!$B$2:$C$1992,2,0),"")</f>
        <v>Mazharul Islam Moon</v>
      </c>
      <c r="O518" s="2" t="s">
        <v>471</v>
      </c>
      <c r="P518" s="16" t="s">
        <v>592</v>
      </c>
      <c r="Q518" s="1">
        <f t="shared" si="19"/>
        <v>1</v>
      </c>
      <c r="R518" s="1">
        <v>85</v>
      </c>
      <c r="S518" s="2" t="s">
        <v>658</v>
      </c>
      <c r="T518" s="1" t="s">
        <v>657</v>
      </c>
      <c r="U518" s="8">
        <v>41699</v>
      </c>
    </row>
    <row r="519" spans="1:22" x14ac:dyDescent="0.25">
      <c r="A519" s="2">
        <f t="shared" si="18"/>
        <v>10</v>
      </c>
      <c r="B519" t="s">
        <v>789</v>
      </c>
      <c r="C519" s="2">
        <v>3</v>
      </c>
      <c r="D519" s="2">
        <v>26</v>
      </c>
      <c r="E519" s="2">
        <v>4</v>
      </c>
      <c r="F519" s="2">
        <v>3</v>
      </c>
      <c r="G519" s="2">
        <v>1</v>
      </c>
      <c r="H519" s="2">
        <v>2</v>
      </c>
      <c r="I519" s="2">
        <v>2</v>
      </c>
      <c r="J519" s="1"/>
      <c r="M519" t="s">
        <v>15</v>
      </c>
      <c r="N519" t="str">
        <f>IFERROR(VLOOKUP(B519,'[1]All Player'!$B$2:$C$1992,2,0),"")</f>
        <v>Azwad Awsaf</v>
      </c>
      <c r="O519" s="2" t="s">
        <v>471</v>
      </c>
      <c r="P519" s="16" t="s">
        <v>592</v>
      </c>
      <c r="Q519" s="1">
        <f t="shared" si="19"/>
        <v>1</v>
      </c>
      <c r="R519" s="1">
        <v>85</v>
      </c>
      <c r="T519" s="1" t="s">
        <v>657</v>
      </c>
      <c r="U519" s="8">
        <v>41699</v>
      </c>
    </row>
    <row r="520" spans="1:22" x14ac:dyDescent="0.25">
      <c r="A520" s="2">
        <f t="shared" si="18"/>
        <v>10</v>
      </c>
      <c r="B520" t="s">
        <v>352</v>
      </c>
      <c r="C520" s="2">
        <v>2</v>
      </c>
      <c r="D520" s="2">
        <v>0</v>
      </c>
      <c r="E520" s="2">
        <v>0</v>
      </c>
      <c r="F520" s="2">
        <v>1</v>
      </c>
      <c r="G520" s="2">
        <v>0</v>
      </c>
      <c r="H520" s="2">
        <v>0</v>
      </c>
      <c r="I520" s="2">
        <v>0</v>
      </c>
      <c r="J520" s="1"/>
      <c r="M520" t="s">
        <v>15</v>
      </c>
      <c r="N520" t="str">
        <f>IFERROR(VLOOKUP(B520,'[1]All Player'!$B$2:$C$1992,2,0),"")</f>
        <v>Moksedur RaHman SoHan (Duronto Sohan)</v>
      </c>
      <c r="O520" s="2" t="s">
        <v>471</v>
      </c>
      <c r="P520" s="16" t="s">
        <v>592</v>
      </c>
      <c r="Q520" s="1">
        <f t="shared" si="19"/>
        <v>1</v>
      </c>
      <c r="R520" s="1">
        <v>85</v>
      </c>
      <c r="T520" s="1" t="s">
        <v>657</v>
      </c>
      <c r="U520" s="8">
        <v>41699</v>
      </c>
    </row>
    <row r="521" spans="1:22" x14ac:dyDescent="0.25">
      <c r="A521" s="2">
        <f t="shared" si="18"/>
        <v>10</v>
      </c>
      <c r="B521" s="17" t="s">
        <v>547</v>
      </c>
      <c r="J521" s="1"/>
      <c r="M521" t="s">
        <v>15</v>
      </c>
      <c r="N521" t="str">
        <f>IFERROR(VLOOKUP(B521,'[1]All Player'!$B$2:$C$1992,2,0),"")</f>
        <v/>
      </c>
      <c r="O521" s="2" t="s">
        <v>471</v>
      </c>
      <c r="P521" s="16" t="s">
        <v>547</v>
      </c>
      <c r="Q521" s="1">
        <f t="shared" si="19"/>
        <v>1</v>
      </c>
      <c r="R521" s="1">
        <v>86</v>
      </c>
      <c r="U521" s="8">
        <v>41699</v>
      </c>
    </row>
    <row r="522" spans="1:22" x14ac:dyDescent="0.25">
      <c r="A522" s="2">
        <f t="shared" si="18"/>
        <v>10</v>
      </c>
      <c r="B522" t="s">
        <v>282</v>
      </c>
      <c r="C522" s="2">
        <v>3</v>
      </c>
      <c r="D522" s="2">
        <v>3</v>
      </c>
      <c r="E522" s="2">
        <v>3</v>
      </c>
      <c r="F522" s="2">
        <v>2</v>
      </c>
      <c r="G522" s="2">
        <v>0</v>
      </c>
      <c r="H522" s="2">
        <v>0</v>
      </c>
      <c r="I522" s="2">
        <v>0</v>
      </c>
      <c r="J522" s="1"/>
      <c r="M522" t="s">
        <v>15</v>
      </c>
      <c r="N522" t="str">
        <f>IFERROR(VLOOKUP(B522,'[1]All Player'!$B$2:$C$1992,2,0),"")</f>
        <v>Mohammad Asif</v>
      </c>
      <c r="O522" s="2" t="s">
        <v>471</v>
      </c>
      <c r="P522" s="16" t="s">
        <v>547</v>
      </c>
      <c r="Q522" s="1">
        <f t="shared" si="19"/>
        <v>1</v>
      </c>
      <c r="R522" s="1">
        <v>86</v>
      </c>
      <c r="U522" s="8">
        <v>41699</v>
      </c>
    </row>
    <row r="523" spans="1:22" x14ac:dyDescent="0.25">
      <c r="A523" s="2">
        <f t="shared" si="18"/>
        <v>10</v>
      </c>
      <c r="B523" t="s">
        <v>173</v>
      </c>
      <c r="C523" s="2">
        <v>3</v>
      </c>
      <c r="D523" s="2">
        <v>51</v>
      </c>
      <c r="E523" s="2">
        <v>3</v>
      </c>
      <c r="F523" s="2">
        <v>3</v>
      </c>
      <c r="G523" s="2">
        <v>0</v>
      </c>
      <c r="H523" s="2">
        <v>5</v>
      </c>
      <c r="I523" s="2">
        <v>3</v>
      </c>
      <c r="J523" s="1"/>
      <c r="M523" t="s">
        <v>15</v>
      </c>
      <c r="N523" t="str">
        <f>IFERROR(VLOOKUP(B523,'[1]All Player'!$B$2:$C$1992,2,0),"")</f>
        <v>Sajjadul Haque Sagar</v>
      </c>
      <c r="O523" s="2" t="s">
        <v>471</v>
      </c>
      <c r="P523" s="16" t="s">
        <v>547</v>
      </c>
      <c r="Q523" s="1">
        <f t="shared" si="19"/>
        <v>1</v>
      </c>
      <c r="R523" s="1">
        <v>86</v>
      </c>
      <c r="U523" s="8">
        <v>41699</v>
      </c>
    </row>
    <row r="524" spans="1:22" x14ac:dyDescent="0.25">
      <c r="A524" s="2">
        <f t="shared" si="18"/>
        <v>10</v>
      </c>
      <c r="B524" t="s">
        <v>296</v>
      </c>
      <c r="C524" s="2">
        <v>2</v>
      </c>
      <c r="D524" s="2">
        <v>12</v>
      </c>
      <c r="E524" s="2">
        <v>4</v>
      </c>
      <c r="F524" s="2">
        <v>1</v>
      </c>
      <c r="G524" s="2">
        <v>0</v>
      </c>
      <c r="H524" s="2">
        <v>1</v>
      </c>
      <c r="I524" s="2">
        <v>1</v>
      </c>
      <c r="J524" s="1"/>
      <c r="M524" t="s">
        <v>15</v>
      </c>
      <c r="N524" t="str">
        <f>IFERROR(VLOOKUP(B524,'[1]All Player'!$B$2:$C$1992,2,0),"")</f>
        <v>Zi Zohir</v>
      </c>
      <c r="O524" s="2" t="s">
        <v>471</v>
      </c>
      <c r="P524" s="16" t="s">
        <v>547</v>
      </c>
      <c r="Q524" s="1">
        <f t="shared" si="19"/>
        <v>1</v>
      </c>
      <c r="R524" s="1">
        <v>86</v>
      </c>
      <c r="U524" s="8">
        <v>41699</v>
      </c>
    </row>
    <row r="525" spans="1:22" x14ac:dyDescent="0.25">
      <c r="A525" s="2">
        <f t="shared" si="18"/>
        <v>10</v>
      </c>
      <c r="B525" t="s">
        <v>80</v>
      </c>
      <c r="C525" s="2">
        <v>3</v>
      </c>
      <c r="D525" s="2">
        <v>43</v>
      </c>
      <c r="E525" s="2">
        <v>3</v>
      </c>
      <c r="F525" s="2">
        <v>3</v>
      </c>
      <c r="G525" s="2">
        <v>0</v>
      </c>
      <c r="H525" s="2">
        <v>4</v>
      </c>
      <c r="I525" s="2">
        <v>2</v>
      </c>
      <c r="J525" s="1"/>
      <c r="M525" t="s">
        <v>15</v>
      </c>
      <c r="N525" t="str">
        <f>IFERROR(VLOOKUP(B525,'[1]All Player'!$B$2:$C$1992,2,0),"")</f>
        <v>Kamrul Hasan Tutul</v>
      </c>
      <c r="O525" s="2" t="s">
        <v>471</v>
      </c>
      <c r="P525" s="16" t="s">
        <v>547</v>
      </c>
      <c r="Q525" s="1">
        <f t="shared" si="19"/>
        <v>1</v>
      </c>
      <c r="R525" s="1">
        <v>86</v>
      </c>
      <c r="U525" s="8">
        <v>41699</v>
      </c>
    </row>
    <row r="526" spans="1:22" x14ac:dyDescent="0.25">
      <c r="A526" s="2">
        <f t="shared" si="18"/>
        <v>10</v>
      </c>
      <c r="B526" t="s">
        <v>146</v>
      </c>
      <c r="C526" s="2">
        <v>3</v>
      </c>
      <c r="D526" s="2">
        <v>45</v>
      </c>
      <c r="E526" s="2">
        <v>2</v>
      </c>
      <c r="F526" s="2">
        <v>4</v>
      </c>
      <c r="G526" s="2">
        <v>0</v>
      </c>
      <c r="H526" s="2">
        <v>2</v>
      </c>
      <c r="I526" s="2">
        <v>3</v>
      </c>
      <c r="J526" s="1"/>
      <c r="M526" t="s">
        <v>15</v>
      </c>
      <c r="N526" t="str">
        <f>IFERROR(VLOOKUP(B526,'[1]All Player'!$B$2:$C$1992,2,0),"")</f>
        <v>Nahid Saifullah</v>
      </c>
      <c r="O526" s="2" t="s">
        <v>471</v>
      </c>
      <c r="P526" s="16" t="s">
        <v>547</v>
      </c>
      <c r="Q526" s="1">
        <f t="shared" si="19"/>
        <v>1</v>
      </c>
      <c r="R526" s="1">
        <v>86</v>
      </c>
      <c r="U526" s="8">
        <v>41699</v>
      </c>
    </row>
    <row r="527" spans="1:22" x14ac:dyDescent="0.25">
      <c r="A527" s="2">
        <f t="shared" si="18"/>
        <v>10</v>
      </c>
      <c r="B527" t="s">
        <v>163</v>
      </c>
      <c r="C527" s="2">
        <v>2</v>
      </c>
      <c r="D527" s="2">
        <v>0</v>
      </c>
      <c r="E527" s="2">
        <v>0</v>
      </c>
      <c r="F527" s="2">
        <v>2</v>
      </c>
      <c r="G527" s="2">
        <v>0</v>
      </c>
      <c r="H527" s="2">
        <v>0</v>
      </c>
      <c r="I527" s="2">
        <v>0</v>
      </c>
      <c r="J527" s="1"/>
      <c r="M527" t="s">
        <v>15</v>
      </c>
      <c r="N527" t="str">
        <f>IFERROR(VLOOKUP(B527,'[1]All Player'!$B$2:$C$1992,2,0),"")</f>
        <v>মাহমুদুল হক নাইম</v>
      </c>
      <c r="O527" s="2" t="s">
        <v>471</v>
      </c>
      <c r="P527" s="16" t="s">
        <v>547</v>
      </c>
      <c r="Q527" s="1">
        <f t="shared" si="19"/>
        <v>1</v>
      </c>
      <c r="R527" s="1">
        <v>86</v>
      </c>
      <c r="U527" s="8">
        <v>41699</v>
      </c>
    </row>
    <row r="528" spans="1:22" x14ac:dyDescent="0.25">
      <c r="A528" s="2">
        <f t="shared" si="18"/>
        <v>10</v>
      </c>
      <c r="B528" s="17" t="s">
        <v>591</v>
      </c>
      <c r="C528" s="2" t="s">
        <v>805</v>
      </c>
      <c r="J528" s="1"/>
      <c r="M528" t="s">
        <v>15</v>
      </c>
      <c r="N528" t="str">
        <f>IFERROR(VLOOKUP(B528,'[1]All Player'!$B$2:$C$1992,2,0),"")</f>
        <v/>
      </c>
      <c r="O528" s="2" t="s">
        <v>471</v>
      </c>
      <c r="P528" s="16" t="s">
        <v>591</v>
      </c>
      <c r="Q528" s="1">
        <f t="shared" si="19"/>
        <v>1</v>
      </c>
      <c r="R528" s="1">
        <v>87</v>
      </c>
      <c r="U528" s="8">
        <v>41699</v>
      </c>
    </row>
    <row r="529" spans="1:21" x14ac:dyDescent="0.25">
      <c r="A529" s="2">
        <f t="shared" si="18"/>
        <v>10</v>
      </c>
      <c r="B529" t="s">
        <v>245</v>
      </c>
      <c r="C529" s="2">
        <v>1</v>
      </c>
      <c r="D529" s="2">
        <v>12</v>
      </c>
      <c r="E529" s="2">
        <v>2</v>
      </c>
      <c r="F529" s="2">
        <v>1</v>
      </c>
      <c r="G529" s="2">
        <v>0</v>
      </c>
      <c r="H529" s="2">
        <v>1</v>
      </c>
      <c r="I529" s="2">
        <v>1</v>
      </c>
      <c r="J529" s="1"/>
      <c r="M529" t="s">
        <v>15</v>
      </c>
      <c r="N529" t="str">
        <f>IFERROR(VLOOKUP(B529,'[1]All Player'!$B$2:$C$1992,2,0),"")</f>
        <v>Akram Hosen Himal</v>
      </c>
      <c r="O529" s="2" t="s">
        <v>471</v>
      </c>
      <c r="P529" s="16" t="s">
        <v>591</v>
      </c>
      <c r="Q529" s="1">
        <f t="shared" si="19"/>
        <v>1</v>
      </c>
      <c r="R529" s="1">
        <v>87</v>
      </c>
      <c r="U529" s="8">
        <v>41699</v>
      </c>
    </row>
    <row r="530" spans="1:21" x14ac:dyDescent="0.25">
      <c r="A530" s="2">
        <f t="shared" si="18"/>
        <v>10</v>
      </c>
      <c r="B530" t="s">
        <v>152</v>
      </c>
      <c r="C530" s="2">
        <v>1</v>
      </c>
      <c r="D530" s="2">
        <v>0</v>
      </c>
      <c r="E530" s="2">
        <v>2</v>
      </c>
      <c r="F530" s="2">
        <v>1</v>
      </c>
      <c r="G530" s="2">
        <v>0</v>
      </c>
      <c r="H530" s="2">
        <v>0</v>
      </c>
      <c r="I530" s="2">
        <v>0</v>
      </c>
      <c r="J530" s="1"/>
      <c r="M530" t="s">
        <v>15</v>
      </c>
      <c r="N530" t="str">
        <f>IFERROR(VLOOKUP(B530,'[1]All Player'!$B$2:$C$1992,2,0),"")</f>
        <v>Niamul Habib Setu</v>
      </c>
      <c r="O530" s="2" t="s">
        <v>471</v>
      </c>
      <c r="P530" s="16" t="s">
        <v>591</v>
      </c>
      <c r="Q530" s="1">
        <f t="shared" si="19"/>
        <v>1</v>
      </c>
      <c r="R530" s="1">
        <v>87</v>
      </c>
      <c r="U530" s="8">
        <v>41699</v>
      </c>
    </row>
    <row r="531" spans="1:21" x14ac:dyDescent="0.25">
      <c r="A531" s="2">
        <f t="shared" si="18"/>
        <v>10</v>
      </c>
      <c r="B531" t="s">
        <v>144</v>
      </c>
      <c r="C531" s="2">
        <v>1</v>
      </c>
      <c r="D531" s="2">
        <v>2</v>
      </c>
      <c r="E531" s="2">
        <v>0</v>
      </c>
      <c r="F531" s="2">
        <v>1</v>
      </c>
      <c r="G531" s="2">
        <v>0</v>
      </c>
      <c r="H531" s="2">
        <v>0</v>
      </c>
      <c r="I531" s="2">
        <v>0</v>
      </c>
      <c r="J531" s="1"/>
      <c r="M531" t="s">
        <v>15</v>
      </c>
      <c r="N531" t="str">
        <f>IFERROR(VLOOKUP(B531,'[1]All Player'!$B$2:$C$1992,2,0),"")</f>
        <v>Toufiq Ahmed Ovi</v>
      </c>
      <c r="O531" s="2" t="s">
        <v>471</v>
      </c>
      <c r="P531" s="16" t="s">
        <v>591</v>
      </c>
      <c r="Q531" s="1">
        <f t="shared" si="19"/>
        <v>1</v>
      </c>
      <c r="R531" s="1">
        <v>87</v>
      </c>
      <c r="U531" s="8">
        <v>41699</v>
      </c>
    </row>
    <row r="532" spans="1:21" x14ac:dyDescent="0.25">
      <c r="A532" s="2">
        <f t="shared" si="18"/>
        <v>10</v>
      </c>
      <c r="B532" t="s">
        <v>154</v>
      </c>
      <c r="C532" s="2">
        <v>1</v>
      </c>
      <c r="D532" s="2">
        <v>0</v>
      </c>
      <c r="E532" s="2">
        <v>0</v>
      </c>
      <c r="F532" s="2">
        <v>1</v>
      </c>
      <c r="G532" s="2">
        <v>0</v>
      </c>
      <c r="H532" s="2">
        <v>0</v>
      </c>
      <c r="I532" s="2">
        <v>0</v>
      </c>
      <c r="J532" s="1"/>
      <c r="M532" t="s">
        <v>15</v>
      </c>
      <c r="N532" t="str">
        <f>IFERROR(VLOOKUP(B532,'[1]All Player'!$B$2:$C$1992,2,0),"")</f>
        <v>Meyaz Al Emon</v>
      </c>
      <c r="O532" s="2" t="s">
        <v>471</v>
      </c>
      <c r="P532" s="16" t="s">
        <v>591</v>
      </c>
      <c r="Q532" s="1">
        <f t="shared" si="19"/>
        <v>1</v>
      </c>
      <c r="R532" s="1">
        <v>87</v>
      </c>
      <c r="U532" s="8">
        <v>41699</v>
      </c>
    </row>
    <row r="533" spans="1:21" x14ac:dyDescent="0.25">
      <c r="A533" s="2">
        <f t="shared" si="18"/>
        <v>10</v>
      </c>
      <c r="B533" t="s">
        <v>348</v>
      </c>
      <c r="C533" s="2">
        <v>1</v>
      </c>
      <c r="D533" s="2">
        <v>7</v>
      </c>
      <c r="E533" s="2">
        <v>2</v>
      </c>
      <c r="F533" s="2">
        <v>1</v>
      </c>
      <c r="G533" s="2">
        <v>0</v>
      </c>
      <c r="H533" s="2">
        <v>1</v>
      </c>
      <c r="I533" s="2">
        <v>0</v>
      </c>
      <c r="J533" s="1"/>
      <c r="M533" t="s">
        <v>15</v>
      </c>
      <c r="N533" t="str">
        <f>IFERROR(VLOOKUP(B533,'[1]All Player'!$B$2:$C$1992,2,0),"")</f>
        <v>Rafiul Haque Sanchay</v>
      </c>
      <c r="O533" s="2" t="s">
        <v>471</v>
      </c>
      <c r="P533" s="16" t="s">
        <v>591</v>
      </c>
      <c r="Q533" s="1">
        <f t="shared" si="19"/>
        <v>1</v>
      </c>
      <c r="R533" s="1">
        <v>87</v>
      </c>
      <c r="U533" s="8">
        <v>41699</v>
      </c>
    </row>
    <row r="534" spans="1:21" x14ac:dyDescent="0.25">
      <c r="A534" s="2">
        <f t="shared" si="18"/>
        <v>10</v>
      </c>
      <c r="B534" t="s">
        <v>434</v>
      </c>
      <c r="C534" s="2">
        <v>1</v>
      </c>
      <c r="D534" s="2">
        <v>6</v>
      </c>
      <c r="E534" s="2">
        <v>0</v>
      </c>
      <c r="F534" s="2">
        <v>1</v>
      </c>
      <c r="G534" s="2">
        <v>0</v>
      </c>
      <c r="H534" s="2">
        <v>0</v>
      </c>
      <c r="I534" s="2">
        <v>0</v>
      </c>
      <c r="J534" s="1"/>
      <c r="M534" t="s">
        <v>15</v>
      </c>
      <c r="N534" t="str">
        <f>IFERROR(VLOOKUP(B534,'[1]All Player'!$B$2:$C$1992,2,0),"")</f>
        <v>Md Raju Islam</v>
      </c>
      <c r="O534" s="2" t="s">
        <v>471</v>
      </c>
      <c r="P534" s="16" t="s">
        <v>591</v>
      </c>
      <c r="Q534" s="1">
        <f t="shared" si="19"/>
        <v>1</v>
      </c>
      <c r="R534" s="1">
        <v>87</v>
      </c>
      <c r="U534" s="8">
        <v>41699</v>
      </c>
    </row>
    <row r="535" spans="1:21" x14ac:dyDescent="0.25">
      <c r="A535" s="2">
        <v>11</v>
      </c>
      <c r="B535" s="17" t="s">
        <v>806</v>
      </c>
      <c r="C535" s="2" t="s">
        <v>805</v>
      </c>
      <c r="J535" s="1"/>
      <c r="M535" t="s">
        <v>15</v>
      </c>
      <c r="N535" t="str">
        <f>IFERROR(VLOOKUP(B535,'[1]All Player'!$B$2:$C$1992,2,0),"")</f>
        <v/>
      </c>
      <c r="O535" s="2" t="s">
        <v>509</v>
      </c>
      <c r="P535" s="16" t="s">
        <v>593</v>
      </c>
      <c r="Q535" s="1">
        <f t="shared" si="19"/>
        <v>1</v>
      </c>
      <c r="R535" s="1">
        <v>88</v>
      </c>
      <c r="U535" s="8">
        <v>41791</v>
      </c>
    </row>
    <row r="536" spans="1:21" x14ac:dyDescent="0.25">
      <c r="A536" s="2">
        <f t="shared" si="18"/>
        <v>11</v>
      </c>
      <c r="B536" t="s">
        <v>122</v>
      </c>
      <c r="C536" s="2">
        <v>8</v>
      </c>
      <c r="D536" s="2">
        <v>122</v>
      </c>
      <c r="E536" s="2">
        <v>9</v>
      </c>
      <c r="F536" s="2">
        <v>12</v>
      </c>
      <c r="G536" s="2">
        <v>1</v>
      </c>
      <c r="H536" s="2">
        <v>12</v>
      </c>
      <c r="I536" s="2">
        <v>4</v>
      </c>
      <c r="J536" s="1"/>
      <c r="M536" t="s">
        <v>15</v>
      </c>
      <c r="N536" t="str">
        <f>IFERROR(VLOOKUP(B536,'[1]All Player'!$B$2:$C$1992,2,0),"")</f>
        <v>Towkir Ahmed Siddique</v>
      </c>
      <c r="O536" s="2" t="s">
        <v>509</v>
      </c>
      <c r="P536" s="16" t="s">
        <v>593</v>
      </c>
      <c r="Q536" s="1">
        <f t="shared" si="19"/>
        <v>1</v>
      </c>
      <c r="R536" s="1">
        <v>88</v>
      </c>
      <c r="U536" s="8">
        <v>41791</v>
      </c>
    </row>
    <row r="537" spans="1:21" x14ac:dyDescent="0.25">
      <c r="A537" s="2">
        <f t="shared" si="18"/>
        <v>11</v>
      </c>
      <c r="B537" t="s">
        <v>245</v>
      </c>
      <c r="C537" s="2">
        <v>8</v>
      </c>
      <c r="D537" s="2">
        <v>108</v>
      </c>
      <c r="E537" s="2">
        <v>8</v>
      </c>
      <c r="F537" s="2">
        <v>12</v>
      </c>
      <c r="G537" s="2">
        <v>0</v>
      </c>
      <c r="H537" s="2">
        <v>13</v>
      </c>
      <c r="I537" s="2">
        <v>4</v>
      </c>
      <c r="J537" s="1"/>
      <c r="M537" t="s">
        <v>15</v>
      </c>
      <c r="N537" t="str">
        <f>IFERROR(VLOOKUP(B537,'[1]All Player'!$B$2:$C$1992,2,0),"")</f>
        <v>Akram Hosen Himal</v>
      </c>
      <c r="O537" s="2" t="s">
        <v>509</v>
      </c>
      <c r="P537" s="16" t="s">
        <v>593</v>
      </c>
      <c r="Q537" s="1">
        <f t="shared" si="19"/>
        <v>1</v>
      </c>
      <c r="R537" s="1">
        <v>88</v>
      </c>
      <c r="U537" s="8">
        <v>41791</v>
      </c>
    </row>
    <row r="538" spans="1:21" x14ac:dyDescent="0.25">
      <c r="A538" s="2">
        <f t="shared" si="18"/>
        <v>11</v>
      </c>
      <c r="B538" t="s">
        <v>807</v>
      </c>
      <c r="C538" s="2">
        <v>7</v>
      </c>
      <c r="D538" s="2">
        <v>114</v>
      </c>
      <c r="E538" s="2">
        <v>4</v>
      </c>
      <c r="F538" s="2">
        <v>9</v>
      </c>
      <c r="G538" s="2">
        <v>2</v>
      </c>
      <c r="H538" s="2">
        <v>8</v>
      </c>
      <c r="I538" s="2">
        <v>7</v>
      </c>
      <c r="J538" s="1"/>
      <c r="M538" t="s">
        <v>15</v>
      </c>
      <c r="N538" t="str">
        <f>IFERROR(VLOOKUP(B538,'[1]All Player'!$B$2:$C$1992,2,0),"")</f>
        <v>Rahin Superb</v>
      </c>
      <c r="O538" s="2" t="s">
        <v>509</v>
      </c>
      <c r="P538" s="16" t="s">
        <v>593</v>
      </c>
      <c r="Q538" s="1">
        <f t="shared" si="19"/>
        <v>1</v>
      </c>
      <c r="R538" s="1">
        <v>88</v>
      </c>
      <c r="U538" s="8">
        <v>41791</v>
      </c>
    </row>
    <row r="539" spans="1:21" x14ac:dyDescent="0.25">
      <c r="A539" s="2">
        <f t="shared" si="18"/>
        <v>11</v>
      </c>
      <c r="B539" t="s">
        <v>354</v>
      </c>
      <c r="C539" s="2">
        <v>7</v>
      </c>
      <c r="D539" s="2">
        <v>65</v>
      </c>
      <c r="E539" s="2">
        <v>6</v>
      </c>
      <c r="F539" s="2">
        <v>6</v>
      </c>
      <c r="G539" s="2">
        <v>0</v>
      </c>
      <c r="H539" s="2">
        <v>3</v>
      </c>
      <c r="I539" s="2">
        <v>4</v>
      </c>
      <c r="J539" s="1"/>
      <c r="M539" t="s">
        <v>15</v>
      </c>
      <c r="N539" t="str">
        <f>IFERROR(VLOOKUP(B539,'[1]All Player'!$B$2:$C$1992,2,0),"")</f>
        <v>Hridoy Khan Mhk</v>
      </c>
      <c r="O539" s="2" t="s">
        <v>509</v>
      </c>
      <c r="P539" s="16" t="s">
        <v>593</v>
      </c>
      <c r="Q539" s="1">
        <f t="shared" si="19"/>
        <v>1</v>
      </c>
      <c r="R539" s="1">
        <v>88</v>
      </c>
      <c r="U539" s="8">
        <v>41791</v>
      </c>
    </row>
    <row r="540" spans="1:21" x14ac:dyDescent="0.25">
      <c r="A540" s="2">
        <f t="shared" si="18"/>
        <v>11</v>
      </c>
      <c r="B540" t="s">
        <v>350</v>
      </c>
      <c r="C540" s="2">
        <v>8</v>
      </c>
      <c r="D540" s="2">
        <v>95</v>
      </c>
      <c r="E540" s="2">
        <v>20</v>
      </c>
      <c r="F540" s="2">
        <v>10</v>
      </c>
      <c r="G540" s="2">
        <v>1</v>
      </c>
      <c r="H540" s="2">
        <v>3</v>
      </c>
      <c r="I540" s="2">
        <v>10</v>
      </c>
      <c r="J540" s="1"/>
      <c r="M540" t="s">
        <v>15</v>
      </c>
      <c r="N540" t="str">
        <f>IFERROR(VLOOKUP(B540,'[1]All Player'!$B$2:$C$1992,2,0),"")</f>
        <v>Shahriar Shuvro</v>
      </c>
      <c r="O540" s="2" t="s">
        <v>509</v>
      </c>
      <c r="P540" s="16" t="s">
        <v>593</v>
      </c>
      <c r="Q540" s="1">
        <f t="shared" si="19"/>
        <v>1</v>
      </c>
      <c r="R540" s="1">
        <v>88</v>
      </c>
      <c r="U540" s="8">
        <v>41791</v>
      </c>
    </row>
    <row r="541" spans="1:21" x14ac:dyDescent="0.25">
      <c r="A541" s="2">
        <f>A540</f>
        <v>11</v>
      </c>
      <c r="B541" s="17" t="s">
        <v>808</v>
      </c>
      <c r="C541" s="2" t="s">
        <v>805</v>
      </c>
      <c r="J541" s="1"/>
      <c r="M541" t="s">
        <v>15</v>
      </c>
      <c r="N541" t="str">
        <f>IFERROR(VLOOKUP(B541,'[1]All Player'!$B$2:$C$1992,2,0),"")</f>
        <v/>
      </c>
      <c r="O541" s="2" t="s">
        <v>509</v>
      </c>
      <c r="P541" s="16" t="s">
        <v>573</v>
      </c>
      <c r="Q541" s="1">
        <f t="shared" si="19"/>
        <v>1</v>
      </c>
      <c r="R541" s="1">
        <v>89</v>
      </c>
      <c r="U541" s="8">
        <v>41791</v>
      </c>
    </row>
    <row r="542" spans="1:21" x14ac:dyDescent="0.25">
      <c r="A542" s="2">
        <f t="shared" si="18"/>
        <v>11</v>
      </c>
      <c r="B542" t="s">
        <v>52</v>
      </c>
      <c r="C542" s="2">
        <v>5</v>
      </c>
      <c r="D542" s="2">
        <v>78</v>
      </c>
      <c r="E542" s="2">
        <v>4</v>
      </c>
      <c r="F542" s="2">
        <v>5</v>
      </c>
      <c r="G542" s="2">
        <v>0</v>
      </c>
      <c r="H542" s="2">
        <v>5</v>
      </c>
      <c r="I542" s="2">
        <v>5</v>
      </c>
      <c r="J542" s="1"/>
      <c r="M542" t="s">
        <v>15</v>
      </c>
      <c r="N542" t="str">
        <f>IFERROR(VLOOKUP(B542,'[1]All Player'!$B$2:$C$1992,2,0),"")</f>
        <v>Mohammed Al Mamun</v>
      </c>
      <c r="O542" s="2" t="s">
        <v>509</v>
      </c>
      <c r="P542" s="16" t="s">
        <v>573</v>
      </c>
      <c r="Q542" s="1">
        <f t="shared" si="19"/>
        <v>1</v>
      </c>
      <c r="R542" s="1">
        <v>89</v>
      </c>
      <c r="U542" s="8">
        <v>41791</v>
      </c>
    </row>
    <row r="543" spans="1:21" x14ac:dyDescent="0.25">
      <c r="A543" s="2">
        <f t="shared" si="18"/>
        <v>11</v>
      </c>
      <c r="B543" t="s">
        <v>85</v>
      </c>
      <c r="C543" s="2">
        <v>6</v>
      </c>
      <c r="D543" s="2">
        <v>102</v>
      </c>
      <c r="E543" s="2">
        <v>2</v>
      </c>
      <c r="F543" s="2">
        <v>7</v>
      </c>
      <c r="G543" s="2">
        <v>0</v>
      </c>
      <c r="H543" s="2">
        <v>5</v>
      </c>
      <c r="I543" s="2">
        <v>7</v>
      </c>
      <c r="J543" s="1"/>
      <c r="M543" t="s">
        <v>15</v>
      </c>
      <c r="N543" t="str">
        <f>IFERROR(VLOOKUP(B543,'[1]All Player'!$B$2:$C$1992,2,0),"")</f>
        <v>Asik Hassan Tonmoy</v>
      </c>
      <c r="O543" s="2" t="s">
        <v>509</v>
      </c>
      <c r="P543" s="16" t="s">
        <v>573</v>
      </c>
      <c r="Q543" s="1">
        <f t="shared" si="19"/>
        <v>1</v>
      </c>
      <c r="R543" s="1">
        <v>89</v>
      </c>
      <c r="U543" s="8">
        <v>41791</v>
      </c>
    </row>
    <row r="544" spans="1:21" x14ac:dyDescent="0.25">
      <c r="A544" s="2">
        <f t="shared" si="18"/>
        <v>11</v>
      </c>
      <c r="B544" t="s">
        <v>130</v>
      </c>
      <c r="C544" s="2">
        <v>6</v>
      </c>
      <c r="D544" s="2">
        <v>199</v>
      </c>
      <c r="E544" s="2">
        <v>12</v>
      </c>
      <c r="F544" s="2">
        <v>10</v>
      </c>
      <c r="G544" s="2">
        <v>5</v>
      </c>
      <c r="H544" s="2">
        <v>17</v>
      </c>
      <c r="I544" s="2">
        <v>11</v>
      </c>
      <c r="J544" s="1"/>
      <c r="M544" t="s">
        <v>15</v>
      </c>
      <c r="N544" t="str">
        <f>IFERROR(VLOOKUP(B544,'[1]All Player'!$B$2:$C$1992,2,0),"")</f>
        <v>Shahriar Khokon</v>
      </c>
      <c r="O544" s="2" t="s">
        <v>509</v>
      </c>
      <c r="P544" s="16" t="s">
        <v>573</v>
      </c>
      <c r="Q544" s="1">
        <f t="shared" si="19"/>
        <v>1</v>
      </c>
      <c r="R544" s="1">
        <v>89</v>
      </c>
      <c r="U544" s="8">
        <v>41791</v>
      </c>
    </row>
    <row r="545" spans="1:21" x14ac:dyDescent="0.25">
      <c r="A545" s="2">
        <f t="shared" si="18"/>
        <v>11</v>
      </c>
      <c r="B545" t="s">
        <v>809</v>
      </c>
      <c r="C545" s="2">
        <v>6</v>
      </c>
      <c r="D545" s="2">
        <v>46</v>
      </c>
      <c r="E545" s="2">
        <v>6</v>
      </c>
      <c r="F545" s="2">
        <v>7</v>
      </c>
      <c r="G545" s="2">
        <v>0</v>
      </c>
      <c r="H545" s="2">
        <v>4</v>
      </c>
      <c r="I545" s="2">
        <v>2</v>
      </c>
      <c r="J545" s="1"/>
      <c r="M545" t="s">
        <v>15</v>
      </c>
      <c r="N545" t="str">
        <f>IFERROR(VLOOKUP(B545,'[1]All Player'!$B$2:$C$1992,2,0),"")</f>
        <v>ShiShir Hossain</v>
      </c>
      <c r="O545" s="2" t="s">
        <v>509</v>
      </c>
      <c r="P545" s="16" t="s">
        <v>573</v>
      </c>
      <c r="Q545" s="1">
        <f t="shared" si="19"/>
        <v>1</v>
      </c>
      <c r="R545" s="1">
        <v>89</v>
      </c>
      <c r="U545" s="8">
        <v>41791</v>
      </c>
    </row>
    <row r="546" spans="1:21" x14ac:dyDescent="0.25">
      <c r="A546" s="2">
        <f t="shared" si="18"/>
        <v>11</v>
      </c>
      <c r="B546" t="s">
        <v>64</v>
      </c>
      <c r="C546" s="2">
        <v>6</v>
      </c>
      <c r="D546" s="2">
        <v>70</v>
      </c>
      <c r="E546" s="2">
        <v>5</v>
      </c>
      <c r="F546" s="2">
        <v>8</v>
      </c>
      <c r="G546" s="2">
        <v>0</v>
      </c>
      <c r="H546" s="2">
        <v>7</v>
      </c>
      <c r="I546" s="2">
        <v>4</v>
      </c>
      <c r="J546" s="1"/>
      <c r="M546" t="s">
        <v>15</v>
      </c>
      <c r="N546" t="str">
        <f>IFERROR(VLOOKUP(B546,'[1]All Player'!$B$2:$C$1992,2,0),"")</f>
        <v>Sumon Ab</v>
      </c>
      <c r="O546" s="2" t="s">
        <v>509</v>
      </c>
      <c r="P546" s="16" t="s">
        <v>573</v>
      </c>
      <c r="Q546" s="1">
        <f t="shared" si="19"/>
        <v>1</v>
      </c>
      <c r="R546" s="1">
        <v>89</v>
      </c>
      <c r="U546" s="8">
        <v>41791</v>
      </c>
    </row>
    <row r="547" spans="1:21" x14ac:dyDescent="0.25">
      <c r="A547" s="2">
        <f>A546</f>
        <v>11</v>
      </c>
      <c r="B547" s="17" t="s">
        <v>810</v>
      </c>
      <c r="C547" s="2" t="s">
        <v>805</v>
      </c>
      <c r="J547" s="1"/>
      <c r="M547" t="s">
        <v>15</v>
      </c>
      <c r="N547" t="str">
        <f>IFERROR(VLOOKUP(B547,'[1]All Player'!$B$2:$C$1992,2,0),"")</f>
        <v/>
      </c>
      <c r="O547" s="2" t="s">
        <v>509</v>
      </c>
      <c r="P547" s="16" t="s">
        <v>811</v>
      </c>
      <c r="Q547" s="1">
        <f t="shared" si="19"/>
        <v>1</v>
      </c>
      <c r="R547" s="1">
        <v>90</v>
      </c>
      <c r="U547" s="8">
        <v>41791</v>
      </c>
    </row>
    <row r="548" spans="1:21" x14ac:dyDescent="0.25">
      <c r="A548" s="2">
        <f t="shared" si="18"/>
        <v>11</v>
      </c>
      <c r="B548" t="s">
        <v>333</v>
      </c>
      <c r="C548" s="2">
        <v>5</v>
      </c>
      <c r="D548" s="2">
        <v>86</v>
      </c>
      <c r="E548" s="2">
        <v>2</v>
      </c>
      <c r="F548" s="2">
        <v>5</v>
      </c>
      <c r="G548" s="2">
        <v>1</v>
      </c>
      <c r="H548" s="2">
        <v>6</v>
      </c>
      <c r="I548" s="2">
        <v>2</v>
      </c>
      <c r="J548" s="1"/>
      <c r="M548" t="s">
        <v>15</v>
      </c>
      <c r="N548" t="str">
        <f>IFERROR(VLOOKUP(B548,'[1]All Player'!$B$2:$C$1992,2,0),"")</f>
        <v>Shah Abi Talib Adnan</v>
      </c>
      <c r="O548" s="2" t="s">
        <v>509</v>
      </c>
      <c r="P548" s="16" t="s">
        <v>811</v>
      </c>
      <c r="Q548" s="1">
        <f t="shared" si="19"/>
        <v>1</v>
      </c>
      <c r="R548" s="1">
        <v>90</v>
      </c>
      <c r="U548" s="8">
        <v>41791</v>
      </c>
    </row>
    <row r="549" spans="1:21" x14ac:dyDescent="0.25">
      <c r="A549" s="2">
        <f t="shared" si="18"/>
        <v>11</v>
      </c>
      <c r="B549" t="s">
        <v>789</v>
      </c>
      <c r="C549" s="2">
        <v>6</v>
      </c>
      <c r="D549" s="2">
        <v>108</v>
      </c>
      <c r="E549" s="2">
        <v>5</v>
      </c>
      <c r="F549" s="2">
        <v>9</v>
      </c>
      <c r="G549" s="2">
        <v>1</v>
      </c>
      <c r="H549" s="2">
        <v>6</v>
      </c>
      <c r="I549" s="2">
        <v>10</v>
      </c>
      <c r="J549" s="1"/>
      <c r="M549" t="s">
        <v>15</v>
      </c>
      <c r="N549" t="str">
        <f>IFERROR(VLOOKUP(B549,'[1]All Player'!$B$2:$C$1992,2,0),"")</f>
        <v>Azwad Awsaf</v>
      </c>
      <c r="O549" s="2" t="s">
        <v>509</v>
      </c>
      <c r="P549" s="16" t="s">
        <v>811</v>
      </c>
      <c r="Q549" s="1">
        <f t="shared" si="19"/>
        <v>1</v>
      </c>
      <c r="R549" s="1">
        <v>90</v>
      </c>
      <c r="U549" s="8">
        <v>41791</v>
      </c>
    </row>
    <row r="550" spans="1:21" x14ac:dyDescent="0.25">
      <c r="A550" s="2">
        <f t="shared" si="18"/>
        <v>11</v>
      </c>
      <c r="B550" t="s">
        <v>21</v>
      </c>
      <c r="C550" s="2">
        <v>6</v>
      </c>
      <c r="D550" s="2">
        <v>112</v>
      </c>
      <c r="E550" s="2">
        <v>4</v>
      </c>
      <c r="F550" s="2">
        <v>8</v>
      </c>
      <c r="G550" s="2">
        <v>0</v>
      </c>
      <c r="H550" s="2">
        <v>12</v>
      </c>
      <c r="I550" s="2">
        <v>3</v>
      </c>
      <c r="J550" s="1"/>
      <c r="M550" t="s">
        <v>15</v>
      </c>
      <c r="N550" t="str">
        <f>IFERROR(VLOOKUP(B550,'[1]All Player'!$B$2:$C$1992,2,0),"")</f>
        <v>Faisal Ahmed Jhony</v>
      </c>
      <c r="O550" s="2" t="s">
        <v>509</v>
      </c>
      <c r="P550" s="16" t="s">
        <v>811</v>
      </c>
      <c r="Q550" s="1">
        <f t="shared" si="19"/>
        <v>1</v>
      </c>
      <c r="R550" s="1">
        <v>90</v>
      </c>
      <c r="U550" s="8">
        <v>41791</v>
      </c>
    </row>
    <row r="551" spans="1:21" x14ac:dyDescent="0.25">
      <c r="A551" s="2">
        <f t="shared" si="18"/>
        <v>11</v>
      </c>
      <c r="B551" t="s">
        <v>80</v>
      </c>
      <c r="C551" s="2">
        <v>6</v>
      </c>
      <c r="D551" s="2">
        <v>56</v>
      </c>
      <c r="E551" s="2">
        <v>7</v>
      </c>
      <c r="F551" s="2">
        <v>9</v>
      </c>
      <c r="G551" s="2">
        <v>0</v>
      </c>
      <c r="H551" s="2">
        <v>0</v>
      </c>
      <c r="I551" s="2">
        <v>5</v>
      </c>
      <c r="J551" s="1"/>
      <c r="M551" t="s">
        <v>15</v>
      </c>
      <c r="N551" t="str">
        <f>IFERROR(VLOOKUP(B551,'[1]All Player'!$B$2:$C$1992,2,0),"")</f>
        <v>Kamrul Hasan Tutul</v>
      </c>
      <c r="O551" s="2" t="s">
        <v>509</v>
      </c>
      <c r="P551" s="16" t="s">
        <v>811</v>
      </c>
      <c r="Q551" s="1">
        <f t="shared" si="19"/>
        <v>1</v>
      </c>
      <c r="R551" s="1">
        <v>90</v>
      </c>
      <c r="U551" s="8">
        <v>41791</v>
      </c>
    </row>
    <row r="552" spans="1:21" x14ac:dyDescent="0.25">
      <c r="A552" s="2">
        <f t="shared" si="18"/>
        <v>11</v>
      </c>
      <c r="B552" t="s">
        <v>179</v>
      </c>
      <c r="C552" s="2">
        <v>5</v>
      </c>
      <c r="D552" s="2">
        <v>61</v>
      </c>
      <c r="E552" s="2">
        <v>6</v>
      </c>
      <c r="F552" s="2">
        <v>7</v>
      </c>
      <c r="G552" s="2">
        <v>0</v>
      </c>
      <c r="H552" s="2">
        <v>8</v>
      </c>
      <c r="I552" s="2">
        <v>4</v>
      </c>
      <c r="J552" s="1"/>
      <c r="M552" t="s">
        <v>15</v>
      </c>
      <c r="N552" t="str">
        <f>IFERROR(VLOOKUP(B552,'[1]All Player'!$B$2:$C$1992,2,0),"")</f>
        <v>Shuvayan Saha Brinto</v>
      </c>
      <c r="O552" s="2" t="s">
        <v>509</v>
      </c>
      <c r="P552" s="16" t="s">
        <v>811</v>
      </c>
      <c r="Q552" s="1">
        <f t="shared" si="19"/>
        <v>1</v>
      </c>
      <c r="R552" s="1">
        <v>90</v>
      </c>
      <c r="U552" s="8">
        <v>41791</v>
      </c>
    </row>
    <row r="553" spans="1:21" x14ac:dyDescent="0.25">
      <c r="A553" s="2">
        <f>A552</f>
        <v>11</v>
      </c>
      <c r="B553" s="17" t="s">
        <v>812</v>
      </c>
      <c r="C553" s="2" t="s">
        <v>805</v>
      </c>
      <c r="J553" s="1"/>
      <c r="M553" t="s">
        <v>15</v>
      </c>
      <c r="N553" t="str">
        <f>IFERROR(VLOOKUP(B553,'[1]All Player'!$B$2:$C$1992,2,0),"")</f>
        <v/>
      </c>
      <c r="O553" s="2" t="s">
        <v>509</v>
      </c>
      <c r="P553" s="16" t="s">
        <v>510</v>
      </c>
      <c r="Q553" s="1">
        <f t="shared" si="19"/>
        <v>1</v>
      </c>
      <c r="R553" s="1">
        <v>91</v>
      </c>
      <c r="U553" s="8">
        <v>41791</v>
      </c>
    </row>
    <row r="554" spans="1:21" x14ac:dyDescent="0.25">
      <c r="A554" s="2">
        <f t="shared" si="18"/>
        <v>11</v>
      </c>
      <c r="B554" t="s">
        <v>35</v>
      </c>
      <c r="C554" s="2">
        <v>9</v>
      </c>
      <c r="D554" s="2">
        <v>141</v>
      </c>
      <c r="E554" s="2">
        <v>12</v>
      </c>
      <c r="F554" s="2">
        <v>12</v>
      </c>
      <c r="G554" s="2">
        <v>0</v>
      </c>
      <c r="H554" s="2">
        <v>8</v>
      </c>
      <c r="I554" s="2">
        <v>12</v>
      </c>
      <c r="J554" s="1"/>
      <c r="M554" t="s">
        <v>15</v>
      </c>
      <c r="N554" t="str">
        <f>IFERROR(VLOOKUP(B554,'[1]All Player'!$B$2:$C$1992,2,0),"")</f>
        <v>Neyem khan</v>
      </c>
      <c r="O554" s="2" t="s">
        <v>509</v>
      </c>
      <c r="P554" s="16" t="s">
        <v>510</v>
      </c>
      <c r="Q554" s="1">
        <f t="shared" si="19"/>
        <v>1</v>
      </c>
      <c r="R554" s="1">
        <v>91</v>
      </c>
      <c r="U554" s="8">
        <v>41791</v>
      </c>
    </row>
    <row r="555" spans="1:21" x14ac:dyDescent="0.25">
      <c r="A555" s="2">
        <f t="shared" si="18"/>
        <v>11</v>
      </c>
      <c r="B555" t="s">
        <v>76</v>
      </c>
      <c r="C555" s="2">
        <v>9</v>
      </c>
      <c r="D555" s="2">
        <v>134</v>
      </c>
      <c r="E555" s="2">
        <v>7</v>
      </c>
      <c r="F555" s="2">
        <v>11</v>
      </c>
      <c r="G555" s="2">
        <v>1</v>
      </c>
      <c r="H555" s="2">
        <v>8</v>
      </c>
      <c r="I555" s="2">
        <v>11</v>
      </c>
      <c r="J555" s="1"/>
      <c r="M555" t="s">
        <v>15</v>
      </c>
      <c r="N555" t="str">
        <f>IFERROR(VLOOKUP(B555,'[1]All Player'!$B$2:$C$1992,2,0),"")</f>
        <v>Kamil Ahmed</v>
      </c>
      <c r="O555" s="2" t="s">
        <v>509</v>
      </c>
      <c r="P555" s="16" t="s">
        <v>510</v>
      </c>
      <c r="Q555" s="1">
        <f t="shared" si="19"/>
        <v>1</v>
      </c>
      <c r="R555" s="1">
        <v>91</v>
      </c>
      <c r="U555" s="8">
        <v>41791</v>
      </c>
    </row>
    <row r="556" spans="1:21" x14ac:dyDescent="0.25">
      <c r="A556" s="2">
        <f t="shared" ref="A556:A606" si="20">A555</f>
        <v>11</v>
      </c>
      <c r="B556" t="s">
        <v>24</v>
      </c>
      <c r="C556" s="2">
        <v>9</v>
      </c>
      <c r="D556" s="2">
        <v>81</v>
      </c>
      <c r="E556" s="2">
        <v>10</v>
      </c>
      <c r="F556" s="2">
        <v>12</v>
      </c>
      <c r="G556" s="26">
        <v>1</v>
      </c>
      <c r="H556" s="2">
        <v>3</v>
      </c>
      <c r="I556" s="2">
        <v>5</v>
      </c>
      <c r="J556" s="1"/>
      <c r="M556" t="s">
        <v>15</v>
      </c>
      <c r="N556" t="str">
        <f>IFERROR(VLOOKUP(B556,'[1]All Player'!$B$2:$C$1992,2,0),"")</f>
        <v>Nur Muhammad</v>
      </c>
      <c r="O556" s="2" t="s">
        <v>509</v>
      </c>
      <c r="P556" s="16" t="s">
        <v>510</v>
      </c>
      <c r="Q556" s="1">
        <f t="shared" si="19"/>
        <v>1</v>
      </c>
      <c r="R556" s="1">
        <v>91</v>
      </c>
      <c r="U556" s="8">
        <v>41791</v>
      </c>
    </row>
    <row r="557" spans="1:21" x14ac:dyDescent="0.25">
      <c r="A557" s="2">
        <f t="shared" si="20"/>
        <v>11</v>
      </c>
      <c r="B557" t="s">
        <v>72</v>
      </c>
      <c r="C557" s="2">
        <v>9</v>
      </c>
      <c r="D557" s="2">
        <v>153</v>
      </c>
      <c r="E557" s="2">
        <v>4</v>
      </c>
      <c r="F557" s="2">
        <v>13</v>
      </c>
      <c r="G557" s="2">
        <v>2</v>
      </c>
      <c r="H557" s="2">
        <v>11</v>
      </c>
      <c r="I557" s="2">
        <v>8</v>
      </c>
      <c r="J557" s="1"/>
      <c r="M557" t="s">
        <v>15</v>
      </c>
      <c r="N557" t="str">
        <f>IFERROR(VLOOKUP(B557,'[1]All Player'!$B$2:$C$1992,2,0),"")</f>
        <v>Akram Husan (Washim)</v>
      </c>
      <c r="O557" s="2" t="s">
        <v>509</v>
      </c>
      <c r="P557" s="16" t="s">
        <v>510</v>
      </c>
      <c r="Q557" s="1">
        <f t="shared" si="19"/>
        <v>1</v>
      </c>
      <c r="R557" s="1">
        <v>91</v>
      </c>
      <c r="U557" s="8">
        <v>41791</v>
      </c>
    </row>
    <row r="558" spans="1:21" x14ac:dyDescent="0.25">
      <c r="A558" s="2">
        <f t="shared" si="20"/>
        <v>11</v>
      </c>
      <c r="B558" t="s">
        <v>62</v>
      </c>
      <c r="C558" s="2">
        <v>9</v>
      </c>
      <c r="D558" s="2">
        <v>114</v>
      </c>
      <c r="E558" s="2">
        <v>22</v>
      </c>
      <c r="F558" s="2">
        <v>11</v>
      </c>
      <c r="G558" s="2">
        <v>1</v>
      </c>
      <c r="H558" s="2">
        <v>4</v>
      </c>
      <c r="I558" s="2">
        <v>10</v>
      </c>
      <c r="J558" s="1"/>
      <c r="M558" t="s">
        <v>15</v>
      </c>
      <c r="N558" t="str">
        <f>IFERROR(VLOOKUP(B558,'[1]All Player'!$B$2:$C$1992,2,0),"")</f>
        <v>MD Tofayel Ahmed</v>
      </c>
      <c r="O558" s="2" t="s">
        <v>509</v>
      </c>
      <c r="P558" s="16" t="s">
        <v>510</v>
      </c>
      <c r="Q558" s="1">
        <f t="shared" si="19"/>
        <v>1</v>
      </c>
      <c r="R558" s="1">
        <v>91</v>
      </c>
      <c r="U558" s="8">
        <v>41791</v>
      </c>
    </row>
    <row r="559" spans="1:21" x14ac:dyDescent="0.25">
      <c r="A559" s="2">
        <f>A558</f>
        <v>11</v>
      </c>
      <c r="B559" s="17" t="s">
        <v>813</v>
      </c>
      <c r="C559" s="2" t="s">
        <v>805</v>
      </c>
      <c r="J559" s="1"/>
      <c r="M559" t="s">
        <v>15</v>
      </c>
      <c r="N559" t="str">
        <f>IFERROR(VLOOKUP(B559,'[1]All Player'!$B$2:$C$1992,2,0),"")</f>
        <v/>
      </c>
      <c r="O559" s="2" t="s">
        <v>509</v>
      </c>
      <c r="P559" s="16" t="s">
        <v>814</v>
      </c>
      <c r="Q559" s="1">
        <f t="shared" si="19"/>
        <v>1</v>
      </c>
      <c r="R559" s="1">
        <v>92</v>
      </c>
      <c r="U559" s="8">
        <v>41791</v>
      </c>
    </row>
    <row r="560" spans="1:21" x14ac:dyDescent="0.25">
      <c r="A560" s="2">
        <f t="shared" si="20"/>
        <v>11</v>
      </c>
      <c r="B560" t="s">
        <v>93</v>
      </c>
      <c r="C560" s="2">
        <v>6</v>
      </c>
      <c r="D560" s="2">
        <v>63</v>
      </c>
      <c r="E560" s="2">
        <v>10</v>
      </c>
      <c r="F560" s="2">
        <v>9</v>
      </c>
      <c r="G560" s="2">
        <v>1</v>
      </c>
      <c r="H560" s="2">
        <v>0</v>
      </c>
      <c r="I560" s="2">
        <v>6</v>
      </c>
      <c r="M560" t="s">
        <v>15</v>
      </c>
      <c r="N560" t="str">
        <f>IFERROR(VLOOKUP(B560,'[1]All Player'!$B$2:$C$1992,2,0),"")</f>
        <v>Zaheed Hasan</v>
      </c>
      <c r="O560" s="2" t="s">
        <v>509</v>
      </c>
      <c r="P560" s="16" t="s">
        <v>814</v>
      </c>
      <c r="Q560" s="1">
        <f t="shared" si="19"/>
        <v>1</v>
      </c>
      <c r="R560" s="1">
        <v>92</v>
      </c>
      <c r="U560" s="8">
        <v>41791</v>
      </c>
    </row>
    <row r="561" spans="1:23" x14ac:dyDescent="0.25">
      <c r="A561" s="2">
        <f t="shared" si="20"/>
        <v>11</v>
      </c>
      <c r="B561" t="s">
        <v>138</v>
      </c>
      <c r="C561" s="2">
        <v>2</v>
      </c>
      <c r="D561" s="2">
        <v>0</v>
      </c>
      <c r="E561" s="2">
        <v>2</v>
      </c>
      <c r="F561" s="2">
        <v>3</v>
      </c>
      <c r="G561" s="2">
        <v>0</v>
      </c>
      <c r="H561" s="2">
        <v>0</v>
      </c>
      <c r="I561" s="2">
        <v>0</v>
      </c>
      <c r="J561" s="1"/>
      <c r="M561" t="s">
        <v>15</v>
      </c>
      <c r="N561" t="str">
        <f>IFERROR(VLOOKUP(B561,'[1]All Player'!$B$2:$C$1992,2,0),"")</f>
        <v>Asif Iqbal Khan</v>
      </c>
      <c r="O561" s="2" t="s">
        <v>509</v>
      </c>
      <c r="P561" s="16" t="s">
        <v>814</v>
      </c>
      <c r="Q561" s="1">
        <f t="shared" si="19"/>
        <v>1</v>
      </c>
      <c r="R561" s="1">
        <v>92</v>
      </c>
      <c r="U561" s="8">
        <v>41791</v>
      </c>
    </row>
    <row r="562" spans="1:23" x14ac:dyDescent="0.25">
      <c r="A562" s="2">
        <f t="shared" si="20"/>
        <v>11</v>
      </c>
      <c r="B562" t="s">
        <v>134</v>
      </c>
      <c r="C562" s="2">
        <v>6</v>
      </c>
      <c r="D562" s="2">
        <v>135</v>
      </c>
      <c r="E562" s="2">
        <v>8</v>
      </c>
      <c r="F562" s="2">
        <v>7</v>
      </c>
      <c r="G562" s="2">
        <v>0</v>
      </c>
      <c r="H562" s="2">
        <v>10</v>
      </c>
      <c r="I562" s="2">
        <v>12</v>
      </c>
      <c r="J562" s="1"/>
      <c r="M562" t="s">
        <v>15</v>
      </c>
      <c r="N562" t="str">
        <f>IFERROR(VLOOKUP(B562,'[1]All Player'!$B$2:$C$1992,2,0),"")</f>
        <v>Md Dulal Miah</v>
      </c>
      <c r="O562" s="2" t="s">
        <v>509</v>
      </c>
      <c r="P562" s="16" t="s">
        <v>814</v>
      </c>
      <c r="Q562" s="1">
        <f t="shared" si="19"/>
        <v>1</v>
      </c>
      <c r="R562" s="1">
        <v>92</v>
      </c>
      <c r="U562" s="8">
        <v>41791</v>
      </c>
    </row>
    <row r="563" spans="1:23" x14ac:dyDescent="0.25">
      <c r="A563" s="2">
        <f t="shared" si="20"/>
        <v>11</v>
      </c>
      <c r="B563" t="s">
        <v>296</v>
      </c>
      <c r="C563" s="2">
        <v>4</v>
      </c>
      <c r="D563" s="2">
        <v>76</v>
      </c>
      <c r="E563" s="2">
        <v>4</v>
      </c>
      <c r="F563" s="2">
        <v>6</v>
      </c>
      <c r="G563" s="2">
        <v>0</v>
      </c>
      <c r="H563" s="2">
        <v>7</v>
      </c>
      <c r="I563" s="2">
        <v>5</v>
      </c>
      <c r="J563" s="1"/>
      <c r="M563" t="s">
        <v>15</v>
      </c>
      <c r="N563" t="str">
        <f>IFERROR(VLOOKUP(B563,'[1]All Player'!$B$2:$C$1992,2,0),"")</f>
        <v>Zi Zohir</v>
      </c>
      <c r="O563" s="2" t="s">
        <v>509</v>
      </c>
      <c r="P563" s="16" t="s">
        <v>814</v>
      </c>
      <c r="Q563" s="1">
        <f t="shared" si="19"/>
        <v>1</v>
      </c>
      <c r="R563" s="1">
        <v>92</v>
      </c>
      <c r="U563" s="8">
        <v>41791</v>
      </c>
    </row>
    <row r="564" spans="1:23" x14ac:dyDescent="0.25">
      <c r="A564" s="2">
        <f t="shared" si="20"/>
        <v>11</v>
      </c>
      <c r="B564" t="s">
        <v>74</v>
      </c>
      <c r="C564" s="2">
        <v>5</v>
      </c>
      <c r="D564" s="2">
        <v>69</v>
      </c>
      <c r="E564" s="2">
        <v>4</v>
      </c>
      <c r="F564" s="2">
        <v>7</v>
      </c>
      <c r="G564" s="2">
        <v>1</v>
      </c>
      <c r="H564" s="2">
        <v>5</v>
      </c>
      <c r="I564" s="2">
        <v>3</v>
      </c>
      <c r="J564" s="1"/>
      <c r="M564" t="s">
        <v>15</v>
      </c>
      <c r="N564" t="str">
        <f>IFERROR(VLOOKUP(B564,'[1]All Player'!$B$2:$C$1992,2,0),"")</f>
        <v>Sakib Arafat</v>
      </c>
      <c r="O564" s="2" t="s">
        <v>509</v>
      </c>
      <c r="P564" s="16" t="s">
        <v>814</v>
      </c>
      <c r="Q564" s="1">
        <f t="shared" si="19"/>
        <v>1</v>
      </c>
      <c r="R564" s="1">
        <v>92</v>
      </c>
      <c r="U564" s="8">
        <v>41791</v>
      </c>
    </row>
    <row r="565" spans="1:23" x14ac:dyDescent="0.25">
      <c r="A565" s="2">
        <f>A564</f>
        <v>11</v>
      </c>
      <c r="B565" s="17" t="s">
        <v>815</v>
      </c>
      <c r="C565" s="2" t="s">
        <v>805</v>
      </c>
      <c r="J565" s="1"/>
      <c r="M565" t="s">
        <v>15</v>
      </c>
      <c r="N565" t="str">
        <f>IFERROR(VLOOKUP(B565,'[1]All Player'!$B$2:$C$1992,2,0),"")</f>
        <v/>
      </c>
      <c r="O565" s="2" t="s">
        <v>509</v>
      </c>
      <c r="P565" s="16" t="s">
        <v>816</v>
      </c>
      <c r="Q565" s="1">
        <f t="shared" si="19"/>
        <v>1</v>
      </c>
      <c r="R565" s="1">
        <v>93</v>
      </c>
      <c r="U565" s="8">
        <v>41791</v>
      </c>
    </row>
    <row r="566" spans="1:23" x14ac:dyDescent="0.25">
      <c r="A566" s="2">
        <f t="shared" si="20"/>
        <v>11</v>
      </c>
      <c r="B566" t="s">
        <v>27</v>
      </c>
      <c r="C566" s="2">
        <v>9</v>
      </c>
      <c r="D566" s="2">
        <v>301</v>
      </c>
      <c r="E566" s="2">
        <v>19</v>
      </c>
      <c r="F566" s="2">
        <v>17</v>
      </c>
      <c r="G566" s="2">
        <v>4</v>
      </c>
      <c r="H566" s="2">
        <v>29</v>
      </c>
      <c r="I566" s="2">
        <v>18</v>
      </c>
      <c r="J566" s="1"/>
      <c r="M566" t="s">
        <v>15</v>
      </c>
      <c r="N566" t="str">
        <f>IFERROR(VLOOKUP(B566,'[1]All Player'!$B$2:$C$1992,2,0),"")</f>
        <v>Susmoy Paul</v>
      </c>
      <c r="O566" s="2" t="s">
        <v>509</v>
      </c>
      <c r="P566" s="16" t="s">
        <v>816</v>
      </c>
      <c r="Q566" s="1">
        <f t="shared" si="19"/>
        <v>1</v>
      </c>
      <c r="R566" s="1">
        <v>93</v>
      </c>
      <c r="U566" s="8">
        <v>41791</v>
      </c>
    </row>
    <row r="567" spans="1:23" x14ac:dyDescent="0.25">
      <c r="A567" s="2">
        <f t="shared" si="20"/>
        <v>11</v>
      </c>
      <c r="B567" t="s">
        <v>152</v>
      </c>
      <c r="C567" s="2">
        <v>9</v>
      </c>
      <c r="D567" s="2">
        <v>194</v>
      </c>
      <c r="E567" s="2">
        <v>7</v>
      </c>
      <c r="F567" s="2">
        <v>14</v>
      </c>
      <c r="G567" s="2">
        <v>2</v>
      </c>
      <c r="H567" s="2">
        <v>10</v>
      </c>
      <c r="I567" s="2">
        <v>13</v>
      </c>
      <c r="J567" s="1"/>
      <c r="M567" t="s">
        <v>15</v>
      </c>
      <c r="N567" t="str">
        <f>IFERROR(VLOOKUP(B567,'[1]All Player'!$B$2:$C$1992,2,0),"")</f>
        <v>Niamul Habib Setu</v>
      </c>
      <c r="O567" s="2" t="s">
        <v>509</v>
      </c>
      <c r="P567" s="16" t="s">
        <v>816</v>
      </c>
      <c r="Q567" s="1">
        <f t="shared" si="19"/>
        <v>1</v>
      </c>
      <c r="R567" s="1">
        <v>93</v>
      </c>
      <c r="U567" s="8">
        <v>41791</v>
      </c>
    </row>
    <row r="568" spans="1:23" x14ac:dyDescent="0.25">
      <c r="A568" s="2">
        <f t="shared" si="20"/>
        <v>11</v>
      </c>
      <c r="B568" t="s">
        <v>183</v>
      </c>
      <c r="C568" s="2">
        <v>4</v>
      </c>
      <c r="D568" s="2">
        <v>1</v>
      </c>
      <c r="E568" s="2">
        <v>3</v>
      </c>
      <c r="F568" s="2">
        <v>2</v>
      </c>
      <c r="G568" s="2">
        <v>0</v>
      </c>
      <c r="H568" s="2">
        <v>0</v>
      </c>
      <c r="I568" s="2">
        <v>0</v>
      </c>
      <c r="J568" s="1"/>
      <c r="M568" t="s">
        <v>15</v>
      </c>
      <c r="N568" t="str">
        <f>IFERROR(VLOOKUP(B568,'[1]All Player'!$B$2:$C$1992,2,0),"")</f>
        <v>Red Heart Faisal (Fayze Ahamed)</v>
      </c>
      <c r="O568" s="2" t="s">
        <v>509</v>
      </c>
      <c r="P568" s="16" t="s">
        <v>816</v>
      </c>
      <c r="Q568" s="1">
        <f t="shared" si="19"/>
        <v>1</v>
      </c>
      <c r="R568" s="1">
        <v>93</v>
      </c>
      <c r="U568" s="8">
        <v>41791</v>
      </c>
    </row>
    <row r="569" spans="1:23" x14ac:dyDescent="0.25">
      <c r="A569" s="2">
        <f t="shared" si="20"/>
        <v>11</v>
      </c>
      <c r="B569" t="s">
        <v>340</v>
      </c>
      <c r="C569" s="2">
        <v>8</v>
      </c>
      <c r="D569" s="2">
        <v>78</v>
      </c>
      <c r="E569" s="2">
        <v>13</v>
      </c>
      <c r="F569" s="2">
        <v>7</v>
      </c>
      <c r="G569" s="2">
        <v>0</v>
      </c>
      <c r="H569" s="2">
        <v>8</v>
      </c>
      <c r="I569" s="2">
        <v>4</v>
      </c>
      <c r="J569" s="1">
        <v>1</v>
      </c>
      <c r="M569" t="s">
        <v>15</v>
      </c>
      <c r="N569" t="str">
        <f>IFERROR(VLOOKUP(B569,'[1]All Player'!$B$2:$C$1992,2,0),"")</f>
        <v>Striker Rafikul</v>
      </c>
      <c r="O569" s="2" t="s">
        <v>509</v>
      </c>
      <c r="P569" s="16" t="s">
        <v>816</v>
      </c>
      <c r="Q569" s="1">
        <f t="shared" si="19"/>
        <v>1</v>
      </c>
      <c r="R569" s="1">
        <v>93</v>
      </c>
      <c r="U569" s="8">
        <v>41791</v>
      </c>
    </row>
    <row r="570" spans="1:23" x14ac:dyDescent="0.25">
      <c r="A570" s="2">
        <f t="shared" si="20"/>
        <v>11</v>
      </c>
      <c r="B570" t="s">
        <v>334</v>
      </c>
      <c r="C570" s="2">
        <v>8</v>
      </c>
      <c r="D570" s="2">
        <v>63</v>
      </c>
      <c r="E570" s="2">
        <v>5</v>
      </c>
      <c r="F570" s="2">
        <v>9</v>
      </c>
      <c r="G570" s="2">
        <v>0</v>
      </c>
      <c r="H570" s="2">
        <v>5</v>
      </c>
      <c r="I570" s="2">
        <v>2</v>
      </c>
      <c r="J570" s="1"/>
      <c r="M570" t="s">
        <v>15</v>
      </c>
      <c r="N570" t="str">
        <f>IFERROR(VLOOKUP(B570,'[1]All Player'!$B$2:$C$1992,2,0),"")</f>
        <v>Sakib Mortaza</v>
      </c>
      <c r="O570" s="2" t="s">
        <v>509</v>
      </c>
      <c r="P570" s="16" t="s">
        <v>816</v>
      </c>
      <c r="Q570" s="1">
        <f t="shared" si="19"/>
        <v>1</v>
      </c>
      <c r="R570" s="1">
        <v>93</v>
      </c>
      <c r="U570" s="8">
        <v>41791</v>
      </c>
    </row>
    <row r="571" spans="1:23" ht="15.75" x14ac:dyDescent="0.25">
      <c r="A571" s="2">
        <f>A570</f>
        <v>11</v>
      </c>
      <c r="B571" s="18" t="s">
        <v>556</v>
      </c>
      <c r="C571" s="2" t="s">
        <v>805</v>
      </c>
      <c r="J571" s="1"/>
      <c r="M571" t="s">
        <v>15</v>
      </c>
      <c r="N571" t="str">
        <f>IFERROR(VLOOKUP(B571,'[1]All Player'!$B$2:$C$1992,2,0),"")</f>
        <v/>
      </c>
      <c r="O571" s="2" t="s">
        <v>509</v>
      </c>
      <c r="P571" s="16" t="s">
        <v>556</v>
      </c>
      <c r="Q571" s="1">
        <f t="shared" si="19"/>
        <v>1</v>
      </c>
      <c r="R571" s="1">
        <v>94</v>
      </c>
      <c r="U571" s="8">
        <v>41791</v>
      </c>
    </row>
    <row r="572" spans="1:23" x14ac:dyDescent="0.25">
      <c r="A572" s="2">
        <f t="shared" si="20"/>
        <v>11</v>
      </c>
      <c r="B572" t="s">
        <v>46</v>
      </c>
      <c r="C572" s="2">
        <v>10</v>
      </c>
      <c r="D572" s="2">
        <v>314</v>
      </c>
      <c r="E572" s="2">
        <v>26</v>
      </c>
      <c r="F572" s="2">
        <v>27</v>
      </c>
      <c r="G572" s="2">
        <v>3</v>
      </c>
      <c r="H572" s="2">
        <v>17</v>
      </c>
      <c r="I572" s="2">
        <v>13</v>
      </c>
      <c r="J572" s="1"/>
      <c r="M572" t="s">
        <v>15</v>
      </c>
      <c r="N572" t="str">
        <f>IFERROR(VLOOKUP(B572,'[1]All Player'!$B$2:$C$1992,2,0),"")</f>
        <v>Roman mahamud Arko</v>
      </c>
      <c r="O572" s="2" t="s">
        <v>509</v>
      </c>
      <c r="P572" s="16" t="s">
        <v>556</v>
      </c>
      <c r="Q572" s="1">
        <f t="shared" si="19"/>
        <v>1</v>
      </c>
      <c r="R572" s="1">
        <v>94</v>
      </c>
      <c r="S572" s="2" t="s">
        <v>658</v>
      </c>
      <c r="U572" s="8">
        <v>41791</v>
      </c>
      <c r="V572" s="1">
        <v>1</v>
      </c>
      <c r="W572" s="1">
        <v>1</v>
      </c>
    </row>
    <row r="573" spans="1:23" x14ac:dyDescent="0.25">
      <c r="A573" s="2">
        <f t="shared" si="20"/>
        <v>11</v>
      </c>
      <c r="B573" t="s">
        <v>356</v>
      </c>
      <c r="C573" s="2">
        <v>6</v>
      </c>
      <c r="D573" s="2">
        <v>152</v>
      </c>
      <c r="E573" s="2">
        <v>13</v>
      </c>
      <c r="F573" s="2">
        <v>12</v>
      </c>
      <c r="G573" s="2">
        <v>0</v>
      </c>
      <c r="H573" s="2">
        <v>11</v>
      </c>
      <c r="I573" s="2">
        <v>11</v>
      </c>
      <c r="J573" s="1"/>
      <c r="M573" t="s">
        <v>15</v>
      </c>
      <c r="N573" t="str">
        <f>IFERROR(VLOOKUP(B573,'[1]All Player'!$B$2:$C$1992,2,0),"")</f>
        <v>Shafayat Miraj</v>
      </c>
      <c r="O573" s="2" t="s">
        <v>509</v>
      </c>
      <c r="P573" s="16" t="s">
        <v>556</v>
      </c>
      <c r="Q573" s="1">
        <f t="shared" si="19"/>
        <v>1</v>
      </c>
      <c r="R573" s="1">
        <v>94</v>
      </c>
      <c r="U573" s="8">
        <v>41791</v>
      </c>
    </row>
    <row r="574" spans="1:23" x14ac:dyDescent="0.25">
      <c r="A574" s="2">
        <f t="shared" si="20"/>
        <v>11</v>
      </c>
      <c r="B574" t="s">
        <v>358</v>
      </c>
      <c r="C574" s="2">
        <v>9</v>
      </c>
      <c r="D574" s="2">
        <v>126</v>
      </c>
      <c r="E574" s="2">
        <v>11</v>
      </c>
      <c r="F574" s="2">
        <v>12</v>
      </c>
      <c r="G574" s="2">
        <v>0</v>
      </c>
      <c r="H574" s="2">
        <v>6</v>
      </c>
      <c r="I574" s="2">
        <v>11</v>
      </c>
      <c r="J574" s="1"/>
      <c r="M574" t="s">
        <v>15</v>
      </c>
      <c r="N574" t="str">
        <f>IFERROR(VLOOKUP(B574,'[1]All Player'!$B$2:$C$1992,2,0),"")</f>
        <v>Ah Shipu</v>
      </c>
      <c r="O574" s="2" t="s">
        <v>509</v>
      </c>
      <c r="P574" s="16" t="s">
        <v>556</v>
      </c>
      <c r="Q574" s="1">
        <f t="shared" si="19"/>
        <v>1</v>
      </c>
      <c r="R574" s="1">
        <v>94</v>
      </c>
      <c r="U574" s="8">
        <v>41791</v>
      </c>
    </row>
    <row r="575" spans="1:23" x14ac:dyDescent="0.25">
      <c r="A575" s="2">
        <f t="shared" si="20"/>
        <v>11</v>
      </c>
      <c r="B575" t="s">
        <v>798</v>
      </c>
      <c r="C575" s="2">
        <v>1</v>
      </c>
      <c r="D575" s="2">
        <v>0</v>
      </c>
      <c r="E575" s="2">
        <v>0</v>
      </c>
      <c r="F575" s="2">
        <v>1</v>
      </c>
      <c r="G575" s="2">
        <v>0</v>
      </c>
      <c r="H575" s="2">
        <v>0</v>
      </c>
      <c r="I575" s="2">
        <v>0</v>
      </c>
      <c r="J575" s="1"/>
      <c r="M575" t="s">
        <v>15</v>
      </c>
      <c r="N575" t="str">
        <f>IFERROR(VLOOKUP(B575,'[1]All Player'!$B$2:$C$1992,2,0),"")</f>
        <v>Sixer Bappi</v>
      </c>
      <c r="O575" s="2" t="s">
        <v>509</v>
      </c>
      <c r="P575" s="16" t="s">
        <v>556</v>
      </c>
      <c r="Q575" s="1">
        <f t="shared" si="19"/>
        <v>1</v>
      </c>
      <c r="R575" s="1">
        <v>94</v>
      </c>
      <c r="U575" s="8">
        <v>41791</v>
      </c>
    </row>
    <row r="576" spans="1:23" x14ac:dyDescent="0.25">
      <c r="A576" s="2">
        <f t="shared" si="20"/>
        <v>11</v>
      </c>
      <c r="B576" t="s">
        <v>191</v>
      </c>
      <c r="C576" s="2">
        <v>10</v>
      </c>
      <c r="D576" s="2">
        <v>166</v>
      </c>
      <c r="E576" s="2">
        <v>8</v>
      </c>
      <c r="F576" s="2">
        <v>14</v>
      </c>
      <c r="G576" s="2">
        <v>0</v>
      </c>
      <c r="H576" s="2">
        <v>12</v>
      </c>
      <c r="I576" s="2">
        <v>9</v>
      </c>
      <c r="J576" s="1"/>
      <c r="M576" t="s">
        <v>15</v>
      </c>
      <c r="N576" t="str">
        <f>IFERROR(VLOOKUP(B576,'[1]All Player'!$B$2:$C$1992,2,0),"")</f>
        <v>Mohammad Haris Mullah</v>
      </c>
      <c r="O576" s="2" t="s">
        <v>509</v>
      </c>
      <c r="P576" s="16" t="s">
        <v>556</v>
      </c>
      <c r="Q576" s="1">
        <f t="shared" si="19"/>
        <v>1</v>
      </c>
      <c r="R576" s="1">
        <v>94</v>
      </c>
      <c r="U576" s="8">
        <v>41791</v>
      </c>
    </row>
    <row r="577" spans="1:21" ht="15.75" x14ac:dyDescent="0.25">
      <c r="A577" s="2">
        <f>A576</f>
        <v>11</v>
      </c>
      <c r="B577" s="18" t="s">
        <v>817</v>
      </c>
      <c r="C577" s="2" t="s">
        <v>805</v>
      </c>
      <c r="J577" s="1"/>
      <c r="M577" t="s">
        <v>15</v>
      </c>
      <c r="N577" t="str">
        <f>IFERROR(VLOOKUP(B577,'[1]All Player'!$B$2:$C$1992,2,0),"")</f>
        <v/>
      </c>
      <c r="O577" s="2" t="s">
        <v>509</v>
      </c>
      <c r="P577" s="16" t="s">
        <v>817</v>
      </c>
      <c r="Q577" s="1">
        <f t="shared" si="19"/>
        <v>1</v>
      </c>
      <c r="R577" s="1">
        <v>95</v>
      </c>
      <c r="U577" s="8">
        <v>41791</v>
      </c>
    </row>
    <row r="578" spans="1:21" x14ac:dyDescent="0.25">
      <c r="A578" s="2">
        <f t="shared" si="20"/>
        <v>11</v>
      </c>
      <c r="B578" t="s">
        <v>348</v>
      </c>
      <c r="C578" s="2">
        <v>4</v>
      </c>
      <c r="D578" s="2">
        <v>40</v>
      </c>
      <c r="E578" s="2">
        <v>2</v>
      </c>
      <c r="F578" s="2">
        <v>6</v>
      </c>
      <c r="G578" s="2">
        <v>0</v>
      </c>
      <c r="H578" s="2">
        <v>1</v>
      </c>
      <c r="I578" s="2">
        <v>3</v>
      </c>
      <c r="J578" s="1"/>
      <c r="M578" t="s">
        <v>15</v>
      </c>
      <c r="N578" t="str">
        <f>IFERROR(VLOOKUP(B578,'[1]All Player'!$B$2:$C$1992,2,0),"")</f>
        <v>Rafiul Haque Sanchay</v>
      </c>
      <c r="O578" s="2" t="s">
        <v>509</v>
      </c>
      <c r="P578" s="16" t="s">
        <v>817</v>
      </c>
      <c r="Q578" s="1">
        <f t="shared" ref="Q578:Q641" si="21">IF(B578="","",1)</f>
        <v>1</v>
      </c>
      <c r="R578" s="1">
        <v>95</v>
      </c>
      <c r="U578" s="8">
        <v>41791</v>
      </c>
    </row>
    <row r="579" spans="1:21" x14ac:dyDescent="0.25">
      <c r="A579" s="2">
        <f t="shared" si="20"/>
        <v>11</v>
      </c>
      <c r="B579" t="s">
        <v>158</v>
      </c>
      <c r="C579" s="2">
        <v>5</v>
      </c>
      <c r="D579" s="2">
        <v>41</v>
      </c>
      <c r="E579" s="2">
        <v>8</v>
      </c>
      <c r="F579" s="2">
        <v>7</v>
      </c>
      <c r="G579" s="2">
        <v>0</v>
      </c>
      <c r="H579" s="2">
        <v>4</v>
      </c>
      <c r="I579" s="2">
        <v>0</v>
      </c>
      <c r="J579" s="1"/>
      <c r="M579" t="s">
        <v>15</v>
      </c>
      <c r="N579" t="str">
        <f>IFERROR(VLOOKUP(B579,'[1]All Player'!$B$2:$C$1992,2,0),"")</f>
        <v>Sabbir Ahmed</v>
      </c>
      <c r="O579" s="2" t="s">
        <v>509</v>
      </c>
      <c r="P579" s="16" t="s">
        <v>817</v>
      </c>
      <c r="Q579" s="1">
        <f t="shared" si="21"/>
        <v>1</v>
      </c>
      <c r="R579" s="1">
        <v>95</v>
      </c>
      <c r="U579" s="8">
        <v>41791</v>
      </c>
    </row>
    <row r="580" spans="1:21" x14ac:dyDescent="0.25">
      <c r="A580" s="2">
        <f t="shared" si="20"/>
        <v>11</v>
      </c>
      <c r="B580" t="s">
        <v>99</v>
      </c>
      <c r="C580" s="2">
        <v>5</v>
      </c>
      <c r="D580" s="2">
        <v>107</v>
      </c>
      <c r="E580" s="2">
        <v>8</v>
      </c>
      <c r="F580" s="2">
        <v>12</v>
      </c>
      <c r="G580" s="2">
        <v>1</v>
      </c>
      <c r="H580" s="2">
        <v>12</v>
      </c>
      <c r="I580" s="2">
        <v>7</v>
      </c>
      <c r="J580" s="1"/>
      <c r="M580" t="s">
        <v>15</v>
      </c>
      <c r="N580" t="str">
        <f>IFERROR(VLOOKUP(B580,'[1]All Player'!$B$2:$C$1992,2,0),"")</f>
        <v>Bishwajit Sarkar</v>
      </c>
      <c r="O580" s="2" t="s">
        <v>509</v>
      </c>
      <c r="P580" s="16" t="s">
        <v>817</v>
      </c>
      <c r="Q580" s="1">
        <f t="shared" si="21"/>
        <v>1</v>
      </c>
      <c r="R580" s="1">
        <v>95</v>
      </c>
      <c r="U580" s="8">
        <v>41791</v>
      </c>
    </row>
    <row r="581" spans="1:21" x14ac:dyDescent="0.25">
      <c r="A581" s="2">
        <f t="shared" si="20"/>
        <v>11</v>
      </c>
      <c r="B581" t="s">
        <v>120</v>
      </c>
      <c r="C581" s="2">
        <v>4</v>
      </c>
      <c r="D581" s="2">
        <v>68</v>
      </c>
      <c r="E581" s="2">
        <v>2</v>
      </c>
      <c r="F581" s="2">
        <v>6</v>
      </c>
      <c r="G581" s="2">
        <v>0</v>
      </c>
      <c r="H581" s="2">
        <v>4</v>
      </c>
      <c r="I581" s="2">
        <v>4</v>
      </c>
      <c r="J581" s="1"/>
      <c r="M581" t="s">
        <v>15</v>
      </c>
      <c r="N581" t="str">
        <f>IFERROR(VLOOKUP(B581,'[1]All Player'!$B$2:$C$1992,2,0),"")</f>
        <v>Kamrul Hasan Hridoy</v>
      </c>
      <c r="O581" s="2" t="s">
        <v>509</v>
      </c>
      <c r="P581" s="16" t="s">
        <v>817</v>
      </c>
      <c r="Q581" s="1">
        <f t="shared" si="21"/>
        <v>1</v>
      </c>
      <c r="R581" s="1">
        <v>95</v>
      </c>
      <c r="U581" s="8">
        <v>41791</v>
      </c>
    </row>
    <row r="582" spans="1:21" x14ac:dyDescent="0.25">
      <c r="A582" s="2">
        <f t="shared" si="20"/>
        <v>11</v>
      </c>
      <c r="B582" t="s">
        <v>33</v>
      </c>
      <c r="C582" s="2">
        <v>1</v>
      </c>
      <c r="D582" s="2">
        <v>14</v>
      </c>
      <c r="E582" s="2">
        <v>1</v>
      </c>
      <c r="F582" s="2">
        <v>1</v>
      </c>
      <c r="G582" s="2">
        <v>0</v>
      </c>
      <c r="H582" s="2">
        <v>0</v>
      </c>
      <c r="I582" s="2">
        <v>1</v>
      </c>
      <c r="J582" s="1"/>
      <c r="M582" t="s">
        <v>15</v>
      </c>
      <c r="N582" t="str">
        <f>IFERROR(VLOOKUP(B582,'[1]All Player'!$B$2:$C$1992,2,0),"")</f>
        <v>Rakib Hasan</v>
      </c>
      <c r="O582" s="2" t="s">
        <v>509</v>
      </c>
      <c r="P582" s="16" t="s">
        <v>817</v>
      </c>
      <c r="Q582" s="1">
        <f t="shared" si="21"/>
        <v>1</v>
      </c>
      <c r="R582" s="1">
        <v>95</v>
      </c>
      <c r="U582" s="8">
        <v>41791</v>
      </c>
    </row>
    <row r="583" spans="1:21" ht="15.75" x14ac:dyDescent="0.25">
      <c r="A583" s="2">
        <f>A582</f>
        <v>11</v>
      </c>
      <c r="B583" s="18" t="s">
        <v>818</v>
      </c>
      <c r="C583" s="2" t="s">
        <v>805</v>
      </c>
      <c r="J583" s="1"/>
      <c r="M583" t="s">
        <v>15</v>
      </c>
      <c r="N583" t="str">
        <f>IFERROR(VLOOKUP(B583,'[1]All Player'!$B$2:$C$1992,2,0),"")</f>
        <v/>
      </c>
      <c r="O583" s="2" t="s">
        <v>509</v>
      </c>
      <c r="P583" s="16" t="s">
        <v>818</v>
      </c>
      <c r="Q583" s="1">
        <f t="shared" si="21"/>
        <v>1</v>
      </c>
      <c r="R583" s="1">
        <v>96</v>
      </c>
      <c r="U583" s="8">
        <v>41791</v>
      </c>
    </row>
    <row r="584" spans="1:21" x14ac:dyDescent="0.25">
      <c r="A584" s="2">
        <f t="shared" si="20"/>
        <v>11</v>
      </c>
      <c r="B584" t="s">
        <v>70</v>
      </c>
      <c r="C584" s="2">
        <v>11</v>
      </c>
      <c r="D584" s="2">
        <v>188</v>
      </c>
      <c r="E584" s="2">
        <v>23</v>
      </c>
      <c r="F584" s="2">
        <v>15</v>
      </c>
      <c r="G584" s="2">
        <v>1</v>
      </c>
      <c r="H584" s="2">
        <v>12</v>
      </c>
      <c r="I584" s="2">
        <v>8</v>
      </c>
      <c r="J584" s="1"/>
      <c r="M584" t="s">
        <v>15</v>
      </c>
      <c r="N584" t="str">
        <f>IFERROR(VLOOKUP(B584,'[1]All Player'!$B$2:$C$1992,2,0),"")</f>
        <v>Sheik Helal Ahmed</v>
      </c>
      <c r="O584" s="2" t="s">
        <v>509</v>
      </c>
      <c r="P584" s="16" t="s">
        <v>818</v>
      </c>
      <c r="Q584" s="1">
        <f t="shared" si="21"/>
        <v>1</v>
      </c>
      <c r="R584" s="1">
        <v>96</v>
      </c>
      <c r="U584" s="8">
        <v>41791</v>
      </c>
    </row>
    <row r="585" spans="1:21" x14ac:dyDescent="0.25">
      <c r="A585" s="2">
        <f t="shared" si="20"/>
        <v>11</v>
      </c>
      <c r="B585" t="s">
        <v>118</v>
      </c>
      <c r="C585" s="2">
        <v>11</v>
      </c>
      <c r="D585" s="2">
        <v>311</v>
      </c>
      <c r="E585" s="2">
        <v>12</v>
      </c>
      <c r="F585" s="2">
        <v>19</v>
      </c>
      <c r="G585" s="2">
        <v>1</v>
      </c>
      <c r="H585" s="2">
        <v>20</v>
      </c>
      <c r="I585" s="2">
        <v>22</v>
      </c>
      <c r="J585" s="1"/>
      <c r="M585" t="s">
        <v>15</v>
      </c>
      <c r="N585" t="str">
        <f>IFERROR(VLOOKUP(B585,'[1]All Player'!$B$2:$C$1992,2,0),"")</f>
        <v>Rinkon Khan</v>
      </c>
      <c r="O585" s="2" t="s">
        <v>509</v>
      </c>
      <c r="P585" s="16" t="s">
        <v>818</v>
      </c>
      <c r="Q585" s="1">
        <f t="shared" si="21"/>
        <v>1</v>
      </c>
      <c r="R585" s="1">
        <v>96</v>
      </c>
      <c r="U585" s="8">
        <v>41791</v>
      </c>
    </row>
    <row r="586" spans="1:21" x14ac:dyDescent="0.25">
      <c r="A586" s="2">
        <f t="shared" si="20"/>
        <v>11</v>
      </c>
      <c r="B586" t="s">
        <v>778</v>
      </c>
      <c r="C586" s="2">
        <v>9</v>
      </c>
      <c r="D586" s="2">
        <v>131</v>
      </c>
      <c r="E586" s="2">
        <v>8</v>
      </c>
      <c r="F586" s="2">
        <v>11</v>
      </c>
      <c r="G586" s="2">
        <v>0</v>
      </c>
      <c r="H586" s="2">
        <v>7</v>
      </c>
      <c r="I586" s="2">
        <v>11</v>
      </c>
      <c r="J586" s="1"/>
      <c r="M586" t="s">
        <v>15</v>
      </c>
      <c r="N586" t="str">
        <f>IFERROR(VLOOKUP(B586,'[1]All Player'!$B$2:$C$1992,2,0),"")</f>
        <v>Md. Abutaleb</v>
      </c>
      <c r="O586" s="2" t="s">
        <v>509</v>
      </c>
      <c r="P586" s="16" t="s">
        <v>818</v>
      </c>
      <c r="Q586" s="1">
        <f t="shared" si="21"/>
        <v>1</v>
      </c>
      <c r="R586" s="1">
        <v>96</v>
      </c>
      <c r="U586" s="8">
        <v>41791</v>
      </c>
    </row>
    <row r="587" spans="1:21" x14ac:dyDescent="0.25">
      <c r="A587" s="2">
        <f t="shared" si="20"/>
        <v>11</v>
      </c>
      <c r="B587" t="s">
        <v>298</v>
      </c>
      <c r="C587" s="2">
        <v>7</v>
      </c>
      <c r="D587" s="2">
        <v>133</v>
      </c>
      <c r="E587" s="2">
        <v>3</v>
      </c>
      <c r="F587" s="2">
        <v>10</v>
      </c>
      <c r="G587" s="2">
        <v>1</v>
      </c>
      <c r="H587" s="2">
        <v>6</v>
      </c>
      <c r="I587" s="2">
        <v>13</v>
      </c>
      <c r="J587" s="1"/>
      <c r="M587" t="s">
        <v>15</v>
      </c>
      <c r="N587" t="str">
        <f>IFERROR(VLOOKUP(B587,'[1]All Player'!$B$2:$C$1992,2,0),"")</f>
        <v>Sahed Hossain Masum</v>
      </c>
      <c r="O587" s="2" t="s">
        <v>509</v>
      </c>
      <c r="P587" s="16" t="s">
        <v>818</v>
      </c>
      <c r="Q587" s="1">
        <f t="shared" si="21"/>
        <v>1</v>
      </c>
      <c r="R587" s="1">
        <v>96</v>
      </c>
      <c r="U587" s="8">
        <v>41791</v>
      </c>
    </row>
    <row r="588" spans="1:21" x14ac:dyDescent="0.25">
      <c r="A588" s="2">
        <f t="shared" si="20"/>
        <v>11</v>
      </c>
      <c r="B588" t="s">
        <v>336</v>
      </c>
      <c r="C588" s="2">
        <v>11</v>
      </c>
      <c r="D588" s="2">
        <v>173</v>
      </c>
      <c r="E588" s="2">
        <v>24</v>
      </c>
      <c r="F588" s="2">
        <v>13</v>
      </c>
      <c r="G588" s="2">
        <v>1</v>
      </c>
      <c r="H588" s="2">
        <v>14</v>
      </c>
      <c r="I588" s="2">
        <v>11</v>
      </c>
      <c r="J588" s="1"/>
      <c r="M588" t="s">
        <v>15</v>
      </c>
      <c r="N588" t="str">
        <f>IFERROR(VLOOKUP(B588,'[1]All Player'!$B$2:$C$1992,2,0),"")</f>
        <v>Samiul Meraj</v>
      </c>
      <c r="O588" s="2" t="s">
        <v>509</v>
      </c>
      <c r="P588" s="16" t="s">
        <v>818</v>
      </c>
      <c r="Q588" s="1">
        <f t="shared" si="21"/>
        <v>1</v>
      </c>
      <c r="R588" s="1">
        <v>96</v>
      </c>
      <c r="U588" s="8">
        <v>41791</v>
      </c>
    </row>
    <row r="589" spans="1:21" ht="15.75" x14ac:dyDescent="0.25">
      <c r="A589" s="2">
        <f>A588</f>
        <v>11</v>
      </c>
      <c r="B589" s="18" t="s">
        <v>521</v>
      </c>
      <c r="C589" s="2" t="s">
        <v>805</v>
      </c>
      <c r="J589" s="1"/>
      <c r="M589" t="s">
        <v>15</v>
      </c>
      <c r="N589" t="str">
        <f>IFERROR(VLOOKUP(B589,'[1]All Player'!$B$2:$C$1992,2,0),"")</f>
        <v/>
      </c>
      <c r="O589" s="2" t="s">
        <v>509</v>
      </c>
      <c r="P589" s="16" t="s">
        <v>521</v>
      </c>
      <c r="Q589" s="1">
        <f t="shared" si="21"/>
        <v>1</v>
      </c>
      <c r="R589" s="1">
        <v>97</v>
      </c>
      <c r="U589" s="8">
        <v>41791</v>
      </c>
    </row>
    <row r="590" spans="1:21" x14ac:dyDescent="0.25">
      <c r="A590" s="2">
        <f t="shared" si="20"/>
        <v>11</v>
      </c>
      <c r="B590" t="s">
        <v>29</v>
      </c>
      <c r="C590" s="2">
        <v>9</v>
      </c>
      <c r="D590" s="2">
        <v>82</v>
      </c>
      <c r="E590" s="2">
        <v>13</v>
      </c>
      <c r="F590" s="2">
        <v>10</v>
      </c>
      <c r="G590" s="2">
        <v>1</v>
      </c>
      <c r="H590" s="2">
        <v>10</v>
      </c>
      <c r="I590" s="2">
        <v>4</v>
      </c>
      <c r="J590" s="1"/>
      <c r="M590" t="s">
        <v>15</v>
      </c>
      <c r="N590" t="str">
        <f>IFERROR(VLOOKUP(B590,'[1]All Player'!$B$2:$C$1992,2,0),"")</f>
        <v>Foysal Ahmed Jumon</v>
      </c>
      <c r="O590" s="2" t="s">
        <v>509</v>
      </c>
      <c r="P590" s="16" t="s">
        <v>521</v>
      </c>
      <c r="Q590" s="1">
        <f t="shared" si="21"/>
        <v>1</v>
      </c>
      <c r="R590" s="1">
        <v>97</v>
      </c>
      <c r="U590" s="8">
        <v>41791</v>
      </c>
    </row>
    <row r="591" spans="1:21" x14ac:dyDescent="0.25">
      <c r="A591" s="2">
        <f t="shared" si="20"/>
        <v>11</v>
      </c>
      <c r="B591" t="s">
        <v>104</v>
      </c>
      <c r="C591" s="2">
        <v>7</v>
      </c>
      <c r="D591" s="2">
        <v>144</v>
      </c>
      <c r="E591" s="2">
        <v>8</v>
      </c>
      <c r="F591" s="2">
        <v>7</v>
      </c>
      <c r="G591" s="2">
        <v>0</v>
      </c>
      <c r="H591" s="2">
        <v>9</v>
      </c>
      <c r="I591" s="2">
        <v>6</v>
      </c>
      <c r="J591" s="1"/>
      <c r="M591" t="s">
        <v>15</v>
      </c>
      <c r="N591" t="str">
        <f>IFERROR(VLOOKUP(B591,'[1]All Player'!$B$2:$C$1992,2,0),"")</f>
        <v>Bandhon Podder Pranto</v>
      </c>
      <c r="O591" s="2" t="s">
        <v>509</v>
      </c>
      <c r="P591" s="16" t="s">
        <v>521</v>
      </c>
      <c r="Q591" s="1">
        <f t="shared" si="21"/>
        <v>1</v>
      </c>
      <c r="R591" s="1">
        <v>97</v>
      </c>
      <c r="U591" s="8">
        <v>41791</v>
      </c>
    </row>
    <row r="592" spans="1:21" x14ac:dyDescent="0.25">
      <c r="A592" s="2">
        <f t="shared" si="20"/>
        <v>11</v>
      </c>
      <c r="B592" t="s">
        <v>60</v>
      </c>
      <c r="C592" s="2">
        <v>9</v>
      </c>
      <c r="D592" s="2">
        <v>243</v>
      </c>
      <c r="E592" s="2">
        <v>12</v>
      </c>
      <c r="F592" s="2">
        <v>14</v>
      </c>
      <c r="G592" s="2">
        <v>2</v>
      </c>
      <c r="H592" s="2">
        <v>18</v>
      </c>
      <c r="I592" s="2">
        <v>13</v>
      </c>
      <c r="J592" s="1"/>
      <c r="M592" t="s">
        <v>15</v>
      </c>
      <c r="N592" t="str">
        <f>IFERROR(VLOOKUP(B592,'[1]All Player'!$B$2:$C$1992,2,0),"")</f>
        <v>Jahin Shahriar Chowdhury</v>
      </c>
      <c r="O592" s="2" t="s">
        <v>509</v>
      </c>
      <c r="P592" s="16" t="s">
        <v>521</v>
      </c>
      <c r="Q592" s="1">
        <f t="shared" si="21"/>
        <v>1</v>
      </c>
      <c r="R592" s="1">
        <v>97</v>
      </c>
      <c r="U592" s="8">
        <v>41791</v>
      </c>
    </row>
    <row r="593" spans="1:21" x14ac:dyDescent="0.25">
      <c r="A593" s="2">
        <f t="shared" si="20"/>
        <v>11</v>
      </c>
      <c r="B593" t="s">
        <v>102</v>
      </c>
      <c r="C593" s="2">
        <v>9</v>
      </c>
      <c r="D593" s="2">
        <v>161</v>
      </c>
      <c r="E593" s="2">
        <v>16</v>
      </c>
      <c r="F593" s="2">
        <v>12</v>
      </c>
      <c r="G593" s="2">
        <v>2</v>
      </c>
      <c r="H593" s="2">
        <v>9</v>
      </c>
      <c r="I593" s="2">
        <v>16</v>
      </c>
      <c r="J593" s="1"/>
      <c r="M593" t="s">
        <v>15</v>
      </c>
      <c r="N593" t="str">
        <f>IFERROR(VLOOKUP(B593,'[1]All Player'!$B$2:$C$1992,2,0),"")</f>
        <v>Mustofa Muddassir Mahmud Mashuk</v>
      </c>
      <c r="O593" s="2" t="s">
        <v>509</v>
      </c>
      <c r="P593" s="16" t="s">
        <v>521</v>
      </c>
      <c r="Q593" s="1">
        <f t="shared" si="21"/>
        <v>1</v>
      </c>
      <c r="R593" s="1">
        <v>97</v>
      </c>
      <c r="U593" s="8">
        <v>41791</v>
      </c>
    </row>
    <row r="594" spans="1:21" x14ac:dyDescent="0.25">
      <c r="A594" s="2">
        <f t="shared" si="20"/>
        <v>11</v>
      </c>
      <c r="B594" t="s">
        <v>352</v>
      </c>
      <c r="C594" s="2">
        <v>2</v>
      </c>
      <c r="D594" s="2">
        <v>8</v>
      </c>
      <c r="E594" s="2">
        <v>2</v>
      </c>
      <c r="F594" s="2">
        <v>2</v>
      </c>
      <c r="G594" s="2">
        <v>0</v>
      </c>
      <c r="H594" s="2">
        <v>0</v>
      </c>
      <c r="I594" s="2">
        <v>1</v>
      </c>
      <c r="J594" s="1"/>
      <c r="M594" t="s">
        <v>15</v>
      </c>
      <c r="N594" t="str">
        <f>IFERROR(VLOOKUP(B594,'[1]All Player'!$B$2:$C$1992,2,0),"")</f>
        <v>Moksedur RaHman SoHan (Duronto Sohan)</v>
      </c>
      <c r="O594" s="2" t="s">
        <v>509</v>
      </c>
      <c r="P594" s="16" t="s">
        <v>819</v>
      </c>
      <c r="Q594" s="1">
        <f t="shared" si="21"/>
        <v>1</v>
      </c>
      <c r="R594" s="1">
        <v>98</v>
      </c>
      <c r="T594" s="1" t="s">
        <v>659</v>
      </c>
      <c r="U594" s="8">
        <v>41791</v>
      </c>
    </row>
    <row r="595" spans="1:21" ht="15.75" x14ac:dyDescent="0.25">
      <c r="A595" s="2">
        <f>A594</f>
        <v>11</v>
      </c>
      <c r="B595" s="18" t="s">
        <v>819</v>
      </c>
      <c r="C595" s="2" t="s">
        <v>805</v>
      </c>
      <c r="J595" s="1"/>
      <c r="M595" t="s">
        <v>15</v>
      </c>
      <c r="N595" t="str">
        <f>IFERROR(VLOOKUP(B595,'[1]All Player'!$B$2:$C$1992,2,0),"")</f>
        <v/>
      </c>
      <c r="O595" s="2" t="s">
        <v>509</v>
      </c>
      <c r="P595" s="16" t="s">
        <v>819</v>
      </c>
      <c r="Q595" s="1">
        <f t="shared" si="21"/>
        <v>1</v>
      </c>
      <c r="R595" s="1">
        <v>98</v>
      </c>
      <c r="T595" s="1" t="s">
        <v>659</v>
      </c>
      <c r="U595" s="8">
        <v>41791</v>
      </c>
    </row>
    <row r="596" spans="1:21" x14ac:dyDescent="0.25">
      <c r="A596" s="2">
        <f t="shared" si="20"/>
        <v>11</v>
      </c>
      <c r="B596" t="s">
        <v>201</v>
      </c>
      <c r="C596" s="2">
        <v>10</v>
      </c>
      <c r="D596" s="2">
        <v>82</v>
      </c>
      <c r="E596" s="2">
        <v>17</v>
      </c>
      <c r="F596" s="2">
        <v>11</v>
      </c>
      <c r="G596" s="2">
        <v>0</v>
      </c>
      <c r="H596" s="2">
        <v>5</v>
      </c>
      <c r="I596" s="2">
        <v>7</v>
      </c>
      <c r="J596" s="1"/>
      <c r="M596" t="s">
        <v>15</v>
      </c>
      <c r="N596" t="str">
        <f>IFERROR(VLOOKUP(B596,'[1]All Player'!$B$2:$C$1992,2,0),"")</f>
        <v>A.R. Shohag</v>
      </c>
      <c r="O596" s="2" t="s">
        <v>509</v>
      </c>
      <c r="P596" s="16" t="s">
        <v>819</v>
      </c>
      <c r="Q596" s="1">
        <f t="shared" si="21"/>
        <v>1</v>
      </c>
      <c r="R596" s="1">
        <v>98</v>
      </c>
      <c r="T596" s="1" t="s">
        <v>659</v>
      </c>
      <c r="U596" s="8">
        <v>41791</v>
      </c>
    </row>
    <row r="597" spans="1:21" x14ac:dyDescent="0.25">
      <c r="A597" s="2">
        <f t="shared" si="20"/>
        <v>11</v>
      </c>
      <c r="B597" t="s">
        <v>203</v>
      </c>
      <c r="C597" s="2">
        <v>1</v>
      </c>
      <c r="D597" s="2">
        <v>24</v>
      </c>
      <c r="E597" s="2">
        <v>0</v>
      </c>
      <c r="F597" s="2">
        <v>2</v>
      </c>
      <c r="G597" s="2">
        <v>0</v>
      </c>
      <c r="H597" s="2">
        <v>2</v>
      </c>
      <c r="I597" s="2">
        <v>1</v>
      </c>
      <c r="J597" s="1"/>
      <c r="M597" t="s">
        <v>15</v>
      </c>
      <c r="N597" t="str">
        <f>IFERROR(VLOOKUP(B597,'[1]All Player'!$B$2:$C$1992,2,0),"")</f>
        <v>Rifat Ullah</v>
      </c>
      <c r="O597" s="2" t="s">
        <v>509</v>
      </c>
      <c r="P597" s="16" t="s">
        <v>819</v>
      </c>
      <c r="Q597" s="1">
        <f t="shared" si="21"/>
        <v>1</v>
      </c>
      <c r="R597" s="1">
        <v>98</v>
      </c>
      <c r="T597" s="1" t="s">
        <v>659</v>
      </c>
      <c r="U597" s="8">
        <v>41791</v>
      </c>
    </row>
    <row r="598" spans="1:21" x14ac:dyDescent="0.25">
      <c r="A598" s="2">
        <f t="shared" si="20"/>
        <v>11</v>
      </c>
      <c r="B598" t="s">
        <v>302</v>
      </c>
      <c r="C598" s="2">
        <v>10</v>
      </c>
      <c r="D598" s="2">
        <v>312</v>
      </c>
      <c r="E598" s="2">
        <v>25</v>
      </c>
      <c r="F598" s="2">
        <v>17</v>
      </c>
      <c r="G598" s="2">
        <v>5</v>
      </c>
      <c r="H598" s="2">
        <v>16</v>
      </c>
      <c r="I598" s="2">
        <v>16</v>
      </c>
      <c r="J598" s="1"/>
      <c r="M598" t="s">
        <v>15</v>
      </c>
      <c r="N598" t="str">
        <f>IFERROR(VLOOKUP(B598,'[1]All Player'!$B$2:$C$1992,2,0),"")</f>
        <v>Raihan Al-maMun</v>
      </c>
      <c r="O598" s="2" t="s">
        <v>509</v>
      </c>
      <c r="P598" s="16" t="s">
        <v>819</v>
      </c>
      <c r="Q598" s="1">
        <f t="shared" si="21"/>
        <v>1</v>
      </c>
      <c r="R598" s="1">
        <v>98</v>
      </c>
      <c r="S598" s="2" t="s">
        <v>660</v>
      </c>
      <c r="T598" s="1" t="s">
        <v>659</v>
      </c>
      <c r="U598" s="8">
        <v>41791</v>
      </c>
    </row>
    <row r="599" spans="1:21" x14ac:dyDescent="0.25">
      <c r="A599" s="2">
        <f t="shared" si="20"/>
        <v>11</v>
      </c>
      <c r="B599" t="s">
        <v>154</v>
      </c>
      <c r="C599" s="2">
        <v>11</v>
      </c>
      <c r="D599" s="2">
        <v>167</v>
      </c>
      <c r="E599" s="2">
        <v>11</v>
      </c>
      <c r="F599" s="2">
        <v>17</v>
      </c>
      <c r="G599" s="2">
        <v>0</v>
      </c>
      <c r="H599" s="2">
        <v>15</v>
      </c>
      <c r="I599" s="2">
        <v>14</v>
      </c>
      <c r="J599" s="1"/>
      <c r="M599" t="s">
        <v>15</v>
      </c>
      <c r="N599" t="str">
        <f>IFERROR(VLOOKUP(B599,'[1]All Player'!$B$2:$C$1992,2,0),"")</f>
        <v>Meyaz Al Emon</v>
      </c>
      <c r="O599" s="2" t="s">
        <v>509</v>
      </c>
      <c r="P599" s="16" t="s">
        <v>819</v>
      </c>
      <c r="Q599" s="1">
        <f t="shared" si="21"/>
        <v>1</v>
      </c>
      <c r="R599" s="1">
        <v>98</v>
      </c>
      <c r="T599" s="1" t="s">
        <v>659</v>
      </c>
      <c r="U599" s="8">
        <v>41791</v>
      </c>
    </row>
    <row r="600" spans="1:21" x14ac:dyDescent="0.25">
      <c r="A600" s="2">
        <f t="shared" si="20"/>
        <v>11</v>
      </c>
      <c r="B600" t="s">
        <v>318</v>
      </c>
      <c r="C600" s="2">
        <v>11</v>
      </c>
      <c r="D600" s="2">
        <v>179</v>
      </c>
      <c r="E600" s="2">
        <v>12</v>
      </c>
      <c r="F600" s="2">
        <v>15</v>
      </c>
      <c r="G600" s="2">
        <v>3</v>
      </c>
      <c r="H600" s="2">
        <v>8</v>
      </c>
      <c r="I600" s="2">
        <v>10</v>
      </c>
      <c r="J600" s="1"/>
      <c r="M600" t="s">
        <v>15</v>
      </c>
      <c r="N600" t="str">
        <f>IFERROR(VLOOKUP(B600,'[1]All Player'!$B$2:$C$1992,2,0),"")</f>
        <v>Mazharul Islam Moon</v>
      </c>
      <c r="O600" s="2" t="s">
        <v>509</v>
      </c>
      <c r="P600" s="16" t="s">
        <v>819</v>
      </c>
      <c r="Q600" s="1">
        <f t="shared" si="21"/>
        <v>1</v>
      </c>
      <c r="R600" s="1">
        <v>98</v>
      </c>
      <c r="T600" s="1" t="s">
        <v>659</v>
      </c>
      <c r="U600" s="8">
        <v>41791</v>
      </c>
    </row>
    <row r="601" spans="1:21" x14ac:dyDescent="0.25">
      <c r="A601" s="2">
        <f>A600</f>
        <v>11</v>
      </c>
      <c r="B601" s="17" t="s">
        <v>558</v>
      </c>
      <c r="C601" s="2" t="s">
        <v>805</v>
      </c>
      <c r="J601" s="1"/>
      <c r="M601" t="s">
        <v>15</v>
      </c>
      <c r="N601" t="str">
        <f>IFERROR(VLOOKUP(B601,'[1]All Player'!$B$2:$C$1992,2,0),"")</f>
        <v/>
      </c>
      <c r="O601" s="2" t="s">
        <v>509</v>
      </c>
      <c r="P601" s="16" t="s">
        <v>558</v>
      </c>
      <c r="Q601" s="1">
        <f t="shared" si="21"/>
        <v>1</v>
      </c>
      <c r="R601" s="1">
        <v>99</v>
      </c>
      <c r="U601" s="8">
        <v>41791</v>
      </c>
    </row>
    <row r="602" spans="1:21" x14ac:dyDescent="0.25">
      <c r="A602" s="2">
        <f t="shared" si="20"/>
        <v>11</v>
      </c>
      <c r="B602" t="s">
        <v>146</v>
      </c>
      <c r="C602" s="2">
        <v>5</v>
      </c>
      <c r="D602" s="2">
        <v>41</v>
      </c>
      <c r="E602" s="2">
        <v>10</v>
      </c>
      <c r="F602" s="2">
        <v>10</v>
      </c>
      <c r="G602" s="2">
        <v>1</v>
      </c>
      <c r="H602" s="2">
        <v>3</v>
      </c>
      <c r="I602" s="2">
        <v>3</v>
      </c>
      <c r="J602" s="1"/>
      <c r="M602" t="s">
        <v>15</v>
      </c>
      <c r="N602" t="str">
        <f>IFERROR(VLOOKUP(B602,'[1]All Player'!$B$2:$C$1992,2,0),"")</f>
        <v>Nahid Saifullah</v>
      </c>
      <c r="O602" s="2" t="s">
        <v>509</v>
      </c>
      <c r="P602" s="16" t="s">
        <v>558</v>
      </c>
      <c r="Q602" s="1">
        <f t="shared" si="21"/>
        <v>1</v>
      </c>
      <c r="R602" s="1">
        <v>99</v>
      </c>
      <c r="U602" s="8">
        <v>41791</v>
      </c>
    </row>
    <row r="603" spans="1:21" x14ac:dyDescent="0.25">
      <c r="A603" s="2">
        <f t="shared" si="20"/>
        <v>11</v>
      </c>
      <c r="B603" t="s">
        <v>156</v>
      </c>
      <c r="C603" s="2">
        <v>1</v>
      </c>
      <c r="D603" s="2">
        <v>1</v>
      </c>
      <c r="E603" s="2">
        <v>1</v>
      </c>
      <c r="F603" s="2">
        <v>1</v>
      </c>
      <c r="G603" s="2">
        <v>0</v>
      </c>
      <c r="H603" s="2">
        <v>0</v>
      </c>
      <c r="I603" s="2">
        <v>0</v>
      </c>
      <c r="J603" s="1"/>
      <c r="M603" t="s">
        <v>15</v>
      </c>
      <c r="N603" t="str">
        <f>IFERROR(VLOOKUP(B603,'[1]All Player'!$B$2:$C$1992,2,0),"")</f>
        <v>Prince Tarek</v>
      </c>
      <c r="O603" s="2" t="s">
        <v>509</v>
      </c>
      <c r="P603" s="16" t="s">
        <v>558</v>
      </c>
      <c r="Q603" s="1">
        <f t="shared" si="21"/>
        <v>1</v>
      </c>
      <c r="R603" s="1">
        <v>99</v>
      </c>
      <c r="U603" s="8">
        <v>41791</v>
      </c>
    </row>
    <row r="604" spans="1:21" x14ac:dyDescent="0.25">
      <c r="A604" s="2">
        <f t="shared" si="20"/>
        <v>11</v>
      </c>
      <c r="B604" t="s">
        <v>195</v>
      </c>
      <c r="C604" s="2">
        <v>4</v>
      </c>
      <c r="D604" s="2">
        <v>108</v>
      </c>
      <c r="E604" s="2">
        <v>3</v>
      </c>
      <c r="F604" s="2">
        <v>8</v>
      </c>
      <c r="G604" s="2">
        <v>0</v>
      </c>
      <c r="H604" s="2">
        <v>5</v>
      </c>
      <c r="I604" s="2">
        <v>4</v>
      </c>
      <c r="J604" s="1"/>
      <c r="M604" t="s">
        <v>15</v>
      </c>
      <c r="N604" t="str">
        <f>IFERROR(VLOOKUP(B604,'[1]All Player'!$B$2:$C$1992,2,0),"")</f>
        <v>Hj Himel</v>
      </c>
      <c r="O604" s="2" t="s">
        <v>509</v>
      </c>
      <c r="P604" s="16" t="s">
        <v>558</v>
      </c>
      <c r="Q604" s="1">
        <f t="shared" si="21"/>
        <v>1</v>
      </c>
      <c r="R604" s="1">
        <v>99</v>
      </c>
      <c r="U604" s="8">
        <v>41791</v>
      </c>
    </row>
    <row r="605" spans="1:21" x14ac:dyDescent="0.25">
      <c r="A605" s="2">
        <f t="shared" si="20"/>
        <v>11</v>
      </c>
      <c r="B605" t="s">
        <v>360</v>
      </c>
      <c r="C605" s="2">
        <v>5</v>
      </c>
      <c r="D605" s="2">
        <v>164</v>
      </c>
      <c r="E605" s="2">
        <v>7</v>
      </c>
      <c r="F605" s="2">
        <v>10</v>
      </c>
      <c r="G605" s="2">
        <v>0</v>
      </c>
      <c r="H605" s="2">
        <v>7</v>
      </c>
      <c r="I605" s="2">
        <v>12</v>
      </c>
      <c r="J605" s="1"/>
      <c r="M605" t="s">
        <v>15</v>
      </c>
      <c r="N605" t="str">
        <f>IFERROR(VLOOKUP(B605,'[1]All Player'!$B$2:$C$1992,2,0),"")</f>
        <v>Mamun Hossain Rico</v>
      </c>
      <c r="O605" s="2" t="s">
        <v>509</v>
      </c>
      <c r="P605" s="16" t="s">
        <v>558</v>
      </c>
      <c r="Q605" s="1">
        <f t="shared" si="21"/>
        <v>1</v>
      </c>
      <c r="R605" s="1">
        <v>99</v>
      </c>
      <c r="U605" s="8">
        <v>41791</v>
      </c>
    </row>
    <row r="606" spans="1:21" x14ac:dyDescent="0.25">
      <c r="A606" s="2">
        <f t="shared" si="20"/>
        <v>11</v>
      </c>
      <c r="B606" t="s">
        <v>291</v>
      </c>
      <c r="C606" s="2">
        <v>4</v>
      </c>
      <c r="D606" s="2">
        <v>12</v>
      </c>
      <c r="E606" s="2">
        <v>0</v>
      </c>
      <c r="F606" s="2">
        <v>5</v>
      </c>
      <c r="G606" s="2">
        <v>0</v>
      </c>
      <c r="H606" s="2">
        <v>0</v>
      </c>
      <c r="I606" s="2">
        <v>0</v>
      </c>
      <c r="J606" s="1"/>
      <c r="M606" t="s">
        <v>15</v>
      </c>
      <c r="N606" t="str">
        <f>IFERROR(VLOOKUP(B606,'[1]All Player'!$B$2:$C$1992,2,0),"")</f>
        <v>Taho D. Ace</v>
      </c>
      <c r="O606" s="2" t="s">
        <v>509</v>
      </c>
      <c r="P606" s="16" t="s">
        <v>558</v>
      </c>
      <c r="Q606" s="1">
        <f t="shared" si="21"/>
        <v>1</v>
      </c>
      <c r="R606" s="1">
        <v>99</v>
      </c>
      <c r="U606" s="8">
        <v>41791</v>
      </c>
    </row>
    <row r="607" spans="1:21" x14ac:dyDescent="0.25">
      <c r="A607" s="2">
        <f>A606</f>
        <v>11</v>
      </c>
      <c r="B607" t="s">
        <v>820</v>
      </c>
      <c r="C607" s="2" t="s">
        <v>805</v>
      </c>
      <c r="J607" s="1"/>
      <c r="M607" t="s">
        <v>15</v>
      </c>
      <c r="N607" t="str">
        <f>IFERROR(VLOOKUP(B607,'[1]All Player'!$B$2:$C$1992,2,0),"")</f>
        <v/>
      </c>
      <c r="O607" s="2" t="s">
        <v>509</v>
      </c>
      <c r="P607" s="16" t="s">
        <v>821</v>
      </c>
      <c r="Q607" s="1">
        <f t="shared" si="21"/>
        <v>1</v>
      </c>
      <c r="R607" s="1">
        <v>100</v>
      </c>
      <c r="T607" s="1" t="s">
        <v>657</v>
      </c>
      <c r="U607" s="8">
        <v>41791</v>
      </c>
    </row>
    <row r="608" spans="1:21" x14ac:dyDescent="0.25">
      <c r="A608" s="2">
        <f t="shared" ref="A608:A671" si="22">A607</f>
        <v>11</v>
      </c>
      <c r="B608" t="s">
        <v>282</v>
      </c>
      <c r="C608" s="2">
        <v>11</v>
      </c>
      <c r="D608" s="2">
        <v>120</v>
      </c>
      <c r="E608" s="2">
        <v>13</v>
      </c>
      <c r="F608" s="2">
        <v>9</v>
      </c>
      <c r="G608" s="2">
        <v>1</v>
      </c>
      <c r="H608" s="2">
        <v>8</v>
      </c>
      <c r="I608" s="2">
        <v>10</v>
      </c>
      <c r="J608" s="1"/>
      <c r="M608" t="s">
        <v>15</v>
      </c>
      <c r="N608" t="str">
        <f>IFERROR(VLOOKUP(B608,'[1]All Player'!$B$2:$C$1992,2,0),"")</f>
        <v>Mohammad Asif</v>
      </c>
      <c r="O608" s="2" t="s">
        <v>509</v>
      </c>
      <c r="P608" s="16" t="s">
        <v>821</v>
      </c>
      <c r="Q608" s="1">
        <f t="shared" si="21"/>
        <v>1</v>
      </c>
      <c r="R608" s="1">
        <v>100</v>
      </c>
      <c r="T608" s="1" t="s">
        <v>657</v>
      </c>
      <c r="U608" s="8">
        <v>41791</v>
      </c>
    </row>
    <row r="609" spans="1:21" x14ac:dyDescent="0.25">
      <c r="A609" s="2">
        <f t="shared" si="22"/>
        <v>11</v>
      </c>
      <c r="B609" t="s">
        <v>114</v>
      </c>
      <c r="C609" s="2">
        <v>11</v>
      </c>
      <c r="D609" s="2">
        <v>211</v>
      </c>
      <c r="E609" s="2">
        <v>13</v>
      </c>
      <c r="F609" s="2">
        <v>12</v>
      </c>
      <c r="G609" s="2">
        <v>2</v>
      </c>
      <c r="H609" s="2">
        <v>18</v>
      </c>
      <c r="I609" s="2">
        <v>13</v>
      </c>
      <c r="J609" s="1"/>
      <c r="M609" t="s">
        <v>15</v>
      </c>
      <c r="N609" t="str">
        <f>IFERROR(VLOOKUP(B609,'[1]All Player'!$B$2:$C$1992,2,0),"")</f>
        <v>Tanvir Shakib</v>
      </c>
      <c r="O609" s="2" t="s">
        <v>509</v>
      </c>
      <c r="P609" s="16" t="s">
        <v>821</v>
      </c>
      <c r="Q609" s="1">
        <f t="shared" si="21"/>
        <v>1</v>
      </c>
      <c r="R609" s="1">
        <v>100</v>
      </c>
      <c r="T609" s="1" t="s">
        <v>657</v>
      </c>
      <c r="U609" s="8">
        <v>41791</v>
      </c>
    </row>
    <row r="610" spans="1:21" x14ac:dyDescent="0.25">
      <c r="A610" s="2">
        <f t="shared" si="22"/>
        <v>11</v>
      </c>
      <c r="B610" t="s">
        <v>169</v>
      </c>
      <c r="C610" s="2">
        <v>11</v>
      </c>
      <c r="D610" s="2">
        <v>121</v>
      </c>
      <c r="E610" s="2">
        <v>11</v>
      </c>
      <c r="F610" s="2">
        <v>13</v>
      </c>
      <c r="G610" s="2">
        <v>2</v>
      </c>
      <c r="H610" s="2">
        <v>10</v>
      </c>
      <c r="I610" s="2">
        <v>8</v>
      </c>
      <c r="J610" s="1"/>
      <c r="M610" t="s">
        <v>15</v>
      </c>
      <c r="N610" t="str">
        <f>IFERROR(VLOOKUP(B610,'[1]All Player'!$B$2:$C$1992,2,0),"")</f>
        <v>Saiful Islam</v>
      </c>
      <c r="O610" s="2" t="s">
        <v>509</v>
      </c>
      <c r="P610" s="16" t="s">
        <v>821</v>
      </c>
      <c r="Q610" s="1">
        <f t="shared" si="21"/>
        <v>1</v>
      </c>
      <c r="R610" s="1">
        <v>100</v>
      </c>
      <c r="T610" s="1" t="s">
        <v>657</v>
      </c>
      <c r="U610" s="8">
        <v>41791</v>
      </c>
    </row>
    <row r="611" spans="1:21" x14ac:dyDescent="0.25">
      <c r="A611" s="2">
        <f t="shared" si="22"/>
        <v>11</v>
      </c>
      <c r="B611" t="s">
        <v>173</v>
      </c>
      <c r="C611" s="2">
        <v>11</v>
      </c>
      <c r="D611" s="2">
        <v>185</v>
      </c>
      <c r="E611" s="2">
        <v>14</v>
      </c>
      <c r="F611" s="2">
        <v>11</v>
      </c>
      <c r="G611" s="2">
        <v>0</v>
      </c>
      <c r="H611" s="2">
        <v>13</v>
      </c>
      <c r="I611" s="2">
        <v>11</v>
      </c>
      <c r="J611" s="1"/>
      <c r="M611" t="s">
        <v>15</v>
      </c>
      <c r="N611" t="str">
        <f>IFERROR(VLOOKUP(B611,'[1]All Player'!$B$2:$C$1992,2,0),"")</f>
        <v>Sajjadul Haque Sagar</v>
      </c>
      <c r="O611" s="2" t="s">
        <v>509</v>
      </c>
      <c r="P611" s="16" t="s">
        <v>821</v>
      </c>
      <c r="Q611" s="1">
        <f t="shared" si="21"/>
        <v>1</v>
      </c>
      <c r="R611" s="1">
        <v>100</v>
      </c>
      <c r="T611" s="1" t="s">
        <v>657</v>
      </c>
      <c r="U611" s="8">
        <v>41791</v>
      </c>
    </row>
    <row r="612" spans="1:21" x14ac:dyDescent="0.25">
      <c r="A612" s="2">
        <f t="shared" si="22"/>
        <v>11</v>
      </c>
      <c r="B612" t="s">
        <v>228</v>
      </c>
      <c r="C612" s="2">
        <v>11</v>
      </c>
      <c r="D612" s="2">
        <v>191</v>
      </c>
      <c r="E612" s="24">
        <v>16</v>
      </c>
      <c r="F612" s="2">
        <v>10</v>
      </c>
      <c r="G612" s="2">
        <v>4</v>
      </c>
      <c r="H612" s="2">
        <v>17</v>
      </c>
      <c r="I612" s="2">
        <v>12</v>
      </c>
      <c r="J612" s="1"/>
      <c r="M612" t="s">
        <v>15</v>
      </c>
      <c r="N612" t="str">
        <f>IFERROR(VLOOKUP(B612,'[1]All Player'!$B$2:$C$1992,2,0),"")</f>
        <v>Arif Ziad</v>
      </c>
      <c r="O612" s="2" t="s">
        <v>509</v>
      </c>
      <c r="P612" s="16" t="s">
        <v>821</v>
      </c>
      <c r="Q612" s="1">
        <f t="shared" si="21"/>
        <v>1</v>
      </c>
      <c r="R612" s="1">
        <v>100</v>
      </c>
      <c r="T612" s="1" t="s">
        <v>657</v>
      </c>
      <c r="U612" s="8">
        <v>41791</v>
      </c>
    </row>
    <row r="613" spans="1:21" x14ac:dyDescent="0.25">
      <c r="A613" s="2">
        <f>A612</f>
        <v>11</v>
      </c>
      <c r="B613" t="s">
        <v>822</v>
      </c>
      <c r="C613" s="2" t="s">
        <v>805</v>
      </c>
      <c r="J613" s="1"/>
      <c r="M613" t="s">
        <v>15</v>
      </c>
      <c r="N613" t="str">
        <f>IFERROR(VLOOKUP(B613,'[1]All Player'!$B$2:$C$1992,2,0),"")</f>
        <v/>
      </c>
      <c r="O613" s="2" t="s">
        <v>509</v>
      </c>
      <c r="P613" s="16" t="s">
        <v>823</v>
      </c>
      <c r="Q613" s="1">
        <f t="shared" si="21"/>
        <v>1</v>
      </c>
      <c r="R613" s="1">
        <v>101</v>
      </c>
      <c r="U613" s="8">
        <v>41791</v>
      </c>
    </row>
    <row r="614" spans="1:21" x14ac:dyDescent="0.25">
      <c r="A614" s="2">
        <f t="shared" si="22"/>
        <v>11</v>
      </c>
      <c r="B614" t="s">
        <v>223</v>
      </c>
      <c r="C614" s="2">
        <v>4</v>
      </c>
      <c r="D614" s="2">
        <v>115</v>
      </c>
      <c r="E614" s="2">
        <v>5</v>
      </c>
      <c r="F614" s="2">
        <v>9</v>
      </c>
      <c r="G614" s="2">
        <v>0</v>
      </c>
      <c r="H614" s="2">
        <v>8</v>
      </c>
      <c r="I614" s="2">
        <v>10</v>
      </c>
      <c r="J614" s="1"/>
      <c r="M614" t="s">
        <v>15</v>
      </c>
      <c r="N614" t="str">
        <f>IFERROR(VLOOKUP(B614,'[1]All Player'!$B$2:$C$1992,2,0),"")</f>
        <v>Saiful Rahat</v>
      </c>
      <c r="O614" s="2" t="s">
        <v>509</v>
      </c>
      <c r="P614" s="16" t="s">
        <v>823</v>
      </c>
      <c r="Q614" s="1">
        <f t="shared" si="21"/>
        <v>1</v>
      </c>
      <c r="R614" s="1">
        <v>101</v>
      </c>
      <c r="U614" s="8">
        <v>41791</v>
      </c>
    </row>
    <row r="615" spans="1:21" x14ac:dyDescent="0.25">
      <c r="A615" s="2">
        <f t="shared" si="22"/>
        <v>11</v>
      </c>
      <c r="B615" t="s">
        <v>790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1"/>
      <c r="M615" t="s">
        <v>15</v>
      </c>
      <c r="N615" t="str">
        <f>IFERROR(VLOOKUP(B615,'[1]All Player'!$B$2:$C$1992,2,0),"")</f>
        <v>Oli Ullah</v>
      </c>
      <c r="O615" s="2" t="s">
        <v>509</v>
      </c>
      <c r="P615" s="16" t="s">
        <v>823</v>
      </c>
      <c r="Q615" s="1">
        <f t="shared" si="21"/>
        <v>1</v>
      </c>
      <c r="R615" s="1">
        <v>101</v>
      </c>
      <c r="U615" s="8">
        <v>41791</v>
      </c>
    </row>
    <row r="616" spans="1:21" x14ac:dyDescent="0.25">
      <c r="A616" s="2">
        <f t="shared" si="22"/>
        <v>11</v>
      </c>
      <c r="B616" t="s">
        <v>346</v>
      </c>
      <c r="C616" s="2">
        <v>4</v>
      </c>
      <c r="D616" s="2">
        <v>68</v>
      </c>
      <c r="E616" s="2">
        <v>5</v>
      </c>
      <c r="F616" s="2">
        <v>9</v>
      </c>
      <c r="G616" s="2">
        <v>0</v>
      </c>
      <c r="H616" s="2">
        <v>1</v>
      </c>
      <c r="I616" s="2">
        <v>3</v>
      </c>
      <c r="J616" s="1"/>
      <c r="M616" t="s">
        <v>15</v>
      </c>
      <c r="N616" t="str">
        <f>IFERROR(VLOOKUP(B616,'[1]All Player'!$B$2:$C$1992,2,0),"")</f>
        <v>Zamil Khan</v>
      </c>
      <c r="O616" s="2" t="s">
        <v>509</v>
      </c>
      <c r="P616" s="16" t="s">
        <v>823</v>
      </c>
      <c r="Q616" s="1">
        <f t="shared" si="21"/>
        <v>1</v>
      </c>
      <c r="R616" s="1">
        <v>101</v>
      </c>
      <c r="U616" s="8">
        <v>41791</v>
      </c>
    </row>
    <row r="617" spans="1:21" x14ac:dyDescent="0.25">
      <c r="A617" s="2">
        <f t="shared" si="22"/>
        <v>11</v>
      </c>
      <c r="B617" t="s">
        <v>38</v>
      </c>
      <c r="C617" s="2">
        <v>1</v>
      </c>
      <c r="D617" s="2">
        <v>0</v>
      </c>
      <c r="E617" s="2">
        <v>1</v>
      </c>
      <c r="F617" s="2">
        <v>1</v>
      </c>
      <c r="G617" s="2">
        <v>0</v>
      </c>
      <c r="H617" s="2">
        <v>0</v>
      </c>
      <c r="I617" s="2">
        <v>0</v>
      </c>
      <c r="J617" s="1"/>
      <c r="M617" t="s">
        <v>15</v>
      </c>
      <c r="N617" t="str">
        <f>IFERROR(VLOOKUP(B617,'[1]All Player'!$B$2:$C$1992,2,0),"")</f>
        <v>Rayhan Rahman</v>
      </c>
      <c r="O617" s="2" t="s">
        <v>509</v>
      </c>
      <c r="P617" s="16" t="s">
        <v>823</v>
      </c>
      <c r="Q617" s="1">
        <f t="shared" si="21"/>
        <v>1</v>
      </c>
      <c r="R617" s="1">
        <v>101</v>
      </c>
      <c r="U617" s="8">
        <v>41791</v>
      </c>
    </row>
    <row r="618" spans="1:21" x14ac:dyDescent="0.25">
      <c r="A618" s="2">
        <f t="shared" si="22"/>
        <v>11</v>
      </c>
      <c r="B618" t="s">
        <v>772</v>
      </c>
      <c r="C618" s="2">
        <v>4</v>
      </c>
      <c r="D618" s="2">
        <v>49</v>
      </c>
      <c r="E618" s="2">
        <v>1</v>
      </c>
      <c r="F618" s="2">
        <v>7</v>
      </c>
      <c r="G618" s="2">
        <v>0</v>
      </c>
      <c r="H618" s="2">
        <v>2</v>
      </c>
      <c r="I618" s="2">
        <v>2</v>
      </c>
      <c r="J618" s="1"/>
      <c r="M618" t="s">
        <v>15</v>
      </c>
      <c r="N618" t="str">
        <f>IFERROR(VLOOKUP(B618,'[1]All Player'!$B$2:$C$1992,2,0),"")</f>
        <v>Ashikur Rahman Ashik</v>
      </c>
      <c r="O618" s="2" t="s">
        <v>509</v>
      </c>
      <c r="P618" s="16" t="s">
        <v>823</v>
      </c>
      <c r="Q618" s="1">
        <f t="shared" si="21"/>
        <v>1</v>
      </c>
      <c r="R618" s="1">
        <v>101</v>
      </c>
      <c r="U618" s="8">
        <v>41791</v>
      </c>
    </row>
    <row r="619" spans="1:21" x14ac:dyDescent="0.25">
      <c r="A619" s="2">
        <f t="shared" si="22"/>
        <v>11</v>
      </c>
      <c r="B619" t="s">
        <v>95</v>
      </c>
      <c r="C619" s="2">
        <v>1</v>
      </c>
      <c r="D619" s="2">
        <v>26</v>
      </c>
      <c r="E619" s="2">
        <v>2</v>
      </c>
      <c r="F619" s="2">
        <v>2</v>
      </c>
      <c r="G619" s="2">
        <v>1</v>
      </c>
      <c r="H619" s="2">
        <v>3</v>
      </c>
      <c r="I619" s="2">
        <v>1</v>
      </c>
      <c r="J619" s="1"/>
      <c r="M619" t="s">
        <v>15</v>
      </c>
      <c r="N619" t="str">
        <f>IFERROR(VLOOKUP(B619,'[1]All Player'!$B$2:$C$1992,2,0),"")</f>
        <v>Sadrul Anam</v>
      </c>
      <c r="O619" s="2" t="s">
        <v>509</v>
      </c>
      <c r="P619" s="16" t="s">
        <v>823</v>
      </c>
      <c r="Q619" s="1">
        <f t="shared" si="21"/>
        <v>1</v>
      </c>
      <c r="R619" s="1">
        <v>101</v>
      </c>
      <c r="U619" s="8">
        <v>41791</v>
      </c>
    </row>
    <row r="620" spans="1:21" x14ac:dyDescent="0.25">
      <c r="A620" s="2">
        <f t="shared" si="22"/>
        <v>11</v>
      </c>
      <c r="B620" t="s">
        <v>824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1"/>
      <c r="M620" t="s">
        <v>15</v>
      </c>
      <c r="N620" t="str">
        <f>IFERROR(VLOOKUP(B620,'[1]All Player'!$B$2:$C$1992,2,0),"")</f>
        <v>Jøwël Chý</v>
      </c>
      <c r="O620" s="2" t="s">
        <v>509</v>
      </c>
      <c r="P620" s="16" t="s">
        <v>823</v>
      </c>
      <c r="Q620" s="1">
        <f t="shared" si="21"/>
        <v>1</v>
      </c>
      <c r="R620" s="1">
        <v>101</v>
      </c>
      <c r="U620" s="8">
        <v>41791</v>
      </c>
    </row>
    <row r="621" spans="1:21" x14ac:dyDescent="0.25">
      <c r="A621" s="2">
        <v>12</v>
      </c>
      <c r="B621" t="s">
        <v>594</v>
      </c>
      <c r="J621" s="1"/>
      <c r="M621" t="s">
        <v>15</v>
      </c>
      <c r="N621" t="str">
        <f>IFERROR(VLOOKUP(B621,'[1]All Player'!$B$2:$C$1992,2,0),"")</f>
        <v/>
      </c>
      <c r="O621" s="2" t="s">
        <v>522</v>
      </c>
      <c r="P621" s="16" t="s">
        <v>594</v>
      </c>
      <c r="Q621" s="1">
        <f t="shared" si="21"/>
        <v>1</v>
      </c>
      <c r="R621" s="1">
        <v>102</v>
      </c>
      <c r="U621" s="8">
        <v>42339</v>
      </c>
    </row>
    <row r="622" spans="1:21" x14ac:dyDescent="0.25">
      <c r="A622" s="2">
        <f t="shared" si="22"/>
        <v>12</v>
      </c>
      <c r="B622" t="s">
        <v>138</v>
      </c>
      <c r="C622" s="2">
        <v>4</v>
      </c>
      <c r="D622" s="2">
        <v>29</v>
      </c>
      <c r="E622" s="2">
        <v>5</v>
      </c>
      <c r="F622" s="2">
        <v>5</v>
      </c>
      <c r="G622" s="2">
        <v>0</v>
      </c>
      <c r="H622" s="2">
        <v>5</v>
      </c>
      <c r="I622" s="2">
        <v>0</v>
      </c>
      <c r="J622" s="1"/>
      <c r="M622" t="s">
        <v>15</v>
      </c>
      <c r="N622" t="str">
        <f>IFERROR(VLOOKUP(B622,'[1]All Player'!$B$2:$C$1992,2,0),"")</f>
        <v>Asif Iqbal Khan</v>
      </c>
      <c r="O622" s="2" t="s">
        <v>522</v>
      </c>
      <c r="P622" s="16" t="s">
        <v>594</v>
      </c>
      <c r="Q622" s="1">
        <f t="shared" si="21"/>
        <v>1</v>
      </c>
      <c r="R622" s="1">
        <v>102</v>
      </c>
      <c r="U622" s="8">
        <f t="array" ref="U622:U692">U621</f>
        <v>42339</v>
      </c>
    </row>
    <row r="623" spans="1:21" x14ac:dyDescent="0.25">
      <c r="A623" s="2">
        <f t="shared" si="22"/>
        <v>12</v>
      </c>
      <c r="B623" t="s">
        <v>76</v>
      </c>
      <c r="C623" s="2">
        <v>4</v>
      </c>
      <c r="D623" s="2">
        <v>99</v>
      </c>
      <c r="E623" s="2">
        <v>6</v>
      </c>
      <c r="F623" s="2">
        <v>8</v>
      </c>
      <c r="G623" s="2">
        <v>1</v>
      </c>
      <c r="H623" s="2">
        <v>10</v>
      </c>
      <c r="I623" s="2">
        <v>4</v>
      </c>
      <c r="J623" s="1"/>
      <c r="M623" t="s">
        <v>15</v>
      </c>
      <c r="N623" t="str">
        <f>IFERROR(VLOOKUP(B623,'[1]All Player'!$B$2:$C$1992,2,0),"")</f>
        <v>Kamil Ahmed</v>
      </c>
      <c r="O623" s="2" t="s">
        <v>522</v>
      </c>
      <c r="P623" s="16" t="s">
        <v>594</v>
      </c>
      <c r="Q623" s="1">
        <f t="shared" si="21"/>
        <v>1</v>
      </c>
      <c r="R623" s="1">
        <v>102</v>
      </c>
      <c r="U623" s="8">
        <v>42339</v>
      </c>
    </row>
    <row r="624" spans="1:21" x14ac:dyDescent="0.25">
      <c r="A624" s="2">
        <f t="shared" si="22"/>
        <v>12</v>
      </c>
      <c r="B624" t="s">
        <v>352</v>
      </c>
      <c r="C624" s="2">
        <v>5</v>
      </c>
      <c r="D624" s="2">
        <v>113</v>
      </c>
      <c r="E624" s="2">
        <v>5</v>
      </c>
      <c r="F624" s="2">
        <v>8</v>
      </c>
      <c r="G624" s="2">
        <v>1</v>
      </c>
      <c r="H624" s="2">
        <v>11</v>
      </c>
      <c r="I624" s="2">
        <v>8</v>
      </c>
      <c r="J624" s="1"/>
      <c r="M624" t="s">
        <v>15</v>
      </c>
      <c r="N624" t="str">
        <f>IFERROR(VLOOKUP(B624,'[1]All Player'!$B$2:$C$1992,2,0),"")</f>
        <v>Moksedur RaHman SoHan (Duronto Sohan)</v>
      </c>
      <c r="O624" s="2" t="s">
        <v>522</v>
      </c>
      <c r="P624" s="16" t="s">
        <v>594</v>
      </c>
      <c r="Q624" s="1">
        <f t="shared" si="21"/>
        <v>1</v>
      </c>
      <c r="R624" s="1">
        <v>102</v>
      </c>
      <c r="U624" s="8">
        <v>42339</v>
      </c>
    </row>
    <row r="625" spans="1:22" x14ac:dyDescent="0.25">
      <c r="A625" s="2">
        <f t="shared" si="22"/>
        <v>12</v>
      </c>
      <c r="B625" t="s">
        <v>362</v>
      </c>
      <c r="C625" s="2">
        <v>4</v>
      </c>
      <c r="D625" s="2">
        <v>91</v>
      </c>
      <c r="E625" s="2">
        <v>5</v>
      </c>
      <c r="F625" s="2">
        <v>10</v>
      </c>
      <c r="G625" s="2">
        <v>1</v>
      </c>
      <c r="H625" s="2">
        <v>3</v>
      </c>
      <c r="I625" s="2">
        <v>5</v>
      </c>
      <c r="J625" s="1"/>
      <c r="M625" t="s">
        <v>15</v>
      </c>
      <c r="N625" t="str">
        <f>IFERROR(VLOOKUP(B625,'[1]All Player'!$B$2:$C$1992,2,0),"")</f>
        <v>Istiak Ahamed Emon</v>
      </c>
      <c r="O625" s="2" t="s">
        <v>522</v>
      </c>
      <c r="P625" s="16" t="s">
        <v>594</v>
      </c>
      <c r="Q625" s="1">
        <f t="shared" si="21"/>
        <v>1</v>
      </c>
      <c r="R625" s="1">
        <v>102</v>
      </c>
      <c r="U625" s="8">
        <v>42339</v>
      </c>
    </row>
    <row r="626" spans="1:22" x14ac:dyDescent="0.25">
      <c r="A626" s="2">
        <f t="shared" si="22"/>
        <v>12</v>
      </c>
      <c r="B626" t="s">
        <v>661</v>
      </c>
      <c r="C626" s="2">
        <v>3</v>
      </c>
      <c r="D626" s="2">
        <v>58</v>
      </c>
      <c r="E626" s="2">
        <v>6</v>
      </c>
      <c r="F626" s="2">
        <v>3</v>
      </c>
      <c r="G626" s="2">
        <v>0</v>
      </c>
      <c r="H626" s="2">
        <v>4</v>
      </c>
      <c r="I626" s="2">
        <v>4</v>
      </c>
      <c r="J626" s="1"/>
      <c r="M626" t="s">
        <v>15</v>
      </c>
      <c r="N626" t="str">
        <f>IFERROR(VLOOKUP(B626,'[1]All Player'!$B$2:$C$1992,2,0),"")</f>
        <v>Sakhawat Hossain Shanto</v>
      </c>
      <c r="O626" s="2" t="s">
        <v>522</v>
      </c>
      <c r="P626" s="16" t="s">
        <v>594</v>
      </c>
      <c r="Q626" s="1">
        <f t="shared" si="21"/>
        <v>1</v>
      </c>
      <c r="R626" s="1">
        <v>102</v>
      </c>
      <c r="U626" s="8">
        <v>42339</v>
      </c>
    </row>
    <row r="627" spans="1:22" x14ac:dyDescent="0.25">
      <c r="A627" s="2">
        <f t="shared" si="22"/>
        <v>12</v>
      </c>
      <c r="B627" t="s">
        <v>557</v>
      </c>
      <c r="J627" s="1"/>
      <c r="M627" t="s">
        <v>15</v>
      </c>
      <c r="N627" t="str">
        <f>IFERROR(VLOOKUP(B627,'[1]All Player'!$B$2:$C$1992,2,0),"")</f>
        <v/>
      </c>
      <c r="O627" s="2" t="s">
        <v>522</v>
      </c>
      <c r="P627" s="16" t="s">
        <v>557</v>
      </c>
      <c r="Q627" s="1">
        <f t="shared" si="21"/>
        <v>1</v>
      </c>
      <c r="R627" s="1">
        <v>103</v>
      </c>
      <c r="U627" s="8">
        <v>42339</v>
      </c>
    </row>
    <row r="628" spans="1:22" x14ac:dyDescent="0.25">
      <c r="A628" s="2">
        <f t="shared" si="22"/>
        <v>12</v>
      </c>
      <c r="B628" t="s">
        <v>64</v>
      </c>
      <c r="C628" s="2">
        <v>4</v>
      </c>
      <c r="D628" s="2">
        <v>21</v>
      </c>
      <c r="E628" s="2">
        <v>7</v>
      </c>
      <c r="F628" s="2">
        <v>5</v>
      </c>
      <c r="G628" s="2">
        <v>0</v>
      </c>
      <c r="H628" s="2">
        <v>0</v>
      </c>
      <c r="I628" s="2">
        <v>3</v>
      </c>
      <c r="J628" s="1"/>
      <c r="M628" t="s">
        <v>15</v>
      </c>
      <c r="N628" t="str">
        <f>IFERROR(VLOOKUP(B628,'[1]All Player'!$B$2:$C$1992,2,0),"")</f>
        <v>Sumon Ab</v>
      </c>
      <c r="O628" s="2" t="s">
        <v>522</v>
      </c>
      <c r="P628" s="16" t="s">
        <v>557</v>
      </c>
      <c r="Q628" s="1">
        <f t="shared" si="21"/>
        <v>1</v>
      </c>
      <c r="R628" s="1">
        <v>103</v>
      </c>
      <c r="U628" s="8">
        <v>42339</v>
      </c>
    </row>
    <row r="629" spans="1:22" x14ac:dyDescent="0.25">
      <c r="A629" s="2">
        <f t="shared" si="22"/>
        <v>12</v>
      </c>
      <c r="B629" t="s">
        <v>29</v>
      </c>
      <c r="C629" s="2">
        <v>5</v>
      </c>
      <c r="D629" s="2">
        <v>128</v>
      </c>
      <c r="E629" s="2">
        <v>8</v>
      </c>
      <c r="F629" s="2">
        <v>9</v>
      </c>
      <c r="G629" s="2">
        <v>1</v>
      </c>
      <c r="H629" s="2">
        <v>17</v>
      </c>
      <c r="I629" s="2">
        <v>8</v>
      </c>
      <c r="J629" s="1"/>
      <c r="M629" t="s">
        <v>15</v>
      </c>
      <c r="N629" t="str">
        <f>IFERROR(VLOOKUP(B629,'[1]All Player'!$B$2:$C$1992,2,0),"")</f>
        <v>Foysal Ahmed Jumon</v>
      </c>
      <c r="O629" s="2" t="s">
        <v>522</v>
      </c>
      <c r="P629" s="16" t="s">
        <v>557</v>
      </c>
      <c r="Q629" s="1">
        <f t="shared" si="21"/>
        <v>1</v>
      </c>
      <c r="R629" s="1">
        <v>103</v>
      </c>
      <c r="U629" s="8">
        <v>42339</v>
      </c>
    </row>
    <row r="630" spans="1:22" x14ac:dyDescent="0.25">
      <c r="A630" s="2">
        <f t="shared" si="22"/>
        <v>12</v>
      </c>
      <c r="B630" t="s">
        <v>302</v>
      </c>
      <c r="C630" s="2">
        <v>4</v>
      </c>
      <c r="D630" s="2">
        <v>100</v>
      </c>
      <c r="E630" s="2">
        <v>4</v>
      </c>
      <c r="F630" s="2">
        <v>6</v>
      </c>
      <c r="G630" s="2">
        <v>1</v>
      </c>
      <c r="H630" s="2">
        <v>6</v>
      </c>
      <c r="I630" s="2">
        <v>10</v>
      </c>
      <c r="J630" s="1"/>
      <c r="M630" t="s">
        <v>15</v>
      </c>
      <c r="N630" t="str">
        <f>IFERROR(VLOOKUP(B630,'[1]All Player'!$B$2:$C$1992,2,0),"")</f>
        <v>Raihan Al-maMun</v>
      </c>
      <c r="O630" s="2" t="s">
        <v>522</v>
      </c>
      <c r="P630" s="16" t="s">
        <v>557</v>
      </c>
      <c r="Q630" s="1">
        <f t="shared" si="21"/>
        <v>1</v>
      </c>
      <c r="R630" s="1">
        <v>103</v>
      </c>
      <c r="U630" s="8">
        <v>42339</v>
      </c>
    </row>
    <row r="631" spans="1:22" x14ac:dyDescent="0.25">
      <c r="A631" s="2">
        <f t="shared" si="22"/>
        <v>12</v>
      </c>
      <c r="B631" t="s">
        <v>197</v>
      </c>
      <c r="C631" s="2">
        <v>3</v>
      </c>
      <c r="D631" s="2">
        <v>84</v>
      </c>
      <c r="E631" s="2">
        <v>1</v>
      </c>
      <c r="F631" s="2">
        <v>5</v>
      </c>
      <c r="G631" s="2">
        <v>0</v>
      </c>
      <c r="H631" s="2">
        <v>5</v>
      </c>
      <c r="I631" s="2">
        <v>3</v>
      </c>
      <c r="J631" s="1"/>
      <c r="M631" t="s">
        <v>15</v>
      </c>
      <c r="N631" t="str">
        <f>IFERROR(VLOOKUP(B631,'[1]All Player'!$B$2:$C$1992,2,0),"")</f>
        <v>Noushed Mijan</v>
      </c>
      <c r="O631" s="2" t="s">
        <v>522</v>
      </c>
      <c r="P631" s="16" t="s">
        <v>557</v>
      </c>
      <c r="Q631" s="1">
        <f t="shared" si="21"/>
        <v>1</v>
      </c>
      <c r="R631" s="1">
        <v>103</v>
      </c>
      <c r="U631" s="8">
        <v>42339</v>
      </c>
    </row>
    <row r="632" spans="1:22" x14ac:dyDescent="0.25">
      <c r="A632" s="2">
        <f t="shared" si="22"/>
        <v>12</v>
      </c>
      <c r="B632" t="s">
        <v>193</v>
      </c>
      <c r="C632" s="2">
        <v>4</v>
      </c>
      <c r="D632" s="2">
        <v>53</v>
      </c>
      <c r="E632" s="2">
        <v>4</v>
      </c>
      <c r="F632" s="2">
        <v>6</v>
      </c>
      <c r="G632" s="2">
        <v>0</v>
      </c>
      <c r="H632" s="2">
        <v>2</v>
      </c>
      <c r="I632" s="2">
        <v>2</v>
      </c>
      <c r="J632" s="1"/>
      <c r="M632" t="s">
        <v>15</v>
      </c>
      <c r="N632" t="str">
        <f>IFERROR(VLOOKUP(B632,'[1]All Player'!$B$2:$C$1992,2,0),"")</f>
        <v>Mostafizur Rahman Mithu</v>
      </c>
      <c r="O632" s="2" t="s">
        <v>522</v>
      </c>
      <c r="P632" s="16" t="s">
        <v>557</v>
      </c>
      <c r="Q632" s="1">
        <f t="shared" si="21"/>
        <v>1</v>
      </c>
      <c r="R632" s="1">
        <v>103</v>
      </c>
      <c r="U632" s="8">
        <v>42339</v>
      </c>
    </row>
    <row r="633" spans="1:22" x14ac:dyDescent="0.25">
      <c r="A633" s="2">
        <f t="shared" si="22"/>
        <v>12</v>
      </c>
      <c r="B633" t="s">
        <v>532</v>
      </c>
      <c r="J633" s="1"/>
      <c r="M633" t="s">
        <v>15</v>
      </c>
      <c r="N633" t="str">
        <f>IFERROR(VLOOKUP(B633,'[1]All Player'!$B$2:$C$1992,2,0),"")</f>
        <v/>
      </c>
      <c r="O633" s="2" t="s">
        <v>522</v>
      </c>
      <c r="P633" s="16" t="s">
        <v>532</v>
      </c>
      <c r="Q633" s="1">
        <f t="shared" si="21"/>
        <v>1</v>
      </c>
      <c r="R633" s="1">
        <v>104</v>
      </c>
      <c r="U633" s="8">
        <v>42339</v>
      </c>
    </row>
    <row r="634" spans="1:22" x14ac:dyDescent="0.25">
      <c r="A634" s="2">
        <f t="shared" si="22"/>
        <v>12</v>
      </c>
      <c r="B634" t="s">
        <v>46</v>
      </c>
      <c r="C634" s="2">
        <v>5</v>
      </c>
      <c r="D634" s="2">
        <v>151</v>
      </c>
      <c r="E634" s="2">
        <v>11</v>
      </c>
      <c r="F634" s="2">
        <v>10</v>
      </c>
      <c r="G634" s="2">
        <v>2</v>
      </c>
      <c r="H634" s="2">
        <v>12</v>
      </c>
      <c r="I634" s="2">
        <v>4</v>
      </c>
      <c r="J634" s="1"/>
      <c r="M634" t="s">
        <v>15</v>
      </c>
      <c r="N634" t="str">
        <f>IFERROR(VLOOKUP(B634,'[1]All Player'!$B$2:$C$1992,2,0),"")</f>
        <v>Roman mahamud Arko</v>
      </c>
      <c r="O634" s="2" t="s">
        <v>522</v>
      </c>
      <c r="P634" s="16" t="s">
        <v>532</v>
      </c>
      <c r="Q634" s="1">
        <f t="shared" si="21"/>
        <v>1</v>
      </c>
      <c r="R634" s="1">
        <v>104</v>
      </c>
      <c r="U634" s="8">
        <v>42339</v>
      </c>
    </row>
    <row r="635" spans="1:22" x14ac:dyDescent="0.25">
      <c r="A635" s="2">
        <f t="shared" si="22"/>
        <v>12</v>
      </c>
      <c r="B635" t="s">
        <v>126</v>
      </c>
      <c r="C635" s="2">
        <v>4</v>
      </c>
      <c r="D635" s="2">
        <v>109</v>
      </c>
      <c r="E635" s="2">
        <v>3</v>
      </c>
      <c r="F635" s="2">
        <v>6</v>
      </c>
      <c r="G635" s="2">
        <v>1</v>
      </c>
      <c r="H635" s="2">
        <v>5</v>
      </c>
      <c r="I635" s="2">
        <v>9</v>
      </c>
      <c r="J635" s="1"/>
      <c r="M635" t="s">
        <v>15</v>
      </c>
      <c r="N635" t="str">
        <f>IFERROR(VLOOKUP(B635,'[1]All Player'!$B$2:$C$1992,2,0),"")</f>
        <v>M R Shakil</v>
      </c>
      <c r="O635" s="2" t="s">
        <v>522</v>
      </c>
      <c r="P635" s="16" t="s">
        <v>532</v>
      </c>
      <c r="Q635" s="1">
        <f t="shared" si="21"/>
        <v>1</v>
      </c>
      <c r="R635" s="1">
        <v>104</v>
      </c>
      <c r="U635" s="8">
        <v>42339</v>
      </c>
    </row>
    <row r="636" spans="1:22" x14ac:dyDescent="0.25">
      <c r="A636" s="2">
        <f t="shared" si="22"/>
        <v>12</v>
      </c>
      <c r="B636" t="s">
        <v>789</v>
      </c>
      <c r="C636" s="2">
        <v>4</v>
      </c>
      <c r="D636" s="2">
        <v>27</v>
      </c>
      <c r="E636" s="2">
        <v>4</v>
      </c>
      <c r="F636" s="2">
        <v>6</v>
      </c>
      <c r="G636" s="2">
        <v>0</v>
      </c>
      <c r="H636" s="2">
        <v>3</v>
      </c>
      <c r="I636" s="2">
        <v>1</v>
      </c>
      <c r="J636" s="1"/>
      <c r="M636" t="s">
        <v>15</v>
      </c>
      <c r="N636" t="str">
        <f>IFERROR(VLOOKUP(B636,'[1]All Player'!$B$2:$C$1992,2,0),"")</f>
        <v>Azwad Awsaf</v>
      </c>
      <c r="O636" s="2" t="s">
        <v>522</v>
      </c>
      <c r="P636" s="16" t="s">
        <v>532</v>
      </c>
      <c r="Q636" s="1">
        <f t="shared" si="21"/>
        <v>1</v>
      </c>
      <c r="R636" s="1">
        <v>104</v>
      </c>
      <c r="U636" s="8">
        <v>42339</v>
      </c>
    </row>
    <row r="637" spans="1:22" x14ac:dyDescent="0.25">
      <c r="A637" s="2">
        <f t="shared" si="22"/>
        <v>12</v>
      </c>
      <c r="B637" t="s">
        <v>158</v>
      </c>
      <c r="C637" s="2">
        <v>5</v>
      </c>
      <c r="D637" s="2">
        <v>76</v>
      </c>
      <c r="E637" s="2">
        <v>10</v>
      </c>
      <c r="F637" s="2">
        <v>8</v>
      </c>
      <c r="G637" s="2">
        <v>0</v>
      </c>
      <c r="H637" s="2">
        <v>9</v>
      </c>
      <c r="I637" s="2">
        <v>5</v>
      </c>
      <c r="J637" s="1"/>
      <c r="M637" t="s">
        <v>15</v>
      </c>
      <c r="N637" t="str">
        <f>IFERROR(VLOOKUP(B637,'[1]All Player'!$B$2:$C$1992,2,0),"")</f>
        <v>Sabbir Ahmed</v>
      </c>
      <c r="O637" s="2" t="s">
        <v>522</v>
      </c>
      <c r="P637" s="16" t="s">
        <v>532</v>
      </c>
      <c r="Q637" s="1">
        <f t="shared" si="21"/>
        <v>1</v>
      </c>
      <c r="R637" s="1">
        <v>104</v>
      </c>
      <c r="U637" s="8">
        <v>42339</v>
      </c>
    </row>
    <row r="638" spans="1:22" x14ac:dyDescent="0.25">
      <c r="A638" s="2">
        <f t="shared" si="22"/>
        <v>12</v>
      </c>
      <c r="B638" t="s">
        <v>298</v>
      </c>
      <c r="C638" s="2">
        <v>1</v>
      </c>
      <c r="D638" s="2">
        <v>13</v>
      </c>
      <c r="E638" s="2">
        <v>0</v>
      </c>
      <c r="F638" s="2">
        <v>1</v>
      </c>
      <c r="G638" s="2">
        <v>0</v>
      </c>
      <c r="H638" s="2">
        <v>0</v>
      </c>
      <c r="I638" s="2">
        <v>1</v>
      </c>
      <c r="J638" s="1"/>
      <c r="M638" t="s">
        <v>15</v>
      </c>
      <c r="N638" t="str">
        <f>IFERROR(VLOOKUP(B638,'[1]All Player'!$B$2:$C$1992,2,0),"")</f>
        <v>Sahed Hossain Masum</v>
      </c>
      <c r="O638" s="2" t="s">
        <v>522</v>
      </c>
      <c r="P638" s="16" t="s">
        <v>532</v>
      </c>
      <c r="Q638" s="1">
        <f t="shared" si="21"/>
        <v>1</v>
      </c>
      <c r="R638" s="1">
        <v>104</v>
      </c>
      <c r="U638" s="8">
        <v>42339</v>
      </c>
    </row>
    <row r="639" spans="1:22" x14ac:dyDescent="0.25">
      <c r="A639" s="2">
        <f t="shared" si="22"/>
        <v>12</v>
      </c>
      <c r="B639" t="s">
        <v>595</v>
      </c>
      <c r="J639" s="1"/>
      <c r="M639" t="s">
        <v>15</v>
      </c>
      <c r="N639" t="str">
        <f>IFERROR(VLOOKUP(B639,'[1]All Player'!$B$2:$C$1992,2,0),"")</f>
        <v/>
      </c>
      <c r="O639" s="2" t="s">
        <v>522</v>
      </c>
      <c r="P639" s="16" t="s">
        <v>595</v>
      </c>
      <c r="Q639" s="1">
        <f t="shared" si="21"/>
        <v>1</v>
      </c>
      <c r="R639" s="1">
        <v>105</v>
      </c>
      <c r="T639" s="1" t="s">
        <v>657</v>
      </c>
      <c r="U639" s="8">
        <v>42339</v>
      </c>
    </row>
    <row r="640" spans="1:22" x14ac:dyDescent="0.25">
      <c r="A640" s="2">
        <f t="shared" si="22"/>
        <v>12</v>
      </c>
      <c r="B640" t="s">
        <v>60</v>
      </c>
      <c r="C640" s="2">
        <v>7</v>
      </c>
      <c r="D640" s="2">
        <v>271</v>
      </c>
      <c r="E640" s="2">
        <v>9</v>
      </c>
      <c r="F640" s="2">
        <v>12</v>
      </c>
      <c r="G640" s="2">
        <v>3</v>
      </c>
      <c r="H640" s="2">
        <v>25</v>
      </c>
      <c r="I640" s="2">
        <v>17</v>
      </c>
      <c r="J640" s="1"/>
      <c r="M640" t="s">
        <v>15</v>
      </c>
      <c r="N640" t="str">
        <f>IFERROR(VLOOKUP(B640,'[1]All Player'!$B$2:$C$1992,2,0),"")</f>
        <v>Jahin Shahriar Chowdhury</v>
      </c>
      <c r="O640" s="2" t="s">
        <v>522</v>
      </c>
      <c r="P640" s="16" t="s">
        <v>595</v>
      </c>
      <c r="Q640" s="1">
        <f t="shared" si="21"/>
        <v>1</v>
      </c>
      <c r="R640" s="1">
        <v>105</v>
      </c>
      <c r="S640" s="2" t="s">
        <v>660</v>
      </c>
      <c r="T640" s="1" t="s">
        <v>657</v>
      </c>
      <c r="U640" s="8">
        <v>42339</v>
      </c>
      <c r="V640" s="1">
        <v>1</v>
      </c>
    </row>
    <row r="641" spans="1:23" x14ac:dyDescent="0.25">
      <c r="A641" s="2">
        <f t="shared" si="22"/>
        <v>12</v>
      </c>
      <c r="B641" t="s">
        <v>99</v>
      </c>
      <c r="C641" s="2">
        <v>7</v>
      </c>
      <c r="D641" s="2">
        <v>111</v>
      </c>
      <c r="E641" s="2">
        <v>15</v>
      </c>
      <c r="F641" s="2">
        <v>9</v>
      </c>
      <c r="G641" s="2">
        <v>1</v>
      </c>
      <c r="H641" s="2">
        <v>9</v>
      </c>
      <c r="I641" s="2">
        <v>10</v>
      </c>
      <c r="J641" s="1"/>
      <c r="M641" t="s">
        <v>15</v>
      </c>
      <c r="N641" t="str">
        <f>IFERROR(VLOOKUP(B641,'[1]All Player'!$B$2:$C$1992,2,0),"")</f>
        <v>Bishwajit Sarkar</v>
      </c>
      <c r="O641" s="2" t="s">
        <v>522</v>
      </c>
      <c r="P641" s="16" t="s">
        <v>595</v>
      </c>
      <c r="Q641" s="1">
        <f t="shared" si="21"/>
        <v>1</v>
      </c>
      <c r="R641" s="1">
        <v>105</v>
      </c>
      <c r="T641" s="1" t="s">
        <v>657</v>
      </c>
      <c r="U641" s="8">
        <v>42339</v>
      </c>
      <c r="W641" s="1">
        <v>1</v>
      </c>
    </row>
    <row r="642" spans="1:23" x14ac:dyDescent="0.25">
      <c r="A642" s="2">
        <f t="shared" si="22"/>
        <v>12</v>
      </c>
      <c r="B642" t="s">
        <v>31</v>
      </c>
      <c r="C642" s="2">
        <v>7</v>
      </c>
      <c r="D642" s="2">
        <v>103</v>
      </c>
      <c r="E642" s="2">
        <v>7</v>
      </c>
      <c r="F642" s="2">
        <v>10</v>
      </c>
      <c r="G642" s="2">
        <v>1</v>
      </c>
      <c r="H642" s="2">
        <v>8</v>
      </c>
      <c r="I642" s="2">
        <v>6</v>
      </c>
      <c r="J642" s="1"/>
      <c r="M642" t="s">
        <v>15</v>
      </c>
      <c r="N642" t="str">
        <f>IFERROR(VLOOKUP(B642,'[1]All Player'!$B$2:$C$1992,2,0),"")</f>
        <v>Hetlar Shohag</v>
      </c>
      <c r="O642" s="2" t="s">
        <v>522</v>
      </c>
      <c r="P642" s="16" t="s">
        <v>595</v>
      </c>
      <c r="Q642" s="1">
        <f t="shared" ref="Q642:Q705" si="23">IF(B642="","",1)</f>
        <v>1</v>
      </c>
      <c r="R642" s="1">
        <v>105</v>
      </c>
      <c r="T642" s="1" t="s">
        <v>657</v>
      </c>
      <c r="U642" s="8">
        <v>42339</v>
      </c>
    </row>
    <row r="643" spans="1:23" x14ac:dyDescent="0.25">
      <c r="A643" s="2">
        <f t="shared" si="22"/>
        <v>12</v>
      </c>
      <c r="B643" t="s">
        <v>364</v>
      </c>
      <c r="C643" s="2">
        <v>5</v>
      </c>
      <c r="D643" s="2">
        <v>53</v>
      </c>
      <c r="E643" s="2">
        <v>2</v>
      </c>
      <c r="F643" s="2">
        <v>4</v>
      </c>
      <c r="G643" s="2">
        <v>1</v>
      </c>
      <c r="H643" s="2">
        <v>5</v>
      </c>
      <c r="I643" s="2">
        <v>1</v>
      </c>
      <c r="J643" s="1"/>
      <c r="M643" t="s">
        <v>15</v>
      </c>
      <c r="N643" t="str">
        <f>IFERROR(VLOOKUP(B643,'[1]All Player'!$B$2:$C$1992,2,0),"")</f>
        <v>Sz Sabab</v>
      </c>
      <c r="O643" s="2" t="s">
        <v>522</v>
      </c>
      <c r="P643" s="16" t="s">
        <v>595</v>
      </c>
      <c r="Q643" s="1">
        <f t="shared" si="23"/>
        <v>1</v>
      </c>
      <c r="R643" s="1">
        <v>105</v>
      </c>
      <c r="T643" s="1" t="s">
        <v>657</v>
      </c>
      <c r="U643" s="8">
        <v>42339</v>
      </c>
    </row>
    <row r="644" spans="1:23" x14ac:dyDescent="0.25">
      <c r="A644" s="2">
        <f t="shared" si="22"/>
        <v>12</v>
      </c>
      <c r="B644" t="s">
        <v>183</v>
      </c>
      <c r="C644" s="2">
        <v>3</v>
      </c>
      <c r="D644" s="2">
        <v>82</v>
      </c>
      <c r="E644" s="2">
        <v>7</v>
      </c>
      <c r="F644" s="2">
        <v>4</v>
      </c>
      <c r="G644" s="2">
        <v>0</v>
      </c>
      <c r="H644" s="2">
        <v>1</v>
      </c>
      <c r="I644" s="2">
        <v>7</v>
      </c>
      <c r="J644" s="1"/>
      <c r="M644" t="s">
        <v>15</v>
      </c>
      <c r="N644" t="str">
        <f>IFERROR(VLOOKUP(B644,'[1]All Player'!$B$2:$C$1992,2,0),"")</f>
        <v>Red Heart Faisal (Fayze Ahamed)</v>
      </c>
      <c r="O644" s="2" t="s">
        <v>522</v>
      </c>
      <c r="P644" s="16" t="s">
        <v>595</v>
      </c>
      <c r="Q644" s="1">
        <f t="shared" si="23"/>
        <v>1</v>
      </c>
      <c r="R644" s="1">
        <v>105</v>
      </c>
      <c r="T644" s="1" t="s">
        <v>657</v>
      </c>
      <c r="U644" s="8">
        <v>42339</v>
      </c>
    </row>
    <row r="645" spans="1:23" x14ac:dyDescent="0.25">
      <c r="A645" s="2">
        <f t="shared" si="22"/>
        <v>12</v>
      </c>
      <c r="B645" t="s">
        <v>825</v>
      </c>
      <c r="J645" s="1"/>
      <c r="M645" t="s">
        <v>15</v>
      </c>
      <c r="N645" t="str">
        <f>IFERROR(VLOOKUP(B645,'[1]All Player'!$B$2:$C$1992,2,0),"")</f>
        <v/>
      </c>
      <c r="O645" s="2" t="s">
        <v>522</v>
      </c>
      <c r="P645" s="16" t="s">
        <v>825</v>
      </c>
      <c r="Q645" s="1">
        <f t="shared" si="23"/>
        <v>1</v>
      </c>
      <c r="R645" s="1">
        <v>106</v>
      </c>
      <c r="U645" s="8">
        <v>42339</v>
      </c>
    </row>
    <row r="646" spans="1:23" x14ac:dyDescent="0.25">
      <c r="A646" s="2">
        <f t="shared" si="22"/>
        <v>12</v>
      </c>
      <c r="B646" t="s">
        <v>173</v>
      </c>
      <c r="C646" s="2">
        <v>5</v>
      </c>
      <c r="D646" s="2">
        <v>196</v>
      </c>
      <c r="E646" s="2">
        <v>7</v>
      </c>
      <c r="F646" s="2">
        <v>10</v>
      </c>
      <c r="G646" s="2">
        <v>0</v>
      </c>
      <c r="H646" s="2">
        <v>16</v>
      </c>
      <c r="I646" s="2">
        <v>9</v>
      </c>
      <c r="J646" s="1"/>
      <c r="M646" t="s">
        <v>15</v>
      </c>
      <c r="N646" t="str">
        <f>IFERROR(VLOOKUP(B646,'[1]All Player'!$B$2:$C$1992,2,0),"")</f>
        <v>Sajjadul Haque Sagar</v>
      </c>
      <c r="O646" s="2" t="s">
        <v>522</v>
      </c>
      <c r="P646" s="16" t="s">
        <v>825</v>
      </c>
      <c r="Q646" s="1">
        <f t="shared" si="23"/>
        <v>1</v>
      </c>
      <c r="R646" s="1">
        <v>106</v>
      </c>
      <c r="U646" s="8">
        <v>42339</v>
      </c>
    </row>
    <row r="647" spans="1:23" x14ac:dyDescent="0.25">
      <c r="A647" s="2">
        <f t="shared" si="22"/>
        <v>12</v>
      </c>
      <c r="B647" t="s">
        <v>144</v>
      </c>
      <c r="C647" s="2">
        <v>5</v>
      </c>
      <c r="D647" s="2">
        <v>53</v>
      </c>
      <c r="E647" s="2">
        <v>8</v>
      </c>
      <c r="F647" s="2">
        <v>6</v>
      </c>
      <c r="G647" s="2">
        <v>0</v>
      </c>
      <c r="H647" s="2">
        <v>7</v>
      </c>
      <c r="I647" s="2">
        <v>2</v>
      </c>
      <c r="J647" s="1"/>
      <c r="M647" t="s">
        <v>15</v>
      </c>
      <c r="N647" t="str">
        <f>IFERROR(VLOOKUP(B647,'[1]All Player'!$B$2:$C$1992,2,0),"")</f>
        <v>Toufiq Ahmed Ovi</v>
      </c>
      <c r="O647" s="2" t="s">
        <v>522</v>
      </c>
      <c r="P647" s="16" t="s">
        <v>825</v>
      </c>
      <c r="Q647" s="1">
        <f t="shared" si="23"/>
        <v>1</v>
      </c>
      <c r="R647" s="1">
        <v>106</v>
      </c>
      <c r="U647" s="8">
        <v>42339</v>
      </c>
    </row>
    <row r="648" spans="1:23" x14ac:dyDescent="0.25">
      <c r="A648" s="2">
        <f t="shared" si="22"/>
        <v>12</v>
      </c>
      <c r="B648" t="s">
        <v>336</v>
      </c>
      <c r="C648" s="2">
        <v>5</v>
      </c>
      <c r="D648" s="2">
        <v>100</v>
      </c>
      <c r="E648" s="2">
        <v>5</v>
      </c>
      <c r="F648" s="2">
        <v>9</v>
      </c>
      <c r="G648" s="2">
        <v>1</v>
      </c>
      <c r="H648" s="2">
        <v>6</v>
      </c>
      <c r="I648" s="2">
        <v>7</v>
      </c>
      <c r="J648" s="1"/>
      <c r="M648" t="s">
        <v>15</v>
      </c>
      <c r="N648" t="str">
        <f>IFERROR(VLOOKUP(B648,'[1]All Player'!$B$2:$C$1992,2,0),"")</f>
        <v>Samiul Meraj</v>
      </c>
      <c r="O648" s="2" t="s">
        <v>522</v>
      </c>
      <c r="P648" s="16" t="s">
        <v>825</v>
      </c>
      <c r="Q648" s="1">
        <f t="shared" si="23"/>
        <v>1</v>
      </c>
      <c r="R648" s="1">
        <v>106</v>
      </c>
      <c r="U648" s="8">
        <v>42339</v>
      </c>
    </row>
    <row r="649" spans="1:23" x14ac:dyDescent="0.25">
      <c r="A649" s="2">
        <f t="shared" si="22"/>
        <v>12</v>
      </c>
      <c r="B649" t="s">
        <v>354</v>
      </c>
      <c r="C649" s="2">
        <v>5</v>
      </c>
      <c r="D649" s="2">
        <v>42</v>
      </c>
      <c r="E649" s="2">
        <v>9</v>
      </c>
      <c r="F649" s="2">
        <v>5</v>
      </c>
      <c r="G649" s="2">
        <v>1</v>
      </c>
      <c r="H649" s="2">
        <v>3</v>
      </c>
      <c r="I649" s="2">
        <v>1</v>
      </c>
      <c r="J649" s="1"/>
      <c r="M649" t="s">
        <v>15</v>
      </c>
      <c r="N649" t="str">
        <f>IFERROR(VLOOKUP(B649,'[1]All Player'!$B$2:$C$1992,2,0),"")</f>
        <v>Hridoy Khan Mhk</v>
      </c>
      <c r="O649" s="2" t="s">
        <v>522</v>
      </c>
      <c r="P649" s="16" t="s">
        <v>825</v>
      </c>
      <c r="Q649" s="1">
        <f t="shared" si="23"/>
        <v>1</v>
      </c>
      <c r="R649" s="1">
        <v>106</v>
      </c>
      <c r="U649" s="8">
        <v>42339</v>
      </c>
    </row>
    <row r="650" spans="1:23" x14ac:dyDescent="0.25">
      <c r="A650" s="2">
        <f t="shared" si="22"/>
        <v>12</v>
      </c>
      <c r="B650" t="s">
        <v>52</v>
      </c>
      <c r="C650" s="2">
        <v>2</v>
      </c>
      <c r="D650" s="2">
        <v>10</v>
      </c>
      <c r="E650" s="2">
        <v>2</v>
      </c>
      <c r="F650" s="2">
        <v>2</v>
      </c>
      <c r="G650" s="2">
        <v>1</v>
      </c>
      <c r="H650" s="2">
        <v>0</v>
      </c>
      <c r="I650" s="2">
        <v>0</v>
      </c>
      <c r="J650" s="1"/>
      <c r="M650" t="s">
        <v>15</v>
      </c>
      <c r="N650" t="str">
        <f>IFERROR(VLOOKUP(B650,'[1]All Player'!$B$2:$C$1992,2,0),"")</f>
        <v>Mohammed Al Mamun</v>
      </c>
      <c r="O650" s="2" t="s">
        <v>522</v>
      </c>
      <c r="P650" s="16" t="s">
        <v>825</v>
      </c>
      <c r="Q650" s="1">
        <f t="shared" si="23"/>
        <v>1</v>
      </c>
      <c r="R650" s="1">
        <v>106</v>
      </c>
      <c r="U650" s="8">
        <v>42339</v>
      </c>
    </row>
    <row r="651" spans="1:23" x14ac:dyDescent="0.25">
      <c r="A651" s="2">
        <f t="shared" si="22"/>
        <v>12</v>
      </c>
      <c r="B651" t="s">
        <v>826</v>
      </c>
      <c r="J651" s="1"/>
      <c r="M651" t="s">
        <v>15</v>
      </c>
      <c r="N651" t="str">
        <f>IFERROR(VLOOKUP(B651,'[1]All Player'!$B$2:$C$1992,2,0),"")</f>
        <v/>
      </c>
      <c r="O651" s="2" t="s">
        <v>522</v>
      </c>
      <c r="P651" s="16" t="s">
        <v>826</v>
      </c>
      <c r="Q651" s="1">
        <f t="shared" si="23"/>
        <v>1</v>
      </c>
      <c r="R651" s="1">
        <v>107</v>
      </c>
      <c r="T651" s="1" t="s">
        <v>659</v>
      </c>
      <c r="U651" s="8">
        <v>42339</v>
      </c>
    </row>
    <row r="652" spans="1:23" x14ac:dyDescent="0.25">
      <c r="A652" s="2">
        <f t="shared" si="22"/>
        <v>12</v>
      </c>
      <c r="B652" t="s">
        <v>62</v>
      </c>
      <c r="C652" s="2">
        <v>7</v>
      </c>
      <c r="D652" s="2">
        <v>100</v>
      </c>
      <c r="E652" s="2">
        <v>13</v>
      </c>
      <c r="F652" s="2">
        <v>7</v>
      </c>
      <c r="G652" s="2">
        <v>3</v>
      </c>
      <c r="H652" s="2">
        <v>7</v>
      </c>
      <c r="I652" s="2">
        <v>6</v>
      </c>
      <c r="J652" s="1"/>
      <c r="M652" t="s">
        <v>15</v>
      </c>
      <c r="N652" t="str">
        <f>IFERROR(VLOOKUP(B652,'[1]All Player'!$B$2:$C$1992,2,0),"")</f>
        <v>MD Tofayel Ahmed</v>
      </c>
      <c r="O652" s="2" t="s">
        <v>522</v>
      </c>
      <c r="P652" s="16" t="s">
        <v>826</v>
      </c>
      <c r="Q652" s="1">
        <f t="shared" si="23"/>
        <v>1</v>
      </c>
      <c r="R652" s="1">
        <v>107</v>
      </c>
      <c r="T652" s="1" t="s">
        <v>659</v>
      </c>
      <c r="U652" s="8">
        <v>42339</v>
      </c>
    </row>
    <row r="653" spans="1:23" x14ac:dyDescent="0.25">
      <c r="A653" s="2">
        <f t="shared" si="22"/>
        <v>12</v>
      </c>
      <c r="B653" t="s">
        <v>245</v>
      </c>
      <c r="C653" s="2">
        <v>7</v>
      </c>
      <c r="D653" s="2">
        <v>121</v>
      </c>
      <c r="E653" s="2">
        <v>5</v>
      </c>
      <c r="F653" s="2">
        <v>9</v>
      </c>
      <c r="G653" s="2">
        <v>0</v>
      </c>
      <c r="H653" s="2">
        <v>15</v>
      </c>
      <c r="I653" s="2">
        <v>5</v>
      </c>
      <c r="J653" s="1"/>
      <c r="M653" t="s">
        <v>15</v>
      </c>
      <c r="N653" t="str">
        <f>IFERROR(VLOOKUP(B653,'[1]All Player'!$B$2:$C$1992,2,0),"")</f>
        <v>Akram Hosen Himal</v>
      </c>
      <c r="O653" s="2" t="s">
        <v>522</v>
      </c>
      <c r="P653" s="16" t="s">
        <v>826</v>
      </c>
      <c r="Q653" s="1">
        <f t="shared" si="23"/>
        <v>1</v>
      </c>
      <c r="R653" s="1">
        <v>107</v>
      </c>
      <c r="T653" s="1" t="s">
        <v>659</v>
      </c>
      <c r="U653" s="8">
        <v>42339</v>
      </c>
    </row>
    <row r="654" spans="1:23" x14ac:dyDescent="0.25">
      <c r="A654" s="2">
        <f t="shared" si="22"/>
        <v>12</v>
      </c>
      <c r="B654" t="s">
        <v>191</v>
      </c>
      <c r="C654" s="2">
        <v>5</v>
      </c>
      <c r="D654" s="2">
        <v>19</v>
      </c>
      <c r="E654" s="2">
        <v>6</v>
      </c>
      <c r="F654" s="2">
        <v>4</v>
      </c>
      <c r="G654" s="2">
        <v>0</v>
      </c>
      <c r="H654" s="2">
        <v>1</v>
      </c>
      <c r="I654" s="2">
        <v>2</v>
      </c>
      <c r="J654" s="1"/>
      <c r="M654" t="s">
        <v>15</v>
      </c>
      <c r="N654" t="str">
        <f>IFERROR(VLOOKUP(B654,'[1]All Player'!$B$2:$C$1992,2,0),"")</f>
        <v>Mohammad Haris Mullah</v>
      </c>
      <c r="O654" s="2" t="s">
        <v>522</v>
      </c>
      <c r="P654" s="16" t="s">
        <v>826</v>
      </c>
      <c r="Q654" s="1">
        <f t="shared" si="23"/>
        <v>1</v>
      </c>
      <c r="R654" s="1">
        <v>107</v>
      </c>
      <c r="T654" s="1" t="s">
        <v>659</v>
      </c>
      <c r="U654" s="8">
        <v>42339</v>
      </c>
    </row>
    <row r="655" spans="1:23" x14ac:dyDescent="0.25">
      <c r="A655" s="2">
        <f t="shared" si="22"/>
        <v>12</v>
      </c>
      <c r="B655" t="s">
        <v>97</v>
      </c>
      <c r="C655" s="2">
        <v>7</v>
      </c>
      <c r="D655" s="2">
        <v>268</v>
      </c>
      <c r="E655" s="2">
        <v>9</v>
      </c>
      <c r="F655" s="2">
        <v>11</v>
      </c>
      <c r="G655" s="2">
        <v>1</v>
      </c>
      <c r="H655" s="2">
        <v>9</v>
      </c>
      <c r="I655" s="2">
        <v>19</v>
      </c>
      <c r="J655" s="1"/>
      <c r="M655" t="s">
        <v>15</v>
      </c>
      <c r="N655" t="str">
        <f>IFERROR(VLOOKUP(B655,'[1]All Player'!$B$2:$C$1992,2,0),"")</f>
        <v>Sanju Pritom</v>
      </c>
      <c r="O655" s="2" t="s">
        <v>522</v>
      </c>
      <c r="P655" s="16" t="s">
        <v>826</v>
      </c>
      <c r="Q655" s="1">
        <f t="shared" si="23"/>
        <v>1</v>
      </c>
      <c r="R655" s="1">
        <v>107</v>
      </c>
      <c r="S655" s="2" t="s">
        <v>658</v>
      </c>
      <c r="T655" s="1" t="s">
        <v>659</v>
      </c>
      <c r="U655" s="8">
        <v>42339</v>
      </c>
    </row>
    <row r="656" spans="1:23" x14ac:dyDescent="0.25">
      <c r="A656" s="2">
        <f t="shared" si="22"/>
        <v>12</v>
      </c>
      <c r="B656" t="s">
        <v>24</v>
      </c>
      <c r="C656" s="2">
        <v>5</v>
      </c>
      <c r="D656" s="2">
        <v>40</v>
      </c>
      <c r="E656" s="2">
        <v>9</v>
      </c>
      <c r="F656" s="24">
        <v>4</v>
      </c>
      <c r="G656" s="24">
        <v>0</v>
      </c>
      <c r="H656" s="2">
        <v>5</v>
      </c>
      <c r="I656" s="2">
        <v>1</v>
      </c>
      <c r="J656" s="1"/>
      <c r="M656" t="s">
        <v>15</v>
      </c>
      <c r="N656" t="str">
        <f>IFERROR(VLOOKUP(B656,'[1]All Player'!$B$2:$C$1992,2,0),"")</f>
        <v>Nur Muhammad</v>
      </c>
      <c r="O656" s="2" t="s">
        <v>522</v>
      </c>
      <c r="P656" s="16" t="s">
        <v>826</v>
      </c>
      <c r="Q656" s="1">
        <f t="shared" si="23"/>
        <v>1</v>
      </c>
      <c r="R656" s="1">
        <v>107</v>
      </c>
      <c r="T656" s="1" t="s">
        <v>659</v>
      </c>
      <c r="U656" s="8">
        <v>42339</v>
      </c>
    </row>
    <row r="657" spans="1:21" x14ac:dyDescent="0.25">
      <c r="A657" s="2">
        <f t="shared" si="22"/>
        <v>12</v>
      </c>
      <c r="B657" t="s">
        <v>827</v>
      </c>
      <c r="J657" s="1"/>
      <c r="M657" t="s">
        <v>15</v>
      </c>
      <c r="N657" t="str">
        <f>IFERROR(VLOOKUP(B657,'[1]All Player'!$B$2:$C$1992,2,0),"")</f>
        <v/>
      </c>
      <c r="O657" s="2" t="s">
        <v>522</v>
      </c>
      <c r="P657" s="16" t="s">
        <v>827</v>
      </c>
      <c r="Q657" s="1">
        <f t="shared" si="23"/>
        <v>1</v>
      </c>
      <c r="R657" s="1">
        <v>108</v>
      </c>
      <c r="U657" s="8">
        <v>42339</v>
      </c>
    </row>
    <row r="658" spans="1:21" x14ac:dyDescent="0.25">
      <c r="A658" s="2">
        <f t="shared" si="22"/>
        <v>12</v>
      </c>
      <c r="B658" t="s">
        <v>318</v>
      </c>
      <c r="C658" s="2">
        <v>7</v>
      </c>
      <c r="D658" s="2">
        <v>52</v>
      </c>
      <c r="E658" s="2">
        <v>10</v>
      </c>
      <c r="F658" s="2">
        <v>7</v>
      </c>
      <c r="G658" s="2">
        <v>0</v>
      </c>
      <c r="H658" s="2">
        <v>6</v>
      </c>
      <c r="I658" s="2">
        <v>3</v>
      </c>
      <c r="J658" s="1"/>
      <c r="M658" t="s">
        <v>15</v>
      </c>
      <c r="N658" t="str">
        <f>IFERROR(VLOOKUP(B658,'[1]All Player'!$B$2:$C$1992,2,0),"")</f>
        <v>Mazharul Islam Moon</v>
      </c>
      <c r="O658" s="2" t="s">
        <v>522</v>
      </c>
      <c r="P658" s="16" t="s">
        <v>827</v>
      </c>
      <c r="Q658" s="1">
        <f t="shared" si="23"/>
        <v>1</v>
      </c>
      <c r="R658" s="1">
        <v>108</v>
      </c>
      <c r="U658" s="8">
        <v>42339</v>
      </c>
    </row>
    <row r="659" spans="1:21" x14ac:dyDescent="0.25">
      <c r="A659" s="2">
        <f t="shared" si="22"/>
        <v>12</v>
      </c>
      <c r="B659" t="s">
        <v>807</v>
      </c>
      <c r="C659" s="2">
        <v>7</v>
      </c>
      <c r="D659" s="2">
        <v>102</v>
      </c>
      <c r="E659" s="2">
        <v>9</v>
      </c>
      <c r="F659" s="2">
        <v>10</v>
      </c>
      <c r="G659" s="2">
        <v>1</v>
      </c>
      <c r="H659" s="2">
        <v>7</v>
      </c>
      <c r="I659" s="2">
        <v>7</v>
      </c>
      <c r="J659" s="1"/>
      <c r="M659" t="s">
        <v>15</v>
      </c>
      <c r="N659" t="str">
        <f>IFERROR(VLOOKUP(B659,'[1]All Player'!$B$2:$C$1992,2,0),"")</f>
        <v>Rahin Superb</v>
      </c>
      <c r="O659" s="2" t="s">
        <v>522</v>
      </c>
      <c r="P659" s="16" t="s">
        <v>827</v>
      </c>
      <c r="Q659" s="1">
        <f t="shared" si="23"/>
        <v>1</v>
      </c>
      <c r="R659" s="1">
        <v>108</v>
      </c>
      <c r="U659" s="8">
        <v>42339</v>
      </c>
    </row>
    <row r="660" spans="1:21" x14ac:dyDescent="0.25">
      <c r="A660" s="2">
        <f t="shared" si="22"/>
        <v>12</v>
      </c>
      <c r="B660" t="s">
        <v>120</v>
      </c>
      <c r="C660" s="2">
        <v>7</v>
      </c>
      <c r="D660" s="2">
        <v>175</v>
      </c>
      <c r="E660" s="2">
        <v>11</v>
      </c>
      <c r="F660" s="2">
        <v>12</v>
      </c>
      <c r="G660" s="2">
        <v>3</v>
      </c>
      <c r="H660" s="2">
        <v>5</v>
      </c>
      <c r="I660" s="2">
        <v>15</v>
      </c>
      <c r="J660" s="1"/>
      <c r="M660" t="s">
        <v>15</v>
      </c>
      <c r="N660" t="str">
        <f>IFERROR(VLOOKUP(B660,'[1]All Player'!$B$2:$C$1992,2,0),"")</f>
        <v>Kamrul Hasan Hridoy</v>
      </c>
      <c r="O660" s="2" t="s">
        <v>522</v>
      </c>
      <c r="P660" s="16" t="s">
        <v>827</v>
      </c>
      <c r="Q660" s="1">
        <f t="shared" si="23"/>
        <v>1</v>
      </c>
      <c r="R660" s="1">
        <v>108</v>
      </c>
      <c r="U660" s="8">
        <v>42339</v>
      </c>
    </row>
    <row r="661" spans="1:21" x14ac:dyDescent="0.25">
      <c r="A661" s="2">
        <f t="shared" si="22"/>
        <v>12</v>
      </c>
      <c r="B661" t="s">
        <v>146</v>
      </c>
      <c r="C661" s="2">
        <v>6</v>
      </c>
      <c r="D661" s="2">
        <v>86</v>
      </c>
      <c r="E661" s="2">
        <v>5</v>
      </c>
      <c r="F661" s="2">
        <v>7</v>
      </c>
      <c r="G661" s="2">
        <v>0</v>
      </c>
      <c r="H661" s="2">
        <v>5</v>
      </c>
      <c r="I661" s="2">
        <v>7</v>
      </c>
      <c r="J661" s="1"/>
      <c r="M661" t="s">
        <v>15</v>
      </c>
      <c r="N661" t="str">
        <f>IFERROR(VLOOKUP(B661,'[1]All Player'!$B$2:$C$1992,2,0),"")</f>
        <v>Nahid Saifullah</v>
      </c>
      <c r="O661" s="2" t="s">
        <v>522</v>
      </c>
      <c r="P661" s="16" t="s">
        <v>827</v>
      </c>
      <c r="Q661" s="1">
        <f t="shared" si="23"/>
        <v>1</v>
      </c>
      <c r="R661" s="1">
        <v>108</v>
      </c>
      <c r="U661" s="8">
        <v>42339</v>
      </c>
    </row>
    <row r="662" spans="1:21" x14ac:dyDescent="0.25">
      <c r="A662" s="2">
        <f t="shared" si="22"/>
        <v>12</v>
      </c>
      <c r="B662" t="s">
        <v>828</v>
      </c>
      <c r="C662" s="2">
        <v>6</v>
      </c>
      <c r="D662" s="2">
        <v>132</v>
      </c>
      <c r="E662" s="2">
        <v>3</v>
      </c>
      <c r="F662" s="2">
        <v>8</v>
      </c>
      <c r="G662" s="2">
        <v>0</v>
      </c>
      <c r="H662" s="2">
        <v>9</v>
      </c>
      <c r="I662" s="2">
        <v>9</v>
      </c>
      <c r="J662" s="1"/>
      <c r="M662" t="s">
        <v>15</v>
      </c>
      <c r="N662" t="str">
        <f>IFERROR(VLOOKUP(B662,'[1]All Player'!$B$2:$C$1992,2,0),"")</f>
        <v>Soyeb Hossain</v>
      </c>
      <c r="O662" s="2" t="s">
        <v>522</v>
      </c>
      <c r="P662" s="16" t="s">
        <v>827</v>
      </c>
      <c r="Q662" s="1">
        <f t="shared" si="23"/>
        <v>1</v>
      </c>
      <c r="R662" s="1">
        <v>108</v>
      </c>
      <c r="U662" s="8">
        <v>42339</v>
      </c>
    </row>
    <row r="663" spans="1:21" x14ac:dyDescent="0.25">
      <c r="A663" s="2">
        <f t="shared" si="22"/>
        <v>12</v>
      </c>
      <c r="B663" t="s">
        <v>523</v>
      </c>
      <c r="J663" s="1"/>
      <c r="M663" t="s">
        <v>15</v>
      </c>
      <c r="N663" t="str">
        <f>IFERROR(VLOOKUP(B663,'[1]All Player'!$B$2:$C$1992,2,0),"")</f>
        <v/>
      </c>
      <c r="O663" s="2" t="s">
        <v>522</v>
      </c>
      <c r="P663" s="16" t="s">
        <v>523</v>
      </c>
      <c r="Q663" s="1">
        <f t="shared" si="23"/>
        <v>1</v>
      </c>
      <c r="R663" s="1">
        <v>109</v>
      </c>
      <c r="U663" s="8">
        <v>42339</v>
      </c>
    </row>
    <row r="664" spans="1:21" x14ac:dyDescent="0.25">
      <c r="A664" s="2">
        <f t="shared" si="22"/>
        <v>12</v>
      </c>
      <c r="B664" t="s">
        <v>169</v>
      </c>
      <c r="C664" s="2">
        <v>5</v>
      </c>
      <c r="D664" s="2">
        <v>76</v>
      </c>
      <c r="E664" s="2">
        <v>7</v>
      </c>
      <c r="F664" s="2">
        <v>7</v>
      </c>
      <c r="G664" s="2">
        <v>0</v>
      </c>
      <c r="H664" s="2">
        <v>6</v>
      </c>
      <c r="I664" s="2">
        <v>5</v>
      </c>
      <c r="J664" s="1"/>
      <c r="M664" t="s">
        <v>15</v>
      </c>
      <c r="N664" t="str">
        <f>IFERROR(VLOOKUP(B664,'[1]All Player'!$B$2:$C$1992,2,0),"")</f>
        <v>Saiful Islam</v>
      </c>
      <c r="O664" s="2" t="s">
        <v>522</v>
      </c>
      <c r="P664" s="16" t="s">
        <v>523</v>
      </c>
      <c r="Q664" s="1">
        <f t="shared" si="23"/>
        <v>1</v>
      </c>
      <c r="R664" s="1">
        <v>109</v>
      </c>
      <c r="U664" s="8">
        <v>42339</v>
      </c>
    </row>
    <row r="665" spans="1:21" x14ac:dyDescent="0.25">
      <c r="A665" s="2">
        <f t="shared" si="22"/>
        <v>12</v>
      </c>
      <c r="B665" t="s">
        <v>201</v>
      </c>
      <c r="C665" s="2">
        <v>5</v>
      </c>
      <c r="D665" s="2">
        <v>19</v>
      </c>
      <c r="E665" s="2">
        <v>5</v>
      </c>
      <c r="F665" s="2">
        <v>7</v>
      </c>
      <c r="G665" s="2">
        <v>0</v>
      </c>
      <c r="H665" s="2">
        <v>0</v>
      </c>
      <c r="I665" s="2">
        <v>1</v>
      </c>
      <c r="J665" s="1"/>
      <c r="M665" t="s">
        <v>15</v>
      </c>
      <c r="N665" t="str">
        <f>IFERROR(VLOOKUP(B665,'[1]All Player'!$B$2:$C$1992,2,0),"")</f>
        <v>A.R. Shohag</v>
      </c>
      <c r="O665" s="2" t="s">
        <v>522</v>
      </c>
      <c r="P665" s="16" t="s">
        <v>523</v>
      </c>
      <c r="Q665" s="1">
        <f t="shared" si="23"/>
        <v>1</v>
      </c>
      <c r="R665" s="1">
        <v>109</v>
      </c>
      <c r="U665" s="8">
        <v>42339</v>
      </c>
    </row>
    <row r="666" spans="1:21" x14ac:dyDescent="0.25">
      <c r="A666" s="2">
        <f t="shared" si="22"/>
        <v>12</v>
      </c>
      <c r="B666" t="s">
        <v>21</v>
      </c>
      <c r="C666" s="2">
        <v>5</v>
      </c>
      <c r="D666" s="2">
        <v>30</v>
      </c>
      <c r="E666" s="2">
        <v>7</v>
      </c>
      <c r="F666" s="2">
        <v>7</v>
      </c>
      <c r="G666" s="2">
        <v>1</v>
      </c>
      <c r="H666" s="2">
        <v>1</v>
      </c>
      <c r="I666" s="2">
        <v>2</v>
      </c>
      <c r="J666" s="1"/>
      <c r="M666" t="s">
        <v>15</v>
      </c>
      <c r="N666" t="str">
        <f>IFERROR(VLOOKUP(B666,'[1]All Player'!$B$2:$C$1992,2,0),"")</f>
        <v>Faisal Ahmed Jhony</v>
      </c>
      <c r="O666" s="2" t="s">
        <v>522</v>
      </c>
      <c r="P666" s="16" t="s">
        <v>523</v>
      </c>
      <c r="Q666" s="1">
        <f t="shared" si="23"/>
        <v>1</v>
      </c>
      <c r="R666" s="1">
        <v>109</v>
      </c>
      <c r="U666" s="8">
        <v>42339</v>
      </c>
    </row>
    <row r="667" spans="1:21" x14ac:dyDescent="0.25">
      <c r="A667" s="2">
        <f t="shared" si="22"/>
        <v>12</v>
      </c>
      <c r="B667" t="s">
        <v>106</v>
      </c>
      <c r="C667" s="2">
        <v>3</v>
      </c>
      <c r="D667" s="2">
        <v>17</v>
      </c>
      <c r="E667" s="2">
        <v>3</v>
      </c>
      <c r="F667" s="2">
        <v>3</v>
      </c>
      <c r="G667" s="2">
        <v>0</v>
      </c>
      <c r="H667" s="2">
        <v>1</v>
      </c>
      <c r="I667" s="2">
        <v>0</v>
      </c>
      <c r="J667" s="1"/>
      <c r="M667" t="s">
        <v>15</v>
      </c>
      <c r="N667" t="str">
        <f>IFERROR(VLOOKUP(B667,'[1]All Player'!$B$2:$C$1992,2,0),"")</f>
        <v>Sayed Anowar Shanto</v>
      </c>
      <c r="O667" s="2" t="s">
        <v>522</v>
      </c>
      <c r="P667" s="16" t="s">
        <v>523</v>
      </c>
      <c r="Q667" s="1">
        <f t="shared" si="23"/>
        <v>1</v>
      </c>
      <c r="R667" s="1">
        <v>109</v>
      </c>
      <c r="U667" s="8">
        <v>42339</v>
      </c>
    </row>
    <row r="668" spans="1:21" x14ac:dyDescent="0.25">
      <c r="A668" s="2">
        <f t="shared" si="22"/>
        <v>12</v>
      </c>
      <c r="B668" t="s">
        <v>367</v>
      </c>
      <c r="C668" s="2">
        <v>5</v>
      </c>
      <c r="D668" s="2">
        <v>187</v>
      </c>
      <c r="E668" s="2">
        <v>5</v>
      </c>
      <c r="F668" s="2">
        <v>7</v>
      </c>
      <c r="G668" s="2">
        <v>0</v>
      </c>
      <c r="H668" s="2">
        <v>13</v>
      </c>
      <c r="I668" s="2">
        <v>13</v>
      </c>
      <c r="J668" s="1"/>
      <c r="M668" t="s">
        <v>15</v>
      </c>
      <c r="N668" t="str">
        <f>IFERROR(VLOOKUP(B668,'[1]All Player'!$B$2:$C$1992,2,0),"")</f>
        <v>MD Hridoy (শুন্য হৃদয়, অবুজ বালক)</v>
      </c>
      <c r="O668" s="2" t="s">
        <v>522</v>
      </c>
      <c r="P668" s="16" t="s">
        <v>523</v>
      </c>
      <c r="Q668" s="1">
        <f t="shared" si="23"/>
        <v>1</v>
      </c>
      <c r="R668" s="1">
        <v>109</v>
      </c>
      <c r="U668" s="8">
        <v>42339</v>
      </c>
    </row>
    <row r="669" spans="1:21" x14ac:dyDescent="0.25">
      <c r="A669" s="2">
        <f t="shared" si="22"/>
        <v>12</v>
      </c>
      <c r="B669" s="17" t="s">
        <v>596</v>
      </c>
      <c r="J669" s="1"/>
      <c r="M669" t="s">
        <v>15</v>
      </c>
      <c r="N669" t="str">
        <f>IFERROR(VLOOKUP(B669,'[1]All Player'!$B$2:$C$1992,2,0),"")</f>
        <v/>
      </c>
      <c r="O669" s="2" t="s">
        <v>522</v>
      </c>
      <c r="P669" s="16" t="s">
        <v>596</v>
      </c>
      <c r="Q669" s="1">
        <f t="shared" si="23"/>
        <v>1</v>
      </c>
      <c r="R669" s="1">
        <v>110</v>
      </c>
      <c r="U669" s="8">
        <v>42339</v>
      </c>
    </row>
    <row r="670" spans="1:21" x14ac:dyDescent="0.25">
      <c r="A670" s="2">
        <f t="shared" si="22"/>
        <v>12</v>
      </c>
      <c r="B670" t="s">
        <v>152</v>
      </c>
      <c r="C670" s="2">
        <v>5</v>
      </c>
      <c r="D670" s="2">
        <v>78</v>
      </c>
      <c r="E670" s="2">
        <v>8</v>
      </c>
      <c r="F670" s="2">
        <v>6</v>
      </c>
      <c r="G670" s="2">
        <v>1</v>
      </c>
      <c r="H670" s="2">
        <v>4</v>
      </c>
      <c r="I670" s="2">
        <v>6</v>
      </c>
      <c r="J670" s="1"/>
      <c r="M670" t="s">
        <v>15</v>
      </c>
      <c r="N670" t="str">
        <f>IFERROR(VLOOKUP(B670,'[1]All Player'!$B$2:$C$1992,2,0),"")</f>
        <v>Niamul Habib Setu</v>
      </c>
      <c r="O670" s="2" t="s">
        <v>522</v>
      </c>
      <c r="P670" s="16" t="s">
        <v>596</v>
      </c>
      <c r="Q670" s="1">
        <f t="shared" si="23"/>
        <v>1</v>
      </c>
      <c r="R670" s="1">
        <v>110</v>
      </c>
      <c r="U670" s="8">
        <v>42339</v>
      </c>
    </row>
    <row r="671" spans="1:21" x14ac:dyDescent="0.25">
      <c r="A671" s="2">
        <f t="shared" si="22"/>
        <v>12</v>
      </c>
      <c r="B671" t="s">
        <v>114</v>
      </c>
      <c r="C671" s="2">
        <v>5</v>
      </c>
      <c r="D671" s="2">
        <v>71</v>
      </c>
      <c r="E671" s="2">
        <v>8</v>
      </c>
      <c r="F671" s="2">
        <v>8</v>
      </c>
      <c r="G671" s="2">
        <v>1</v>
      </c>
      <c r="H671" s="2">
        <v>7</v>
      </c>
      <c r="I671" s="2">
        <v>3</v>
      </c>
      <c r="J671" s="1"/>
      <c r="M671" t="s">
        <v>15</v>
      </c>
      <c r="N671" t="str">
        <f>IFERROR(VLOOKUP(B671,'[1]All Player'!$B$2:$C$1992,2,0),"")</f>
        <v>Tanvir Shakib</v>
      </c>
      <c r="O671" s="2" t="s">
        <v>522</v>
      </c>
      <c r="P671" s="16" t="s">
        <v>596</v>
      </c>
      <c r="Q671" s="1">
        <f t="shared" si="23"/>
        <v>1</v>
      </c>
      <c r="R671" s="1">
        <v>110</v>
      </c>
      <c r="U671" s="8">
        <v>42339</v>
      </c>
    </row>
    <row r="672" spans="1:21" x14ac:dyDescent="0.25">
      <c r="A672" s="2">
        <f t="shared" ref="A672:A735" si="24">A671</f>
        <v>12</v>
      </c>
      <c r="B672" t="s">
        <v>203</v>
      </c>
      <c r="C672" s="2">
        <v>3</v>
      </c>
      <c r="D672" s="2">
        <v>26</v>
      </c>
      <c r="E672" s="2">
        <v>4</v>
      </c>
      <c r="F672" s="2">
        <v>3</v>
      </c>
      <c r="G672" s="2">
        <v>0</v>
      </c>
      <c r="H672" s="2">
        <v>2</v>
      </c>
      <c r="I672" s="2">
        <v>1</v>
      </c>
      <c r="J672" s="1"/>
      <c r="M672" t="s">
        <v>15</v>
      </c>
      <c r="N672" t="str">
        <f>IFERROR(VLOOKUP(B672,'[1]All Player'!$B$2:$C$1992,2,0),"")</f>
        <v>Rifat Ullah</v>
      </c>
      <c r="O672" s="2" t="s">
        <v>522</v>
      </c>
      <c r="P672" s="16" t="s">
        <v>596</v>
      </c>
      <c r="Q672" s="1">
        <f t="shared" si="23"/>
        <v>1</v>
      </c>
      <c r="R672" s="1">
        <v>110</v>
      </c>
      <c r="U672" s="8">
        <v>42339</v>
      </c>
    </row>
    <row r="673" spans="1:21" x14ac:dyDescent="0.25">
      <c r="A673" s="2">
        <f t="shared" si="24"/>
        <v>12</v>
      </c>
      <c r="B673" t="s">
        <v>132</v>
      </c>
      <c r="C673" s="2">
        <v>5</v>
      </c>
      <c r="D673" s="2">
        <v>86</v>
      </c>
      <c r="E673" s="2">
        <v>10</v>
      </c>
      <c r="F673" s="2">
        <v>8</v>
      </c>
      <c r="G673" s="2">
        <v>1</v>
      </c>
      <c r="H673" s="2">
        <v>9</v>
      </c>
      <c r="I673" s="2">
        <v>6</v>
      </c>
      <c r="J673" s="1"/>
      <c r="M673" t="s">
        <v>15</v>
      </c>
      <c r="N673" t="str">
        <f>IFERROR(VLOOKUP(B673,'[1]All Player'!$B$2:$C$1992,2,0),"")</f>
        <v>ShiShir Hossain</v>
      </c>
      <c r="O673" s="2" t="s">
        <v>522</v>
      </c>
      <c r="P673" s="16" t="s">
        <v>596</v>
      </c>
      <c r="Q673" s="1">
        <f t="shared" si="23"/>
        <v>1</v>
      </c>
      <c r="R673" s="1">
        <v>110</v>
      </c>
      <c r="U673" s="8">
        <v>42339</v>
      </c>
    </row>
    <row r="674" spans="1:21" x14ac:dyDescent="0.25">
      <c r="A674" s="2">
        <f t="shared" si="24"/>
        <v>12</v>
      </c>
      <c r="B674" t="s">
        <v>369</v>
      </c>
      <c r="C674" s="2">
        <v>5</v>
      </c>
      <c r="D674" s="2">
        <v>61</v>
      </c>
      <c r="E674" s="2">
        <v>2</v>
      </c>
      <c r="F674" s="2">
        <v>5</v>
      </c>
      <c r="G674" s="2">
        <v>0</v>
      </c>
      <c r="H674" s="2">
        <v>4</v>
      </c>
      <c r="I674" s="2">
        <v>4</v>
      </c>
      <c r="J674" s="1"/>
      <c r="M674" t="s">
        <v>15</v>
      </c>
      <c r="N674" t="str">
        <f>IFERROR(VLOOKUP(B674,'[1]All Player'!$B$2:$C$1992,2,0),"")</f>
        <v>মোঃ মাহফুজুর রহমান রাকিব</v>
      </c>
      <c r="O674" s="2" t="s">
        <v>522</v>
      </c>
      <c r="P674" s="16" t="s">
        <v>596</v>
      </c>
      <c r="Q674" s="1">
        <f t="shared" si="23"/>
        <v>1</v>
      </c>
      <c r="R674" s="1">
        <v>110</v>
      </c>
      <c r="U674" s="8">
        <v>42339</v>
      </c>
    </row>
    <row r="675" spans="1:21" x14ac:dyDescent="0.25">
      <c r="A675" s="2">
        <f t="shared" si="24"/>
        <v>12</v>
      </c>
      <c r="B675" s="17" t="s">
        <v>597</v>
      </c>
      <c r="J675" s="1"/>
      <c r="M675" t="s">
        <v>15</v>
      </c>
      <c r="N675" t="str">
        <f>IFERROR(VLOOKUP(B675,'[1]All Player'!$B$2:$C$1992,2,0),"")</f>
        <v/>
      </c>
      <c r="O675" s="2" t="s">
        <v>522</v>
      </c>
      <c r="P675" s="16" t="s">
        <v>597</v>
      </c>
      <c r="Q675" s="1">
        <f t="shared" si="23"/>
        <v>1</v>
      </c>
      <c r="R675" s="1">
        <v>111</v>
      </c>
      <c r="U675" s="8">
        <v>42339</v>
      </c>
    </row>
    <row r="676" spans="1:21" x14ac:dyDescent="0.25">
      <c r="A676" s="2">
        <f t="shared" si="24"/>
        <v>12</v>
      </c>
      <c r="B676" t="s">
        <v>95</v>
      </c>
      <c r="C676" s="2">
        <v>4</v>
      </c>
      <c r="D676" s="2">
        <v>65</v>
      </c>
      <c r="E676" s="2">
        <v>11</v>
      </c>
      <c r="F676" s="2">
        <v>7</v>
      </c>
      <c r="G676" s="2">
        <v>0</v>
      </c>
      <c r="H676" s="2">
        <v>4</v>
      </c>
      <c r="I676" s="2">
        <v>5</v>
      </c>
      <c r="J676" s="1"/>
      <c r="M676" t="s">
        <v>15</v>
      </c>
      <c r="N676" t="str">
        <f>IFERROR(VLOOKUP(B676,'[1]All Player'!$B$2:$C$1992,2,0),"")</f>
        <v>Sadrul Anam</v>
      </c>
      <c r="O676" s="2" t="s">
        <v>522</v>
      </c>
      <c r="P676" s="16" t="s">
        <v>597</v>
      </c>
      <c r="Q676" s="1">
        <f t="shared" si="23"/>
        <v>1</v>
      </c>
      <c r="R676" s="1">
        <v>111</v>
      </c>
      <c r="U676" s="8">
        <v>42339</v>
      </c>
    </row>
    <row r="677" spans="1:21" x14ac:dyDescent="0.25">
      <c r="A677" s="2">
        <f t="shared" si="24"/>
        <v>12</v>
      </c>
      <c r="B677" t="s">
        <v>154</v>
      </c>
      <c r="C677" s="2">
        <v>4</v>
      </c>
      <c r="D677" s="2">
        <v>46</v>
      </c>
      <c r="E677" s="2">
        <v>5</v>
      </c>
      <c r="F677" s="2">
        <v>6</v>
      </c>
      <c r="G677" s="2">
        <v>0</v>
      </c>
      <c r="H677" s="2">
        <v>3</v>
      </c>
      <c r="I677" s="2">
        <v>4</v>
      </c>
      <c r="J677" s="1"/>
      <c r="M677" t="s">
        <v>15</v>
      </c>
      <c r="N677" t="str">
        <f>IFERROR(VLOOKUP(B677,'[1]All Player'!$B$2:$C$1992,2,0),"")</f>
        <v>Meyaz Al Emon</v>
      </c>
      <c r="O677" s="2" t="s">
        <v>522</v>
      </c>
      <c r="P677" s="16" t="s">
        <v>597</v>
      </c>
      <c r="Q677" s="1">
        <f t="shared" si="23"/>
        <v>1</v>
      </c>
      <c r="R677" s="1">
        <v>111</v>
      </c>
      <c r="U677" s="8">
        <v>42339</v>
      </c>
    </row>
    <row r="678" spans="1:21" x14ac:dyDescent="0.25">
      <c r="A678" s="2">
        <f t="shared" si="24"/>
        <v>12</v>
      </c>
      <c r="B678" t="s">
        <v>102</v>
      </c>
      <c r="C678" s="2">
        <v>3</v>
      </c>
      <c r="D678" s="2">
        <v>27</v>
      </c>
      <c r="E678" s="2">
        <v>3</v>
      </c>
      <c r="F678" s="2">
        <v>3</v>
      </c>
      <c r="G678" s="2">
        <v>0</v>
      </c>
      <c r="H678" s="2">
        <v>2</v>
      </c>
      <c r="I678" s="2">
        <v>1</v>
      </c>
      <c r="J678" s="1"/>
      <c r="M678" t="s">
        <v>15</v>
      </c>
      <c r="N678" t="str">
        <f>IFERROR(VLOOKUP(B678,'[1]All Player'!$B$2:$C$1992,2,0),"")</f>
        <v>Mustofa Muddassir Mahmud Mashuk</v>
      </c>
      <c r="O678" s="2" t="s">
        <v>522</v>
      </c>
      <c r="P678" s="16" t="s">
        <v>597</v>
      </c>
      <c r="Q678" s="1">
        <f t="shared" si="23"/>
        <v>1</v>
      </c>
      <c r="R678" s="1">
        <v>111</v>
      </c>
      <c r="U678" s="8">
        <v>42339</v>
      </c>
    </row>
    <row r="679" spans="1:21" x14ac:dyDescent="0.25">
      <c r="A679" s="2">
        <f t="shared" si="24"/>
        <v>12</v>
      </c>
      <c r="B679" t="s">
        <v>829</v>
      </c>
      <c r="C679" s="2">
        <v>4</v>
      </c>
      <c r="D679" s="2">
        <v>6</v>
      </c>
      <c r="E679" s="2">
        <v>0</v>
      </c>
      <c r="F679" s="2">
        <v>5</v>
      </c>
      <c r="G679" s="2">
        <v>0</v>
      </c>
      <c r="H679" s="2">
        <v>0</v>
      </c>
      <c r="I679" s="2">
        <v>0</v>
      </c>
      <c r="J679" s="1"/>
      <c r="M679" t="s">
        <v>15</v>
      </c>
      <c r="N679" t="str">
        <f>IFERROR(VLOOKUP(B679,'[1]All Player'!$B$2:$C$1992,2,0),"")</f>
        <v>ShaHadat H. SaJeeb</v>
      </c>
      <c r="O679" s="2" t="s">
        <v>522</v>
      </c>
      <c r="P679" s="16" t="s">
        <v>597</v>
      </c>
      <c r="Q679" s="1">
        <f t="shared" si="23"/>
        <v>1</v>
      </c>
      <c r="R679" s="1">
        <v>111</v>
      </c>
      <c r="U679" s="8">
        <v>42339</v>
      </c>
    </row>
    <row r="680" spans="1:21" x14ac:dyDescent="0.25">
      <c r="A680" s="2">
        <f t="shared" si="24"/>
        <v>12</v>
      </c>
      <c r="B680" t="s">
        <v>373</v>
      </c>
      <c r="C680" s="2">
        <v>4</v>
      </c>
      <c r="D680" s="2">
        <v>66</v>
      </c>
      <c r="E680" s="2">
        <v>5</v>
      </c>
      <c r="F680" s="2">
        <v>5</v>
      </c>
      <c r="G680" s="2">
        <v>0</v>
      </c>
      <c r="H680" s="2">
        <v>4</v>
      </c>
      <c r="I680" s="2">
        <v>5</v>
      </c>
      <c r="J680" s="1"/>
      <c r="M680" t="s">
        <v>15</v>
      </c>
      <c r="N680" t="str">
        <f>IFERROR(VLOOKUP(B680,'[1]All Player'!$B$2:$C$1992,2,0),"")</f>
        <v>শাহাদাৎ আহমেদ সাহাদ</v>
      </c>
      <c r="O680" s="2" t="s">
        <v>522</v>
      </c>
      <c r="P680" s="16" t="s">
        <v>597</v>
      </c>
      <c r="Q680" s="1">
        <f t="shared" si="23"/>
        <v>1</v>
      </c>
      <c r="R680" s="1">
        <v>111</v>
      </c>
      <c r="U680" s="8">
        <v>42339</v>
      </c>
    </row>
    <row r="681" spans="1:21" x14ac:dyDescent="0.25">
      <c r="A681" s="2">
        <f t="shared" si="24"/>
        <v>12</v>
      </c>
      <c r="B681" s="17" t="s">
        <v>537</v>
      </c>
      <c r="J681" s="1"/>
      <c r="M681" t="s">
        <v>15</v>
      </c>
      <c r="N681" t="str">
        <f>IFERROR(VLOOKUP(B681,'[1]All Player'!$B$2:$C$1992,2,0),"")</f>
        <v/>
      </c>
      <c r="O681" s="2" t="s">
        <v>522</v>
      </c>
      <c r="P681" s="16" t="s">
        <v>537</v>
      </c>
      <c r="Q681" s="1">
        <f t="shared" si="23"/>
        <v>1</v>
      </c>
      <c r="R681" s="1">
        <v>112</v>
      </c>
      <c r="U681" s="8">
        <v>42339</v>
      </c>
    </row>
    <row r="682" spans="1:21" x14ac:dyDescent="0.25">
      <c r="A682" s="2">
        <f t="shared" si="24"/>
        <v>12</v>
      </c>
      <c r="B682" t="s">
        <v>70</v>
      </c>
      <c r="C682" s="2">
        <v>5</v>
      </c>
      <c r="D682" s="2">
        <v>34</v>
      </c>
      <c r="E682" s="2">
        <v>6</v>
      </c>
      <c r="F682" s="2">
        <v>7</v>
      </c>
      <c r="G682" s="2">
        <v>0</v>
      </c>
      <c r="H682" s="2">
        <v>1</v>
      </c>
      <c r="I682" s="2">
        <v>2</v>
      </c>
      <c r="J682" s="1"/>
      <c r="M682" t="s">
        <v>15</v>
      </c>
      <c r="N682" t="str">
        <f>IFERROR(VLOOKUP(B682,'[1]All Player'!$B$2:$C$1992,2,0),"")</f>
        <v>Sheik Helal Ahmed</v>
      </c>
      <c r="O682" s="2" t="s">
        <v>522</v>
      </c>
      <c r="P682" s="16" t="s">
        <v>537</v>
      </c>
      <c r="Q682" s="1">
        <f t="shared" si="23"/>
        <v>1</v>
      </c>
      <c r="R682" s="1">
        <v>112</v>
      </c>
      <c r="U682" s="8">
        <v>42339</v>
      </c>
    </row>
    <row r="683" spans="1:21" x14ac:dyDescent="0.25">
      <c r="A683" s="2">
        <f t="shared" si="24"/>
        <v>12</v>
      </c>
      <c r="B683" t="s">
        <v>66</v>
      </c>
      <c r="C683" s="2">
        <v>4</v>
      </c>
      <c r="D683" s="2">
        <v>40</v>
      </c>
      <c r="E683" s="2">
        <v>5</v>
      </c>
      <c r="F683" s="2">
        <v>5</v>
      </c>
      <c r="G683" s="2">
        <v>0</v>
      </c>
      <c r="H683" s="2">
        <v>4</v>
      </c>
      <c r="I683" s="2">
        <v>4</v>
      </c>
      <c r="J683" s="1"/>
      <c r="M683" t="s">
        <v>15</v>
      </c>
      <c r="N683" t="str">
        <f>IFERROR(VLOOKUP(B683,'[1]All Player'!$B$2:$C$1992,2,0),"")</f>
        <v>Ahmad Sakib Abdullah</v>
      </c>
      <c r="O683" s="2" t="s">
        <v>522</v>
      </c>
      <c r="P683" s="16" t="s">
        <v>537</v>
      </c>
      <c r="Q683" s="1">
        <f t="shared" si="23"/>
        <v>1</v>
      </c>
      <c r="R683" s="1">
        <v>112</v>
      </c>
      <c r="U683" s="8">
        <v>42339</v>
      </c>
    </row>
    <row r="684" spans="1:21" x14ac:dyDescent="0.25">
      <c r="A684" s="2">
        <f t="shared" si="24"/>
        <v>12</v>
      </c>
      <c r="B684" t="s">
        <v>122</v>
      </c>
      <c r="C684" s="2">
        <v>4</v>
      </c>
      <c r="D684" s="2">
        <v>85</v>
      </c>
      <c r="E684" s="2">
        <v>7</v>
      </c>
      <c r="F684" s="2">
        <v>6</v>
      </c>
      <c r="G684" s="2">
        <v>0</v>
      </c>
      <c r="H684" s="2">
        <v>4</v>
      </c>
      <c r="I684" s="2">
        <v>5</v>
      </c>
      <c r="J684" s="1"/>
      <c r="M684" t="s">
        <v>15</v>
      </c>
      <c r="N684" t="str">
        <f>IFERROR(VLOOKUP(B684,'[1]All Player'!$B$2:$C$1992,2,0),"")</f>
        <v>Towkir Ahmed Siddique</v>
      </c>
      <c r="O684" s="2" t="s">
        <v>522</v>
      </c>
      <c r="P684" s="16" t="s">
        <v>537</v>
      </c>
      <c r="Q684" s="1">
        <f t="shared" si="23"/>
        <v>1</v>
      </c>
      <c r="R684" s="1">
        <v>112</v>
      </c>
      <c r="U684" s="8">
        <v>42339</v>
      </c>
    </row>
    <row r="685" spans="1:21" x14ac:dyDescent="0.25">
      <c r="A685" s="2">
        <f t="shared" si="24"/>
        <v>12</v>
      </c>
      <c r="B685" t="s">
        <v>136</v>
      </c>
      <c r="C685" s="2">
        <v>5</v>
      </c>
      <c r="D685" s="2">
        <v>56</v>
      </c>
      <c r="E685" s="2">
        <v>11</v>
      </c>
      <c r="F685" s="2">
        <v>7</v>
      </c>
      <c r="G685" s="2">
        <v>2</v>
      </c>
      <c r="H685" s="2">
        <v>2</v>
      </c>
      <c r="I685" s="2">
        <v>4</v>
      </c>
      <c r="J685" s="1"/>
      <c r="M685" t="s">
        <v>15</v>
      </c>
      <c r="N685" t="str">
        <f>IFERROR(VLOOKUP(B685,'[1]All Player'!$B$2:$C$1992,2,0),"")</f>
        <v>MD Kamal Hossain Kamal</v>
      </c>
      <c r="O685" s="2" t="s">
        <v>522</v>
      </c>
      <c r="P685" s="16" t="s">
        <v>537</v>
      </c>
      <c r="Q685" s="1">
        <f t="shared" si="23"/>
        <v>1</v>
      </c>
      <c r="R685" s="1">
        <v>112</v>
      </c>
      <c r="U685" s="8">
        <v>42339</v>
      </c>
    </row>
    <row r="686" spans="1:21" x14ac:dyDescent="0.25">
      <c r="A686" s="2">
        <f t="shared" si="24"/>
        <v>12</v>
      </c>
      <c r="B686" t="s">
        <v>181</v>
      </c>
      <c r="C686" s="2">
        <v>5</v>
      </c>
      <c r="D686" s="2">
        <v>48</v>
      </c>
      <c r="E686" s="2">
        <v>1</v>
      </c>
      <c r="F686" s="2">
        <v>6</v>
      </c>
      <c r="G686" s="2">
        <v>0</v>
      </c>
      <c r="H686" s="2">
        <v>5</v>
      </c>
      <c r="I686" s="2">
        <v>3</v>
      </c>
      <c r="J686" s="1"/>
      <c r="M686" t="s">
        <v>15</v>
      </c>
      <c r="N686" t="str">
        <f>IFERROR(VLOOKUP(B686,'[1]All Player'!$B$2:$C$1992,2,0),"")</f>
        <v>SH Shamim</v>
      </c>
      <c r="O686" s="2" t="s">
        <v>522</v>
      </c>
      <c r="P686" s="16" t="s">
        <v>537</v>
      </c>
      <c r="Q686" s="1">
        <f t="shared" si="23"/>
        <v>1</v>
      </c>
      <c r="R686" s="1">
        <v>112</v>
      </c>
      <c r="U686" s="8">
        <v>42339</v>
      </c>
    </row>
    <row r="687" spans="1:21" x14ac:dyDescent="0.25">
      <c r="A687" s="2">
        <f t="shared" si="24"/>
        <v>12</v>
      </c>
      <c r="B687" s="17" t="s">
        <v>598</v>
      </c>
      <c r="J687" s="1"/>
      <c r="M687" t="s">
        <v>15</v>
      </c>
      <c r="N687" t="str">
        <f>IFERROR(VLOOKUP(B687,'[1]All Player'!$B$2:$C$1992,2,0),"")</f>
        <v/>
      </c>
      <c r="O687" s="2" t="s">
        <v>522</v>
      </c>
      <c r="P687" s="16" t="s">
        <v>598</v>
      </c>
      <c r="Q687" s="1">
        <f t="shared" si="23"/>
        <v>1</v>
      </c>
      <c r="R687" s="1">
        <v>113</v>
      </c>
      <c r="U687" s="8">
        <v>42339</v>
      </c>
    </row>
    <row r="688" spans="1:21" x14ac:dyDescent="0.25">
      <c r="A688" s="2">
        <f t="shared" si="24"/>
        <v>12</v>
      </c>
      <c r="B688" t="s">
        <v>80</v>
      </c>
      <c r="C688" s="2">
        <v>6</v>
      </c>
      <c r="D688" s="2">
        <v>126</v>
      </c>
      <c r="E688" s="2">
        <v>12</v>
      </c>
      <c r="F688" s="2">
        <v>12</v>
      </c>
      <c r="G688" s="2">
        <v>0</v>
      </c>
      <c r="H688" s="2">
        <v>12</v>
      </c>
      <c r="I688" s="2">
        <v>4</v>
      </c>
      <c r="J688" s="1"/>
      <c r="M688" t="s">
        <v>15</v>
      </c>
      <c r="N688" t="str">
        <f>IFERROR(VLOOKUP(B688,'[1]All Player'!$B$2:$C$1992,2,0),"")</f>
        <v>Kamrul Hasan Tutul</v>
      </c>
      <c r="O688" s="2" t="s">
        <v>522</v>
      </c>
      <c r="P688" s="16" t="s">
        <v>598</v>
      </c>
      <c r="Q688" s="1">
        <f t="shared" si="23"/>
        <v>1</v>
      </c>
      <c r="R688" s="1">
        <v>113</v>
      </c>
      <c r="U688" s="8">
        <v>42339</v>
      </c>
    </row>
    <row r="689" spans="1:21" x14ac:dyDescent="0.25">
      <c r="A689" s="2">
        <f t="shared" si="24"/>
        <v>12</v>
      </c>
      <c r="B689" t="s">
        <v>179</v>
      </c>
      <c r="C689" s="2">
        <v>6</v>
      </c>
      <c r="D689" s="2">
        <v>76</v>
      </c>
      <c r="E689" s="2">
        <v>8</v>
      </c>
      <c r="F689" s="2">
        <v>9</v>
      </c>
      <c r="G689" s="2">
        <v>1</v>
      </c>
      <c r="H689" s="2">
        <v>3</v>
      </c>
      <c r="I689" s="2">
        <v>9</v>
      </c>
      <c r="J689" s="1"/>
      <c r="M689" t="s">
        <v>15</v>
      </c>
      <c r="N689" t="str">
        <f>IFERROR(VLOOKUP(B689,'[1]All Player'!$B$2:$C$1992,2,0),"")</f>
        <v>Shuvayan Saha Brinto</v>
      </c>
      <c r="O689" s="2" t="s">
        <v>522</v>
      </c>
      <c r="P689" s="16" t="s">
        <v>598</v>
      </c>
      <c r="Q689" s="1">
        <f t="shared" si="23"/>
        <v>1</v>
      </c>
      <c r="R689" s="1">
        <v>113</v>
      </c>
      <c r="U689" s="8">
        <v>42339</v>
      </c>
    </row>
    <row r="690" spans="1:21" x14ac:dyDescent="0.25">
      <c r="A690" s="2">
        <f t="shared" si="24"/>
        <v>12</v>
      </c>
      <c r="B690" t="s">
        <v>104</v>
      </c>
      <c r="C690" s="2">
        <v>6</v>
      </c>
      <c r="D690" s="2">
        <v>138</v>
      </c>
      <c r="E690" s="2">
        <v>7</v>
      </c>
      <c r="F690" s="2">
        <v>13</v>
      </c>
      <c r="G690" s="2">
        <v>2</v>
      </c>
      <c r="H690" s="2">
        <v>9</v>
      </c>
      <c r="I690" s="2">
        <v>6</v>
      </c>
      <c r="J690" s="1"/>
      <c r="M690" t="s">
        <v>15</v>
      </c>
      <c r="N690" t="str">
        <f>IFERROR(VLOOKUP(B690,'[1]All Player'!$B$2:$C$1992,2,0),"")</f>
        <v>Bandhon Podder Pranto</v>
      </c>
      <c r="O690" s="2" t="s">
        <v>522</v>
      </c>
      <c r="P690" s="16" t="s">
        <v>598</v>
      </c>
      <c r="Q690" s="1">
        <f t="shared" si="23"/>
        <v>1</v>
      </c>
      <c r="R690" s="1">
        <v>113</v>
      </c>
      <c r="U690" s="8">
        <v>42339</v>
      </c>
    </row>
    <row r="691" spans="1:21" x14ac:dyDescent="0.25">
      <c r="A691" s="2">
        <f t="shared" si="24"/>
        <v>12</v>
      </c>
      <c r="B691" t="s">
        <v>375</v>
      </c>
      <c r="C691" s="2">
        <v>2</v>
      </c>
      <c r="D691" s="2">
        <v>0</v>
      </c>
      <c r="E691" s="2">
        <v>0</v>
      </c>
      <c r="F691" s="2">
        <v>1</v>
      </c>
      <c r="G691" s="2">
        <v>0</v>
      </c>
      <c r="H691" s="2">
        <v>0</v>
      </c>
      <c r="I691" s="2">
        <v>0</v>
      </c>
      <c r="J691" s="1"/>
      <c r="M691" t="s">
        <v>15</v>
      </c>
      <c r="N691" t="str">
        <f>IFERROR(VLOOKUP(B691,'[1]All Player'!$B$2:$C$1992,2,0),"")</f>
        <v>AR Tawhid</v>
      </c>
      <c r="O691" s="2" t="s">
        <v>522</v>
      </c>
      <c r="P691" s="16" t="s">
        <v>598</v>
      </c>
      <c r="Q691" s="1">
        <f t="shared" si="23"/>
        <v>1</v>
      </c>
      <c r="R691" s="1">
        <v>113</v>
      </c>
      <c r="U691" s="8">
        <v>42339</v>
      </c>
    </row>
    <row r="692" spans="1:21" x14ac:dyDescent="0.25">
      <c r="A692" s="2">
        <f t="shared" si="24"/>
        <v>12</v>
      </c>
      <c r="B692" t="s">
        <v>276</v>
      </c>
      <c r="C692" s="2">
        <v>3</v>
      </c>
      <c r="D692" s="2">
        <v>63</v>
      </c>
      <c r="E692" s="2">
        <v>2</v>
      </c>
      <c r="F692" s="2">
        <v>3</v>
      </c>
      <c r="G692" s="2">
        <v>0</v>
      </c>
      <c r="H692" s="2">
        <v>4</v>
      </c>
      <c r="I692" s="2">
        <v>4</v>
      </c>
      <c r="J692" s="1"/>
      <c r="M692" t="s">
        <v>15</v>
      </c>
      <c r="N692" t="str">
        <f>IFERROR(VLOOKUP(B692,'[1]All Player'!$B$2:$C$1992,2,0),"")</f>
        <v>Md Aneek Rashid</v>
      </c>
      <c r="O692" s="2" t="s">
        <v>522</v>
      </c>
      <c r="P692" s="16" t="s">
        <v>598</v>
      </c>
      <c r="Q692" s="1">
        <f t="shared" si="23"/>
        <v>1</v>
      </c>
      <c r="R692" s="1">
        <v>113</v>
      </c>
      <c r="U692" s="8">
        <v>42339</v>
      </c>
    </row>
    <row r="693" spans="1:21" x14ac:dyDescent="0.25">
      <c r="A693" s="2">
        <v>13</v>
      </c>
      <c r="B693" s="17" t="s">
        <v>546</v>
      </c>
      <c r="C693" s="1"/>
      <c r="D693" s="1"/>
      <c r="E693" s="1"/>
      <c r="F693" s="1"/>
      <c r="G693" s="1"/>
      <c r="H693" s="1"/>
      <c r="I693" s="1"/>
      <c r="J693" s="1"/>
      <c r="M693" t="s">
        <v>15</v>
      </c>
      <c r="N693" t="str">
        <f>IFERROR(VLOOKUP(B693,'[1]All Player'!$B$2:$C$1992,2,0),"")</f>
        <v/>
      </c>
      <c r="O693" s="2" t="s">
        <v>525</v>
      </c>
      <c r="P693" s="16" t="s">
        <v>546</v>
      </c>
      <c r="Q693" s="1">
        <f t="shared" si="23"/>
        <v>1</v>
      </c>
      <c r="R693" s="1">
        <v>114</v>
      </c>
      <c r="T693" s="1" t="s">
        <v>657</v>
      </c>
      <c r="U693" s="8">
        <v>42036</v>
      </c>
    </row>
    <row r="694" spans="1:21" x14ac:dyDescent="0.25">
      <c r="A694" s="2">
        <f t="shared" si="24"/>
        <v>13</v>
      </c>
      <c r="B694" t="s">
        <v>130</v>
      </c>
      <c r="C694" s="1">
        <v>13</v>
      </c>
      <c r="D694" s="1">
        <v>363</v>
      </c>
      <c r="E694" s="1">
        <v>24</v>
      </c>
      <c r="F694" s="1">
        <v>22</v>
      </c>
      <c r="G694" s="1">
        <v>6</v>
      </c>
      <c r="H694" s="1">
        <v>32</v>
      </c>
      <c r="I694" s="1">
        <v>25</v>
      </c>
      <c r="J694" s="1"/>
      <c r="M694" t="s">
        <v>15</v>
      </c>
      <c r="N694" t="str">
        <f>IFERROR(VLOOKUP(B694,'[1]All Player'!$B$2:$C$1992,2,0),"")</f>
        <v>Shahriar Khokon</v>
      </c>
      <c r="O694" s="2" t="s">
        <v>525</v>
      </c>
      <c r="P694" s="16" t="s">
        <v>546</v>
      </c>
      <c r="Q694" s="1">
        <f t="shared" si="23"/>
        <v>1</v>
      </c>
      <c r="R694" s="1">
        <v>114</v>
      </c>
      <c r="S694" s="2" t="s">
        <v>658</v>
      </c>
      <c r="T694" s="1" t="s">
        <v>657</v>
      </c>
      <c r="U694" s="8">
        <f t="shared" ref="U694:U757" si="25">U693</f>
        <v>42036</v>
      </c>
    </row>
    <row r="695" spans="1:21" x14ac:dyDescent="0.25">
      <c r="A695" s="2">
        <f t="shared" si="24"/>
        <v>13</v>
      </c>
      <c r="B695" t="s">
        <v>122</v>
      </c>
      <c r="C695" s="1">
        <v>13</v>
      </c>
      <c r="D695" s="1">
        <v>176</v>
      </c>
      <c r="E695" s="1">
        <v>18</v>
      </c>
      <c r="F695" s="1">
        <v>16</v>
      </c>
      <c r="G695" s="1">
        <v>2</v>
      </c>
      <c r="H695" s="1">
        <v>8</v>
      </c>
      <c r="I695" s="1">
        <v>6</v>
      </c>
      <c r="J695" s="1"/>
      <c r="M695" t="s">
        <v>15</v>
      </c>
      <c r="N695" t="str">
        <f>IFERROR(VLOOKUP(B695,'[1]All Player'!$B$2:$C$1992,2,0),"")</f>
        <v>Towkir Ahmed Siddique</v>
      </c>
      <c r="O695" s="2" t="s">
        <v>525</v>
      </c>
      <c r="P695" s="16" t="s">
        <v>546</v>
      </c>
      <c r="Q695" s="1">
        <f t="shared" si="23"/>
        <v>1</v>
      </c>
      <c r="R695" s="1">
        <v>114</v>
      </c>
      <c r="T695" s="1" t="s">
        <v>657</v>
      </c>
      <c r="U695" s="8">
        <f t="shared" si="25"/>
        <v>42036</v>
      </c>
    </row>
    <row r="696" spans="1:21" x14ac:dyDescent="0.25">
      <c r="A696" s="2">
        <f t="shared" si="24"/>
        <v>13</v>
      </c>
      <c r="B696" t="s">
        <v>191</v>
      </c>
      <c r="C696" s="1">
        <v>10</v>
      </c>
      <c r="D696" s="1">
        <v>141</v>
      </c>
      <c r="E696" s="1">
        <v>4</v>
      </c>
      <c r="F696" s="1">
        <v>10</v>
      </c>
      <c r="G696" s="1">
        <v>0</v>
      </c>
      <c r="H696" s="1">
        <v>10</v>
      </c>
      <c r="I696" s="1">
        <v>4</v>
      </c>
      <c r="J696" s="1"/>
      <c r="M696" t="s">
        <v>15</v>
      </c>
      <c r="N696" t="str">
        <f>IFERROR(VLOOKUP(B696,'[1]All Player'!$B$2:$C$1992,2,0),"")</f>
        <v>Mohammad Haris Mullah</v>
      </c>
      <c r="O696" s="2" t="s">
        <v>525</v>
      </c>
      <c r="P696" s="16" t="s">
        <v>546</v>
      </c>
      <c r="Q696" s="1">
        <f t="shared" si="23"/>
        <v>1</v>
      </c>
      <c r="R696" s="1">
        <v>114</v>
      </c>
      <c r="T696" s="1" t="s">
        <v>657</v>
      </c>
      <c r="U696" s="8">
        <f t="shared" si="25"/>
        <v>42036</v>
      </c>
    </row>
    <row r="697" spans="1:21" x14ac:dyDescent="0.25">
      <c r="A697" s="2">
        <f t="shared" si="24"/>
        <v>13</v>
      </c>
      <c r="B697" t="s">
        <v>228</v>
      </c>
      <c r="C697" s="1">
        <v>12</v>
      </c>
      <c r="D697" s="1">
        <v>205</v>
      </c>
      <c r="E697" s="21">
        <v>18</v>
      </c>
      <c r="F697" s="1">
        <v>14</v>
      </c>
      <c r="G697" s="1">
        <v>3</v>
      </c>
      <c r="H697" s="1">
        <v>13</v>
      </c>
      <c r="I697" s="1">
        <v>9</v>
      </c>
      <c r="J697" s="1"/>
      <c r="M697" t="s">
        <v>15</v>
      </c>
      <c r="N697" t="str">
        <f>IFERROR(VLOOKUP(B697,'[1]All Player'!$B$2:$C$1992,2,0),"")</f>
        <v>Arif Ziad</v>
      </c>
      <c r="O697" s="2" t="s">
        <v>525</v>
      </c>
      <c r="P697" s="16" t="s">
        <v>546</v>
      </c>
      <c r="Q697" s="1">
        <f t="shared" si="23"/>
        <v>1</v>
      </c>
      <c r="R697" s="1">
        <v>114</v>
      </c>
      <c r="T697" s="1" t="s">
        <v>657</v>
      </c>
      <c r="U697" s="8">
        <f t="shared" si="25"/>
        <v>42036</v>
      </c>
    </row>
    <row r="698" spans="1:21" x14ac:dyDescent="0.25">
      <c r="A698" s="2">
        <f t="shared" si="24"/>
        <v>13</v>
      </c>
      <c r="B698" t="s">
        <v>376</v>
      </c>
      <c r="C698" s="1">
        <v>11</v>
      </c>
      <c r="D698" s="1">
        <v>115</v>
      </c>
      <c r="E698" s="1">
        <v>16</v>
      </c>
      <c r="F698" s="1">
        <v>8</v>
      </c>
      <c r="G698" s="1">
        <v>0</v>
      </c>
      <c r="H698" s="1">
        <v>6</v>
      </c>
      <c r="I698" s="1">
        <v>6</v>
      </c>
      <c r="J698" s="1"/>
      <c r="M698" t="s">
        <v>15</v>
      </c>
      <c r="N698" t="str">
        <f>IFERROR(VLOOKUP(B698,'[1]All Player'!$B$2:$C$1992,2,0),"")</f>
        <v>Mahrus Hasan Prottoy</v>
      </c>
      <c r="O698" s="2" t="s">
        <v>525</v>
      </c>
      <c r="P698" s="16" t="s">
        <v>546</v>
      </c>
      <c r="Q698" s="1">
        <f t="shared" si="23"/>
        <v>1</v>
      </c>
      <c r="R698" s="1">
        <v>114</v>
      </c>
      <c r="T698" s="1" t="s">
        <v>657</v>
      </c>
      <c r="U698" s="8">
        <f t="shared" si="25"/>
        <v>42036</v>
      </c>
    </row>
    <row r="699" spans="1:21" x14ac:dyDescent="0.25">
      <c r="A699" s="2">
        <f t="shared" si="24"/>
        <v>13</v>
      </c>
      <c r="B699" t="s">
        <v>160</v>
      </c>
      <c r="C699" s="1">
        <v>13</v>
      </c>
      <c r="D699" s="1">
        <v>74</v>
      </c>
      <c r="E699" s="1">
        <v>12</v>
      </c>
      <c r="F699" s="1">
        <v>12</v>
      </c>
      <c r="G699" s="1">
        <v>0</v>
      </c>
      <c r="H699" s="1">
        <v>3</v>
      </c>
      <c r="I699" s="1">
        <v>3</v>
      </c>
      <c r="J699" s="1"/>
      <c r="M699" t="s">
        <v>15</v>
      </c>
      <c r="N699" t="str">
        <f>IFERROR(VLOOKUP(B699,'[1]All Player'!$B$2:$C$1992,2,0),"")</f>
        <v>Tanbir Hasan</v>
      </c>
      <c r="O699" s="2" t="s">
        <v>525</v>
      </c>
      <c r="P699" s="16" t="s">
        <v>546</v>
      </c>
      <c r="Q699" s="1">
        <f t="shared" si="23"/>
        <v>1</v>
      </c>
      <c r="R699" s="1">
        <v>114</v>
      </c>
      <c r="T699" s="1" t="s">
        <v>657</v>
      </c>
      <c r="U699" s="8">
        <f t="shared" si="25"/>
        <v>42036</v>
      </c>
    </row>
    <row r="700" spans="1:21" x14ac:dyDescent="0.25">
      <c r="A700" s="2">
        <f t="shared" si="24"/>
        <v>13</v>
      </c>
      <c r="B700" t="s">
        <v>830</v>
      </c>
      <c r="D700" s="1"/>
      <c r="E700" s="1"/>
      <c r="F700" s="1"/>
      <c r="G700" s="1"/>
      <c r="H700" s="1"/>
      <c r="I700" s="1"/>
      <c r="J700" s="1"/>
      <c r="M700" t="s">
        <v>15</v>
      </c>
      <c r="N700" t="str">
        <f>IFERROR(VLOOKUP(#REF!,'[1]All Player'!$B$2:$C$1992,2,0),"")</f>
        <v/>
      </c>
      <c r="O700" s="2" t="s">
        <v>525</v>
      </c>
      <c r="P700" s="16" t="s">
        <v>830</v>
      </c>
      <c r="Q700" s="1">
        <f t="shared" si="23"/>
        <v>1</v>
      </c>
      <c r="R700" s="1">
        <v>115</v>
      </c>
      <c r="T700" s="1" t="s">
        <v>659</v>
      </c>
      <c r="U700" s="8">
        <f t="shared" si="25"/>
        <v>42036</v>
      </c>
    </row>
    <row r="701" spans="1:21" x14ac:dyDescent="0.25">
      <c r="A701" s="2">
        <f t="shared" si="24"/>
        <v>13</v>
      </c>
      <c r="B701" t="s">
        <v>95</v>
      </c>
      <c r="C701" s="1">
        <v>14</v>
      </c>
      <c r="D701" s="1">
        <v>188</v>
      </c>
      <c r="E701" s="1">
        <v>29</v>
      </c>
      <c r="F701" s="1">
        <v>20</v>
      </c>
      <c r="G701" s="1">
        <v>0</v>
      </c>
      <c r="H701" s="1">
        <v>15</v>
      </c>
      <c r="I701" s="1">
        <v>11</v>
      </c>
      <c r="J701" s="1"/>
      <c r="M701" t="s">
        <v>15</v>
      </c>
      <c r="N701" t="str">
        <f>IFERROR(VLOOKUP(B701,'[1]All Player'!$B$2:$C$1992,2,0),"")</f>
        <v>Sadrul Anam</v>
      </c>
      <c r="O701" s="2" t="s">
        <v>525</v>
      </c>
      <c r="P701" s="16" t="s">
        <v>830</v>
      </c>
      <c r="Q701" s="1">
        <f t="shared" si="23"/>
        <v>1</v>
      </c>
      <c r="R701" s="21">
        <v>115</v>
      </c>
      <c r="T701" s="1" t="s">
        <v>659</v>
      </c>
      <c r="U701" s="8">
        <f t="shared" si="25"/>
        <v>42036</v>
      </c>
    </row>
    <row r="702" spans="1:21" x14ac:dyDescent="0.25">
      <c r="A702" s="2">
        <f t="shared" si="24"/>
        <v>13</v>
      </c>
      <c r="B702" t="s">
        <v>62</v>
      </c>
      <c r="C702" s="1">
        <v>13</v>
      </c>
      <c r="D702" s="1">
        <v>278</v>
      </c>
      <c r="E702" s="1">
        <v>14</v>
      </c>
      <c r="F702" s="1">
        <v>19</v>
      </c>
      <c r="G702" s="1">
        <v>4</v>
      </c>
      <c r="H702" s="1">
        <v>18</v>
      </c>
      <c r="I702" s="1">
        <v>25</v>
      </c>
      <c r="J702" s="1"/>
      <c r="M702" t="s">
        <v>15</v>
      </c>
      <c r="N702" t="str">
        <f>IFERROR(VLOOKUP(B702,'[1]All Player'!$B$2:$C$1992,2,0),"")</f>
        <v>MD Tofayel Ahmed</v>
      </c>
      <c r="O702" s="2" t="s">
        <v>525</v>
      </c>
      <c r="P702" s="16" t="s">
        <v>830</v>
      </c>
      <c r="Q702" s="1">
        <f t="shared" si="23"/>
        <v>1</v>
      </c>
      <c r="R702" s="1">
        <v>115</v>
      </c>
      <c r="T702" s="1" t="s">
        <v>659</v>
      </c>
      <c r="U702" s="8">
        <f t="shared" si="25"/>
        <v>42036</v>
      </c>
    </row>
    <row r="703" spans="1:21" x14ac:dyDescent="0.25">
      <c r="A703" s="2">
        <f t="shared" si="24"/>
        <v>13</v>
      </c>
      <c r="B703" t="s">
        <v>193</v>
      </c>
      <c r="C703" s="1">
        <v>14</v>
      </c>
      <c r="D703" s="1">
        <v>145</v>
      </c>
      <c r="E703" s="1">
        <v>12</v>
      </c>
      <c r="F703" s="1">
        <v>15</v>
      </c>
      <c r="G703" s="1">
        <v>1</v>
      </c>
      <c r="H703" s="1">
        <v>9</v>
      </c>
      <c r="I703" s="1">
        <v>11</v>
      </c>
      <c r="J703" s="1"/>
      <c r="M703" t="s">
        <v>15</v>
      </c>
      <c r="N703" t="str">
        <f>IFERROR(VLOOKUP(B703,'[1]All Player'!$B$2:$C$1992,2,0),"")</f>
        <v>Mostafizur Rahman Mithu</v>
      </c>
      <c r="O703" s="2" t="s">
        <v>525</v>
      </c>
      <c r="P703" s="16" t="s">
        <v>830</v>
      </c>
      <c r="Q703" s="1">
        <f t="shared" si="23"/>
        <v>1</v>
      </c>
      <c r="R703" s="1">
        <v>115</v>
      </c>
      <c r="T703" s="1" t="s">
        <v>659</v>
      </c>
      <c r="U703" s="8">
        <f t="shared" si="25"/>
        <v>42036</v>
      </c>
    </row>
    <row r="704" spans="1:21" x14ac:dyDescent="0.25">
      <c r="A704" s="2">
        <f t="shared" si="24"/>
        <v>13</v>
      </c>
      <c r="B704" t="s">
        <v>104</v>
      </c>
      <c r="C704" s="1">
        <v>14</v>
      </c>
      <c r="D704" s="1">
        <v>375</v>
      </c>
      <c r="E704" s="1">
        <v>28</v>
      </c>
      <c r="F704" s="1">
        <v>21</v>
      </c>
      <c r="G704" s="1">
        <v>1</v>
      </c>
      <c r="H704" s="1">
        <v>30</v>
      </c>
      <c r="I704" s="1">
        <v>27</v>
      </c>
      <c r="J704" s="1"/>
      <c r="M704" t="s">
        <v>15</v>
      </c>
      <c r="N704" t="str">
        <f>IFERROR(VLOOKUP(B704,'[1]All Player'!$B$2:$C$1992,2,0),"")</f>
        <v>Bandhon Podder Pranto</v>
      </c>
      <c r="O704" s="2" t="s">
        <v>525</v>
      </c>
      <c r="P704" s="16" t="s">
        <v>830</v>
      </c>
      <c r="Q704" s="1">
        <f t="shared" si="23"/>
        <v>1</v>
      </c>
      <c r="R704" s="1">
        <v>115</v>
      </c>
      <c r="S704" s="2" t="s">
        <v>660</v>
      </c>
      <c r="T704" s="1" t="s">
        <v>659</v>
      </c>
      <c r="U704" s="8">
        <f t="shared" si="25"/>
        <v>42036</v>
      </c>
    </row>
    <row r="705" spans="1:23" x14ac:dyDescent="0.25">
      <c r="A705" s="2">
        <f t="shared" si="24"/>
        <v>13</v>
      </c>
      <c r="B705" t="s">
        <v>173</v>
      </c>
      <c r="C705" s="1">
        <v>14</v>
      </c>
      <c r="D705" s="1">
        <v>81</v>
      </c>
      <c r="E705" s="1">
        <v>7</v>
      </c>
      <c r="F705" s="1">
        <v>16</v>
      </c>
      <c r="G705" s="1">
        <v>1</v>
      </c>
      <c r="H705" s="1">
        <v>4</v>
      </c>
      <c r="I705" s="1">
        <v>3</v>
      </c>
      <c r="J705" s="1"/>
      <c r="M705" t="s">
        <v>15</v>
      </c>
      <c r="N705" t="str">
        <f>IFERROR(VLOOKUP(B705,'[1]All Player'!$B$2:$C$1992,2,0),"")</f>
        <v>Sajjadul Haque Sagar</v>
      </c>
      <c r="O705" s="2" t="s">
        <v>525</v>
      </c>
      <c r="P705" s="16" t="s">
        <v>830</v>
      </c>
      <c r="Q705" s="1">
        <f t="shared" si="23"/>
        <v>1</v>
      </c>
      <c r="R705" s="1">
        <v>115</v>
      </c>
      <c r="T705" s="1" t="s">
        <v>659</v>
      </c>
      <c r="U705" s="8">
        <f t="shared" si="25"/>
        <v>42036</v>
      </c>
    </row>
    <row r="706" spans="1:23" x14ac:dyDescent="0.25">
      <c r="A706" s="2">
        <f t="shared" si="24"/>
        <v>13</v>
      </c>
      <c r="B706" t="s">
        <v>350</v>
      </c>
      <c r="C706" s="1">
        <v>10</v>
      </c>
      <c r="D706" s="1">
        <v>76</v>
      </c>
      <c r="E706" s="1">
        <v>13</v>
      </c>
      <c r="F706" s="1">
        <v>6</v>
      </c>
      <c r="G706" s="1">
        <v>0</v>
      </c>
      <c r="H706" s="1">
        <v>6</v>
      </c>
      <c r="I706" s="1">
        <v>2</v>
      </c>
      <c r="J706" s="1"/>
      <c r="M706" t="s">
        <v>15</v>
      </c>
      <c r="N706" t="str">
        <f>IFERROR(VLOOKUP(B706,'[1]All Player'!$B$2:$C$1992,2,0),"")</f>
        <v>Shahriar Shuvro</v>
      </c>
      <c r="O706" s="2" t="s">
        <v>525</v>
      </c>
      <c r="P706" s="16" t="s">
        <v>830</v>
      </c>
      <c r="Q706" s="1">
        <f t="shared" ref="Q706:Q769" si="26">IF(B706="","",1)</f>
        <v>1</v>
      </c>
      <c r="R706" s="1">
        <v>115</v>
      </c>
      <c r="T706" s="1" t="s">
        <v>659</v>
      </c>
      <c r="U706" s="8">
        <f t="shared" si="25"/>
        <v>42036</v>
      </c>
    </row>
    <row r="707" spans="1:23" x14ac:dyDescent="0.25">
      <c r="A707" s="2">
        <f t="shared" si="24"/>
        <v>13</v>
      </c>
      <c r="B707" t="s">
        <v>543</v>
      </c>
      <c r="D707" s="1"/>
      <c r="E707" s="1"/>
      <c r="F707" s="1"/>
      <c r="G707" s="1"/>
      <c r="H707" s="1"/>
      <c r="I707" s="1"/>
      <c r="J707" s="1"/>
      <c r="M707" t="s">
        <v>15</v>
      </c>
      <c r="N707" t="str">
        <f>IFERROR(VLOOKUP(#REF!,'[1]All Player'!$B$2:$C$1992,2,0),"")</f>
        <v/>
      </c>
      <c r="O707" s="2" t="s">
        <v>525</v>
      </c>
      <c r="P707" s="16" t="s">
        <v>543</v>
      </c>
      <c r="Q707" s="1">
        <f t="shared" si="26"/>
        <v>1</v>
      </c>
      <c r="R707" s="1">
        <v>116</v>
      </c>
      <c r="U707" s="8">
        <f t="shared" si="25"/>
        <v>42036</v>
      </c>
    </row>
    <row r="708" spans="1:23" x14ac:dyDescent="0.25">
      <c r="A708" s="2">
        <f t="shared" si="24"/>
        <v>13</v>
      </c>
      <c r="B708" t="s">
        <v>99</v>
      </c>
      <c r="C708" s="1">
        <v>13</v>
      </c>
      <c r="D708" s="1">
        <v>176</v>
      </c>
      <c r="E708" s="1">
        <v>15</v>
      </c>
      <c r="F708" s="1">
        <v>18</v>
      </c>
      <c r="G708" s="1">
        <v>1</v>
      </c>
      <c r="H708" s="1">
        <v>15</v>
      </c>
      <c r="I708" s="1">
        <v>11</v>
      </c>
      <c r="J708" s="1"/>
      <c r="M708" t="s">
        <v>15</v>
      </c>
      <c r="N708" t="str">
        <f>IFERROR(VLOOKUP(B708,'[1]All Player'!$B$2:$C$1992,2,0),"")</f>
        <v>Bishwajit Sarkar</v>
      </c>
      <c r="O708" s="2" t="s">
        <v>525</v>
      </c>
      <c r="P708" s="16" t="s">
        <v>543</v>
      </c>
      <c r="Q708" s="1">
        <f t="shared" si="26"/>
        <v>1</v>
      </c>
      <c r="R708" s="1">
        <v>116</v>
      </c>
      <c r="U708" s="8">
        <f t="shared" si="25"/>
        <v>42036</v>
      </c>
    </row>
    <row r="709" spans="1:23" x14ac:dyDescent="0.25">
      <c r="A709" s="2">
        <f t="shared" si="24"/>
        <v>13</v>
      </c>
      <c r="B709" t="s">
        <v>60</v>
      </c>
      <c r="C709" s="1">
        <v>13</v>
      </c>
      <c r="D709" s="1">
        <v>301</v>
      </c>
      <c r="E709" s="1">
        <v>23</v>
      </c>
      <c r="F709" s="1">
        <v>16</v>
      </c>
      <c r="G709" s="1">
        <v>2</v>
      </c>
      <c r="H709" s="1">
        <v>20</v>
      </c>
      <c r="I709" s="1">
        <v>18</v>
      </c>
      <c r="J709" s="1"/>
      <c r="M709" t="s">
        <v>15</v>
      </c>
      <c r="N709" t="str">
        <f>IFERROR(VLOOKUP(B709,'[1]All Player'!$B$2:$C$1992,2,0),"")</f>
        <v>Jahin Shahriar Chowdhury</v>
      </c>
      <c r="O709" s="2" t="s">
        <v>525</v>
      </c>
      <c r="P709" s="16" t="s">
        <v>543</v>
      </c>
      <c r="Q709" s="1">
        <f t="shared" si="26"/>
        <v>1</v>
      </c>
      <c r="R709" s="1">
        <v>116</v>
      </c>
      <c r="U709" s="8">
        <f t="shared" si="25"/>
        <v>42036</v>
      </c>
    </row>
    <row r="710" spans="1:23" x14ac:dyDescent="0.25">
      <c r="A710" s="2">
        <f t="shared" si="24"/>
        <v>13</v>
      </c>
      <c r="B710" t="s">
        <v>72</v>
      </c>
      <c r="C710" s="1">
        <v>11</v>
      </c>
      <c r="D710" s="1">
        <v>268</v>
      </c>
      <c r="E710" s="1">
        <v>12</v>
      </c>
      <c r="F710" s="1">
        <v>15</v>
      </c>
      <c r="G710" s="1">
        <v>1</v>
      </c>
      <c r="H710" s="1">
        <v>8</v>
      </c>
      <c r="I710" s="1">
        <v>14</v>
      </c>
      <c r="J710" s="1"/>
      <c r="M710" t="s">
        <v>15</v>
      </c>
      <c r="N710" t="str">
        <f>IFERROR(VLOOKUP(B710,'[1]All Player'!$B$2:$C$1992,2,0),"")</f>
        <v>Akram Husan (Washim)</v>
      </c>
      <c r="O710" s="2" t="s">
        <v>525</v>
      </c>
      <c r="P710" s="16" t="s">
        <v>543</v>
      </c>
      <c r="Q710" s="1">
        <f t="shared" si="26"/>
        <v>1</v>
      </c>
      <c r="R710" s="1">
        <v>116</v>
      </c>
      <c r="U710" s="8">
        <f t="shared" si="25"/>
        <v>42036</v>
      </c>
    </row>
    <row r="711" spans="1:23" x14ac:dyDescent="0.25">
      <c r="A711" s="2">
        <f t="shared" si="24"/>
        <v>13</v>
      </c>
      <c r="B711" t="s">
        <v>148</v>
      </c>
      <c r="C711" s="1">
        <v>13</v>
      </c>
      <c r="D711" s="1">
        <v>54</v>
      </c>
      <c r="E711" s="1">
        <v>30</v>
      </c>
      <c r="F711" s="1">
        <v>11</v>
      </c>
      <c r="G711" s="1">
        <v>0</v>
      </c>
      <c r="H711" s="1">
        <v>5</v>
      </c>
      <c r="I711" s="1">
        <v>2</v>
      </c>
      <c r="J711" s="1"/>
      <c r="M711" t="s">
        <v>15</v>
      </c>
      <c r="N711" t="str">
        <f>IFERROR(VLOOKUP(B711,'[1]All Player'!$B$2:$C$1992,2,0),"")</f>
        <v>AB Saaj</v>
      </c>
      <c r="O711" s="2" t="s">
        <v>525</v>
      </c>
      <c r="P711" s="16" t="s">
        <v>543</v>
      </c>
      <c r="Q711" s="1">
        <f t="shared" si="26"/>
        <v>1</v>
      </c>
      <c r="R711" s="1">
        <v>116</v>
      </c>
      <c r="U711" s="8">
        <f t="shared" si="25"/>
        <v>42036</v>
      </c>
      <c r="W711" s="1">
        <v>1</v>
      </c>
    </row>
    <row r="712" spans="1:23" x14ac:dyDescent="0.25">
      <c r="A712" s="2">
        <f t="shared" si="24"/>
        <v>13</v>
      </c>
      <c r="B712" t="s">
        <v>126</v>
      </c>
      <c r="C712" s="1">
        <v>11</v>
      </c>
      <c r="D712" s="1">
        <v>52</v>
      </c>
      <c r="E712" s="1">
        <v>12</v>
      </c>
      <c r="F712" s="1">
        <v>8</v>
      </c>
      <c r="G712" s="1">
        <v>0</v>
      </c>
      <c r="H712" s="1">
        <v>5</v>
      </c>
      <c r="I712" s="1">
        <v>3</v>
      </c>
      <c r="J712" s="1"/>
      <c r="M712" t="s">
        <v>15</v>
      </c>
      <c r="N712" t="str">
        <f>IFERROR(VLOOKUP(B712,'[1]All Player'!$B$2:$C$1992,2,0),"")</f>
        <v>M R Shakil</v>
      </c>
      <c r="O712" s="2" t="s">
        <v>525</v>
      </c>
      <c r="P712" s="16" t="s">
        <v>543</v>
      </c>
      <c r="Q712" s="1">
        <f t="shared" si="26"/>
        <v>1</v>
      </c>
      <c r="R712" s="1">
        <v>116</v>
      </c>
      <c r="U712" s="8">
        <f t="shared" si="25"/>
        <v>42036</v>
      </c>
    </row>
    <row r="713" spans="1:23" x14ac:dyDescent="0.25">
      <c r="A713" s="2">
        <f t="shared" si="24"/>
        <v>13</v>
      </c>
      <c r="B713" t="s">
        <v>230</v>
      </c>
      <c r="C713" s="1">
        <v>6</v>
      </c>
      <c r="D713" s="1">
        <v>98</v>
      </c>
      <c r="E713" s="1">
        <v>1</v>
      </c>
      <c r="F713" s="1">
        <v>7</v>
      </c>
      <c r="G713" s="1">
        <v>1</v>
      </c>
      <c r="H713" s="1">
        <v>8</v>
      </c>
      <c r="I713" s="1">
        <v>5</v>
      </c>
      <c r="J713" s="1"/>
      <c r="M713" t="s">
        <v>15</v>
      </c>
      <c r="N713" t="str">
        <f>IFERROR(VLOOKUP(B713,'[1]All Player'!$B$2:$C$1992,2,0),"")</f>
        <v>S M Tawhid Zihad</v>
      </c>
      <c r="O713" s="2" t="s">
        <v>525</v>
      </c>
      <c r="P713" s="16" t="s">
        <v>543</v>
      </c>
      <c r="Q713" s="1">
        <f t="shared" si="26"/>
        <v>1</v>
      </c>
      <c r="R713" s="1">
        <v>116</v>
      </c>
      <c r="U713" s="8">
        <f t="shared" si="25"/>
        <v>42036</v>
      </c>
    </row>
    <row r="714" spans="1:23" x14ac:dyDescent="0.25">
      <c r="A714" s="2">
        <f t="shared" si="24"/>
        <v>13</v>
      </c>
      <c r="B714" t="s">
        <v>831</v>
      </c>
      <c r="C714" s="1"/>
      <c r="D714" s="1"/>
      <c r="E714" s="1"/>
      <c r="F714" s="1"/>
      <c r="G714" s="1"/>
      <c r="H714" s="1"/>
      <c r="I714" s="1"/>
      <c r="J714" s="1"/>
      <c r="M714" t="s">
        <v>15</v>
      </c>
      <c r="N714" t="str">
        <f>IFERROR(VLOOKUP(B714,'[1]All Player'!$B$2:$C$1992,2,0),"")</f>
        <v/>
      </c>
      <c r="O714" s="2" t="s">
        <v>525</v>
      </c>
      <c r="P714" s="16" t="s">
        <v>831</v>
      </c>
      <c r="Q714" s="1">
        <f t="shared" si="26"/>
        <v>1</v>
      </c>
      <c r="R714" s="1">
        <v>117</v>
      </c>
      <c r="U714" s="8">
        <f t="shared" si="25"/>
        <v>42036</v>
      </c>
    </row>
    <row r="715" spans="1:23" x14ac:dyDescent="0.25">
      <c r="A715" s="2">
        <f t="shared" si="24"/>
        <v>13</v>
      </c>
      <c r="B715" t="s">
        <v>789</v>
      </c>
      <c r="C715" s="1">
        <v>12</v>
      </c>
      <c r="D715" s="1">
        <v>140</v>
      </c>
      <c r="E715" s="1">
        <v>10</v>
      </c>
      <c r="F715" s="1">
        <v>11</v>
      </c>
      <c r="G715" s="1">
        <v>1</v>
      </c>
      <c r="H715" s="1">
        <v>14</v>
      </c>
      <c r="I715" s="1">
        <v>8</v>
      </c>
      <c r="J715" s="1"/>
      <c r="M715" t="s">
        <v>15</v>
      </c>
      <c r="N715" t="str">
        <f>IFERROR(VLOOKUP(B715,'[1]All Player'!$B$2:$C$1992,2,0),"")</f>
        <v>Azwad Awsaf</v>
      </c>
      <c r="O715" s="2" t="s">
        <v>525</v>
      </c>
      <c r="P715" s="16" t="s">
        <v>831</v>
      </c>
      <c r="Q715" s="1">
        <f t="shared" si="26"/>
        <v>1</v>
      </c>
      <c r="R715" s="1">
        <v>117</v>
      </c>
      <c r="U715" s="8">
        <f t="shared" si="25"/>
        <v>42036</v>
      </c>
    </row>
    <row r="716" spans="1:23" x14ac:dyDescent="0.25">
      <c r="A716" s="2">
        <f t="shared" si="24"/>
        <v>13</v>
      </c>
      <c r="B716" t="s">
        <v>179</v>
      </c>
      <c r="C716" s="1">
        <v>11</v>
      </c>
      <c r="D716" s="1">
        <v>222</v>
      </c>
      <c r="E716" s="1">
        <v>9</v>
      </c>
      <c r="F716" s="1">
        <v>17</v>
      </c>
      <c r="G716" s="1">
        <v>2</v>
      </c>
      <c r="H716" s="1">
        <v>22</v>
      </c>
      <c r="I716" s="1">
        <v>10</v>
      </c>
      <c r="J716" s="1"/>
      <c r="M716" t="s">
        <v>15</v>
      </c>
      <c r="N716" t="str">
        <f>IFERROR(VLOOKUP(B716,'[1]All Player'!$B$2:$C$1992,2,0),"")</f>
        <v>Shuvayan Saha Brinto</v>
      </c>
      <c r="O716" s="2" t="s">
        <v>525</v>
      </c>
      <c r="P716" s="16" t="s">
        <v>831</v>
      </c>
      <c r="Q716" s="1">
        <f t="shared" si="26"/>
        <v>1</v>
      </c>
      <c r="R716" s="1">
        <v>117</v>
      </c>
      <c r="U716" s="8">
        <f t="shared" si="25"/>
        <v>42036</v>
      </c>
    </row>
    <row r="717" spans="1:23" x14ac:dyDescent="0.25">
      <c r="A717" s="2">
        <f t="shared" si="24"/>
        <v>13</v>
      </c>
      <c r="B717" t="s">
        <v>832</v>
      </c>
      <c r="C717" s="1">
        <v>12</v>
      </c>
      <c r="D717" s="1">
        <v>147</v>
      </c>
      <c r="E717" s="1">
        <v>9</v>
      </c>
      <c r="F717" s="1">
        <v>13</v>
      </c>
      <c r="G717" s="1">
        <v>1</v>
      </c>
      <c r="H717" s="1">
        <v>11</v>
      </c>
      <c r="I717" s="1">
        <v>9</v>
      </c>
      <c r="J717" s="1"/>
      <c r="M717" t="s">
        <v>15</v>
      </c>
      <c r="N717" t="str">
        <f>IFERROR(VLOOKUP(B717,'[1]All Player'!$B$2:$C$1992,2,0),"")</f>
        <v>Mohammed Shafi</v>
      </c>
      <c r="O717" s="2" t="s">
        <v>525</v>
      </c>
      <c r="P717" s="16" t="s">
        <v>831</v>
      </c>
      <c r="Q717" s="1">
        <f t="shared" si="26"/>
        <v>1</v>
      </c>
      <c r="R717" s="1">
        <v>117</v>
      </c>
      <c r="U717" s="8">
        <f t="shared" si="25"/>
        <v>42036</v>
      </c>
    </row>
    <row r="718" spans="1:23" x14ac:dyDescent="0.25">
      <c r="A718" s="2">
        <f t="shared" si="24"/>
        <v>13</v>
      </c>
      <c r="B718" t="s">
        <v>201</v>
      </c>
      <c r="C718" s="1">
        <v>12</v>
      </c>
      <c r="D718" s="1">
        <v>265</v>
      </c>
      <c r="E718" s="1">
        <v>14</v>
      </c>
      <c r="F718" s="1">
        <v>18</v>
      </c>
      <c r="G718" s="1">
        <v>2</v>
      </c>
      <c r="H718" s="1">
        <v>14</v>
      </c>
      <c r="I718" s="1">
        <v>21</v>
      </c>
      <c r="J718" s="1"/>
      <c r="M718" t="s">
        <v>15</v>
      </c>
      <c r="N718" t="str">
        <f>IFERROR(VLOOKUP(B718,'[1]All Player'!$B$2:$C$1992,2,0),"")</f>
        <v>A.R. Shohag</v>
      </c>
      <c r="O718" s="2" t="s">
        <v>525</v>
      </c>
      <c r="P718" s="16" t="s">
        <v>831</v>
      </c>
      <c r="Q718" s="1">
        <f t="shared" si="26"/>
        <v>1</v>
      </c>
      <c r="R718" s="1">
        <v>117</v>
      </c>
      <c r="U718" s="8">
        <f t="shared" si="25"/>
        <v>42036</v>
      </c>
    </row>
    <row r="719" spans="1:23" x14ac:dyDescent="0.25">
      <c r="A719" s="2">
        <f t="shared" si="24"/>
        <v>13</v>
      </c>
      <c r="B719" t="s">
        <v>156</v>
      </c>
      <c r="C719" s="1">
        <v>12</v>
      </c>
      <c r="D719" s="1">
        <v>136</v>
      </c>
      <c r="E719" s="1">
        <v>15</v>
      </c>
      <c r="F719" s="1">
        <v>11</v>
      </c>
      <c r="G719" s="1">
        <v>0</v>
      </c>
      <c r="H719" s="1">
        <v>10</v>
      </c>
      <c r="I719" s="1">
        <v>8</v>
      </c>
      <c r="J719" s="1"/>
      <c r="M719" t="s">
        <v>15</v>
      </c>
      <c r="N719" t="str">
        <f>IFERROR(VLOOKUP(B719,'[1]All Player'!$B$2:$C$1992,2,0),"")</f>
        <v>Prince Tarek</v>
      </c>
      <c r="O719" s="2" t="s">
        <v>525</v>
      </c>
      <c r="P719" s="16" t="s">
        <v>831</v>
      </c>
      <c r="Q719" s="1">
        <f t="shared" si="26"/>
        <v>1</v>
      </c>
      <c r="R719" s="1">
        <v>117</v>
      </c>
      <c r="U719" s="8">
        <f t="shared" si="25"/>
        <v>42036</v>
      </c>
    </row>
    <row r="720" spans="1:23" x14ac:dyDescent="0.25">
      <c r="A720" s="2">
        <f t="shared" si="24"/>
        <v>13</v>
      </c>
      <c r="B720" t="s">
        <v>282</v>
      </c>
      <c r="C720" s="1">
        <v>11</v>
      </c>
      <c r="D720" s="1">
        <v>149</v>
      </c>
      <c r="E720" s="1">
        <v>14</v>
      </c>
      <c r="F720" s="1">
        <v>10</v>
      </c>
      <c r="G720" s="1">
        <v>1</v>
      </c>
      <c r="H720" s="1">
        <v>8</v>
      </c>
      <c r="I720" s="1">
        <v>9</v>
      </c>
      <c r="J720" s="1"/>
      <c r="M720" t="s">
        <v>15</v>
      </c>
      <c r="N720" t="str">
        <f>IFERROR(VLOOKUP(B720,'[1]All Player'!$B$2:$C$1992,2,0),"")</f>
        <v>Mohammad Asif</v>
      </c>
      <c r="O720" s="2" t="s">
        <v>525</v>
      </c>
      <c r="P720" s="16" t="s">
        <v>831</v>
      </c>
      <c r="Q720" s="1">
        <f t="shared" si="26"/>
        <v>1</v>
      </c>
      <c r="R720" s="1">
        <v>117</v>
      </c>
      <c r="U720" s="8">
        <f t="shared" si="25"/>
        <v>42036</v>
      </c>
    </row>
    <row r="721" spans="1:21" x14ac:dyDescent="0.25">
      <c r="A721" s="2">
        <f t="shared" si="24"/>
        <v>13</v>
      </c>
      <c r="B721" s="17" t="s">
        <v>599</v>
      </c>
      <c r="C721" s="1"/>
      <c r="D721" s="1"/>
      <c r="E721" s="1"/>
      <c r="F721" s="1"/>
      <c r="G721" s="1"/>
      <c r="H721" s="1"/>
      <c r="I721" s="1"/>
      <c r="J721" s="1"/>
      <c r="M721" t="s">
        <v>15</v>
      </c>
      <c r="N721" t="str">
        <f>IFERROR(VLOOKUP(B721,'[1]All Player'!$B$2:$C$1992,2,0),"")</f>
        <v/>
      </c>
      <c r="O721" s="2" t="s">
        <v>525</v>
      </c>
      <c r="P721" s="16" t="s">
        <v>599</v>
      </c>
      <c r="Q721" s="1">
        <f t="shared" si="26"/>
        <v>1</v>
      </c>
      <c r="R721" s="1">
        <v>118</v>
      </c>
      <c r="U721" s="8">
        <f t="shared" si="25"/>
        <v>42036</v>
      </c>
    </row>
    <row r="722" spans="1:21" x14ac:dyDescent="0.25">
      <c r="A722" s="2">
        <f t="shared" si="24"/>
        <v>13</v>
      </c>
      <c r="B722" t="s">
        <v>64</v>
      </c>
      <c r="C722" s="1">
        <v>11</v>
      </c>
      <c r="D722" s="1">
        <v>225</v>
      </c>
      <c r="E722" s="1">
        <v>19</v>
      </c>
      <c r="F722" s="1">
        <v>19</v>
      </c>
      <c r="G722" s="1">
        <v>2</v>
      </c>
      <c r="H722" s="1">
        <v>19</v>
      </c>
      <c r="I722" s="1">
        <v>15</v>
      </c>
      <c r="J722" s="1"/>
      <c r="M722" t="s">
        <v>15</v>
      </c>
      <c r="N722" t="str">
        <f>IFERROR(VLOOKUP(B722,'[1]All Player'!$B$2:$C$1992,2,0),"")</f>
        <v>Sumon Ab</v>
      </c>
      <c r="O722" s="2" t="s">
        <v>525</v>
      </c>
      <c r="P722" s="16" t="s">
        <v>599</v>
      </c>
      <c r="Q722" s="1">
        <f t="shared" si="26"/>
        <v>1</v>
      </c>
      <c r="R722" s="1">
        <v>118</v>
      </c>
      <c r="U722" s="8">
        <f t="shared" si="25"/>
        <v>42036</v>
      </c>
    </row>
    <row r="723" spans="1:21" x14ac:dyDescent="0.25">
      <c r="A723" s="2">
        <f t="shared" si="24"/>
        <v>13</v>
      </c>
      <c r="B723" t="s">
        <v>809</v>
      </c>
      <c r="C723" s="1">
        <v>11</v>
      </c>
      <c r="D723" s="1">
        <v>260</v>
      </c>
      <c r="E723" s="1">
        <v>22</v>
      </c>
      <c r="F723" s="1">
        <v>19</v>
      </c>
      <c r="G723" s="1">
        <v>0</v>
      </c>
      <c r="H723" s="1">
        <v>16</v>
      </c>
      <c r="I723" s="1">
        <v>21</v>
      </c>
      <c r="J723" s="1"/>
      <c r="M723" t="s">
        <v>15</v>
      </c>
      <c r="N723" t="str">
        <f>IFERROR(VLOOKUP(B723,'[1]All Player'!$B$2:$C$1992,2,0),"")</f>
        <v>ShiShir Hossain</v>
      </c>
      <c r="O723" s="2" t="s">
        <v>525</v>
      </c>
      <c r="P723" s="16" t="s">
        <v>599</v>
      </c>
      <c r="Q723" s="1">
        <f t="shared" si="26"/>
        <v>1</v>
      </c>
      <c r="R723" s="1">
        <v>118</v>
      </c>
      <c r="U723" s="8">
        <f t="shared" si="25"/>
        <v>42036</v>
      </c>
    </row>
    <row r="724" spans="1:21" x14ac:dyDescent="0.25">
      <c r="A724" s="2">
        <f t="shared" si="24"/>
        <v>13</v>
      </c>
      <c r="B724" t="s">
        <v>80</v>
      </c>
      <c r="C724" s="1">
        <v>11</v>
      </c>
      <c r="D724" s="1">
        <v>211</v>
      </c>
      <c r="E724" s="1">
        <v>11</v>
      </c>
      <c r="F724" s="1">
        <v>18</v>
      </c>
      <c r="G724" s="1">
        <v>2</v>
      </c>
      <c r="H724" s="1">
        <v>22</v>
      </c>
      <c r="I724" s="1">
        <v>9</v>
      </c>
      <c r="J724" s="1"/>
      <c r="M724" t="s">
        <v>15</v>
      </c>
      <c r="N724" t="str">
        <f>IFERROR(VLOOKUP(B724,'[1]All Player'!$B$2:$C$1992,2,0),"")</f>
        <v>Kamrul Hasan Tutul</v>
      </c>
      <c r="O724" s="2" t="s">
        <v>525</v>
      </c>
      <c r="P724" s="16" t="s">
        <v>599</v>
      </c>
      <c r="Q724" s="1">
        <f t="shared" si="26"/>
        <v>1</v>
      </c>
      <c r="R724" s="1">
        <v>118</v>
      </c>
      <c r="U724" s="8">
        <f t="shared" si="25"/>
        <v>42036</v>
      </c>
    </row>
    <row r="725" spans="1:21" x14ac:dyDescent="0.25">
      <c r="A725" s="2">
        <f t="shared" si="24"/>
        <v>13</v>
      </c>
      <c r="B725" t="s">
        <v>181</v>
      </c>
      <c r="C725" s="1">
        <v>11</v>
      </c>
      <c r="D725" s="1">
        <v>176</v>
      </c>
      <c r="E725" s="1">
        <v>7</v>
      </c>
      <c r="F725" s="1">
        <v>9</v>
      </c>
      <c r="G725" s="1">
        <v>0</v>
      </c>
      <c r="H725" s="1">
        <v>10</v>
      </c>
      <c r="I725" s="1">
        <v>9</v>
      </c>
      <c r="J725" s="1"/>
      <c r="M725" t="s">
        <v>15</v>
      </c>
      <c r="N725" t="str">
        <f>IFERROR(VLOOKUP(B725,'[1]All Player'!$B$2:$C$1992,2,0),"")</f>
        <v>SH Shamim</v>
      </c>
      <c r="O725" s="2" t="s">
        <v>525</v>
      </c>
      <c r="P725" s="16" t="s">
        <v>599</v>
      </c>
      <c r="Q725" s="1">
        <f t="shared" si="26"/>
        <v>1</v>
      </c>
      <c r="R725" s="1">
        <v>118</v>
      </c>
      <c r="U725" s="8">
        <f t="shared" si="25"/>
        <v>42036</v>
      </c>
    </row>
    <row r="726" spans="1:21" x14ac:dyDescent="0.25">
      <c r="A726" s="2">
        <f t="shared" si="24"/>
        <v>13</v>
      </c>
      <c r="B726" t="s">
        <v>38</v>
      </c>
      <c r="C726" s="1">
        <v>7</v>
      </c>
      <c r="D726" s="1">
        <v>48</v>
      </c>
      <c r="E726" s="1">
        <v>2</v>
      </c>
      <c r="F726" s="1">
        <v>7</v>
      </c>
      <c r="G726" s="1">
        <v>1</v>
      </c>
      <c r="H726" s="1">
        <v>5</v>
      </c>
      <c r="I726" s="1">
        <v>1</v>
      </c>
      <c r="J726" s="1"/>
      <c r="M726" t="s">
        <v>15</v>
      </c>
      <c r="N726" t="str">
        <f>IFERROR(VLOOKUP(B726,'[1]All Player'!$B$2:$C$1992,2,0),"")</f>
        <v>Rayhan Rahman</v>
      </c>
      <c r="O726" s="2" t="s">
        <v>525</v>
      </c>
      <c r="P726" s="16" t="s">
        <v>599</v>
      </c>
      <c r="Q726" s="1">
        <f t="shared" si="26"/>
        <v>1</v>
      </c>
      <c r="R726" s="1">
        <v>118</v>
      </c>
      <c r="U726" s="8">
        <f t="shared" si="25"/>
        <v>42036</v>
      </c>
    </row>
    <row r="727" spans="1:21" x14ac:dyDescent="0.25">
      <c r="A727" s="2">
        <f t="shared" si="24"/>
        <v>13</v>
      </c>
      <c r="B727" t="s">
        <v>378</v>
      </c>
      <c r="C727" s="1">
        <v>4</v>
      </c>
      <c r="D727" s="1">
        <v>33</v>
      </c>
      <c r="E727" s="1">
        <v>7</v>
      </c>
      <c r="F727" s="1">
        <v>4</v>
      </c>
      <c r="G727" s="1">
        <v>0</v>
      </c>
      <c r="H727" s="1">
        <v>3</v>
      </c>
      <c r="I727" s="1">
        <v>1</v>
      </c>
      <c r="J727" s="1"/>
      <c r="M727" t="s">
        <v>15</v>
      </c>
      <c r="N727" t="str">
        <f>IFERROR(VLOOKUP(B727,'[1]All Player'!$B$2:$C$1992,2,0),"")</f>
        <v>Safiqur Tomal</v>
      </c>
      <c r="O727" s="2" t="s">
        <v>525</v>
      </c>
      <c r="P727" s="16" t="s">
        <v>599</v>
      </c>
      <c r="Q727" s="1">
        <f t="shared" si="26"/>
        <v>1</v>
      </c>
      <c r="R727" s="1">
        <v>118</v>
      </c>
      <c r="U727" s="8">
        <f t="shared" si="25"/>
        <v>42036</v>
      </c>
    </row>
    <row r="728" spans="1:21" x14ac:dyDescent="0.25">
      <c r="A728" s="2">
        <f t="shared" si="24"/>
        <v>13</v>
      </c>
      <c r="B728" s="17" t="s">
        <v>600</v>
      </c>
      <c r="C728" s="1"/>
      <c r="D728" s="1"/>
      <c r="E728" s="1"/>
      <c r="F728" s="1"/>
      <c r="G728" s="1"/>
      <c r="H728" s="1"/>
      <c r="I728" s="1"/>
      <c r="J728" s="1"/>
      <c r="M728" t="s">
        <v>15</v>
      </c>
      <c r="N728" t="str">
        <f>IFERROR(VLOOKUP(B728,'[1]All Player'!$B$2:$C$1992,2,0),"")</f>
        <v/>
      </c>
      <c r="O728" s="2" t="s">
        <v>525</v>
      </c>
      <c r="P728" s="16" t="s">
        <v>600</v>
      </c>
      <c r="Q728" s="1">
        <f t="shared" si="26"/>
        <v>1</v>
      </c>
      <c r="R728" s="1">
        <v>119</v>
      </c>
      <c r="U728" s="8">
        <f t="shared" si="25"/>
        <v>42036</v>
      </c>
    </row>
    <row r="729" spans="1:21" x14ac:dyDescent="0.25">
      <c r="A729" s="2">
        <f t="shared" si="24"/>
        <v>13</v>
      </c>
      <c r="B729" t="s">
        <v>29</v>
      </c>
      <c r="C729" s="1">
        <v>11</v>
      </c>
      <c r="D729" s="1">
        <v>174</v>
      </c>
      <c r="E729" s="1">
        <v>14</v>
      </c>
      <c r="F729" s="1">
        <v>15</v>
      </c>
      <c r="G729" s="1">
        <v>1</v>
      </c>
      <c r="H729" s="1">
        <v>17</v>
      </c>
      <c r="I729" s="1">
        <v>6</v>
      </c>
      <c r="J729" s="1"/>
      <c r="M729" t="s">
        <v>15</v>
      </c>
      <c r="N729" t="str">
        <f>IFERROR(VLOOKUP(B729,'[1]All Player'!$B$2:$C$1992,2,0),"")</f>
        <v>Foysal Ahmed Jumon</v>
      </c>
      <c r="O729" s="2" t="s">
        <v>525</v>
      </c>
      <c r="P729" s="16" t="s">
        <v>600</v>
      </c>
      <c r="Q729" s="1">
        <f t="shared" si="26"/>
        <v>1</v>
      </c>
      <c r="R729" s="1">
        <v>119</v>
      </c>
      <c r="U729" s="8">
        <f t="shared" si="25"/>
        <v>42036</v>
      </c>
    </row>
    <row r="730" spans="1:21" x14ac:dyDescent="0.25">
      <c r="A730" s="2">
        <f t="shared" si="24"/>
        <v>13</v>
      </c>
      <c r="B730" t="s">
        <v>114</v>
      </c>
      <c r="C730" s="1">
        <v>11</v>
      </c>
      <c r="D730" s="1">
        <v>340</v>
      </c>
      <c r="E730" s="1">
        <v>13</v>
      </c>
      <c r="F730" s="1">
        <v>22</v>
      </c>
      <c r="G730" s="1">
        <v>2</v>
      </c>
      <c r="H730" s="1">
        <v>28</v>
      </c>
      <c r="I730" s="1">
        <v>17</v>
      </c>
      <c r="J730" s="1"/>
      <c r="M730" t="s">
        <v>15</v>
      </c>
      <c r="N730" t="str">
        <f>IFERROR(VLOOKUP(B730,'[1]All Player'!$B$2:$C$1992,2,0),"")</f>
        <v>Tanvir Shakib</v>
      </c>
      <c r="O730" s="2" t="s">
        <v>525</v>
      </c>
      <c r="P730" s="16" t="s">
        <v>600</v>
      </c>
      <c r="Q730" s="1">
        <f t="shared" si="26"/>
        <v>1</v>
      </c>
      <c r="R730" s="1">
        <v>119</v>
      </c>
      <c r="U730" s="8">
        <f t="shared" si="25"/>
        <v>42036</v>
      </c>
    </row>
    <row r="731" spans="1:21" x14ac:dyDescent="0.25">
      <c r="A731" s="2">
        <f t="shared" si="24"/>
        <v>13</v>
      </c>
      <c r="B731" t="s">
        <v>380</v>
      </c>
      <c r="C731" s="1">
        <v>10</v>
      </c>
      <c r="D731" s="1">
        <v>112</v>
      </c>
      <c r="E731" s="1">
        <v>16</v>
      </c>
      <c r="F731" s="1">
        <v>10</v>
      </c>
      <c r="G731" s="1">
        <v>0</v>
      </c>
      <c r="H731" s="1">
        <v>4</v>
      </c>
      <c r="I731" s="1">
        <v>8</v>
      </c>
      <c r="J731" s="1"/>
      <c r="M731" t="s">
        <v>15</v>
      </c>
      <c r="N731" t="str">
        <f>IFERROR(VLOOKUP(B731,'[1]All Player'!$B$2:$C$1992,2,0),"")</f>
        <v>Mridul Haque</v>
      </c>
      <c r="O731" s="2" t="s">
        <v>525</v>
      </c>
      <c r="P731" s="16" t="s">
        <v>600</v>
      </c>
      <c r="Q731" s="1">
        <f t="shared" si="26"/>
        <v>1</v>
      </c>
      <c r="R731" s="1">
        <v>119</v>
      </c>
      <c r="U731" s="8">
        <f t="shared" si="25"/>
        <v>42036</v>
      </c>
    </row>
    <row r="732" spans="1:21" x14ac:dyDescent="0.25">
      <c r="A732" s="2">
        <f t="shared" si="24"/>
        <v>13</v>
      </c>
      <c r="B732" t="s">
        <v>223</v>
      </c>
      <c r="C732" s="1">
        <v>9</v>
      </c>
      <c r="D732" s="1">
        <v>114</v>
      </c>
      <c r="E732" s="1">
        <v>12</v>
      </c>
      <c r="F732" s="1">
        <v>8</v>
      </c>
      <c r="G732" s="1">
        <v>0</v>
      </c>
      <c r="H732" s="1">
        <v>11</v>
      </c>
      <c r="I732" s="1">
        <v>6</v>
      </c>
      <c r="J732" s="1"/>
      <c r="M732" t="s">
        <v>15</v>
      </c>
      <c r="N732" t="str">
        <f>IFERROR(VLOOKUP(B732,'[1]All Player'!$B$2:$C$1992,2,0),"")</f>
        <v>Saiful Rahat</v>
      </c>
      <c r="O732" s="2" t="s">
        <v>525</v>
      </c>
      <c r="P732" s="16" t="s">
        <v>600</v>
      </c>
      <c r="Q732" s="1">
        <f t="shared" si="26"/>
        <v>1</v>
      </c>
      <c r="R732" s="1">
        <v>119</v>
      </c>
      <c r="U732" s="8">
        <f t="shared" si="25"/>
        <v>42036</v>
      </c>
    </row>
    <row r="733" spans="1:21" x14ac:dyDescent="0.25">
      <c r="A733" s="2">
        <f t="shared" si="24"/>
        <v>13</v>
      </c>
      <c r="B733" t="s">
        <v>327</v>
      </c>
      <c r="C733" s="1">
        <v>6</v>
      </c>
      <c r="D733" s="1">
        <v>36</v>
      </c>
      <c r="E733" s="1">
        <v>7</v>
      </c>
      <c r="F733" s="1">
        <v>5</v>
      </c>
      <c r="G733" s="1">
        <v>0</v>
      </c>
      <c r="H733" s="1">
        <v>3</v>
      </c>
      <c r="I733" s="1">
        <v>1</v>
      </c>
      <c r="J733" s="1"/>
      <c r="M733" t="s">
        <v>15</v>
      </c>
      <c r="N733" t="str">
        <f>IFERROR(VLOOKUP(B733,'[1]All Player'!$B$2:$C$1992,2,0),"")</f>
        <v>Fairooz Wasif Saiku</v>
      </c>
      <c r="O733" s="2" t="s">
        <v>525</v>
      </c>
      <c r="P733" s="16" t="s">
        <v>600</v>
      </c>
      <c r="Q733" s="1">
        <f t="shared" si="26"/>
        <v>1</v>
      </c>
      <c r="R733" s="1">
        <v>119</v>
      </c>
      <c r="U733" s="8">
        <f t="shared" si="25"/>
        <v>42036</v>
      </c>
    </row>
    <row r="734" spans="1:21" x14ac:dyDescent="0.25">
      <c r="A734" s="2">
        <f t="shared" si="24"/>
        <v>13</v>
      </c>
      <c r="B734" t="s">
        <v>52</v>
      </c>
      <c r="C734" s="1">
        <v>6</v>
      </c>
      <c r="D734" s="1">
        <v>65</v>
      </c>
      <c r="E734" s="1">
        <v>3</v>
      </c>
      <c r="F734" s="1">
        <v>6</v>
      </c>
      <c r="G734" s="1">
        <v>0</v>
      </c>
      <c r="H734" s="1">
        <v>7</v>
      </c>
      <c r="I734" s="1">
        <v>2</v>
      </c>
      <c r="J734" s="1"/>
      <c r="M734" t="s">
        <v>15</v>
      </c>
      <c r="N734" t="str">
        <f>IFERROR(VLOOKUP(B734,'[1]All Player'!$B$2:$C$1992,2,0),"")</f>
        <v>Mohammed Al Mamun</v>
      </c>
      <c r="O734" s="2" t="s">
        <v>525</v>
      </c>
      <c r="P734" s="16" t="s">
        <v>600</v>
      </c>
      <c r="Q734" s="1">
        <f t="shared" si="26"/>
        <v>1</v>
      </c>
      <c r="R734" s="1">
        <v>119</v>
      </c>
      <c r="U734" s="8">
        <f t="shared" si="25"/>
        <v>42036</v>
      </c>
    </row>
    <row r="735" spans="1:21" x14ac:dyDescent="0.25">
      <c r="A735" s="2">
        <f t="shared" si="24"/>
        <v>13</v>
      </c>
      <c r="B735" t="s">
        <v>833</v>
      </c>
      <c r="C735" s="1"/>
      <c r="D735" s="1"/>
      <c r="E735" s="1"/>
      <c r="F735" s="1"/>
      <c r="G735" s="1"/>
      <c r="H735" s="1"/>
      <c r="I735" s="1"/>
      <c r="J735" s="1"/>
      <c r="M735" t="s">
        <v>15</v>
      </c>
      <c r="N735" t="str">
        <f>IFERROR(VLOOKUP(B735,'[1]All Player'!$B$2:$C$1992,2,0),"")</f>
        <v/>
      </c>
      <c r="O735" s="2" t="s">
        <v>525</v>
      </c>
      <c r="P735" s="16" t="s">
        <v>833</v>
      </c>
      <c r="Q735" s="1">
        <f t="shared" si="26"/>
        <v>1</v>
      </c>
      <c r="R735" s="1">
        <v>120</v>
      </c>
      <c r="U735" s="8">
        <f t="shared" si="25"/>
        <v>42036</v>
      </c>
    </row>
    <row r="736" spans="1:21" x14ac:dyDescent="0.25">
      <c r="A736" s="2">
        <f t="shared" ref="A736:A795" si="27">A735</f>
        <v>13</v>
      </c>
      <c r="B736" t="s">
        <v>46</v>
      </c>
      <c r="C736" s="1">
        <v>11</v>
      </c>
      <c r="D736" s="1">
        <v>196</v>
      </c>
      <c r="E736" s="1">
        <v>16</v>
      </c>
      <c r="F736" s="1">
        <v>22</v>
      </c>
      <c r="G736" s="1">
        <v>2</v>
      </c>
      <c r="H736" s="1">
        <v>9</v>
      </c>
      <c r="I736" s="1">
        <v>10</v>
      </c>
      <c r="J736" s="1"/>
      <c r="M736" t="s">
        <v>15</v>
      </c>
      <c r="N736" t="str">
        <f>IFERROR(VLOOKUP(B736,'[1]All Player'!$B$2:$C$1992,2,0),"")</f>
        <v>Roman mahamud Arko</v>
      </c>
      <c r="O736" s="2" t="s">
        <v>525</v>
      </c>
      <c r="P736" s="16" t="s">
        <v>833</v>
      </c>
      <c r="Q736" s="1">
        <f t="shared" si="26"/>
        <v>1</v>
      </c>
      <c r="R736" s="1">
        <v>120</v>
      </c>
      <c r="U736" s="8">
        <f t="shared" si="25"/>
        <v>42036</v>
      </c>
    </row>
    <row r="737" spans="1:22" x14ac:dyDescent="0.25">
      <c r="A737" s="2">
        <f t="shared" si="27"/>
        <v>13</v>
      </c>
      <c r="B737" t="s">
        <v>93</v>
      </c>
      <c r="C737" s="2">
        <v>11</v>
      </c>
      <c r="D737" s="2">
        <v>411</v>
      </c>
      <c r="E737" s="2">
        <v>28</v>
      </c>
      <c r="F737" s="2">
        <v>24</v>
      </c>
      <c r="G737" s="2">
        <v>2</v>
      </c>
      <c r="H737" s="2">
        <v>34</v>
      </c>
      <c r="I737" s="2">
        <v>24</v>
      </c>
      <c r="J737" s="2">
        <v>3</v>
      </c>
      <c r="M737" t="s">
        <v>15</v>
      </c>
      <c r="N737" t="str">
        <f>IFERROR(VLOOKUP(B737,'[1]All Player'!$B$2:$C$1992,2,0),"")</f>
        <v>Zaheed Hasan</v>
      </c>
      <c r="O737" s="2" t="s">
        <v>525</v>
      </c>
      <c r="P737" s="16" t="s">
        <v>833</v>
      </c>
      <c r="Q737" s="1">
        <f t="shared" si="26"/>
        <v>1</v>
      </c>
      <c r="R737" s="1">
        <v>120</v>
      </c>
      <c r="U737" s="8">
        <f t="shared" si="25"/>
        <v>42036</v>
      </c>
      <c r="V737" s="1">
        <v>1</v>
      </c>
    </row>
    <row r="738" spans="1:22" x14ac:dyDescent="0.25">
      <c r="A738" s="2">
        <f t="shared" si="27"/>
        <v>13</v>
      </c>
      <c r="B738" t="s">
        <v>24</v>
      </c>
      <c r="C738" s="1">
        <v>11</v>
      </c>
      <c r="D738" s="1">
        <v>172</v>
      </c>
      <c r="E738" s="1">
        <v>17</v>
      </c>
      <c r="F738" s="21">
        <v>19</v>
      </c>
      <c r="G738" s="21">
        <v>2</v>
      </c>
      <c r="H738" s="1">
        <v>15</v>
      </c>
      <c r="I738" s="1">
        <v>10</v>
      </c>
      <c r="J738" s="1"/>
      <c r="M738" t="s">
        <v>15</v>
      </c>
      <c r="N738" t="str">
        <f>IFERROR(VLOOKUP(B738,'[1]All Player'!$B$2:$C$1992,2,0),"")</f>
        <v>Nur Muhammad</v>
      </c>
      <c r="O738" s="2" t="s">
        <v>525</v>
      </c>
      <c r="P738" s="16" t="s">
        <v>833</v>
      </c>
      <c r="Q738" s="1">
        <f t="shared" si="26"/>
        <v>1</v>
      </c>
      <c r="R738" s="1">
        <v>120</v>
      </c>
      <c r="U738" s="8">
        <f t="shared" si="25"/>
        <v>42036</v>
      </c>
    </row>
    <row r="739" spans="1:22" x14ac:dyDescent="0.25">
      <c r="A739" s="2">
        <f t="shared" si="27"/>
        <v>13</v>
      </c>
      <c r="B739" t="s">
        <v>829</v>
      </c>
      <c r="C739" s="1">
        <v>9</v>
      </c>
      <c r="D739" s="1">
        <v>81</v>
      </c>
      <c r="E739" s="1">
        <v>11</v>
      </c>
      <c r="F739" s="1">
        <v>8</v>
      </c>
      <c r="G739" s="1">
        <v>0</v>
      </c>
      <c r="H739" s="1">
        <v>5</v>
      </c>
      <c r="I739" s="1">
        <v>2</v>
      </c>
      <c r="J739" s="1"/>
      <c r="M739" t="s">
        <v>15</v>
      </c>
      <c r="N739" t="str">
        <f>IFERROR(VLOOKUP(B739,'[1]All Player'!$B$2:$C$1992,2,0),"")</f>
        <v>ShaHadat H. SaJeeb</v>
      </c>
      <c r="O739" s="2" t="s">
        <v>525</v>
      </c>
      <c r="P739" s="16" t="s">
        <v>833</v>
      </c>
      <c r="Q739" s="1">
        <f t="shared" si="26"/>
        <v>1</v>
      </c>
      <c r="R739" s="1">
        <v>120</v>
      </c>
      <c r="U739" s="8">
        <f t="shared" si="25"/>
        <v>42036</v>
      </c>
    </row>
    <row r="740" spans="1:22" x14ac:dyDescent="0.25">
      <c r="A740" s="2">
        <f t="shared" si="27"/>
        <v>13</v>
      </c>
      <c r="B740" t="s">
        <v>49</v>
      </c>
      <c r="C740" s="1">
        <v>3</v>
      </c>
      <c r="D740" s="1">
        <v>26</v>
      </c>
      <c r="E740" s="1">
        <v>2</v>
      </c>
      <c r="F740" s="1">
        <v>2</v>
      </c>
      <c r="G740" s="1">
        <v>0</v>
      </c>
      <c r="H740" s="1">
        <v>1</v>
      </c>
      <c r="I740" s="1">
        <v>2</v>
      </c>
      <c r="J740" s="1"/>
      <c r="M740" t="s">
        <v>15</v>
      </c>
      <c r="N740" t="str">
        <f>IFERROR(VLOOKUP(B740,'[1]All Player'!$B$2:$C$1992,2,0),"")</f>
        <v>Redwan Ahmed</v>
      </c>
      <c r="O740" s="2" t="s">
        <v>525</v>
      </c>
      <c r="P740" s="16" t="s">
        <v>833</v>
      </c>
      <c r="Q740" s="1">
        <f t="shared" si="26"/>
        <v>1</v>
      </c>
      <c r="R740" s="1">
        <v>120</v>
      </c>
      <c r="U740" s="8">
        <f t="shared" si="25"/>
        <v>42036</v>
      </c>
    </row>
    <row r="741" spans="1:22" x14ac:dyDescent="0.25">
      <c r="A741" s="2">
        <f t="shared" si="27"/>
        <v>13</v>
      </c>
      <c r="B741" t="s">
        <v>834</v>
      </c>
      <c r="C741" s="1">
        <v>1</v>
      </c>
      <c r="D741" s="1">
        <v>27</v>
      </c>
      <c r="E741" s="1">
        <v>0</v>
      </c>
      <c r="F741" s="1">
        <v>1</v>
      </c>
      <c r="G741" s="1">
        <v>0</v>
      </c>
      <c r="H741" s="1">
        <v>3</v>
      </c>
      <c r="I741" s="1">
        <v>2</v>
      </c>
      <c r="J741" s="1"/>
      <c r="M741" t="s">
        <v>15</v>
      </c>
      <c r="N741" t="str">
        <f>IFERROR(VLOOKUP(B741,'[1]All Player'!$B$2:$C$1992,2,0),"")</f>
        <v>Hridoy Khan Mhk</v>
      </c>
      <c r="O741" s="2" t="s">
        <v>525</v>
      </c>
      <c r="P741" s="16" t="s">
        <v>833</v>
      </c>
      <c r="Q741" s="1">
        <f t="shared" si="26"/>
        <v>1</v>
      </c>
      <c r="R741" s="1">
        <v>120</v>
      </c>
      <c r="U741" s="8">
        <f t="shared" si="25"/>
        <v>42036</v>
      </c>
    </row>
    <row r="742" spans="1:22" x14ac:dyDescent="0.25">
      <c r="A742" s="2">
        <f t="shared" si="27"/>
        <v>13</v>
      </c>
      <c r="B742" s="17" t="s">
        <v>835</v>
      </c>
      <c r="C742" s="1"/>
      <c r="D742" s="1"/>
      <c r="E742" s="1"/>
      <c r="F742" s="1"/>
      <c r="G742" s="1"/>
      <c r="H742" s="1"/>
      <c r="I742" s="1"/>
      <c r="J742" s="1"/>
      <c r="M742" t="s">
        <v>15</v>
      </c>
      <c r="N742" t="str">
        <f>IFERROR(VLOOKUP(B742,'[1]All Player'!$B$2:$C$1992,2,0),"")</f>
        <v/>
      </c>
      <c r="O742" s="2" t="s">
        <v>525</v>
      </c>
      <c r="P742" s="16" t="s">
        <v>835</v>
      </c>
      <c r="Q742" s="1">
        <f t="shared" si="26"/>
        <v>1</v>
      </c>
      <c r="R742" s="1">
        <v>121</v>
      </c>
      <c r="U742" s="8">
        <f t="shared" si="25"/>
        <v>42036</v>
      </c>
    </row>
    <row r="743" spans="1:22" x14ac:dyDescent="0.25">
      <c r="A743" s="2">
        <f t="shared" si="27"/>
        <v>13</v>
      </c>
      <c r="B743" t="s">
        <v>66</v>
      </c>
      <c r="C743" s="1">
        <v>11</v>
      </c>
      <c r="D743" s="1">
        <v>298</v>
      </c>
      <c r="E743" s="1">
        <v>15</v>
      </c>
      <c r="F743" s="1">
        <v>21</v>
      </c>
      <c r="G743" s="1">
        <v>2</v>
      </c>
      <c r="H743" s="1">
        <v>18</v>
      </c>
      <c r="I743" s="1">
        <v>14</v>
      </c>
      <c r="J743" s="1"/>
      <c r="M743" t="s">
        <v>15</v>
      </c>
      <c r="N743" t="str">
        <f>IFERROR(VLOOKUP(B743,'[1]All Player'!$B$2:$C$1992,2,0),"")</f>
        <v>Ahmad Sakib Abdullah</v>
      </c>
      <c r="O743" s="2" t="s">
        <v>525</v>
      </c>
      <c r="P743" s="16" t="s">
        <v>835</v>
      </c>
      <c r="Q743" s="1">
        <f t="shared" si="26"/>
        <v>1</v>
      </c>
      <c r="R743" s="1">
        <v>121</v>
      </c>
      <c r="U743" s="8">
        <f t="shared" si="25"/>
        <v>42036</v>
      </c>
    </row>
    <row r="744" spans="1:22" x14ac:dyDescent="0.25">
      <c r="A744" s="2">
        <f t="shared" si="27"/>
        <v>13</v>
      </c>
      <c r="B744" t="s">
        <v>158</v>
      </c>
      <c r="C744" s="1">
        <v>10</v>
      </c>
      <c r="D744" s="1">
        <v>144</v>
      </c>
      <c r="E744" s="1">
        <v>8</v>
      </c>
      <c r="F744" s="1">
        <v>12</v>
      </c>
      <c r="G744" s="1">
        <v>0</v>
      </c>
      <c r="H744" s="1">
        <v>7</v>
      </c>
      <c r="I744" s="1">
        <v>10</v>
      </c>
      <c r="J744" s="1"/>
      <c r="M744" t="s">
        <v>15</v>
      </c>
      <c r="N744" t="str">
        <f>IFERROR(VLOOKUP(B744,'[1]All Player'!$B$2:$C$1992,2,0),"")</f>
        <v>Sabbir Ahmed</v>
      </c>
      <c r="O744" s="2" t="s">
        <v>525</v>
      </c>
      <c r="P744" s="16" t="s">
        <v>835</v>
      </c>
      <c r="Q744" s="1">
        <f t="shared" si="26"/>
        <v>1</v>
      </c>
      <c r="R744" s="1">
        <v>121</v>
      </c>
      <c r="U744" s="8">
        <f t="shared" si="25"/>
        <v>42036</v>
      </c>
    </row>
    <row r="745" spans="1:22" x14ac:dyDescent="0.25">
      <c r="A745" s="2">
        <f t="shared" si="27"/>
        <v>13</v>
      </c>
      <c r="B745" t="s">
        <v>183</v>
      </c>
      <c r="C745" s="1">
        <v>7</v>
      </c>
      <c r="D745" s="1">
        <v>155</v>
      </c>
      <c r="E745" s="1">
        <v>9</v>
      </c>
      <c r="F745" s="1">
        <v>7</v>
      </c>
      <c r="G745" s="1">
        <v>0</v>
      </c>
      <c r="H745" s="1">
        <v>12</v>
      </c>
      <c r="I745" s="1">
        <v>10</v>
      </c>
      <c r="J745" s="1"/>
      <c r="M745" t="s">
        <v>15</v>
      </c>
      <c r="N745" t="str">
        <f>IFERROR(VLOOKUP(B745,'[1]All Player'!$B$2:$C$1992,2,0),"")</f>
        <v>Red Heart Faisal (Fayze Ahamed)</v>
      </c>
      <c r="O745" s="2" t="s">
        <v>525</v>
      </c>
      <c r="P745" s="16" t="s">
        <v>835</v>
      </c>
      <c r="Q745" s="1">
        <f t="shared" si="26"/>
        <v>1</v>
      </c>
      <c r="R745" s="1">
        <v>121</v>
      </c>
      <c r="U745" s="8">
        <f t="shared" si="25"/>
        <v>42036</v>
      </c>
    </row>
    <row r="746" spans="1:22" x14ac:dyDescent="0.25">
      <c r="A746" s="2">
        <f t="shared" si="27"/>
        <v>13</v>
      </c>
      <c r="B746" t="s">
        <v>298</v>
      </c>
      <c r="C746" s="1">
        <v>9</v>
      </c>
      <c r="D746" s="1">
        <v>131</v>
      </c>
      <c r="E746" s="1">
        <v>10</v>
      </c>
      <c r="F746" s="1">
        <v>14</v>
      </c>
      <c r="G746" s="1">
        <v>3</v>
      </c>
      <c r="H746" s="1">
        <v>8</v>
      </c>
      <c r="I746" s="1">
        <v>11</v>
      </c>
      <c r="J746" s="1"/>
      <c r="M746" t="s">
        <v>15</v>
      </c>
      <c r="N746" t="str">
        <f>IFERROR(VLOOKUP(B746,'[1]All Player'!$B$2:$C$1992,2,0),"")</f>
        <v>Sahed Hossain Masum</v>
      </c>
      <c r="O746" s="2" t="s">
        <v>525</v>
      </c>
      <c r="P746" s="16" t="s">
        <v>835</v>
      </c>
      <c r="Q746" s="1">
        <f t="shared" si="26"/>
        <v>1</v>
      </c>
      <c r="R746" s="1">
        <v>121</v>
      </c>
      <c r="U746" s="8">
        <f t="shared" si="25"/>
        <v>42036</v>
      </c>
    </row>
    <row r="747" spans="1:22" x14ac:dyDescent="0.25">
      <c r="A747" s="2">
        <f t="shared" si="27"/>
        <v>13</v>
      </c>
      <c r="B747" t="s">
        <v>201</v>
      </c>
      <c r="C747" s="1">
        <v>11</v>
      </c>
      <c r="D747" s="1">
        <v>70</v>
      </c>
      <c r="E747" s="1">
        <v>10</v>
      </c>
      <c r="F747" s="1">
        <v>9</v>
      </c>
      <c r="G747" s="1">
        <v>0</v>
      </c>
      <c r="H747" s="1">
        <v>5</v>
      </c>
      <c r="I747" s="1">
        <v>3</v>
      </c>
      <c r="J747" s="1"/>
      <c r="M747" t="s">
        <v>15</v>
      </c>
      <c r="N747" t="str">
        <f>IFERROR(VLOOKUP(B747,'[1]All Player'!$B$2:$C$1992,2,0),"")</f>
        <v>A.R. Shohag</v>
      </c>
      <c r="O747" s="2" t="s">
        <v>525</v>
      </c>
      <c r="P747" s="16" t="s">
        <v>835</v>
      </c>
      <c r="Q747" s="1">
        <f t="shared" si="26"/>
        <v>1</v>
      </c>
      <c r="R747" s="1">
        <v>121</v>
      </c>
      <c r="U747" s="8">
        <f t="shared" si="25"/>
        <v>42036</v>
      </c>
    </row>
    <row r="748" spans="1:22" x14ac:dyDescent="0.25">
      <c r="A748" s="2">
        <f t="shared" si="27"/>
        <v>13</v>
      </c>
      <c r="B748" t="s">
        <v>146</v>
      </c>
      <c r="C748" s="1">
        <v>8</v>
      </c>
      <c r="D748" s="1">
        <v>68</v>
      </c>
      <c r="E748" s="1">
        <v>9</v>
      </c>
      <c r="F748" s="1">
        <v>8</v>
      </c>
      <c r="G748" s="1">
        <v>0</v>
      </c>
      <c r="H748" s="1">
        <v>3</v>
      </c>
      <c r="I748" s="1">
        <v>3</v>
      </c>
      <c r="J748" s="1"/>
      <c r="M748" t="s">
        <v>15</v>
      </c>
      <c r="N748" t="str">
        <f>IFERROR(VLOOKUP(B748,'[1]All Player'!$B$2:$C$1992,2,0),"")</f>
        <v>Nahid Saifullah</v>
      </c>
      <c r="O748" s="2" t="s">
        <v>525</v>
      </c>
      <c r="P748" s="16" t="s">
        <v>835</v>
      </c>
      <c r="Q748" s="1">
        <f t="shared" si="26"/>
        <v>1</v>
      </c>
      <c r="R748" s="1">
        <v>121</v>
      </c>
      <c r="U748" s="8">
        <f t="shared" si="25"/>
        <v>42036</v>
      </c>
    </row>
    <row r="749" spans="1:22" ht="15.75" x14ac:dyDescent="0.25">
      <c r="A749" s="2">
        <f t="shared" si="27"/>
        <v>13</v>
      </c>
      <c r="B749" s="18" t="s">
        <v>836</v>
      </c>
      <c r="C749" s="1"/>
      <c r="D749" s="1"/>
      <c r="E749" s="1"/>
      <c r="F749" s="1"/>
      <c r="G749" s="1"/>
      <c r="H749" s="1"/>
      <c r="I749" s="1"/>
      <c r="J749" s="1"/>
      <c r="M749" t="s">
        <v>15</v>
      </c>
      <c r="N749" t="str">
        <f>IFERROR(VLOOKUP(B749,'[1]All Player'!$B$2:$C$1992,2,0),"")</f>
        <v/>
      </c>
      <c r="O749" s="2" t="s">
        <v>525</v>
      </c>
      <c r="P749" s="16" t="s">
        <v>836</v>
      </c>
      <c r="Q749" s="1">
        <f t="shared" si="26"/>
        <v>1</v>
      </c>
      <c r="R749" s="1">
        <v>122</v>
      </c>
      <c r="U749" s="8">
        <f t="shared" si="25"/>
        <v>42036</v>
      </c>
    </row>
    <row r="750" spans="1:22" x14ac:dyDescent="0.25">
      <c r="A750" s="2">
        <f t="shared" si="27"/>
        <v>13</v>
      </c>
      <c r="B750" t="s">
        <v>144</v>
      </c>
      <c r="C750" s="1">
        <v>8</v>
      </c>
      <c r="D750" s="1">
        <v>224</v>
      </c>
      <c r="E750" s="1">
        <v>15</v>
      </c>
      <c r="F750" s="1">
        <v>16</v>
      </c>
      <c r="G750" s="1">
        <v>2</v>
      </c>
      <c r="H750" s="1">
        <v>13</v>
      </c>
      <c r="I750" s="1">
        <v>16</v>
      </c>
      <c r="J750" s="1"/>
      <c r="M750" t="s">
        <v>15</v>
      </c>
      <c r="N750" t="str">
        <f>IFERROR(VLOOKUP(B750,'[1]All Player'!$B$2:$C$1992,2,0),"")</f>
        <v>Toufiq Ahmed Ovi</v>
      </c>
      <c r="O750" s="2" t="s">
        <v>525</v>
      </c>
      <c r="P750" s="16" t="s">
        <v>836</v>
      </c>
      <c r="Q750" s="1">
        <f t="shared" si="26"/>
        <v>1</v>
      </c>
      <c r="R750" s="1">
        <v>122</v>
      </c>
      <c r="U750" s="8">
        <f t="shared" si="25"/>
        <v>42036</v>
      </c>
    </row>
    <row r="751" spans="1:22" x14ac:dyDescent="0.25">
      <c r="A751" s="2">
        <f t="shared" si="27"/>
        <v>13</v>
      </c>
      <c r="B751" t="s">
        <v>154</v>
      </c>
      <c r="C751" s="1">
        <v>7</v>
      </c>
      <c r="D751" s="1">
        <v>169</v>
      </c>
      <c r="E751" s="1">
        <v>6</v>
      </c>
      <c r="F751" s="1">
        <v>14</v>
      </c>
      <c r="G751" s="1">
        <v>0</v>
      </c>
      <c r="H751" s="1">
        <v>8</v>
      </c>
      <c r="I751" s="1">
        <v>6</v>
      </c>
      <c r="J751" s="1"/>
      <c r="M751" t="s">
        <v>15</v>
      </c>
      <c r="N751" t="str">
        <f>IFERROR(VLOOKUP(B751,'[1]All Player'!$B$2:$C$1992,2,0),"")</f>
        <v>Meyaz Al Emon</v>
      </c>
      <c r="O751" s="2" t="s">
        <v>525</v>
      </c>
      <c r="P751" s="16" t="s">
        <v>836</v>
      </c>
      <c r="Q751" s="1">
        <f t="shared" si="26"/>
        <v>1</v>
      </c>
      <c r="R751" s="1">
        <v>122</v>
      </c>
      <c r="U751" s="8">
        <f t="shared" si="25"/>
        <v>42036</v>
      </c>
    </row>
    <row r="752" spans="1:22" x14ac:dyDescent="0.25">
      <c r="A752" s="2">
        <f t="shared" si="27"/>
        <v>13</v>
      </c>
      <c r="B752" t="s">
        <v>352</v>
      </c>
      <c r="C752" s="1">
        <v>9</v>
      </c>
      <c r="D752" s="1">
        <v>190</v>
      </c>
      <c r="E752" s="1">
        <v>10</v>
      </c>
      <c r="F752" s="1">
        <v>16</v>
      </c>
      <c r="G752" s="1">
        <v>1</v>
      </c>
      <c r="H752" s="1">
        <v>13</v>
      </c>
      <c r="I752" s="1">
        <v>13</v>
      </c>
      <c r="J752" s="1"/>
      <c r="M752" t="s">
        <v>15</v>
      </c>
      <c r="N752" t="str">
        <f>IFERROR(VLOOKUP(B752,'[1]All Player'!$B$2:$C$1992,2,0),"")</f>
        <v>Moksedur RaHman SoHan (Duronto Sohan)</v>
      </c>
      <c r="O752" s="2" t="s">
        <v>525</v>
      </c>
      <c r="P752" s="16" t="s">
        <v>836</v>
      </c>
      <c r="Q752" s="1">
        <f t="shared" si="26"/>
        <v>1</v>
      </c>
      <c r="R752" s="1">
        <v>122</v>
      </c>
      <c r="U752" s="8">
        <f t="shared" si="25"/>
        <v>42036</v>
      </c>
    </row>
    <row r="753" spans="1:21" x14ac:dyDescent="0.25">
      <c r="A753" s="2">
        <f t="shared" si="27"/>
        <v>13</v>
      </c>
      <c r="B753" t="s">
        <v>318</v>
      </c>
      <c r="C753" s="1">
        <v>6</v>
      </c>
      <c r="D753" s="1">
        <v>116</v>
      </c>
      <c r="E753" s="1">
        <v>8</v>
      </c>
      <c r="F753" s="1">
        <v>11</v>
      </c>
      <c r="G753" s="1">
        <v>1</v>
      </c>
      <c r="H753" s="1">
        <v>12</v>
      </c>
      <c r="I753" s="1">
        <v>5</v>
      </c>
      <c r="J753" s="1"/>
      <c r="M753" t="s">
        <v>15</v>
      </c>
      <c r="N753" t="str">
        <f>IFERROR(VLOOKUP(B753,'[1]All Player'!$B$2:$C$1992,2,0),"")</f>
        <v>Mazharul Islam Moon</v>
      </c>
      <c r="O753" s="2" t="s">
        <v>525</v>
      </c>
      <c r="P753" s="16" t="s">
        <v>836</v>
      </c>
      <c r="Q753" s="1">
        <f t="shared" si="26"/>
        <v>1</v>
      </c>
      <c r="R753" s="1">
        <v>122</v>
      </c>
      <c r="U753" s="8">
        <f t="shared" si="25"/>
        <v>42036</v>
      </c>
    </row>
    <row r="754" spans="1:21" x14ac:dyDescent="0.25">
      <c r="A754" s="2">
        <f t="shared" si="27"/>
        <v>13</v>
      </c>
      <c r="B754" t="s">
        <v>197</v>
      </c>
      <c r="C754" s="1">
        <v>5</v>
      </c>
      <c r="D754" s="1">
        <v>45</v>
      </c>
      <c r="E754" s="1">
        <v>6</v>
      </c>
      <c r="F754" s="1">
        <v>5</v>
      </c>
      <c r="G754" s="1">
        <v>1</v>
      </c>
      <c r="H754" s="1">
        <v>2</v>
      </c>
      <c r="I754" s="1">
        <v>3</v>
      </c>
      <c r="J754" s="1"/>
      <c r="M754" t="s">
        <v>15</v>
      </c>
      <c r="N754" t="str">
        <f>IFERROR(VLOOKUP(B754,'[1]All Player'!$B$2:$C$1992,2,0),"")</f>
        <v>Noushed Mijan</v>
      </c>
      <c r="O754" s="2" t="s">
        <v>525</v>
      </c>
      <c r="P754" s="16" t="s">
        <v>836</v>
      </c>
      <c r="Q754" s="1">
        <f t="shared" si="26"/>
        <v>1</v>
      </c>
      <c r="R754" s="1">
        <v>122</v>
      </c>
      <c r="U754" s="8">
        <f t="shared" si="25"/>
        <v>42036</v>
      </c>
    </row>
    <row r="755" spans="1:21" x14ac:dyDescent="0.25">
      <c r="A755" s="2">
        <f t="shared" si="27"/>
        <v>13</v>
      </c>
      <c r="B755" t="s">
        <v>333</v>
      </c>
      <c r="C755" s="1">
        <v>8</v>
      </c>
      <c r="D755" s="1">
        <v>83</v>
      </c>
      <c r="E755" s="1">
        <v>1</v>
      </c>
      <c r="F755" s="1">
        <v>11</v>
      </c>
      <c r="G755" s="1">
        <v>0</v>
      </c>
      <c r="H755" s="1">
        <v>10</v>
      </c>
      <c r="I755" s="1">
        <v>7</v>
      </c>
      <c r="J755" s="1"/>
      <c r="M755" t="s">
        <v>15</v>
      </c>
      <c r="N755" t="str">
        <f>IFERROR(VLOOKUP(B755,'[1]All Player'!$B$2:$C$1992,2,0),"")</f>
        <v>Shah Abi Talib Adnan</v>
      </c>
      <c r="O755" s="2" t="s">
        <v>525</v>
      </c>
      <c r="P755" s="16" t="s">
        <v>836</v>
      </c>
      <c r="Q755" s="1">
        <f t="shared" si="26"/>
        <v>1</v>
      </c>
      <c r="R755" s="1">
        <v>122</v>
      </c>
      <c r="U755" s="8">
        <f t="shared" si="25"/>
        <v>42036</v>
      </c>
    </row>
    <row r="756" spans="1:21" ht="15.75" x14ac:dyDescent="0.25">
      <c r="A756" s="2">
        <f t="shared" si="27"/>
        <v>13</v>
      </c>
      <c r="B756" s="18" t="s">
        <v>526</v>
      </c>
      <c r="C756" s="1"/>
      <c r="D756" s="1"/>
      <c r="E756" s="1"/>
      <c r="F756" s="1"/>
      <c r="G756" s="1"/>
      <c r="H756" s="1"/>
      <c r="I756" s="1"/>
      <c r="J756" s="1"/>
      <c r="M756" t="s">
        <v>15</v>
      </c>
      <c r="N756" t="str">
        <f>IFERROR(VLOOKUP(B756,'[1]All Player'!$B$2:$C$1992,2,0),"")</f>
        <v/>
      </c>
      <c r="O756" s="2" t="s">
        <v>525</v>
      </c>
      <c r="P756" s="16" t="s">
        <v>526</v>
      </c>
      <c r="Q756" s="1">
        <f t="shared" si="26"/>
        <v>1</v>
      </c>
      <c r="R756" s="1">
        <v>123</v>
      </c>
      <c r="U756" s="8">
        <f t="shared" si="25"/>
        <v>42036</v>
      </c>
    </row>
    <row r="757" spans="1:21" x14ac:dyDescent="0.25">
      <c r="A757" s="2">
        <f t="shared" si="27"/>
        <v>13</v>
      </c>
      <c r="B757" t="s">
        <v>152</v>
      </c>
      <c r="C757" s="1">
        <v>11</v>
      </c>
      <c r="D757" s="1">
        <v>226</v>
      </c>
      <c r="E757" s="1">
        <v>22</v>
      </c>
      <c r="F757" s="1">
        <v>16</v>
      </c>
      <c r="G757" s="1">
        <v>4</v>
      </c>
      <c r="H757" s="1">
        <v>14</v>
      </c>
      <c r="I757" s="1">
        <v>18</v>
      </c>
      <c r="J757" s="1"/>
      <c r="M757" t="s">
        <v>15</v>
      </c>
      <c r="N757" t="str">
        <f>IFERROR(VLOOKUP(B757,'[1]All Player'!$B$2:$C$1992,2,0),"")</f>
        <v>Niamul Habib Setu</v>
      </c>
      <c r="O757" s="2" t="s">
        <v>525</v>
      </c>
      <c r="P757" s="16" t="s">
        <v>526</v>
      </c>
      <c r="Q757" s="1">
        <f t="shared" si="26"/>
        <v>1</v>
      </c>
      <c r="R757" s="1">
        <v>123</v>
      </c>
      <c r="U757" s="8">
        <f t="shared" si="25"/>
        <v>42036</v>
      </c>
    </row>
    <row r="758" spans="1:21" x14ac:dyDescent="0.25">
      <c r="A758" s="2">
        <f t="shared" si="27"/>
        <v>13</v>
      </c>
      <c r="B758" t="s">
        <v>239</v>
      </c>
      <c r="C758" s="1">
        <v>11</v>
      </c>
      <c r="D758" s="1">
        <v>163</v>
      </c>
      <c r="E758" s="1">
        <v>22</v>
      </c>
      <c r="F758" s="1">
        <v>16</v>
      </c>
      <c r="G758" s="1">
        <v>1</v>
      </c>
      <c r="H758" s="1">
        <v>9</v>
      </c>
      <c r="I758" s="1">
        <v>13</v>
      </c>
      <c r="J758" s="1"/>
      <c r="M758" t="s">
        <v>15</v>
      </c>
      <c r="N758" t="str">
        <f>IFERROR(VLOOKUP(B758,'[1]All Player'!$B$2:$C$1992,2,0),"")</f>
        <v>GM Manik</v>
      </c>
      <c r="O758" s="2" t="s">
        <v>525</v>
      </c>
      <c r="P758" s="16" t="s">
        <v>526</v>
      </c>
      <c r="Q758" s="1">
        <f t="shared" si="26"/>
        <v>1</v>
      </c>
      <c r="R758" s="1">
        <v>123</v>
      </c>
      <c r="U758" s="8">
        <f t="shared" ref="U758:U776" si="28">U757</f>
        <v>42036</v>
      </c>
    </row>
    <row r="759" spans="1:21" x14ac:dyDescent="0.25">
      <c r="A759" s="2">
        <f t="shared" si="27"/>
        <v>13</v>
      </c>
      <c r="B759" t="s">
        <v>116</v>
      </c>
      <c r="C759" s="1">
        <v>10</v>
      </c>
      <c r="D759" s="1">
        <v>218</v>
      </c>
      <c r="E759" s="1">
        <v>11</v>
      </c>
      <c r="F759" s="1">
        <v>13</v>
      </c>
      <c r="G759" s="1">
        <v>0</v>
      </c>
      <c r="H759" s="1">
        <v>12</v>
      </c>
      <c r="I759" s="1">
        <v>15</v>
      </c>
      <c r="J759" s="1"/>
      <c r="M759" t="s">
        <v>15</v>
      </c>
      <c r="N759" t="str">
        <f>IFERROR(VLOOKUP(B759,'[1]All Player'!$B$2:$C$1992,2,0),"")</f>
        <v>Ahammed Ariful Haq</v>
      </c>
      <c r="O759" s="2" t="s">
        <v>525</v>
      </c>
      <c r="P759" s="16" t="s">
        <v>526</v>
      </c>
      <c r="Q759" s="1">
        <f t="shared" si="26"/>
        <v>1</v>
      </c>
      <c r="R759" s="1">
        <v>123</v>
      </c>
      <c r="U759" s="8">
        <f t="shared" si="28"/>
        <v>42036</v>
      </c>
    </row>
    <row r="760" spans="1:21" x14ac:dyDescent="0.25">
      <c r="A760" s="2">
        <f t="shared" si="27"/>
        <v>13</v>
      </c>
      <c r="B760" t="s">
        <v>171</v>
      </c>
      <c r="C760" s="1">
        <v>10</v>
      </c>
      <c r="D760" s="1">
        <v>132</v>
      </c>
      <c r="E760" s="1">
        <v>4</v>
      </c>
      <c r="F760" s="1">
        <v>13</v>
      </c>
      <c r="G760" s="1">
        <v>1</v>
      </c>
      <c r="H760" s="1">
        <v>7</v>
      </c>
      <c r="I760" s="1">
        <v>6</v>
      </c>
      <c r="J760" s="1"/>
      <c r="M760" t="s">
        <v>15</v>
      </c>
      <c r="N760" t="str">
        <f>IFERROR(VLOOKUP(B760,'[1]All Player'!$B$2:$C$1992,2,0),"")</f>
        <v>Md. Ruhin</v>
      </c>
      <c r="O760" s="2" t="s">
        <v>525</v>
      </c>
      <c r="P760" s="16" t="s">
        <v>526</v>
      </c>
      <c r="Q760" s="1">
        <f t="shared" si="26"/>
        <v>1</v>
      </c>
      <c r="R760" s="1">
        <v>123</v>
      </c>
      <c r="U760" s="8">
        <f t="shared" si="28"/>
        <v>42036</v>
      </c>
    </row>
    <row r="761" spans="1:21" x14ac:dyDescent="0.25">
      <c r="A761" s="2">
        <f t="shared" si="27"/>
        <v>13</v>
      </c>
      <c r="B761" t="s">
        <v>76</v>
      </c>
      <c r="C761" s="1">
        <v>4</v>
      </c>
      <c r="D761" s="1">
        <v>40</v>
      </c>
      <c r="E761" s="1">
        <v>6</v>
      </c>
      <c r="F761" s="1">
        <v>7</v>
      </c>
      <c r="G761" s="1">
        <v>0</v>
      </c>
      <c r="H761" s="1">
        <v>2</v>
      </c>
      <c r="I761" s="1">
        <v>0</v>
      </c>
      <c r="J761" s="1"/>
      <c r="M761" t="s">
        <v>15</v>
      </c>
      <c r="N761" t="str">
        <f>IFERROR(VLOOKUP(B761,'[1]All Player'!$B$2:$C$1992,2,0),"")</f>
        <v>Kamil Ahmed</v>
      </c>
      <c r="O761" s="2" t="s">
        <v>525</v>
      </c>
      <c r="P761" s="16" t="s">
        <v>526</v>
      </c>
      <c r="Q761" s="1">
        <f t="shared" si="26"/>
        <v>1</v>
      </c>
      <c r="R761" s="1">
        <v>123</v>
      </c>
      <c r="U761" s="8">
        <f t="shared" si="28"/>
        <v>42036</v>
      </c>
    </row>
    <row r="762" spans="1:21" x14ac:dyDescent="0.25">
      <c r="A762" s="2">
        <f t="shared" si="27"/>
        <v>13</v>
      </c>
      <c r="B762" t="s">
        <v>348</v>
      </c>
      <c r="C762" s="1">
        <v>2</v>
      </c>
      <c r="D762" s="1">
        <v>28</v>
      </c>
      <c r="E762" s="1">
        <v>2</v>
      </c>
      <c r="F762" s="1">
        <v>3</v>
      </c>
      <c r="G762" s="1">
        <v>0</v>
      </c>
      <c r="H762" s="1">
        <v>1</v>
      </c>
      <c r="I762" s="1">
        <v>0</v>
      </c>
      <c r="J762" s="1"/>
      <c r="M762" t="s">
        <v>15</v>
      </c>
      <c r="N762" t="str">
        <f>IFERROR(VLOOKUP(B762,'[1]All Player'!$B$2:$C$1992,2,0),"")</f>
        <v>Rafiul Haque Sanchay</v>
      </c>
      <c r="O762" s="2" t="s">
        <v>525</v>
      </c>
      <c r="P762" s="16" t="s">
        <v>526</v>
      </c>
      <c r="Q762" s="1">
        <f t="shared" si="26"/>
        <v>1</v>
      </c>
      <c r="R762" s="1">
        <v>123</v>
      </c>
      <c r="U762" s="8">
        <f t="shared" si="28"/>
        <v>42036</v>
      </c>
    </row>
    <row r="763" spans="1:21" x14ac:dyDescent="0.25">
      <c r="A763" s="2">
        <f t="shared" si="27"/>
        <v>13</v>
      </c>
      <c r="B763" t="s">
        <v>549</v>
      </c>
      <c r="C763" s="1"/>
      <c r="D763" s="1"/>
      <c r="E763" s="1"/>
      <c r="F763" s="1"/>
      <c r="G763" s="1"/>
      <c r="H763" s="1"/>
      <c r="I763" s="1"/>
      <c r="J763" s="1"/>
      <c r="M763" t="s">
        <v>15</v>
      </c>
      <c r="N763" t="str">
        <f>IFERROR(VLOOKUP(B763,'[1]All Player'!$B$2:$C$1992,2,0),"")</f>
        <v/>
      </c>
      <c r="O763" s="2" t="s">
        <v>525</v>
      </c>
      <c r="P763" s="16" t="s">
        <v>549</v>
      </c>
      <c r="Q763" s="1">
        <f t="shared" si="26"/>
        <v>1</v>
      </c>
      <c r="R763" s="1">
        <v>124</v>
      </c>
      <c r="U763" s="8">
        <f t="shared" si="28"/>
        <v>42036</v>
      </c>
    </row>
    <row r="764" spans="1:21" x14ac:dyDescent="0.25">
      <c r="A764" s="2">
        <f t="shared" si="27"/>
        <v>13</v>
      </c>
      <c r="B764" t="s">
        <v>120</v>
      </c>
      <c r="C764" s="1">
        <v>10</v>
      </c>
      <c r="D764" s="1">
        <v>138</v>
      </c>
      <c r="E764" s="1">
        <v>15</v>
      </c>
      <c r="F764" s="1">
        <v>19</v>
      </c>
      <c r="G764" s="1">
        <v>2</v>
      </c>
      <c r="H764" s="1">
        <v>10</v>
      </c>
      <c r="I764" s="1">
        <v>9</v>
      </c>
      <c r="J764" s="1"/>
      <c r="M764" t="s">
        <v>15</v>
      </c>
      <c r="N764" t="str">
        <f>IFERROR(VLOOKUP(B764,'[1]All Player'!$B$2:$C$1992,2,0),"")</f>
        <v>Kamrul Hasan Hridoy</v>
      </c>
      <c r="O764" s="2" t="s">
        <v>525</v>
      </c>
      <c r="P764" s="16" t="s">
        <v>549</v>
      </c>
      <c r="Q764" s="1">
        <f t="shared" si="26"/>
        <v>1</v>
      </c>
      <c r="R764" s="1">
        <v>124</v>
      </c>
      <c r="U764" s="8">
        <f t="shared" si="28"/>
        <v>42036</v>
      </c>
    </row>
    <row r="765" spans="1:21" x14ac:dyDescent="0.25">
      <c r="A765" s="2">
        <f t="shared" si="27"/>
        <v>13</v>
      </c>
      <c r="B765" t="s">
        <v>106</v>
      </c>
      <c r="C765" s="1">
        <v>11</v>
      </c>
      <c r="D765" s="1">
        <v>337</v>
      </c>
      <c r="E765" s="1">
        <v>9</v>
      </c>
      <c r="F765" s="1">
        <v>22</v>
      </c>
      <c r="G765" s="1">
        <v>0</v>
      </c>
      <c r="H765" s="1">
        <v>22</v>
      </c>
      <c r="I765" s="1">
        <v>15</v>
      </c>
      <c r="J765" s="1"/>
      <c r="M765" t="s">
        <v>15</v>
      </c>
      <c r="N765" t="str">
        <f>IFERROR(VLOOKUP(B765,'[1]All Player'!$B$2:$C$1992,2,0),"")</f>
        <v>Sayed Anowar Shanto</v>
      </c>
      <c r="O765" s="2" t="s">
        <v>525</v>
      </c>
      <c r="P765" s="16" t="s">
        <v>549</v>
      </c>
      <c r="Q765" s="1">
        <f t="shared" si="26"/>
        <v>1</v>
      </c>
      <c r="R765" s="1">
        <v>124</v>
      </c>
      <c r="U765" s="8">
        <f t="shared" si="28"/>
        <v>42036</v>
      </c>
    </row>
    <row r="766" spans="1:21" x14ac:dyDescent="0.25">
      <c r="A766" s="2">
        <f t="shared" si="27"/>
        <v>13</v>
      </c>
      <c r="B766" t="s">
        <v>167</v>
      </c>
      <c r="C766" s="1">
        <v>10</v>
      </c>
      <c r="D766" s="1">
        <v>319</v>
      </c>
      <c r="E766" s="1">
        <v>6</v>
      </c>
      <c r="F766" s="1">
        <v>18</v>
      </c>
      <c r="G766" s="1">
        <v>3</v>
      </c>
      <c r="H766" s="1">
        <v>20</v>
      </c>
      <c r="I766" s="1">
        <v>18</v>
      </c>
      <c r="J766" s="1"/>
      <c r="M766" t="s">
        <v>15</v>
      </c>
      <c r="N766" t="str">
        <f>IFERROR(VLOOKUP(B766,'[1]All Player'!$B$2:$C$1992,2,0),"")</f>
        <v>Sakif Rahaman</v>
      </c>
      <c r="O766" s="2" t="s">
        <v>525</v>
      </c>
      <c r="P766" s="16" t="s">
        <v>549</v>
      </c>
      <c r="Q766" s="1">
        <f t="shared" si="26"/>
        <v>1</v>
      </c>
      <c r="R766" s="1">
        <v>124</v>
      </c>
      <c r="U766" s="8">
        <f t="shared" si="28"/>
        <v>42036</v>
      </c>
    </row>
    <row r="767" spans="1:21" x14ac:dyDescent="0.25">
      <c r="A767" s="2">
        <f t="shared" si="27"/>
        <v>13</v>
      </c>
      <c r="B767" t="s">
        <v>85</v>
      </c>
      <c r="C767" s="1">
        <v>3</v>
      </c>
      <c r="D767" s="1">
        <v>132</v>
      </c>
      <c r="E767" s="1">
        <v>9</v>
      </c>
      <c r="F767" s="1">
        <v>7</v>
      </c>
      <c r="G767" s="1">
        <v>0</v>
      </c>
      <c r="H767" s="1">
        <v>8</v>
      </c>
      <c r="I767" s="1">
        <v>7</v>
      </c>
      <c r="J767" s="1"/>
      <c r="M767" t="s">
        <v>15</v>
      </c>
      <c r="N767" t="str">
        <f>IFERROR(VLOOKUP(B767,'[1]All Player'!$B$2:$C$1992,2,0),"")</f>
        <v>Asik Hassan Tonmoy</v>
      </c>
      <c r="O767" s="2" t="s">
        <v>525</v>
      </c>
      <c r="P767" s="16" t="s">
        <v>549</v>
      </c>
      <c r="Q767" s="1">
        <f t="shared" si="26"/>
        <v>1</v>
      </c>
      <c r="R767" s="1">
        <v>124</v>
      </c>
      <c r="U767" s="8">
        <f t="shared" si="28"/>
        <v>42036</v>
      </c>
    </row>
    <row r="768" spans="1:21" x14ac:dyDescent="0.25">
      <c r="A768" s="2">
        <f t="shared" si="27"/>
        <v>13</v>
      </c>
      <c r="B768" t="s">
        <v>296</v>
      </c>
      <c r="C768" s="1">
        <v>10</v>
      </c>
      <c r="D768" s="1">
        <v>39</v>
      </c>
      <c r="E768" s="1">
        <v>10</v>
      </c>
      <c r="F768" s="1">
        <v>10</v>
      </c>
      <c r="G768" s="1">
        <v>0</v>
      </c>
      <c r="H768" s="1">
        <v>5</v>
      </c>
      <c r="I768" s="1">
        <v>1</v>
      </c>
      <c r="J768" s="1"/>
      <c r="M768" t="s">
        <v>15</v>
      </c>
      <c r="N768" t="str">
        <f>IFERROR(VLOOKUP(B768,'[1]All Player'!$B$2:$C$1992,2,0),"")</f>
        <v>Zi Zohir</v>
      </c>
      <c r="O768" s="2" t="s">
        <v>525</v>
      </c>
      <c r="P768" s="16" t="s">
        <v>549</v>
      </c>
      <c r="Q768" s="1">
        <f t="shared" si="26"/>
        <v>1</v>
      </c>
      <c r="R768" s="1">
        <v>124</v>
      </c>
      <c r="U768" s="8">
        <f t="shared" si="28"/>
        <v>42036</v>
      </c>
    </row>
    <row r="769" spans="1:21" x14ac:dyDescent="0.25">
      <c r="A769" s="2">
        <f t="shared" si="27"/>
        <v>13</v>
      </c>
      <c r="B769" t="s">
        <v>102</v>
      </c>
      <c r="C769" s="1">
        <v>2</v>
      </c>
      <c r="D769" s="1">
        <v>14</v>
      </c>
      <c r="E769" s="1">
        <v>1</v>
      </c>
      <c r="F769" s="1">
        <v>1</v>
      </c>
      <c r="G769" s="1">
        <v>0</v>
      </c>
      <c r="H769" s="1">
        <v>1</v>
      </c>
      <c r="I769" s="1">
        <v>1</v>
      </c>
      <c r="J769" s="1"/>
      <c r="M769" t="s">
        <v>15</v>
      </c>
      <c r="N769" t="str">
        <f>IFERROR(VLOOKUP(B769,'[1]All Player'!$B$2:$C$1992,2,0),"")</f>
        <v>Mustofa Muddassir Mahmud Mashuk</v>
      </c>
      <c r="O769" s="2" t="s">
        <v>525</v>
      </c>
      <c r="P769" s="16" t="s">
        <v>549</v>
      </c>
      <c r="Q769" s="1">
        <f t="shared" si="26"/>
        <v>1</v>
      </c>
      <c r="R769" s="1">
        <v>124</v>
      </c>
      <c r="U769" s="8">
        <f t="shared" si="28"/>
        <v>42036</v>
      </c>
    </row>
    <row r="770" spans="1:21" x14ac:dyDescent="0.25">
      <c r="A770" s="2">
        <f t="shared" si="27"/>
        <v>13</v>
      </c>
      <c r="B770" t="s">
        <v>837</v>
      </c>
      <c r="C770" s="1"/>
      <c r="D770" s="1"/>
      <c r="E770" s="1"/>
      <c r="F770" s="1"/>
      <c r="G770" s="1"/>
      <c r="H770" s="1"/>
      <c r="I770" s="1"/>
      <c r="J770" s="1"/>
      <c r="M770" t="s">
        <v>15</v>
      </c>
      <c r="N770" t="str">
        <f>IFERROR(VLOOKUP(B770,'[1]All Player'!$B$2:$C$1992,2,0),"")</f>
        <v/>
      </c>
      <c r="O770" s="2" t="s">
        <v>525</v>
      </c>
      <c r="P770" s="16" t="s">
        <v>837</v>
      </c>
      <c r="Q770" s="1">
        <f t="shared" ref="Q770:Q833" si="29">IF(B770="","",1)</f>
        <v>1</v>
      </c>
      <c r="R770" s="1">
        <v>125</v>
      </c>
      <c r="U770" s="8">
        <f t="shared" si="28"/>
        <v>42036</v>
      </c>
    </row>
    <row r="771" spans="1:21" x14ac:dyDescent="0.25">
      <c r="A771" s="2">
        <f t="shared" si="27"/>
        <v>13</v>
      </c>
      <c r="B771" t="s">
        <v>302</v>
      </c>
      <c r="C771" s="1">
        <v>9</v>
      </c>
      <c r="D771" s="1">
        <v>161</v>
      </c>
      <c r="E771" s="1">
        <v>14</v>
      </c>
      <c r="F771" s="1">
        <v>17</v>
      </c>
      <c r="G771" s="1">
        <v>0</v>
      </c>
      <c r="H771" s="1">
        <v>10</v>
      </c>
      <c r="I771" s="1">
        <v>10</v>
      </c>
      <c r="J771" s="1"/>
      <c r="M771" t="s">
        <v>15</v>
      </c>
      <c r="N771" t="str">
        <f>IFERROR(VLOOKUP(B771,'[1]All Player'!$B$2:$C$1992,2,0),"")</f>
        <v>Raihan Al-maMun</v>
      </c>
      <c r="O771" s="2" t="s">
        <v>525</v>
      </c>
      <c r="P771" s="16" t="s">
        <v>837</v>
      </c>
      <c r="Q771" s="1">
        <f t="shared" si="29"/>
        <v>1</v>
      </c>
      <c r="R771" s="1">
        <v>125</v>
      </c>
      <c r="U771" s="8">
        <f t="shared" si="28"/>
        <v>42036</v>
      </c>
    </row>
    <row r="772" spans="1:21" x14ac:dyDescent="0.25">
      <c r="A772" s="2">
        <f t="shared" si="27"/>
        <v>13</v>
      </c>
      <c r="B772" t="s">
        <v>136</v>
      </c>
      <c r="C772" s="1">
        <v>10</v>
      </c>
      <c r="D772" s="1">
        <v>325</v>
      </c>
      <c r="E772" s="1">
        <v>15</v>
      </c>
      <c r="F772" s="1">
        <v>21</v>
      </c>
      <c r="G772" s="1">
        <v>2</v>
      </c>
      <c r="H772" s="1">
        <v>15</v>
      </c>
      <c r="I772" s="1">
        <v>24</v>
      </c>
      <c r="J772" s="1"/>
      <c r="M772" t="s">
        <v>15</v>
      </c>
      <c r="N772" t="str">
        <f>IFERROR(VLOOKUP(B772,'[1]All Player'!$B$2:$C$1992,2,0),"")</f>
        <v>MD Kamal Hossain Kamal</v>
      </c>
      <c r="O772" s="2" t="s">
        <v>525</v>
      </c>
      <c r="P772" s="16" t="s">
        <v>837</v>
      </c>
      <c r="Q772" s="1">
        <f t="shared" si="29"/>
        <v>1</v>
      </c>
      <c r="R772" s="1">
        <v>125</v>
      </c>
      <c r="U772" s="8">
        <f t="shared" si="28"/>
        <v>42036</v>
      </c>
    </row>
    <row r="773" spans="1:21" x14ac:dyDescent="0.25">
      <c r="A773" s="2">
        <f t="shared" si="27"/>
        <v>13</v>
      </c>
      <c r="B773" t="s">
        <v>35</v>
      </c>
      <c r="C773" s="1">
        <v>9</v>
      </c>
      <c r="D773" s="1">
        <v>110</v>
      </c>
      <c r="E773" s="1">
        <v>6</v>
      </c>
      <c r="F773" s="1">
        <v>12</v>
      </c>
      <c r="G773" s="1">
        <v>1</v>
      </c>
      <c r="H773" s="1">
        <v>3</v>
      </c>
      <c r="I773" s="1">
        <v>7</v>
      </c>
      <c r="J773" s="1"/>
      <c r="M773" t="s">
        <v>15</v>
      </c>
      <c r="N773" t="str">
        <f>IFERROR(VLOOKUP(B773,'[1]All Player'!$B$2:$C$1992,2,0),"")</f>
        <v>Neyem khan</v>
      </c>
      <c r="O773" s="2" t="s">
        <v>525</v>
      </c>
      <c r="P773" s="16" t="s">
        <v>837</v>
      </c>
      <c r="Q773" s="1">
        <f t="shared" si="29"/>
        <v>1</v>
      </c>
      <c r="R773" s="1">
        <v>125</v>
      </c>
      <c r="U773" s="8">
        <f t="shared" si="28"/>
        <v>42036</v>
      </c>
    </row>
    <row r="774" spans="1:21" x14ac:dyDescent="0.25">
      <c r="A774" s="2">
        <f t="shared" si="27"/>
        <v>13</v>
      </c>
      <c r="B774" t="s">
        <v>158</v>
      </c>
      <c r="C774" s="1">
        <v>6</v>
      </c>
      <c r="D774" s="1">
        <v>104</v>
      </c>
      <c r="E774" s="1">
        <v>10</v>
      </c>
      <c r="F774" s="1">
        <v>9</v>
      </c>
      <c r="G774" s="1">
        <v>0</v>
      </c>
      <c r="H774" s="1">
        <v>7</v>
      </c>
      <c r="I774" s="1">
        <v>9</v>
      </c>
      <c r="J774" s="1"/>
      <c r="M774" t="s">
        <v>15</v>
      </c>
      <c r="N774" t="str">
        <f>IFERROR(VLOOKUP(B774,'[1]All Player'!$B$2:$C$1992,2,0),"")</f>
        <v>Sabbir Ahmed</v>
      </c>
      <c r="O774" s="2" t="s">
        <v>525</v>
      </c>
      <c r="P774" s="16" t="s">
        <v>837</v>
      </c>
      <c r="Q774" s="1">
        <f t="shared" si="29"/>
        <v>1</v>
      </c>
      <c r="R774" s="1">
        <v>125</v>
      </c>
      <c r="U774" s="8">
        <f t="shared" si="28"/>
        <v>42036</v>
      </c>
    </row>
    <row r="775" spans="1:21" x14ac:dyDescent="0.25">
      <c r="A775" s="2">
        <f t="shared" si="27"/>
        <v>13</v>
      </c>
      <c r="B775" t="s">
        <v>70</v>
      </c>
      <c r="C775" s="1">
        <v>8</v>
      </c>
      <c r="D775" s="1">
        <v>126</v>
      </c>
      <c r="E775" s="1">
        <v>6</v>
      </c>
      <c r="F775" s="1">
        <v>10</v>
      </c>
      <c r="G775" s="1">
        <v>1</v>
      </c>
      <c r="H775" s="1">
        <v>3</v>
      </c>
      <c r="I775" s="1">
        <v>8</v>
      </c>
      <c r="J775" s="1"/>
      <c r="M775" t="s">
        <v>15</v>
      </c>
      <c r="N775" t="str">
        <f>IFERROR(VLOOKUP(B775,'[1]All Player'!$B$2:$C$1992,2,0),"")</f>
        <v>Sheik Helal Ahmed</v>
      </c>
      <c r="O775" s="2" t="s">
        <v>525</v>
      </c>
      <c r="P775" s="16" t="s">
        <v>837</v>
      </c>
      <c r="Q775" s="1">
        <f t="shared" si="29"/>
        <v>1</v>
      </c>
      <c r="R775" s="1">
        <v>125</v>
      </c>
      <c r="U775" s="8">
        <f t="shared" si="28"/>
        <v>42036</v>
      </c>
    </row>
    <row r="776" spans="1:21" x14ac:dyDescent="0.25">
      <c r="A776" s="2">
        <f t="shared" si="27"/>
        <v>13</v>
      </c>
      <c r="B776" t="s">
        <v>97</v>
      </c>
      <c r="C776" s="1">
        <v>4</v>
      </c>
      <c r="D776" s="1">
        <v>64</v>
      </c>
      <c r="E776" s="1">
        <v>0</v>
      </c>
      <c r="F776" s="1">
        <v>4</v>
      </c>
      <c r="G776" s="1">
        <v>0</v>
      </c>
      <c r="H776" s="1">
        <v>4</v>
      </c>
      <c r="I776" s="1">
        <v>0</v>
      </c>
      <c r="J776" s="1"/>
      <c r="M776" t="s">
        <v>15</v>
      </c>
      <c r="N776" t="str">
        <f>IFERROR(VLOOKUP(B776,'[1]All Player'!$B$2:$C$1992,2,0),"")</f>
        <v>Sanju Pritom</v>
      </c>
      <c r="O776" s="2" t="s">
        <v>525</v>
      </c>
      <c r="P776" s="16" t="s">
        <v>837</v>
      </c>
      <c r="Q776" s="1">
        <f t="shared" si="29"/>
        <v>1</v>
      </c>
      <c r="R776" s="1">
        <v>125</v>
      </c>
      <c r="U776" s="8">
        <f t="shared" si="28"/>
        <v>42036</v>
      </c>
    </row>
    <row r="777" spans="1:21" x14ac:dyDescent="0.25">
      <c r="A777" s="2">
        <v>14</v>
      </c>
      <c r="B777" s="13" t="s">
        <v>512</v>
      </c>
      <c r="J777" s="1"/>
      <c r="M777" t="s">
        <v>15</v>
      </c>
      <c r="N777" t="str">
        <f>IFERROR(VLOOKUP(B777,'[1]All Player'!$B$2:$C$1992,2,0),"")</f>
        <v/>
      </c>
      <c r="O777" s="2" t="s">
        <v>511</v>
      </c>
      <c r="P777" s="16" t="s">
        <v>512</v>
      </c>
      <c r="Q777" s="1">
        <f t="shared" si="29"/>
        <v>1</v>
      </c>
      <c r="R777" s="1">
        <v>126</v>
      </c>
      <c r="T777" s="1" t="s">
        <v>657</v>
      </c>
      <c r="U777" s="8">
        <v>42125</v>
      </c>
    </row>
    <row r="778" spans="1:21" x14ac:dyDescent="0.25">
      <c r="A778" s="2">
        <f t="shared" si="27"/>
        <v>14</v>
      </c>
      <c r="B778" t="s">
        <v>130</v>
      </c>
      <c r="C778" s="2">
        <v>9</v>
      </c>
      <c r="D778" s="2">
        <v>225</v>
      </c>
      <c r="E778" s="2">
        <v>17</v>
      </c>
      <c r="F778" s="2">
        <v>17</v>
      </c>
      <c r="G778" s="2">
        <v>3</v>
      </c>
      <c r="H778" s="2">
        <v>18</v>
      </c>
      <c r="I778" s="2">
        <v>15</v>
      </c>
      <c r="J778" s="1"/>
      <c r="M778" t="s">
        <v>15</v>
      </c>
      <c r="N778" t="str">
        <f>IFERROR(VLOOKUP(B778,'[1]All Player'!$B$2:$C$1992,2,0),"")</f>
        <v>Shahriar Khokon</v>
      </c>
      <c r="O778" s="2" t="s">
        <v>511</v>
      </c>
      <c r="P778" s="16" t="s">
        <v>512</v>
      </c>
      <c r="Q778" s="1">
        <f t="shared" si="29"/>
        <v>1</v>
      </c>
      <c r="R778" s="1">
        <v>126</v>
      </c>
      <c r="S778" s="26" t="s">
        <v>660</v>
      </c>
      <c r="T778" s="1" t="s">
        <v>657</v>
      </c>
      <c r="U778" s="8">
        <f t="shared" ref="U778:U841" si="30">U777</f>
        <v>42125</v>
      </c>
    </row>
    <row r="779" spans="1:21" x14ac:dyDescent="0.25">
      <c r="A779" s="2">
        <f t="shared" si="27"/>
        <v>14</v>
      </c>
      <c r="B779" t="s">
        <v>93</v>
      </c>
      <c r="C779" s="2">
        <v>9</v>
      </c>
      <c r="D779" s="2">
        <v>179</v>
      </c>
      <c r="E779" s="2">
        <v>22</v>
      </c>
      <c r="F779" s="2">
        <v>14</v>
      </c>
      <c r="G779" s="2">
        <v>2</v>
      </c>
      <c r="H779" s="2">
        <v>16</v>
      </c>
      <c r="I779" s="2">
        <v>9</v>
      </c>
      <c r="M779" t="s">
        <v>15</v>
      </c>
      <c r="N779" t="str">
        <f>IFERROR(VLOOKUP(B779,'[1]All Player'!$B$2:$C$1992,2,0),"")</f>
        <v>Zaheed Hasan</v>
      </c>
      <c r="O779" s="2" t="s">
        <v>511</v>
      </c>
      <c r="P779" s="16" t="s">
        <v>512</v>
      </c>
      <c r="Q779" s="1">
        <f t="shared" si="29"/>
        <v>1</v>
      </c>
      <c r="R779" s="1">
        <v>126</v>
      </c>
      <c r="T779" s="1" t="s">
        <v>657</v>
      </c>
      <c r="U779" s="8">
        <f t="shared" si="30"/>
        <v>42125</v>
      </c>
    </row>
    <row r="780" spans="1:21" x14ac:dyDescent="0.25">
      <c r="A780" s="2">
        <f t="shared" si="27"/>
        <v>14</v>
      </c>
      <c r="B780" t="s">
        <v>78</v>
      </c>
      <c r="C780" s="2">
        <v>9</v>
      </c>
      <c r="D780" s="2">
        <v>115</v>
      </c>
      <c r="E780" s="2">
        <v>4</v>
      </c>
      <c r="F780" s="2">
        <v>9</v>
      </c>
      <c r="G780" s="2">
        <v>0</v>
      </c>
      <c r="H780" s="2">
        <v>10</v>
      </c>
      <c r="I780" s="2">
        <v>5</v>
      </c>
      <c r="J780" s="1"/>
      <c r="M780" t="s">
        <v>15</v>
      </c>
      <c r="N780" t="str">
        <f>IFERROR(VLOOKUP(B780,'[1]All Player'!$B$2:$C$1992,2,0),"")</f>
        <v>KM Rashedul Islam Rashed</v>
      </c>
      <c r="O780" s="2" t="s">
        <v>511</v>
      </c>
      <c r="P780" s="16" t="s">
        <v>512</v>
      </c>
      <c r="Q780" s="1">
        <f t="shared" si="29"/>
        <v>1</v>
      </c>
      <c r="R780" s="1">
        <v>126</v>
      </c>
      <c r="T780" s="1" t="s">
        <v>657</v>
      </c>
      <c r="U780" s="8">
        <f t="shared" si="30"/>
        <v>42125</v>
      </c>
    </row>
    <row r="781" spans="1:21" x14ac:dyDescent="0.25">
      <c r="A781" s="2">
        <f t="shared" si="27"/>
        <v>14</v>
      </c>
      <c r="B781" t="s">
        <v>197</v>
      </c>
      <c r="C781" s="2">
        <v>7</v>
      </c>
      <c r="D781" s="2">
        <v>123</v>
      </c>
      <c r="E781" s="2">
        <v>8</v>
      </c>
      <c r="F781" s="2">
        <v>9</v>
      </c>
      <c r="G781" s="2">
        <v>1</v>
      </c>
      <c r="H781" s="2">
        <v>11</v>
      </c>
      <c r="I781" s="2">
        <v>7</v>
      </c>
      <c r="J781" s="1"/>
      <c r="M781" t="s">
        <v>15</v>
      </c>
      <c r="N781" t="str">
        <f>IFERROR(VLOOKUP(B781,'[1]All Player'!$B$2:$C$1992,2,0),"")</f>
        <v>Noushed Mijan</v>
      </c>
      <c r="O781" s="2" t="s">
        <v>511</v>
      </c>
      <c r="P781" s="16" t="s">
        <v>512</v>
      </c>
      <c r="Q781" s="1">
        <f t="shared" si="29"/>
        <v>1</v>
      </c>
      <c r="R781" s="1">
        <v>126</v>
      </c>
      <c r="T781" s="1" t="s">
        <v>657</v>
      </c>
      <c r="U781" s="8">
        <f t="shared" si="30"/>
        <v>42125</v>
      </c>
    </row>
    <row r="782" spans="1:21" x14ac:dyDescent="0.25">
      <c r="A782" s="2">
        <f t="shared" si="27"/>
        <v>14</v>
      </c>
      <c r="B782" t="s">
        <v>72</v>
      </c>
      <c r="C782" s="2">
        <v>4</v>
      </c>
      <c r="D782" s="2">
        <v>46</v>
      </c>
      <c r="E782" s="2">
        <v>3</v>
      </c>
      <c r="F782" s="2">
        <v>7</v>
      </c>
      <c r="G782" s="2">
        <v>1</v>
      </c>
      <c r="H782" s="2">
        <v>2</v>
      </c>
      <c r="I782" s="2">
        <v>1</v>
      </c>
      <c r="J782" s="1"/>
      <c r="M782" t="s">
        <v>15</v>
      </c>
      <c r="N782" t="str">
        <f>IFERROR(VLOOKUP(B782,'[1]All Player'!$B$2:$C$1992,2,0),"")</f>
        <v>Akram Husan (Washim)</v>
      </c>
      <c r="O782" s="2" t="s">
        <v>511</v>
      </c>
      <c r="P782" s="16" t="s">
        <v>512</v>
      </c>
      <c r="Q782" s="1">
        <f t="shared" si="29"/>
        <v>1</v>
      </c>
      <c r="R782" s="1">
        <v>126</v>
      </c>
      <c r="T782" s="1" t="s">
        <v>657</v>
      </c>
      <c r="U782" s="8">
        <f t="shared" si="30"/>
        <v>42125</v>
      </c>
    </row>
    <row r="783" spans="1:21" x14ac:dyDescent="0.25">
      <c r="A783" s="2">
        <f t="shared" si="27"/>
        <v>14</v>
      </c>
      <c r="B783" s="17" t="s">
        <v>559</v>
      </c>
      <c r="J783" s="1"/>
      <c r="M783" t="s">
        <v>15</v>
      </c>
      <c r="N783" t="str">
        <f>IFERROR(VLOOKUP(B783,'[1]All Player'!$B$2:$C$1992,2,0),"")</f>
        <v/>
      </c>
      <c r="O783" s="2" t="s">
        <v>511</v>
      </c>
      <c r="P783" s="16" t="s">
        <v>559</v>
      </c>
      <c r="Q783" s="1">
        <f t="shared" si="29"/>
        <v>1</v>
      </c>
      <c r="R783" s="1">
        <v>127</v>
      </c>
      <c r="T783" s="1" t="s">
        <v>659</v>
      </c>
      <c r="U783" s="8">
        <f t="shared" si="30"/>
        <v>42125</v>
      </c>
    </row>
    <row r="784" spans="1:21" x14ac:dyDescent="0.25">
      <c r="A784" s="2">
        <f t="shared" si="27"/>
        <v>14</v>
      </c>
      <c r="B784" t="s">
        <v>80</v>
      </c>
      <c r="C784" s="2">
        <v>9</v>
      </c>
      <c r="D784" s="2">
        <v>145</v>
      </c>
      <c r="E784" s="2">
        <v>22</v>
      </c>
      <c r="F784" s="2">
        <v>17</v>
      </c>
      <c r="G784" s="2">
        <v>2</v>
      </c>
      <c r="H784" s="2">
        <v>16</v>
      </c>
      <c r="I784" s="2">
        <v>9</v>
      </c>
      <c r="J784" s="1"/>
      <c r="M784" t="s">
        <v>15</v>
      </c>
      <c r="N784" t="str">
        <f>IFERROR(VLOOKUP(B784,'[1]All Player'!$B$2:$C$1992,2,0),"")</f>
        <v>Kamrul Hasan Tutul</v>
      </c>
      <c r="O784" s="2" t="s">
        <v>511</v>
      </c>
      <c r="P784" s="16" t="s">
        <v>559</v>
      </c>
      <c r="Q784" s="1">
        <f t="shared" si="29"/>
        <v>1</v>
      </c>
      <c r="R784" s="1">
        <v>127</v>
      </c>
      <c r="T784" s="1" t="s">
        <v>659</v>
      </c>
      <c r="U784" s="8">
        <f t="shared" si="30"/>
        <v>42125</v>
      </c>
    </row>
    <row r="785" spans="1:21" x14ac:dyDescent="0.25">
      <c r="A785" s="2">
        <f t="shared" si="27"/>
        <v>14</v>
      </c>
      <c r="B785" t="s">
        <v>70</v>
      </c>
      <c r="C785" s="2">
        <v>9</v>
      </c>
      <c r="D785" s="2">
        <v>178</v>
      </c>
      <c r="E785" s="2">
        <v>12</v>
      </c>
      <c r="F785" s="2">
        <v>15</v>
      </c>
      <c r="G785" s="2">
        <v>1</v>
      </c>
      <c r="H785" s="2">
        <v>6</v>
      </c>
      <c r="I785" s="2">
        <v>15</v>
      </c>
      <c r="J785" s="1"/>
      <c r="M785" t="s">
        <v>15</v>
      </c>
      <c r="N785" t="str">
        <f>IFERROR(VLOOKUP(B785,'[1]All Player'!$B$2:$C$1992,2,0),"")</f>
        <v>Sheik Helal Ahmed</v>
      </c>
      <c r="O785" s="2" t="s">
        <v>511</v>
      </c>
      <c r="P785" s="16" t="s">
        <v>559</v>
      </c>
      <c r="Q785" s="1">
        <f t="shared" si="29"/>
        <v>1</v>
      </c>
      <c r="R785" s="1">
        <v>127</v>
      </c>
      <c r="T785" s="1" t="s">
        <v>659</v>
      </c>
      <c r="U785" s="8">
        <f t="shared" si="30"/>
        <v>42125</v>
      </c>
    </row>
    <row r="786" spans="1:21" x14ac:dyDescent="0.25">
      <c r="A786" s="2">
        <f t="shared" si="27"/>
        <v>14</v>
      </c>
      <c r="B786" t="s">
        <v>199</v>
      </c>
      <c r="C786" s="2">
        <v>9</v>
      </c>
      <c r="D786" s="2">
        <v>169</v>
      </c>
      <c r="E786" s="2">
        <v>11</v>
      </c>
      <c r="F786" s="2">
        <v>13</v>
      </c>
      <c r="G786" s="2">
        <v>3</v>
      </c>
      <c r="H786" s="2">
        <v>18</v>
      </c>
      <c r="I786" s="2">
        <v>9</v>
      </c>
      <c r="J786" s="1"/>
      <c r="M786" t="s">
        <v>15</v>
      </c>
      <c r="N786" t="str">
        <f>IFERROR(VLOOKUP(B786,'[1]All Player'!$B$2:$C$1992,2,0),"")</f>
        <v>Mohammad Faruque</v>
      </c>
      <c r="O786" s="2" t="s">
        <v>511</v>
      </c>
      <c r="P786" s="16" t="s">
        <v>559</v>
      </c>
      <c r="Q786" s="1">
        <f t="shared" si="29"/>
        <v>1</v>
      </c>
      <c r="R786" s="1">
        <v>127</v>
      </c>
      <c r="T786" s="1" t="s">
        <v>659</v>
      </c>
      <c r="U786" s="8">
        <f t="shared" si="30"/>
        <v>42125</v>
      </c>
    </row>
    <row r="787" spans="1:21" x14ac:dyDescent="0.25">
      <c r="A787" s="2">
        <f t="shared" si="27"/>
        <v>14</v>
      </c>
      <c r="B787" t="s">
        <v>181</v>
      </c>
      <c r="C787" s="2">
        <v>9</v>
      </c>
      <c r="D787" s="2">
        <v>76</v>
      </c>
      <c r="E787" s="2">
        <v>6</v>
      </c>
      <c r="F787" s="2">
        <v>10</v>
      </c>
      <c r="G787" s="2">
        <v>0</v>
      </c>
      <c r="H787" s="2">
        <v>4</v>
      </c>
      <c r="I787" s="2">
        <v>6</v>
      </c>
      <c r="J787" s="1"/>
      <c r="M787" t="s">
        <v>15</v>
      </c>
      <c r="N787" t="str">
        <f>IFERROR(VLOOKUP(B787,'[1]All Player'!$B$2:$C$1992,2,0),"")</f>
        <v>SH Shamim</v>
      </c>
      <c r="O787" s="2" t="s">
        <v>511</v>
      </c>
      <c r="P787" s="16" t="s">
        <v>559</v>
      </c>
      <c r="Q787" s="1">
        <f t="shared" si="29"/>
        <v>1</v>
      </c>
      <c r="R787" s="1">
        <v>127</v>
      </c>
      <c r="T787" s="1" t="s">
        <v>659</v>
      </c>
      <c r="U787" s="8">
        <f t="shared" si="30"/>
        <v>42125</v>
      </c>
    </row>
    <row r="788" spans="1:21" x14ac:dyDescent="0.25">
      <c r="A788" s="2">
        <f t="shared" si="27"/>
        <v>14</v>
      </c>
      <c r="B788" t="s">
        <v>376</v>
      </c>
      <c r="C788" s="2">
        <v>3</v>
      </c>
      <c r="D788" s="2">
        <v>45</v>
      </c>
      <c r="E788" s="2">
        <v>0</v>
      </c>
      <c r="F788" s="2">
        <v>3</v>
      </c>
      <c r="G788" s="2">
        <v>0</v>
      </c>
      <c r="H788" s="2">
        <v>2</v>
      </c>
      <c r="I788" s="2">
        <v>1</v>
      </c>
      <c r="J788" s="1"/>
      <c r="M788" t="s">
        <v>15</v>
      </c>
      <c r="N788" t="str">
        <f>IFERROR(VLOOKUP(B788,'[1]All Player'!$B$2:$C$1992,2,0),"")</f>
        <v>Mahrus Hasan Prottoy</v>
      </c>
      <c r="O788" s="2" t="s">
        <v>511</v>
      </c>
      <c r="P788" s="16" t="s">
        <v>559</v>
      </c>
      <c r="Q788" s="1">
        <f t="shared" si="29"/>
        <v>1</v>
      </c>
      <c r="R788" s="1">
        <v>127</v>
      </c>
      <c r="T788" s="1" t="s">
        <v>659</v>
      </c>
      <c r="U788" s="8">
        <f t="shared" si="30"/>
        <v>42125</v>
      </c>
    </row>
    <row r="789" spans="1:21" x14ac:dyDescent="0.25">
      <c r="A789" s="2">
        <f t="shared" si="27"/>
        <v>14</v>
      </c>
      <c r="B789" s="17" t="s">
        <v>838</v>
      </c>
      <c r="J789" s="1"/>
      <c r="M789" t="s">
        <v>15</v>
      </c>
      <c r="N789" t="str">
        <f>IFERROR(VLOOKUP(B789,'[1]All Player'!$B$2:$C$1992,2,0),"")</f>
        <v/>
      </c>
      <c r="O789" s="2" t="s">
        <v>511</v>
      </c>
      <c r="P789" s="16" t="s">
        <v>838</v>
      </c>
      <c r="Q789" s="1">
        <f t="shared" si="29"/>
        <v>1</v>
      </c>
      <c r="R789" s="1">
        <v>128</v>
      </c>
      <c r="U789" s="8">
        <f t="shared" si="30"/>
        <v>42125</v>
      </c>
    </row>
    <row r="790" spans="1:21" x14ac:dyDescent="0.25">
      <c r="A790" s="2">
        <f t="shared" si="27"/>
        <v>14</v>
      </c>
      <c r="B790" t="s">
        <v>104</v>
      </c>
      <c r="C790" s="2">
        <v>7</v>
      </c>
      <c r="D790" s="2">
        <v>160</v>
      </c>
      <c r="E790" s="2">
        <v>12</v>
      </c>
      <c r="F790" s="2">
        <v>12</v>
      </c>
      <c r="G790" s="2">
        <v>2</v>
      </c>
      <c r="H790" s="2">
        <v>15</v>
      </c>
      <c r="I790" s="2">
        <v>10</v>
      </c>
      <c r="J790" s="1"/>
      <c r="M790" t="s">
        <v>15</v>
      </c>
      <c r="N790" t="str">
        <f>IFERROR(VLOOKUP(B790,'[1]All Player'!$B$2:$C$1992,2,0),"")</f>
        <v>Bandhon Podder Pranto</v>
      </c>
      <c r="O790" s="2" t="s">
        <v>511</v>
      </c>
      <c r="P790" s="16" t="s">
        <v>838</v>
      </c>
      <c r="Q790" s="1">
        <f t="shared" si="29"/>
        <v>1</v>
      </c>
      <c r="R790" s="1">
        <v>128</v>
      </c>
      <c r="U790" s="8">
        <f t="shared" si="30"/>
        <v>42125</v>
      </c>
    </row>
    <row r="791" spans="1:21" x14ac:dyDescent="0.25">
      <c r="A791" s="2">
        <f t="shared" si="27"/>
        <v>14</v>
      </c>
      <c r="B791" t="s">
        <v>318</v>
      </c>
      <c r="C791" s="2">
        <v>6</v>
      </c>
      <c r="D791" s="2">
        <v>129</v>
      </c>
      <c r="E791" s="2">
        <v>13</v>
      </c>
      <c r="F791" s="2">
        <v>11</v>
      </c>
      <c r="G791" s="2">
        <v>2</v>
      </c>
      <c r="H791" s="2">
        <v>15</v>
      </c>
      <c r="I791" s="2">
        <v>5</v>
      </c>
      <c r="J791" s="1"/>
      <c r="M791" t="s">
        <v>15</v>
      </c>
      <c r="N791" t="str">
        <f>IFERROR(VLOOKUP(B791,'[1]All Player'!$B$2:$C$1992,2,0),"")</f>
        <v>Mazharul Islam Moon</v>
      </c>
      <c r="O791" s="2" t="s">
        <v>511</v>
      </c>
      <c r="P791" s="16" t="s">
        <v>838</v>
      </c>
      <c r="Q791" s="1">
        <f t="shared" si="29"/>
        <v>1</v>
      </c>
      <c r="R791" s="1">
        <v>128</v>
      </c>
      <c r="U791" s="8">
        <f t="shared" si="30"/>
        <v>42125</v>
      </c>
    </row>
    <row r="792" spans="1:21" x14ac:dyDescent="0.25">
      <c r="A792" s="2">
        <f t="shared" si="27"/>
        <v>14</v>
      </c>
      <c r="B792" t="s">
        <v>193</v>
      </c>
      <c r="C792" s="2">
        <v>5</v>
      </c>
      <c r="D792" s="2">
        <v>67</v>
      </c>
      <c r="E792" s="2">
        <v>9</v>
      </c>
      <c r="F792" s="2">
        <v>8</v>
      </c>
      <c r="G792" s="2">
        <v>0</v>
      </c>
      <c r="H792" s="2">
        <v>5</v>
      </c>
      <c r="I792" s="2">
        <v>5</v>
      </c>
      <c r="J792" s="1"/>
      <c r="M792" t="s">
        <v>15</v>
      </c>
      <c r="N792" t="str">
        <f>IFERROR(VLOOKUP(B792,'[1]All Player'!$B$2:$C$1992,2,0),"")</f>
        <v>Mostafizur Rahman Mithu</v>
      </c>
      <c r="O792" s="2" t="s">
        <v>511</v>
      </c>
      <c r="P792" s="16" t="s">
        <v>838</v>
      </c>
      <c r="Q792" s="1">
        <f t="shared" si="29"/>
        <v>1</v>
      </c>
      <c r="R792" s="1">
        <v>128</v>
      </c>
      <c r="U792" s="8">
        <f t="shared" si="30"/>
        <v>42125</v>
      </c>
    </row>
    <row r="793" spans="1:21" x14ac:dyDescent="0.25">
      <c r="A793" s="2">
        <f t="shared" si="27"/>
        <v>14</v>
      </c>
      <c r="B793" t="s">
        <v>352</v>
      </c>
      <c r="C793" s="2">
        <v>4</v>
      </c>
      <c r="D793" s="2">
        <v>42</v>
      </c>
      <c r="E793" s="2">
        <v>8</v>
      </c>
      <c r="F793" s="2">
        <v>5</v>
      </c>
      <c r="G793" s="2">
        <v>0</v>
      </c>
      <c r="H793" s="2">
        <v>4</v>
      </c>
      <c r="I793" s="2">
        <v>2</v>
      </c>
      <c r="J793" s="1"/>
      <c r="M793" t="s">
        <v>15</v>
      </c>
      <c r="N793" t="str">
        <f>IFERROR(VLOOKUP(B793,'[1]All Player'!$B$2:$C$1992,2,0),"")</f>
        <v>Moksedur RaHman SoHan (Duronto Sohan)</v>
      </c>
      <c r="O793" s="2" t="s">
        <v>511</v>
      </c>
      <c r="P793" s="16" t="s">
        <v>838</v>
      </c>
      <c r="Q793" s="1">
        <f t="shared" si="29"/>
        <v>1</v>
      </c>
      <c r="R793" s="1">
        <v>128</v>
      </c>
      <c r="U793" s="8">
        <f t="shared" si="30"/>
        <v>42125</v>
      </c>
    </row>
    <row r="794" spans="1:21" x14ac:dyDescent="0.25">
      <c r="A794" s="2">
        <f t="shared" si="27"/>
        <v>14</v>
      </c>
      <c r="B794" t="s">
        <v>154</v>
      </c>
      <c r="C794" s="2">
        <v>3</v>
      </c>
      <c r="D794" s="2">
        <v>37</v>
      </c>
      <c r="E794" s="2">
        <v>2</v>
      </c>
      <c r="F794" s="2">
        <v>3</v>
      </c>
      <c r="G794" s="2">
        <v>0</v>
      </c>
      <c r="H794" s="2">
        <v>3</v>
      </c>
      <c r="I794" s="2">
        <v>3</v>
      </c>
      <c r="J794" s="1"/>
      <c r="M794" t="s">
        <v>15</v>
      </c>
      <c r="N794" t="str">
        <f>IFERROR(VLOOKUP(B794,'[1]All Player'!$B$2:$C$1992,2,0),"")</f>
        <v>Meyaz Al Emon</v>
      </c>
      <c r="O794" s="2" t="s">
        <v>511</v>
      </c>
      <c r="P794" s="16" t="s">
        <v>838</v>
      </c>
      <c r="Q794" s="1">
        <f t="shared" si="29"/>
        <v>1</v>
      </c>
      <c r="R794" s="1">
        <v>128</v>
      </c>
      <c r="U794" s="8">
        <f t="shared" si="30"/>
        <v>42125</v>
      </c>
    </row>
    <row r="795" spans="1:21" x14ac:dyDescent="0.25">
      <c r="A795" s="2">
        <f t="shared" si="27"/>
        <v>14</v>
      </c>
      <c r="B795" s="13" t="s">
        <v>839</v>
      </c>
      <c r="J795" s="1"/>
      <c r="M795" t="s">
        <v>15</v>
      </c>
      <c r="N795" t="str">
        <f>IFERROR(VLOOKUP(#REF!,'[1]All Player'!$B$2:$C$1992,2,0),"")</f>
        <v/>
      </c>
      <c r="O795" s="2" t="s">
        <v>511</v>
      </c>
      <c r="P795" s="16" t="s">
        <v>839</v>
      </c>
      <c r="Q795" s="1">
        <f t="shared" si="29"/>
        <v>1</v>
      </c>
      <c r="R795" s="1">
        <v>129</v>
      </c>
      <c r="U795" s="8">
        <f t="shared" si="30"/>
        <v>42125</v>
      </c>
    </row>
    <row r="796" spans="1:21" x14ac:dyDescent="0.25">
      <c r="A796" s="2">
        <v>14</v>
      </c>
      <c r="B796" t="s">
        <v>24</v>
      </c>
      <c r="C796" s="2">
        <v>5</v>
      </c>
      <c r="D796" s="2">
        <v>63</v>
      </c>
      <c r="E796" s="2">
        <v>12</v>
      </c>
      <c r="F796" s="2">
        <v>7</v>
      </c>
      <c r="G796" s="24">
        <v>0</v>
      </c>
      <c r="H796" s="2">
        <v>7</v>
      </c>
      <c r="I796" s="2">
        <v>3</v>
      </c>
      <c r="J796" s="1"/>
      <c r="M796" t="s">
        <v>15</v>
      </c>
      <c r="N796" t="str">
        <f>IFERROR(VLOOKUP(B796,'[1]All Player'!$B$2:$C$1992,2,0),"")</f>
        <v>Nur Muhammad</v>
      </c>
      <c r="O796" s="2" t="s">
        <v>511</v>
      </c>
      <c r="P796" s="16" t="s">
        <v>839</v>
      </c>
      <c r="Q796" s="1">
        <f t="shared" si="29"/>
        <v>1</v>
      </c>
      <c r="R796" s="1">
        <v>129</v>
      </c>
      <c r="U796" s="8">
        <f t="shared" si="30"/>
        <v>42125</v>
      </c>
    </row>
    <row r="797" spans="1:21" x14ac:dyDescent="0.25">
      <c r="A797" s="2">
        <v>14</v>
      </c>
      <c r="B797" t="s">
        <v>120</v>
      </c>
      <c r="C797" s="2">
        <v>6</v>
      </c>
      <c r="D797" s="2">
        <v>108</v>
      </c>
      <c r="E797" s="2">
        <v>6</v>
      </c>
      <c r="F797" s="2">
        <v>8</v>
      </c>
      <c r="G797" s="2">
        <v>0</v>
      </c>
      <c r="H797" s="2">
        <v>6</v>
      </c>
      <c r="I797" s="2">
        <v>5</v>
      </c>
      <c r="J797" s="1"/>
      <c r="M797" t="s">
        <v>15</v>
      </c>
      <c r="N797" t="str">
        <f>IFERROR(VLOOKUP(B797,'[1]All Player'!$B$2:$C$1992,2,0),"")</f>
        <v>Kamrul Hasan Hridoy</v>
      </c>
      <c r="O797" s="2" t="s">
        <v>511</v>
      </c>
      <c r="P797" s="16" t="s">
        <v>839</v>
      </c>
      <c r="Q797" s="1">
        <f t="shared" si="29"/>
        <v>1</v>
      </c>
      <c r="R797" s="1">
        <v>129</v>
      </c>
      <c r="U797" s="8">
        <f t="shared" si="30"/>
        <v>42125</v>
      </c>
    </row>
    <row r="798" spans="1:21" x14ac:dyDescent="0.25">
      <c r="A798" s="2">
        <v>14</v>
      </c>
      <c r="B798" t="s">
        <v>97</v>
      </c>
      <c r="C798" s="2">
        <v>5</v>
      </c>
      <c r="D798" s="2">
        <v>145</v>
      </c>
      <c r="E798" s="2">
        <v>8</v>
      </c>
      <c r="F798" s="2">
        <v>12</v>
      </c>
      <c r="G798" s="2">
        <v>0</v>
      </c>
      <c r="H798" s="2">
        <v>10</v>
      </c>
      <c r="I798" s="2">
        <v>10</v>
      </c>
      <c r="J798" s="1"/>
      <c r="M798" t="s">
        <v>15</v>
      </c>
      <c r="N798" t="str">
        <f>IFERROR(VLOOKUP(B798,'[1]All Player'!$B$2:$C$1992,2,0),"")</f>
        <v>Sanju Pritom</v>
      </c>
      <c r="O798" s="2" t="s">
        <v>511</v>
      </c>
      <c r="P798" s="16" t="s">
        <v>839</v>
      </c>
      <c r="Q798" s="1">
        <f t="shared" si="29"/>
        <v>1</v>
      </c>
      <c r="R798" s="1">
        <v>129</v>
      </c>
      <c r="U798" s="8">
        <f t="shared" si="30"/>
        <v>42125</v>
      </c>
    </row>
    <row r="799" spans="1:21" x14ac:dyDescent="0.25">
      <c r="A799" s="2">
        <v>14</v>
      </c>
      <c r="B799" t="s">
        <v>183</v>
      </c>
      <c r="C799" s="2">
        <v>5</v>
      </c>
      <c r="D799" s="2">
        <v>69</v>
      </c>
      <c r="E799" s="2">
        <v>6</v>
      </c>
      <c r="F799" s="2">
        <v>7</v>
      </c>
      <c r="G799" s="2">
        <v>1</v>
      </c>
      <c r="H799" s="2">
        <v>6</v>
      </c>
      <c r="I799" s="2">
        <v>4</v>
      </c>
      <c r="J799" s="1"/>
      <c r="M799" t="s">
        <v>15</v>
      </c>
      <c r="N799" t="str">
        <f>IFERROR(VLOOKUP(B799,'[1]All Player'!$B$2:$C$1992,2,0),"")</f>
        <v>Red Heart Faisal (Fayze Ahamed)</v>
      </c>
      <c r="O799" s="2" t="s">
        <v>511</v>
      </c>
      <c r="P799" s="16" t="s">
        <v>839</v>
      </c>
      <c r="Q799" s="1">
        <f t="shared" si="29"/>
        <v>1</v>
      </c>
      <c r="R799" s="1">
        <v>129</v>
      </c>
      <c r="U799" s="8">
        <f t="shared" si="30"/>
        <v>42125</v>
      </c>
    </row>
    <row r="800" spans="1:21" x14ac:dyDescent="0.25">
      <c r="A800" s="2">
        <v>14</v>
      </c>
      <c r="B800" t="s">
        <v>219</v>
      </c>
      <c r="C800" s="2">
        <v>3</v>
      </c>
      <c r="D800" s="2">
        <v>8</v>
      </c>
      <c r="E800" s="2">
        <v>2</v>
      </c>
      <c r="F800" s="2">
        <v>4</v>
      </c>
      <c r="G800" s="2">
        <v>0</v>
      </c>
      <c r="H800" s="2">
        <v>0</v>
      </c>
      <c r="I800" s="2">
        <v>1</v>
      </c>
      <c r="J800" s="1"/>
      <c r="M800" t="s">
        <v>15</v>
      </c>
      <c r="N800" t="str">
        <f>IFERROR(VLOOKUP(B800,'[1]All Player'!$B$2:$C$1992,2,0),"")</f>
        <v>Nasir Ahmed Tuhin</v>
      </c>
      <c r="O800" s="2" t="s">
        <v>511</v>
      </c>
      <c r="P800" s="16" t="s">
        <v>839</v>
      </c>
      <c r="Q800" s="1">
        <f t="shared" si="29"/>
        <v>1</v>
      </c>
      <c r="R800" s="1">
        <v>129</v>
      </c>
      <c r="U800" s="8">
        <f t="shared" si="30"/>
        <v>42125</v>
      </c>
    </row>
    <row r="801" spans="1:21" x14ac:dyDescent="0.25">
      <c r="A801" s="2">
        <v>14</v>
      </c>
      <c r="B801" s="13" t="s">
        <v>601</v>
      </c>
      <c r="J801" s="1"/>
      <c r="M801" t="s">
        <v>15</v>
      </c>
      <c r="N801" t="str">
        <f>IFERROR(VLOOKUP(B801,'[1]All Player'!$B$2:$C$1992,2,0),"")</f>
        <v/>
      </c>
      <c r="O801" s="2" t="s">
        <v>511</v>
      </c>
      <c r="P801" s="16" t="s">
        <v>601</v>
      </c>
      <c r="Q801" s="1">
        <f t="shared" si="29"/>
        <v>1</v>
      </c>
      <c r="R801" s="1">
        <v>130</v>
      </c>
      <c r="U801" s="8">
        <f t="shared" si="30"/>
        <v>42125</v>
      </c>
    </row>
    <row r="802" spans="1:21" x14ac:dyDescent="0.25">
      <c r="A802" s="2">
        <v>14</v>
      </c>
      <c r="B802" t="s">
        <v>60</v>
      </c>
      <c r="C802" s="2">
        <v>7</v>
      </c>
      <c r="D802" s="2">
        <v>190</v>
      </c>
      <c r="E802" s="2">
        <v>13</v>
      </c>
      <c r="F802" s="2">
        <v>13</v>
      </c>
      <c r="G802" s="2">
        <v>2</v>
      </c>
      <c r="H802" s="2">
        <v>11</v>
      </c>
      <c r="I802" s="2">
        <v>13</v>
      </c>
      <c r="J802" s="1"/>
      <c r="M802" t="s">
        <v>15</v>
      </c>
      <c r="N802" t="str">
        <f>IFERROR(VLOOKUP(B802,'[1]All Player'!$B$2:$C$1992,2,0),"")</f>
        <v>Jahin Shahriar Chowdhury</v>
      </c>
      <c r="O802" s="2" t="s">
        <v>511</v>
      </c>
      <c r="P802" s="16" t="s">
        <v>601</v>
      </c>
      <c r="Q802" s="1">
        <f t="shared" si="29"/>
        <v>1</v>
      </c>
      <c r="R802" s="1">
        <v>130</v>
      </c>
      <c r="U802" s="8">
        <f t="shared" si="30"/>
        <v>42125</v>
      </c>
    </row>
    <row r="803" spans="1:21" x14ac:dyDescent="0.25">
      <c r="A803" s="2">
        <v>14</v>
      </c>
      <c r="B803" t="s">
        <v>99</v>
      </c>
      <c r="C803" s="2">
        <v>7</v>
      </c>
      <c r="D803" s="2">
        <v>63</v>
      </c>
      <c r="E803" s="2">
        <v>9</v>
      </c>
      <c r="F803" s="2">
        <v>9</v>
      </c>
      <c r="G803" s="2">
        <v>1</v>
      </c>
      <c r="H803" s="2">
        <v>9</v>
      </c>
      <c r="I803" s="2">
        <v>2</v>
      </c>
      <c r="J803" s="1"/>
      <c r="M803" t="s">
        <v>15</v>
      </c>
      <c r="N803" t="str">
        <f>IFERROR(VLOOKUP(B803,'[1]All Player'!$B$2:$C$1992,2,0),"")</f>
        <v>Bishwajit Sarkar</v>
      </c>
      <c r="O803" s="2" t="s">
        <v>511</v>
      </c>
      <c r="P803" s="16" t="s">
        <v>601</v>
      </c>
      <c r="Q803" s="1">
        <f t="shared" si="29"/>
        <v>1</v>
      </c>
      <c r="R803" s="1">
        <v>130</v>
      </c>
      <c r="U803" s="8">
        <f t="shared" si="30"/>
        <v>42125</v>
      </c>
    </row>
    <row r="804" spans="1:21" x14ac:dyDescent="0.25">
      <c r="A804" s="2">
        <v>14</v>
      </c>
      <c r="B804" t="s">
        <v>239</v>
      </c>
      <c r="C804" s="2">
        <v>6</v>
      </c>
      <c r="D804" s="2">
        <v>87</v>
      </c>
      <c r="E804" s="2">
        <v>6</v>
      </c>
      <c r="F804" s="2">
        <v>7</v>
      </c>
      <c r="G804" s="2">
        <v>0</v>
      </c>
      <c r="H804" s="2">
        <v>4</v>
      </c>
      <c r="I804" s="2">
        <v>11</v>
      </c>
      <c r="J804" s="1"/>
      <c r="M804" t="s">
        <v>15</v>
      </c>
      <c r="N804" t="str">
        <f>IFERROR(VLOOKUP(B804,'[1]All Player'!$B$2:$C$1992,2,0),"")</f>
        <v>GM Manik</v>
      </c>
      <c r="O804" s="2" t="s">
        <v>511</v>
      </c>
      <c r="P804" s="16" t="s">
        <v>601</v>
      </c>
      <c r="Q804" s="1">
        <f t="shared" si="29"/>
        <v>1</v>
      </c>
      <c r="R804" s="1">
        <v>130</v>
      </c>
      <c r="U804" s="8">
        <f t="shared" si="30"/>
        <v>42125</v>
      </c>
    </row>
    <row r="805" spans="1:21" x14ac:dyDescent="0.25">
      <c r="A805" s="2">
        <v>14</v>
      </c>
      <c r="B805" t="s">
        <v>840</v>
      </c>
      <c r="C805" s="2">
        <v>5</v>
      </c>
      <c r="D805" s="2">
        <v>64</v>
      </c>
      <c r="E805" s="2">
        <v>3</v>
      </c>
      <c r="F805" s="2">
        <v>8</v>
      </c>
      <c r="G805" s="2">
        <v>0</v>
      </c>
      <c r="H805" s="2">
        <v>2</v>
      </c>
      <c r="I805" s="2">
        <v>4</v>
      </c>
      <c r="J805" s="1"/>
      <c r="M805" t="s">
        <v>15</v>
      </c>
      <c r="N805" t="str">
        <f>IFERROR(VLOOKUP(B805,'[1]All Player'!$B$2:$C$1992,2,0),"")</f>
        <v>Tafshir Takib</v>
      </c>
      <c r="O805" s="2" t="s">
        <v>511</v>
      </c>
      <c r="P805" s="16" t="s">
        <v>601</v>
      </c>
      <c r="Q805" s="1">
        <f t="shared" si="29"/>
        <v>1</v>
      </c>
      <c r="R805" s="1">
        <v>130</v>
      </c>
      <c r="U805" s="8">
        <f t="shared" si="30"/>
        <v>42125</v>
      </c>
    </row>
    <row r="806" spans="1:21" x14ac:dyDescent="0.25">
      <c r="A806" s="2">
        <v>14</v>
      </c>
      <c r="B806" t="s">
        <v>52</v>
      </c>
      <c r="C806" s="2">
        <v>7</v>
      </c>
      <c r="D806" s="2">
        <v>30</v>
      </c>
      <c r="E806" s="2">
        <v>9</v>
      </c>
      <c r="F806" s="2">
        <v>6</v>
      </c>
      <c r="G806" s="2">
        <v>0</v>
      </c>
      <c r="H806" s="2">
        <v>1</v>
      </c>
      <c r="I806" s="2">
        <v>1</v>
      </c>
      <c r="J806" s="1"/>
      <c r="M806" t="s">
        <v>15</v>
      </c>
      <c r="N806" t="str">
        <f>IFERROR(VLOOKUP(B806,'[1]All Player'!$B$2:$C$1992,2,0),"")</f>
        <v>Mohammed Al Mamun</v>
      </c>
      <c r="O806" s="2" t="s">
        <v>511</v>
      </c>
      <c r="P806" s="16" t="s">
        <v>601</v>
      </c>
      <c r="Q806" s="1">
        <f t="shared" si="29"/>
        <v>1</v>
      </c>
      <c r="R806" s="1">
        <v>130</v>
      </c>
      <c r="U806" s="8">
        <f t="shared" si="30"/>
        <v>42125</v>
      </c>
    </row>
    <row r="807" spans="1:21" x14ac:dyDescent="0.25">
      <c r="A807" s="2">
        <v>14</v>
      </c>
      <c r="B807" s="17" t="s">
        <v>841</v>
      </c>
      <c r="J807" s="1"/>
      <c r="M807" t="s">
        <v>15</v>
      </c>
      <c r="N807" t="str">
        <f>IFERROR(VLOOKUP(B807,'[1]All Player'!$B$2:$C$1992,2,0),"")</f>
        <v/>
      </c>
      <c r="O807" s="2" t="s">
        <v>511</v>
      </c>
      <c r="P807" s="16" t="s">
        <v>841</v>
      </c>
      <c r="Q807" s="1">
        <f t="shared" si="29"/>
        <v>1</v>
      </c>
      <c r="R807" s="1">
        <v>131</v>
      </c>
      <c r="U807" s="8">
        <f t="shared" si="30"/>
        <v>42125</v>
      </c>
    </row>
    <row r="808" spans="1:21" x14ac:dyDescent="0.25">
      <c r="A808" s="2">
        <v>14</v>
      </c>
      <c r="B808" t="s">
        <v>152</v>
      </c>
      <c r="C808" s="2">
        <v>6</v>
      </c>
      <c r="D808" s="2">
        <v>149</v>
      </c>
      <c r="E808" s="2">
        <v>7</v>
      </c>
      <c r="F808" s="2">
        <v>9</v>
      </c>
      <c r="G808" s="2">
        <v>1</v>
      </c>
      <c r="H808" s="2">
        <v>9</v>
      </c>
      <c r="I808" s="2">
        <v>10</v>
      </c>
      <c r="J808" s="1"/>
      <c r="M808" t="s">
        <v>15</v>
      </c>
      <c r="N808" t="str">
        <f>IFERROR(VLOOKUP(B808,'[1]All Player'!$B$2:$C$1992,2,0),"")</f>
        <v>Niamul Habib Setu</v>
      </c>
      <c r="O808" s="2" t="s">
        <v>511</v>
      </c>
      <c r="P808" s="16" t="s">
        <v>841</v>
      </c>
      <c r="Q808" s="1">
        <f t="shared" si="29"/>
        <v>1</v>
      </c>
      <c r="R808" s="1">
        <v>131</v>
      </c>
      <c r="U808" s="8">
        <f t="shared" si="30"/>
        <v>42125</v>
      </c>
    </row>
    <row r="809" spans="1:21" x14ac:dyDescent="0.25">
      <c r="A809" s="2">
        <v>14</v>
      </c>
      <c r="B809" t="s">
        <v>296</v>
      </c>
      <c r="C809" s="2">
        <v>6</v>
      </c>
      <c r="D809" s="2">
        <v>132</v>
      </c>
      <c r="E809" s="2">
        <v>7</v>
      </c>
      <c r="F809" s="2">
        <v>8</v>
      </c>
      <c r="G809" s="2">
        <v>0</v>
      </c>
      <c r="H809" s="2">
        <v>13</v>
      </c>
      <c r="I809" s="2">
        <v>12</v>
      </c>
      <c r="J809" s="1"/>
      <c r="M809" t="s">
        <v>15</v>
      </c>
      <c r="N809" t="str">
        <f>IFERROR(VLOOKUP(B809,'[1]All Player'!$B$2:$C$1992,2,0),"")</f>
        <v>Zi Zohir</v>
      </c>
      <c r="O809" s="2" t="s">
        <v>511</v>
      </c>
      <c r="P809" s="16" t="s">
        <v>841</v>
      </c>
      <c r="Q809" s="1">
        <f t="shared" si="29"/>
        <v>1</v>
      </c>
      <c r="R809" s="1">
        <v>131</v>
      </c>
      <c r="U809" s="8">
        <f t="shared" si="30"/>
        <v>42125</v>
      </c>
    </row>
    <row r="810" spans="1:21" x14ac:dyDescent="0.25">
      <c r="A810" s="2">
        <v>14</v>
      </c>
      <c r="B810" t="s">
        <v>116</v>
      </c>
      <c r="C810" s="2">
        <v>6</v>
      </c>
      <c r="D810" s="2">
        <v>73</v>
      </c>
      <c r="E810" s="2">
        <v>9</v>
      </c>
      <c r="F810" s="2">
        <v>11</v>
      </c>
      <c r="G810" s="2">
        <v>1</v>
      </c>
      <c r="H810" s="2">
        <v>10</v>
      </c>
      <c r="I810" s="2">
        <v>3</v>
      </c>
      <c r="J810" s="1"/>
      <c r="M810" t="s">
        <v>15</v>
      </c>
      <c r="N810" t="str">
        <f>IFERROR(VLOOKUP(B810,'[1]All Player'!$B$2:$C$1992,2,0),"")</f>
        <v>Ahammed Ariful Haq</v>
      </c>
      <c r="O810" s="2" t="s">
        <v>511</v>
      </c>
      <c r="P810" s="16" t="s">
        <v>841</v>
      </c>
      <c r="Q810" s="1">
        <f t="shared" si="29"/>
        <v>1</v>
      </c>
      <c r="R810" s="1">
        <v>131</v>
      </c>
      <c r="U810" s="8">
        <f t="shared" si="30"/>
        <v>42125</v>
      </c>
    </row>
    <row r="811" spans="1:21" x14ac:dyDescent="0.25">
      <c r="A811" s="2">
        <v>14</v>
      </c>
      <c r="B811" t="s">
        <v>842</v>
      </c>
      <c r="C811" s="2">
        <v>6</v>
      </c>
      <c r="D811" s="2">
        <v>52</v>
      </c>
      <c r="E811" s="2">
        <v>7</v>
      </c>
      <c r="F811" s="2">
        <v>10</v>
      </c>
      <c r="G811" s="2">
        <v>0</v>
      </c>
      <c r="H811" s="2">
        <v>3</v>
      </c>
      <c r="I811" s="2">
        <v>1</v>
      </c>
      <c r="J811" s="1"/>
      <c r="M811" t="s">
        <v>15</v>
      </c>
      <c r="N811" t="str">
        <f>IFERROR(VLOOKUP(B811,'[1]All Player'!$B$2:$C$1992,2,0),"")</f>
        <v>Saiful NayEem</v>
      </c>
      <c r="O811" s="2" t="s">
        <v>511</v>
      </c>
      <c r="P811" s="16" t="s">
        <v>841</v>
      </c>
      <c r="Q811" s="1">
        <f t="shared" si="29"/>
        <v>1</v>
      </c>
      <c r="R811" s="1">
        <v>131</v>
      </c>
      <c r="U811" s="8">
        <f t="shared" si="30"/>
        <v>42125</v>
      </c>
    </row>
    <row r="812" spans="1:21" x14ac:dyDescent="0.25">
      <c r="A812" s="2">
        <v>14</v>
      </c>
      <c r="B812" t="s">
        <v>282</v>
      </c>
      <c r="C812" s="2">
        <v>3</v>
      </c>
      <c r="D812" s="2">
        <v>37</v>
      </c>
      <c r="E812" s="2">
        <v>2</v>
      </c>
      <c r="F812" s="2">
        <v>4</v>
      </c>
      <c r="G812" s="2">
        <v>0</v>
      </c>
      <c r="H812" s="2">
        <v>1</v>
      </c>
      <c r="I812" s="2">
        <v>3</v>
      </c>
      <c r="J812" s="1"/>
      <c r="M812" t="s">
        <v>15</v>
      </c>
      <c r="N812" t="str">
        <f>IFERROR(VLOOKUP(B812,'[1]All Player'!$B$2:$C$1992,2,0),"")</f>
        <v>Mohammad Asif</v>
      </c>
      <c r="O812" s="2" t="s">
        <v>511</v>
      </c>
      <c r="P812" s="16" t="s">
        <v>841</v>
      </c>
      <c r="Q812" s="1">
        <f t="shared" si="29"/>
        <v>1</v>
      </c>
      <c r="R812" s="1">
        <v>131</v>
      </c>
      <c r="U812" s="8">
        <f t="shared" si="30"/>
        <v>42125</v>
      </c>
    </row>
    <row r="813" spans="1:21" x14ac:dyDescent="0.25">
      <c r="A813" s="2">
        <v>14</v>
      </c>
      <c r="B813" s="17" t="s">
        <v>843</v>
      </c>
      <c r="J813" s="1"/>
      <c r="M813" t="s">
        <v>15</v>
      </c>
      <c r="N813" t="str">
        <f>IFERROR(VLOOKUP(B813,'[1]All Player'!$B$2:$C$1992,2,0),"")</f>
        <v/>
      </c>
      <c r="O813" s="2" t="s">
        <v>511</v>
      </c>
      <c r="P813" s="16" t="s">
        <v>843</v>
      </c>
      <c r="Q813" s="1">
        <f t="shared" si="29"/>
        <v>1</v>
      </c>
      <c r="R813" s="1">
        <v>132</v>
      </c>
      <c r="U813" s="8">
        <f t="shared" si="30"/>
        <v>42125</v>
      </c>
    </row>
    <row r="814" spans="1:21" x14ac:dyDescent="0.25">
      <c r="A814" s="2">
        <v>14</v>
      </c>
      <c r="B814" t="s">
        <v>62</v>
      </c>
      <c r="C814" s="2">
        <v>6</v>
      </c>
      <c r="D814" s="2">
        <v>76</v>
      </c>
      <c r="E814" s="2">
        <v>8</v>
      </c>
      <c r="F814" s="2">
        <v>8</v>
      </c>
      <c r="G814" s="2">
        <v>0</v>
      </c>
      <c r="H814" s="2">
        <v>12</v>
      </c>
      <c r="I814" s="2">
        <v>3</v>
      </c>
      <c r="J814" s="1"/>
      <c r="M814" t="s">
        <v>15</v>
      </c>
      <c r="N814" t="str">
        <f>IFERROR(VLOOKUP(B814,'[1]All Player'!$B$2:$C$1992,2,0),"")</f>
        <v>MD Tofayel Ahmed</v>
      </c>
      <c r="O814" s="2" t="s">
        <v>511</v>
      </c>
      <c r="P814" s="16" t="s">
        <v>843</v>
      </c>
      <c r="Q814" s="1">
        <f t="shared" si="29"/>
        <v>1</v>
      </c>
      <c r="R814" s="1">
        <v>132</v>
      </c>
      <c r="U814" s="8">
        <f t="shared" si="30"/>
        <v>42125</v>
      </c>
    </row>
    <row r="815" spans="1:21" x14ac:dyDescent="0.25">
      <c r="A815" s="2">
        <v>14</v>
      </c>
      <c r="B815" t="s">
        <v>46</v>
      </c>
      <c r="C815" s="2">
        <v>6</v>
      </c>
      <c r="D815" s="2">
        <v>141</v>
      </c>
      <c r="E815" s="2">
        <v>7</v>
      </c>
      <c r="F815" s="2">
        <v>13</v>
      </c>
      <c r="G815" s="2">
        <v>2</v>
      </c>
      <c r="H815" s="2">
        <v>14</v>
      </c>
      <c r="I815" s="2">
        <v>5</v>
      </c>
      <c r="J815" s="1"/>
      <c r="M815" t="s">
        <v>15</v>
      </c>
      <c r="N815" t="str">
        <f>IFERROR(VLOOKUP(B815,'[1]All Player'!$B$2:$C$1992,2,0),"")</f>
        <v>Roman mahamud Arko</v>
      </c>
      <c r="O815" s="2" t="s">
        <v>511</v>
      </c>
      <c r="P815" s="16" t="s">
        <v>843</v>
      </c>
      <c r="Q815" s="1">
        <f t="shared" si="29"/>
        <v>1</v>
      </c>
      <c r="R815" s="1">
        <v>132</v>
      </c>
      <c r="U815" s="8">
        <f t="shared" si="30"/>
        <v>42125</v>
      </c>
    </row>
    <row r="816" spans="1:21" x14ac:dyDescent="0.25">
      <c r="A816" s="2">
        <v>14</v>
      </c>
      <c r="B816" t="s">
        <v>380</v>
      </c>
      <c r="C816" s="2">
        <v>5</v>
      </c>
      <c r="D816" s="2">
        <v>95</v>
      </c>
      <c r="E816" s="2">
        <v>5</v>
      </c>
      <c r="F816" s="2">
        <v>6</v>
      </c>
      <c r="G816" s="2">
        <v>0</v>
      </c>
      <c r="H816" s="2">
        <v>7</v>
      </c>
      <c r="I816" s="2">
        <v>8</v>
      </c>
      <c r="J816" s="1"/>
      <c r="M816" t="s">
        <v>15</v>
      </c>
      <c r="N816" t="str">
        <f>IFERROR(VLOOKUP(B816,'[1]All Player'!$B$2:$C$1992,2,0),"")</f>
        <v>Mridul Haque</v>
      </c>
      <c r="O816" s="2" t="s">
        <v>511</v>
      </c>
      <c r="P816" s="16" t="s">
        <v>843</v>
      </c>
      <c r="Q816" s="1">
        <f t="shared" si="29"/>
        <v>1</v>
      </c>
      <c r="R816" s="1">
        <v>132</v>
      </c>
      <c r="U816" s="8">
        <f t="shared" si="30"/>
        <v>42125</v>
      </c>
    </row>
    <row r="817" spans="1:23" x14ac:dyDescent="0.25">
      <c r="A817" s="2">
        <v>14</v>
      </c>
      <c r="B817" t="s">
        <v>146</v>
      </c>
      <c r="C817" s="2">
        <v>6</v>
      </c>
      <c r="D817" s="2">
        <v>92</v>
      </c>
      <c r="E817" s="2">
        <v>7</v>
      </c>
      <c r="F817" s="2">
        <v>11</v>
      </c>
      <c r="G817" s="2">
        <v>0</v>
      </c>
      <c r="H817" s="2">
        <v>6</v>
      </c>
      <c r="I817" s="2">
        <v>6</v>
      </c>
      <c r="J817" s="1"/>
      <c r="M817" t="s">
        <v>15</v>
      </c>
      <c r="N817" t="str">
        <f>IFERROR(VLOOKUP(B817,'[1]All Player'!$B$2:$C$1992,2,0),"")</f>
        <v>Nahid Saifullah</v>
      </c>
      <c r="O817" s="2" t="s">
        <v>511</v>
      </c>
      <c r="P817" s="16" t="s">
        <v>843</v>
      </c>
      <c r="Q817" s="1">
        <f t="shared" si="29"/>
        <v>1</v>
      </c>
      <c r="R817" s="1">
        <v>132</v>
      </c>
      <c r="U817" s="8">
        <f t="shared" si="30"/>
        <v>42125</v>
      </c>
    </row>
    <row r="818" spans="1:23" x14ac:dyDescent="0.25">
      <c r="A818" s="2">
        <v>14</v>
      </c>
      <c r="B818" t="s">
        <v>191</v>
      </c>
      <c r="C818" s="2">
        <v>5</v>
      </c>
      <c r="D818" s="2">
        <v>16</v>
      </c>
      <c r="E818" s="2">
        <v>3</v>
      </c>
      <c r="F818" s="2">
        <v>1</v>
      </c>
      <c r="G818" s="2">
        <v>0</v>
      </c>
      <c r="H818" s="2">
        <v>2</v>
      </c>
      <c r="I818" s="2">
        <v>1</v>
      </c>
      <c r="J818" s="1"/>
      <c r="M818" t="s">
        <v>15</v>
      </c>
      <c r="N818" t="str">
        <f>IFERROR(VLOOKUP(B818,'[1]All Player'!$B$2:$C$1992,2,0),"")</f>
        <v>Mohammad Haris Mullah</v>
      </c>
      <c r="O818" s="2" t="s">
        <v>511</v>
      </c>
      <c r="P818" s="16" t="s">
        <v>843</v>
      </c>
      <c r="Q818" s="1">
        <f t="shared" si="29"/>
        <v>1</v>
      </c>
      <c r="R818" s="1">
        <v>132</v>
      </c>
      <c r="U818" s="8">
        <f t="shared" si="30"/>
        <v>42125</v>
      </c>
    </row>
    <row r="819" spans="1:23" x14ac:dyDescent="0.25">
      <c r="A819" s="2">
        <v>14</v>
      </c>
      <c r="B819" t="s">
        <v>533</v>
      </c>
      <c r="J819" s="1"/>
      <c r="M819" t="s">
        <v>15</v>
      </c>
      <c r="N819" t="str">
        <f>IFERROR(VLOOKUP(B819,'[1]All Player'!$B$2:$C$1992,2,0),"")</f>
        <v/>
      </c>
      <c r="O819" s="2" t="s">
        <v>511</v>
      </c>
      <c r="P819" s="16" t="s">
        <v>533</v>
      </c>
      <c r="Q819" s="1">
        <f t="shared" si="29"/>
        <v>1</v>
      </c>
      <c r="R819" s="1">
        <v>133</v>
      </c>
      <c r="U819" s="8">
        <f t="shared" si="30"/>
        <v>42125</v>
      </c>
    </row>
    <row r="820" spans="1:23" x14ac:dyDescent="0.25">
      <c r="A820" s="2">
        <v>14</v>
      </c>
      <c r="B820" t="s">
        <v>106</v>
      </c>
      <c r="C820" s="2">
        <v>6</v>
      </c>
      <c r="D820" s="2">
        <v>76</v>
      </c>
      <c r="E820" s="2">
        <v>14</v>
      </c>
      <c r="F820" s="2">
        <v>9</v>
      </c>
      <c r="G820" s="2">
        <v>1</v>
      </c>
      <c r="H820" s="2">
        <v>3</v>
      </c>
      <c r="I820" s="2">
        <v>5</v>
      </c>
      <c r="J820" s="1"/>
      <c r="M820" t="s">
        <v>15</v>
      </c>
      <c r="N820" t="str">
        <f>IFERROR(VLOOKUP(B820,'[1]All Player'!$B$2:$C$1992,2,0),"")</f>
        <v>Sayed Anowar Shanto</v>
      </c>
      <c r="O820" s="2" t="s">
        <v>511</v>
      </c>
      <c r="P820" s="16" t="s">
        <v>533</v>
      </c>
      <c r="Q820" s="1">
        <f t="shared" si="29"/>
        <v>1</v>
      </c>
      <c r="R820" s="1">
        <v>133</v>
      </c>
      <c r="U820" s="8">
        <f t="shared" si="30"/>
        <v>42125</v>
      </c>
    </row>
    <row r="821" spans="1:23" x14ac:dyDescent="0.25">
      <c r="A821" s="2">
        <v>14</v>
      </c>
      <c r="B821" t="s">
        <v>171</v>
      </c>
      <c r="C821" s="2">
        <v>6</v>
      </c>
      <c r="D821" s="2">
        <v>123</v>
      </c>
      <c r="E821" s="2">
        <v>13</v>
      </c>
      <c r="F821" s="2">
        <v>6</v>
      </c>
      <c r="G821" s="2">
        <v>0</v>
      </c>
      <c r="H821" s="2">
        <v>12</v>
      </c>
      <c r="I821" s="2">
        <v>7</v>
      </c>
      <c r="J821" s="1"/>
      <c r="M821" t="s">
        <v>15</v>
      </c>
      <c r="N821" t="str">
        <f>IFERROR(VLOOKUP(B821,'[1]All Player'!$B$2:$C$1992,2,0),"")</f>
        <v>Md. Ruhin</v>
      </c>
      <c r="O821" s="2" t="s">
        <v>511</v>
      </c>
      <c r="P821" s="16" t="s">
        <v>533</v>
      </c>
      <c r="Q821" s="1">
        <f t="shared" si="29"/>
        <v>1</v>
      </c>
      <c r="R821" s="1">
        <v>133</v>
      </c>
      <c r="U821" s="8">
        <f t="shared" si="30"/>
        <v>42125</v>
      </c>
    </row>
    <row r="822" spans="1:23" x14ac:dyDescent="0.25">
      <c r="A822" s="2">
        <v>14</v>
      </c>
      <c r="B822" t="s">
        <v>156</v>
      </c>
      <c r="C822" s="2">
        <v>6</v>
      </c>
      <c r="D822" s="2">
        <v>156</v>
      </c>
      <c r="E822" s="2">
        <v>2</v>
      </c>
      <c r="F822" s="2">
        <v>10</v>
      </c>
      <c r="G822" s="2">
        <v>1</v>
      </c>
      <c r="H822" s="2">
        <v>6</v>
      </c>
      <c r="I822" s="2">
        <v>12</v>
      </c>
      <c r="J822" s="1"/>
      <c r="M822" t="s">
        <v>15</v>
      </c>
      <c r="N822" t="str">
        <f>IFERROR(VLOOKUP(B822,'[1]All Player'!$B$2:$C$1992,2,0),"")</f>
        <v>Prince Tarek</v>
      </c>
      <c r="O822" s="2" t="s">
        <v>511</v>
      </c>
      <c r="P822" s="16" t="s">
        <v>533</v>
      </c>
      <c r="Q822" s="1">
        <f t="shared" si="29"/>
        <v>1</v>
      </c>
      <c r="R822" s="1">
        <v>133</v>
      </c>
      <c r="U822" s="8">
        <f t="shared" si="30"/>
        <v>42125</v>
      </c>
    </row>
    <row r="823" spans="1:23" x14ac:dyDescent="0.25">
      <c r="A823" s="2">
        <v>14</v>
      </c>
      <c r="B823" t="s">
        <v>167</v>
      </c>
      <c r="C823" s="2">
        <v>5</v>
      </c>
      <c r="D823" s="2">
        <v>35</v>
      </c>
      <c r="E823" s="2">
        <v>2</v>
      </c>
      <c r="F823" s="2">
        <v>5</v>
      </c>
      <c r="G823" s="2">
        <v>0</v>
      </c>
      <c r="H823" s="2">
        <v>2</v>
      </c>
      <c r="I823" s="2">
        <v>1</v>
      </c>
      <c r="J823" s="1"/>
      <c r="M823" t="s">
        <v>15</v>
      </c>
      <c r="N823" t="str">
        <f>IFERROR(VLOOKUP(B823,'[1]All Player'!$B$2:$C$1992,2,0),"")</f>
        <v>Sakif Rahaman</v>
      </c>
      <c r="O823" s="2" t="s">
        <v>511</v>
      </c>
      <c r="P823" s="16" t="s">
        <v>533</v>
      </c>
      <c r="Q823" s="1">
        <f t="shared" si="29"/>
        <v>1</v>
      </c>
      <c r="R823" s="1">
        <v>133</v>
      </c>
      <c r="U823" s="8">
        <f t="shared" si="30"/>
        <v>42125</v>
      </c>
    </row>
    <row r="824" spans="1:23" x14ac:dyDescent="0.25">
      <c r="A824" s="2">
        <v>14</v>
      </c>
      <c r="B824" t="s">
        <v>128</v>
      </c>
      <c r="C824" s="2">
        <v>5</v>
      </c>
      <c r="D824" s="2">
        <v>36</v>
      </c>
      <c r="E824" s="2">
        <v>1</v>
      </c>
      <c r="F824" s="2">
        <v>5</v>
      </c>
      <c r="G824" s="2">
        <v>0</v>
      </c>
      <c r="H824" s="2">
        <v>1</v>
      </c>
      <c r="I824" s="2">
        <v>4</v>
      </c>
      <c r="J824" s="1"/>
      <c r="M824" t="s">
        <v>15</v>
      </c>
      <c r="N824" t="str">
        <f>IFERROR(VLOOKUP(B824,'[1]All Player'!$B$2:$C$1992,2,0),"")</f>
        <v>Monsur Rahman</v>
      </c>
      <c r="O824" s="2" t="s">
        <v>511</v>
      </c>
      <c r="P824" s="16" t="s">
        <v>533</v>
      </c>
      <c r="Q824" s="1">
        <f t="shared" si="29"/>
        <v>1</v>
      </c>
      <c r="R824" s="1">
        <v>133</v>
      </c>
      <c r="U824" s="8">
        <f t="shared" si="30"/>
        <v>42125</v>
      </c>
    </row>
    <row r="825" spans="1:23" x14ac:dyDescent="0.25">
      <c r="A825" s="2">
        <v>14</v>
      </c>
      <c r="B825" s="17" t="s">
        <v>844</v>
      </c>
      <c r="J825" s="1"/>
      <c r="M825" t="s">
        <v>15</v>
      </c>
      <c r="N825" t="str">
        <f>IFERROR(VLOOKUP(B825,'[1]All Player'!$B$2:$C$1992,2,0),"")</f>
        <v/>
      </c>
      <c r="O825" s="2" t="s">
        <v>511</v>
      </c>
      <c r="P825" s="16" t="s">
        <v>844</v>
      </c>
      <c r="Q825" s="1">
        <f t="shared" si="29"/>
        <v>1</v>
      </c>
      <c r="R825" s="1">
        <v>134</v>
      </c>
      <c r="U825" s="8">
        <f t="shared" si="30"/>
        <v>42125</v>
      </c>
    </row>
    <row r="826" spans="1:23" x14ac:dyDescent="0.25">
      <c r="A826" s="2">
        <v>14</v>
      </c>
      <c r="B826" t="s">
        <v>95</v>
      </c>
      <c r="C826" s="2">
        <v>6</v>
      </c>
      <c r="D826" s="2">
        <v>38</v>
      </c>
      <c r="E826" s="2">
        <v>7</v>
      </c>
      <c r="F826" s="2">
        <v>6</v>
      </c>
      <c r="G826" s="2">
        <v>0</v>
      </c>
      <c r="H826" s="2">
        <v>1</v>
      </c>
      <c r="I826" s="2">
        <v>3</v>
      </c>
      <c r="J826" s="1"/>
      <c r="M826" t="s">
        <v>15</v>
      </c>
      <c r="N826" t="str">
        <f>IFERROR(VLOOKUP(B826,'[1]All Player'!$B$2:$C$1992,2,0),"")</f>
        <v>Sadrul Anam</v>
      </c>
      <c r="O826" s="26" t="s">
        <v>511</v>
      </c>
      <c r="P826" s="16" t="s">
        <v>844</v>
      </c>
      <c r="Q826" s="1">
        <f t="shared" si="29"/>
        <v>1</v>
      </c>
      <c r="R826" s="1">
        <v>134</v>
      </c>
      <c r="U826" s="8">
        <f t="shared" si="30"/>
        <v>42125</v>
      </c>
    </row>
    <row r="827" spans="1:23" x14ac:dyDescent="0.25">
      <c r="A827" s="2">
        <v>14</v>
      </c>
      <c r="B827" t="s">
        <v>228</v>
      </c>
      <c r="C827" s="2">
        <v>6</v>
      </c>
      <c r="D827" s="2">
        <v>154</v>
      </c>
      <c r="E827" s="24">
        <v>2</v>
      </c>
      <c r="F827" s="2">
        <v>7</v>
      </c>
      <c r="G827" s="2">
        <v>0</v>
      </c>
      <c r="H827" s="2">
        <v>15</v>
      </c>
      <c r="I827" s="2">
        <v>8</v>
      </c>
      <c r="J827" s="1"/>
      <c r="M827" t="s">
        <v>15</v>
      </c>
      <c r="N827" t="str">
        <f>IFERROR(VLOOKUP(B827,'[1]All Player'!$B$2:$C$1992,2,0),"")</f>
        <v>Arif Ziad</v>
      </c>
      <c r="O827" s="2" t="s">
        <v>511</v>
      </c>
      <c r="P827" s="16" t="s">
        <v>844</v>
      </c>
      <c r="Q827" s="1">
        <f t="shared" si="29"/>
        <v>1</v>
      </c>
      <c r="R827" s="1">
        <v>134</v>
      </c>
      <c r="U827" s="8">
        <f t="shared" si="30"/>
        <v>42125</v>
      </c>
    </row>
    <row r="828" spans="1:23" x14ac:dyDescent="0.25">
      <c r="A828" s="2">
        <v>14</v>
      </c>
      <c r="B828" t="s">
        <v>29</v>
      </c>
      <c r="C828" s="2">
        <v>6</v>
      </c>
      <c r="D828" s="2">
        <v>102</v>
      </c>
      <c r="E828" s="2">
        <v>3</v>
      </c>
      <c r="F828" s="2">
        <v>10</v>
      </c>
      <c r="G828" s="2">
        <v>0</v>
      </c>
      <c r="H828" s="2">
        <v>9</v>
      </c>
      <c r="I828" s="2">
        <v>4</v>
      </c>
      <c r="J828" s="1"/>
      <c r="M828" t="s">
        <v>15</v>
      </c>
      <c r="N828" t="str">
        <f>IFERROR(VLOOKUP(B828,'[1]All Player'!$B$2:$C$1992,2,0),"")</f>
        <v>Foysal Ahmed Jumon</v>
      </c>
      <c r="O828" s="2" t="s">
        <v>511</v>
      </c>
      <c r="P828" s="16" t="s">
        <v>844</v>
      </c>
      <c r="Q828" s="1">
        <f t="shared" si="29"/>
        <v>1</v>
      </c>
      <c r="R828" s="1">
        <v>134</v>
      </c>
      <c r="U828" s="8">
        <f t="shared" si="30"/>
        <v>42125</v>
      </c>
    </row>
    <row r="829" spans="1:23" x14ac:dyDescent="0.25">
      <c r="A829" s="2">
        <v>14</v>
      </c>
      <c r="B829" t="s">
        <v>138</v>
      </c>
      <c r="C829" s="2">
        <v>6</v>
      </c>
      <c r="D829" s="2">
        <v>83</v>
      </c>
      <c r="E829" s="2">
        <v>8</v>
      </c>
      <c r="F829" s="2">
        <v>10</v>
      </c>
      <c r="G829" s="2">
        <v>0</v>
      </c>
      <c r="H829" s="2">
        <v>4</v>
      </c>
      <c r="I829" s="2">
        <v>7</v>
      </c>
      <c r="J829" s="1"/>
      <c r="M829" t="s">
        <v>15</v>
      </c>
      <c r="N829" t="str">
        <f>IFERROR(VLOOKUP(B829,'[1]All Player'!$B$2:$C$1992,2,0),"")</f>
        <v>Asif Iqbal Khan</v>
      </c>
      <c r="O829" s="2" t="s">
        <v>511</v>
      </c>
      <c r="P829" s="16" t="s">
        <v>844</v>
      </c>
      <c r="Q829" s="1">
        <f t="shared" si="29"/>
        <v>1</v>
      </c>
      <c r="R829" s="1">
        <v>134</v>
      </c>
      <c r="U829" s="8">
        <f t="shared" si="30"/>
        <v>42125</v>
      </c>
    </row>
    <row r="830" spans="1:23" x14ac:dyDescent="0.25">
      <c r="A830" s="2">
        <v>14</v>
      </c>
      <c r="B830" t="s">
        <v>31</v>
      </c>
      <c r="C830" s="2">
        <v>4</v>
      </c>
      <c r="D830" s="2">
        <v>53</v>
      </c>
      <c r="E830" s="2">
        <v>1</v>
      </c>
      <c r="F830" s="2">
        <v>6</v>
      </c>
      <c r="G830" s="2">
        <v>0</v>
      </c>
      <c r="H830" s="2">
        <v>4</v>
      </c>
      <c r="I830" s="2">
        <v>3</v>
      </c>
      <c r="J830" s="1"/>
      <c r="M830" t="s">
        <v>15</v>
      </c>
      <c r="N830" t="str">
        <f>IFERROR(VLOOKUP(B830,'[1]All Player'!$B$2:$C$1992,2,0),"")</f>
        <v>Hetlar Shohag</v>
      </c>
      <c r="O830" s="2" t="s">
        <v>511</v>
      </c>
      <c r="P830" s="16" t="s">
        <v>844</v>
      </c>
      <c r="Q830" s="1">
        <f t="shared" si="29"/>
        <v>1</v>
      </c>
      <c r="R830" s="1">
        <v>134</v>
      </c>
      <c r="U830" s="8">
        <f t="shared" si="30"/>
        <v>42125</v>
      </c>
    </row>
    <row r="831" spans="1:23" x14ac:dyDescent="0.25">
      <c r="A831" s="2">
        <v>14</v>
      </c>
      <c r="B831" s="17" t="s">
        <v>602</v>
      </c>
      <c r="J831" s="1"/>
      <c r="M831" t="s">
        <v>15</v>
      </c>
      <c r="N831" t="str">
        <f>IFERROR(VLOOKUP(B831,'[1]All Player'!$B$2:$C$1992,2,0),"")</f>
        <v/>
      </c>
      <c r="O831" s="2" t="s">
        <v>511</v>
      </c>
      <c r="P831" s="16" t="s">
        <v>602</v>
      </c>
      <c r="Q831" s="1">
        <f t="shared" si="29"/>
        <v>1</v>
      </c>
      <c r="R831" s="1">
        <v>135</v>
      </c>
      <c r="U831" s="8">
        <f t="shared" si="30"/>
        <v>42125</v>
      </c>
    </row>
    <row r="832" spans="1:23" x14ac:dyDescent="0.25">
      <c r="A832" s="2">
        <v>14</v>
      </c>
      <c r="B832" t="s">
        <v>809</v>
      </c>
      <c r="C832" s="2">
        <v>7</v>
      </c>
      <c r="D832" s="2">
        <v>152</v>
      </c>
      <c r="E832" s="2">
        <v>23</v>
      </c>
      <c r="F832" s="2">
        <v>13</v>
      </c>
      <c r="G832" s="2">
        <v>1</v>
      </c>
      <c r="H832" s="2">
        <v>12</v>
      </c>
      <c r="I832" s="2">
        <v>9</v>
      </c>
      <c r="J832" s="1"/>
      <c r="M832" t="s">
        <v>15</v>
      </c>
      <c r="N832" t="str">
        <f>IFERROR(VLOOKUP(B832,'[1]All Player'!$B$2:$C$1992,2,0),"")</f>
        <v>ShiShir Hossain</v>
      </c>
      <c r="O832" s="2" t="s">
        <v>511</v>
      </c>
      <c r="P832" s="16" t="s">
        <v>602</v>
      </c>
      <c r="Q832" s="1">
        <f t="shared" si="29"/>
        <v>1</v>
      </c>
      <c r="R832" s="1">
        <v>135</v>
      </c>
      <c r="U832" s="8">
        <f t="shared" si="30"/>
        <v>42125</v>
      </c>
      <c r="W832" s="1">
        <v>1</v>
      </c>
    </row>
    <row r="833" spans="1:22" x14ac:dyDescent="0.25">
      <c r="A833" s="2">
        <v>14</v>
      </c>
      <c r="B833" t="s">
        <v>384</v>
      </c>
      <c r="C833" s="2">
        <v>6</v>
      </c>
      <c r="D833" s="2">
        <v>241</v>
      </c>
      <c r="E833" s="2">
        <v>12</v>
      </c>
      <c r="F833" s="2">
        <v>14</v>
      </c>
      <c r="G833" s="2">
        <v>1</v>
      </c>
      <c r="H833" s="2">
        <v>22</v>
      </c>
      <c r="I833" s="2">
        <v>15</v>
      </c>
      <c r="J833" s="1"/>
      <c r="M833" t="s">
        <v>15</v>
      </c>
      <c r="N833" t="str">
        <f>IFERROR(VLOOKUP(B833,'[1]All Player'!$B$2:$C$1992,2,0),"")</f>
        <v>Abdullah Al Mamun Shadhin</v>
      </c>
      <c r="O833" s="2" t="s">
        <v>511</v>
      </c>
      <c r="P833" s="16" t="s">
        <v>602</v>
      </c>
      <c r="Q833" s="1">
        <f t="shared" si="29"/>
        <v>1</v>
      </c>
      <c r="R833" s="1">
        <v>135</v>
      </c>
      <c r="S833" s="24" t="s">
        <v>658</v>
      </c>
      <c r="U833" s="8">
        <f t="shared" si="30"/>
        <v>42125</v>
      </c>
    </row>
    <row r="834" spans="1:22" x14ac:dyDescent="0.25">
      <c r="A834" s="2">
        <v>14</v>
      </c>
      <c r="B834" t="s">
        <v>195</v>
      </c>
      <c r="C834" s="2">
        <v>5</v>
      </c>
      <c r="D834" s="2">
        <v>129</v>
      </c>
      <c r="E834" s="2">
        <v>4</v>
      </c>
      <c r="F834" s="2">
        <v>9</v>
      </c>
      <c r="G834" s="2">
        <v>1</v>
      </c>
      <c r="H834" s="2">
        <v>9</v>
      </c>
      <c r="I834" s="2">
        <v>6</v>
      </c>
      <c r="J834" s="1"/>
      <c r="M834" t="s">
        <v>15</v>
      </c>
      <c r="N834" t="str">
        <f>IFERROR(VLOOKUP(B834,'[1]All Player'!$B$2:$C$1992,2,0),"")</f>
        <v>Hj Himel</v>
      </c>
      <c r="O834" s="2" t="s">
        <v>511</v>
      </c>
      <c r="P834" s="16" t="s">
        <v>602</v>
      </c>
      <c r="Q834" s="1">
        <f t="shared" ref="Q834:Q897" si="31">IF(B834="","",1)</f>
        <v>1</v>
      </c>
      <c r="R834" s="1">
        <v>135</v>
      </c>
      <c r="U834" s="8">
        <f t="shared" si="30"/>
        <v>42125</v>
      </c>
    </row>
    <row r="835" spans="1:22" x14ac:dyDescent="0.25">
      <c r="A835" s="2">
        <v>14</v>
      </c>
      <c r="B835" t="s">
        <v>201</v>
      </c>
      <c r="C835" s="2">
        <v>5</v>
      </c>
      <c r="D835" s="2">
        <v>48</v>
      </c>
      <c r="E835" s="2">
        <v>4</v>
      </c>
      <c r="F835" s="2">
        <v>7</v>
      </c>
      <c r="G835" s="2">
        <v>0</v>
      </c>
      <c r="H835" s="2">
        <v>6</v>
      </c>
      <c r="I835" s="2">
        <v>3</v>
      </c>
      <c r="J835" s="1"/>
      <c r="M835" t="s">
        <v>15</v>
      </c>
      <c r="N835" t="str">
        <f>IFERROR(VLOOKUP(B835,'[1]All Player'!$B$2:$C$1992,2,0),"")</f>
        <v>A.R. Shohag</v>
      </c>
      <c r="O835" s="2" t="s">
        <v>511</v>
      </c>
      <c r="P835" s="16" t="s">
        <v>602</v>
      </c>
      <c r="Q835" s="1">
        <f t="shared" si="31"/>
        <v>1</v>
      </c>
      <c r="R835" s="1">
        <v>135</v>
      </c>
      <c r="U835" s="8">
        <f t="shared" si="30"/>
        <v>42125</v>
      </c>
    </row>
    <row r="836" spans="1:22" x14ac:dyDescent="0.25">
      <c r="A836" s="2">
        <v>14</v>
      </c>
      <c r="B836" t="s">
        <v>102</v>
      </c>
      <c r="C836" s="2">
        <v>2</v>
      </c>
      <c r="D836" s="2">
        <v>8</v>
      </c>
      <c r="E836" s="2">
        <v>2</v>
      </c>
      <c r="F836" s="2">
        <v>1</v>
      </c>
      <c r="G836" s="2">
        <v>0</v>
      </c>
      <c r="H836" s="2">
        <v>0</v>
      </c>
      <c r="I836" s="2">
        <v>0</v>
      </c>
      <c r="J836" s="1"/>
      <c r="M836" t="s">
        <v>15</v>
      </c>
      <c r="N836" t="str">
        <f>IFERROR(VLOOKUP(B836,'[1]All Player'!$B$2:$C$1992,2,0),"")</f>
        <v>Mustofa Muddassir Mahmud Mashuk</v>
      </c>
      <c r="O836" s="2" t="s">
        <v>511</v>
      </c>
      <c r="P836" s="16" t="s">
        <v>602</v>
      </c>
      <c r="Q836" s="1">
        <f t="shared" si="31"/>
        <v>1</v>
      </c>
      <c r="R836" s="1">
        <v>135</v>
      </c>
      <c r="U836" s="8">
        <f t="shared" si="30"/>
        <v>42125</v>
      </c>
    </row>
    <row r="837" spans="1:22" ht="15.75" x14ac:dyDescent="0.25">
      <c r="A837" s="2">
        <v>14</v>
      </c>
      <c r="B837" s="18" t="s">
        <v>518</v>
      </c>
      <c r="J837" s="1"/>
      <c r="M837" t="s">
        <v>15</v>
      </c>
      <c r="N837" t="str">
        <f>IFERROR(VLOOKUP(B837,'[1]All Player'!$B$2:$C$1992,2,0),"")</f>
        <v/>
      </c>
      <c r="O837" s="2" t="s">
        <v>511</v>
      </c>
      <c r="P837" s="16" t="s">
        <v>518</v>
      </c>
      <c r="Q837" s="1">
        <f t="shared" si="31"/>
        <v>1</v>
      </c>
      <c r="R837" s="1">
        <v>136</v>
      </c>
      <c r="U837" s="8">
        <f t="shared" si="30"/>
        <v>42125</v>
      </c>
    </row>
    <row r="838" spans="1:22" x14ac:dyDescent="0.25">
      <c r="A838" s="2">
        <v>14</v>
      </c>
      <c r="B838" t="s">
        <v>122</v>
      </c>
      <c r="C838" s="2">
        <v>8</v>
      </c>
      <c r="D838" s="2">
        <v>143</v>
      </c>
      <c r="E838" s="2">
        <v>14</v>
      </c>
      <c r="F838" s="2">
        <v>10</v>
      </c>
      <c r="G838" s="2">
        <v>2</v>
      </c>
      <c r="H838" s="2">
        <v>10</v>
      </c>
      <c r="I838" s="2">
        <v>2</v>
      </c>
      <c r="J838" s="1"/>
      <c r="M838" t="s">
        <v>15</v>
      </c>
      <c r="N838" t="str">
        <f>IFERROR(VLOOKUP(B838,'[1]All Player'!$B$2:$C$1992,2,0),"")</f>
        <v>Towkir Ahmed Siddique</v>
      </c>
      <c r="O838" s="2" t="s">
        <v>511</v>
      </c>
      <c r="P838" s="16" t="s">
        <v>518</v>
      </c>
      <c r="Q838" s="1">
        <f t="shared" si="31"/>
        <v>1</v>
      </c>
      <c r="R838" s="1">
        <v>136</v>
      </c>
      <c r="U838" s="8">
        <f t="shared" si="30"/>
        <v>42125</v>
      </c>
    </row>
    <row r="839" spans="1:22" x14ac:dyDescent="0.25">
      <c r="A839" s="2">
        <v>14</v>
      </c>
      <c r="B839" t="s">
        <v>179</v>
      </c>
      <c r="C839" s="2">
        <v>8</v>
      </c>
      <c r="D839" s="2">
        <v>117</v>
      </c>
      <c r="E839" s="2">
        <v>16</v>
      </c>
      <c r="F839" s="2">
        <v>9</v>
      </c>
      <c r="G839" s="2">
        <v>0</v>
      </c>
      <c r="H839" s="2">
        <v>11</v>
      </c>
      <c r="I839" s="2">
        <v>5</v>
      </c>
      <c r="J839" s="1"/>
      <c r="M839" t="s">
        <v>15</v>
      </c>
      <c r="N839" t="str">
        <f>IFERROR(VLOOKUP(B839,'[1]All Player'!$B$2:$C$1992,2,0),"")</f>
        <v>Shuvayan Saha Brinto</v>
      </c>
      <c r="O839" s="2" t="s">
        <v>511</v>
      </c>
      <c r="P839" s="16" t="s">
        <v>518</v>
      </c>
      <c r="Q839" s="1">
        <f t="shared" si="31"/>
        <v>1</v>
      </c>
      <c r="R839" s="1">
        <v>136</v>
      </c>
      <c r="U839" s="8">
        <f t="shared" si="30"/>
        <v>42125</v>
      </c>
    </row>
    <row r="840" spans="1:22" x14ac:dyDescent="0.25">
      <c r="A840" s="2">
        <v>14</v>
      </c>
      <c r="B840" t="s">
        <v>298</v>
      </c>
      <c r="C840" s="2">
        <v>8</v>
      </c>
      <c r="D840" s="2">
        <v>271</v>
      </c>
      <c r="E840" s="2">
        <v>8</v>
      </c>
      <c r="F840" s="2">
        <v>14</v>
      </c>
      <c r="G840" s="2">
        <v>2</v>
      </c>
      <c r="H840" s="2">
        <v>12</v>
      </c>
      <c r="I840" s="2">
        <v>17</v>
      </c>
      <c r="J840" s="1"/>
      <c r="M840" t="s">
        <v>15</v>
      </c>
      <c r="N840" t="str">
        <f>IFERROR(VLOOKUP(B840,'[1]All Player'!$B$2:$C$1992,2,0),"")</f>
        <v>Sahed Hossain Masum</v>
      </c>
      <c r="O840" s="2" t="s">
        <v>511</v>
      </c>
      <c r="P840" s="16" t="s">
        <v>518</v>
      </c>
      <c r="Q840" s="1">
        <f t="shared" si="31"/>
        <v>1</v>
      </c>
      <c r="R840" s="1">
        <v>136</v>
      </c>
      <c r="U840" s="8">
        <f t="shared" si="30"/>
        <v>42125</v>
      </c>
      <c r="V840" s="1">
        <v>1</v>
      </c>
    </row>
    <row r="841" spans="1:22" x14ac:dyDescent="0.25">
      <c r="A841" s="2">
        <v>14</v>
      </c>
      <c r="B841" t="s">
        <v>333</v>
      </c>
      <c r="C841" s="2">
        <v>8</v>
      </c>
      <c r="D841" s="2">
        <v>32</v>
      </c>
      <c r="E841" s="2">
        <v>10</v>
      </c>
      <c r="F841" s="2">
        <v>7</v>
      </c>
      <c r="G841" s="2">
        <v>0</v>
      </c>
      <c r="H841" s="2">
        <v>2</v>
      </c>
      <c r="I841" s="2">
        <v>3</v>
      </c>
      <c r="J841" s="1"/>
      <c r="M841" t="s">
        <v>15</v>
      </c>
      <c r="N841" t="str">
        <f>IFERROR(VLOOKUP(B841,'[1]All Player'!$B$2:$C$1992,2,0),"")</f>
        <v>Shah Abi Talib Adnan</v>
      </c>
      <c r="O841" s="2" t="s">
        <v>511</v>
      </c>
      <c r="P841" s="16" t="s">
        <v>518</v>
      </c>
      <c r="Q841" s="1">
        <f t="shared" si="31"/>
        <v>1</v>
      </c>
      <c r="R841" s="1">
        <v>136</v>
      </c>
      <c r="U841" s="8">
        <f t="shared" si="30"/>
        <v>42125</v>
      </c>
    </row>
    <row r="842" spans="1:22" x14ac:dyDescent="0.25">
      <c r="A842" s="2">
        <v>14</v>
      </c>
      <c r="B842" t="s">
        <v>91</v>
      </c>
      <c r="C842" s="2">
        <v>3</v>
      </c>
      <c r="D842" s="2">
        <v>58</v>
      </c>
      <c r="E842" s="2">
        <v>2</v>
      </c>
      <c r="F842" s="2">
        <v>3</v>
      </c>
      <c r="G842" s="2">
        <v>0</v>
      </c>
      <c r="H842" s="2">
        <v>4</v>
      </c>
      <c r="I842" s="2">
        <v>4</v>
      </c>
      <c r="J842" s="1"/>
      <c r="M842" t="s">
        <v>15</v>
      </c>
      <c r="N842" t="str">
        <f>IFERROR(VLOOKUP(B842,'[1]All Player'!$B$2:$C$1992,2,0),"")</f>
        <v>Abdullah Al Mamun</v>
      </c>
      <c r="O842" s="2" t="s">
        <v>511</v>
      </c>
      <c r="P842" s="16" t="s">
        <v>518</v>
      </c>
      <c r="Q842" s="1">
        <f t="shared" si="31"/>
        <v>1</v>
      </c>
      <c r="R842" s="1">
        <v>136</v>
      </c>
      <c r="U842" s="8">
        <f t="shared" ref="U842:U860" si="32">U841</f>
        <v>42125</v>
      </c>
    </row>
    <row r="843" spans="1:22" x14ac:dyDescent="0.25">
      <c r="A843" s="2">
        <v>14</v>
      </c>
      <c r="B843" s="13" t="s">
        <v>845</v>
      </c>
      <c r="J843" s="1"/>
      <c r="M843" t="s">
        <v>15</v>
      </c>
      <c r="N843" t="str">
        <f>IFERROR(VLOOKUP(B843,'[1]All Player'!$B$2:$C$1992,2,0),"")</f>
        <v/>
      </c>
      <c r="O843" s="2" t="s">
        <v>511</v>
      </c>
      <c r="P843" s="16" t="s">
        <v>845</v>
      </c>
      <c r="Q843" s="1">
        <f t="shared" si="31"/>
        <v>1</v>
      </c>
      <c r="R843" s="1">
        <v>137</v>
      </c>
      <c r="U843" s="8">
        <f t="shared" si="32"/>
        <v>42125</v>
      </c>
    </row>
    <row r="844" spans="1:22" x14ac:dyDescent="0.25">
      <c r="A844" s="2">
        <v>14</v>
      </c>
      <c r="B844" t="s">
        <v>114</v>
      </c>
      <c r="C844" s="2">
        <v>7</v>
      </c>
      <c r="D844" s="2">
        <v>148</v>
      </c>
      <c r="E844" s="2">
        <v>11</v>
      </c>
      <c r="F844" s="2">
        <v>12</v>
      </c>
      <c r="G844" s="2">
        <v>0</v>
      </c>
      <c r="H844" s="2">
        <v>12</v>
      </c>
      <c r="I844" s="2">
        <v>10</v>
      </c>
      <c r="J844" s="1"/>
      <c r="M844" t="s">
        <v>15</v>
      </c>
      <c r="N844" t="str">
        <f>IFERROR(VLOOKUP(B844,'[1]All Player'!$B$2:$C$1992,2,0),"")</f>
        <v>Tanvir Shakib</v>
      </c>
      <c r="O844" s="2" t="s">
        <v>511</v>
      </c>
      <c r="P844" s="16" t="s">
        <v>845</v>
      </c>
      <c r="Q844" s="1">
        <f t="shared" si="31"/>
        <v>1</v>
      </c>
      <c r="R844" s="1">
        <v>137</v>
      </c>
      <c r="U844" s="8">
        <f t="shared" si="32"/>
        <v>42125</v>
      </c>
    </row>
    <row r="845" spans="1:22" x14ac:dyDescent="0.25">
      <c r="A845" s="2">
        <v>14</v>
      </c>
      <c r="B845" t="s">
        <v>148</v>
      </c>
      <c r="C845" s="2">
        <v>7</v>
      </c>
      <c r="D845" s="2">
        <v>141</v>
      </c>
      <c r="E845" s="2">
        <v>8</v>
      </c>
      <c r="F845" s="2">
        <v>9</v>
      </c>
      <c r="G845" s="2">
        <v>1</v>
      </c>
      <c r="H845" s="2">
        <v>12</v>
      </c>
      <c r="I845" s="2">
        <v>8</v>
      </c>
      <c r="J845" s="1"/>
      <c r="M845" t="s">
        <v>15</v>
      </c>
      <c r="N845" t="str">
        <f>IFERROR(VLOOKUP(B845,'[1]All Player'!$B$2:$C$1992,2,0),"")</f>
        <v>AB Saaj</v>
      </c>
      <c r="O845" s="2" t="s">
        <v>511</v>
      </c>
      <c r="P845" s="16" t="s">
        <v>845</v>
      </c>
      <c r="Q845" s="1">
        <f t="shared" si="31"/>
        <v>1</v>
      </c>
      <c r="R845" s="1">
        <v>137</v>
      </c>
      <c r="U845" s="8">
        <f t="shared" si="32"/>
        <v>42125</v>
      </c>
    </row>
    <row r="846" spans="1:22" x14ac:dyDescent="0.25">
      <c r="A846" s="2">
        <v>14</v>
      </c>
      <c r="B846" t="s">
        <v>173</v>
      </c>
      <c r="C846" s="2">
        <v>7</v>
      </c>
      <c r="D846" s="2">
        <v>100</v>
      </c>
      <c r="E846" s="2">
        <v>16</v>
      </c>
      <c r="F846" s="2">
        <v>9</v>
      </c>
      <c r="G846" s="2">
        <v>1</v>
      </c>
      <c r="H846" s="2">
        <v>4</v>
      </c>
      <c r="I846" s="2">
        <v>7</v>
      </c>
      <c r="J846" s="1"/>
      <c r="M846" t="s">
        <v>15</v>
      </c>
      <c r="N846" t="str">
        <f>IFERROR(VLOOKUP(B846,'[1]All Player'!$B$2:$C$1992,2,0),"")</f>
        <v>Sajjadul Haque Sagar</v>
      </c>
      <c r="O846" s="2" t="s">
        <v>511</v>
      </c>
      <c r="P846" s="16" t="s">
        <v>845</v>
      </c>
      <c r="Q846" s="1">
        <f t="shared" si="31"/>
        <v>1</v>
      </c>
      <c r="R846" s="1">
        <v>137</v>
      </c>
      <c r="U846" s="8">
        <f t="shared" si="32"/>
        <v>42125</v>
      </c>
    </row>
    <row r="847" spans="1:22" x14ac:dyDescent="0.25">
      <c r="A847" s="2">
        <v>14</v>
      </c>
      <c r="B847" t="s">
        <v>158</v>
      </c>
      <c r="C847" s="2">
        <v>7</v>
      </c>
      <c r="D847" s="2">
        <v>58</v>
      </c>
      <c r="E847" s="2">
        <v>4</v>
      </c>
      <c r="F847" s="2">
        <v>8</v>
      </c>
      <c r="G847" s="2">
        <v>0</v>
      </c>
      <c r="H847" s="2">
        <v>6</v>
      </c>
      <c r="I847" s="2">
        <v>3</v>
      </c>
      <c r="J847" s="1"/>
      <c r="M847" t="s">
        <v>15</v>
      </c>
      <c r="N847" t="str">
        <f>IFERROR(VLOOKUP(B847,'[1]All Player'!$B$2:$C$1992,2,0),"")</f>
        <v>Sabbir Ahmed</v>
      </c>
      <c r="O847" s="2" t="s">
        <v>511</v>
      </c>
      <c r="P847" s="16" t="s">
        <v>845</v>
      </c>
      <c r="Q847" s="1">
        <f t="shared" si="31"/>
        <v>1</v>
      </c>
      <c r="R847" s="1">
        <v>137</v>
      </c>
      <c r="U847" s="8">
        <f t="shared" si="32"/>
        <v>42125</v>
      </c>
    </row>
    <row r="848" spans="1:22" x14ac:dyDescent="0.25">
      <c r="A848" s="2">
        <v>14</v>
      </c>
      <c r="B848" t="s">
        <v>352</v>
      </c>
      <c r="C848" s="2">
        <v>7</v>
      </c>
      <c r="D848" s="2">
        <v>24</v>
      </c>
      <c r="E848" s="2">
        <v>4</v>
      </c>
      <c r="F848" s="2">
        <v>6</v>
      </c>
      <c r="G848" s="2">
        <v>0</v>
      </c>
      <c r="H848" s="2">
        <v>1</v>
      </c>
      <c r="I848" s="2">
        <v>2</v>
      </c>
      <c r="J848" s="1"/>
      <c r="M848" t="s">
        <v>15</v>
      </c>
      <c r="N848" t="str">
        <f>IFERROR(VLOOKUP(B848,'[1]All Player'!$B$2:$C$1992,2,0),"")</f>
        <v>Moksedur RaHman SoHan (Duronto Sohan)</v>
      </c>
      <c r="O848" s="2" t="s">
        <v>511</v>
      </c>
      <c r="P848" s="16" t="s">
        <v>845</v>
      </c>
      <c r="Q848" s="1">
        <f t="shared" si="31"/>
        <v>1</v>
      </c>
      <c r="R848" s="1">
        <v>137</v>
      </c>
      <c r="U848" s="8">
        <f t="shared" si="32"/>
        <v>42125</v>
      </c>
    </row>
    <row r="849" spans="1:21" x14ac:dyDescent="0.25">
      <c r="A849" s="2">
        <v>14</v>
      </c>
      <c r="B849" s="13" t="s">
        <v>603</v>
      </c>
      <c r="J849" s="1"/>
      <c r="M849" t="s">
        <v>15</v>
      </c>
      <c r="N849" t="str">
        <f>IFERROR(VLOOKUP(B849,'[1]All Player'!$B$2:$C$1992,2,0),"")</f>
        <v/>
      </c>
      <c r="O849" s="2" t="s">
        <v>511</v>
      </c>
      <c r="P849" s="16" t="s">
        <v>603</v>
      </c>
      <c r="Q849" s="1">
        <f t="shared" si="31"/>
        <v>1</v>
      </c>
      <c r="R849" s="1">
        <v>138</v>
      </c>
      <c r="U849" s="8">
        <f t="shared" si="32"/>
        <v>42125</v>
      </c>
    </row>
    <row r="850" spans="1:21" x14ac:dyDescent="0.25">
      <c r="A850" s="2">
        <v>14</v>
      </c>
      <c r="B850" t="s">
        <v>66</v>
      </c>
      <c r="C850" s="2">
        <v>9</v>
      </c>
      <c r="D850" s="2">
        <v>127</v>
      </c>
      <c r="E850" s="2">
        <v>17</v>
      </c>
      <c r="F850" s="2">
        <v>11</v>
      </c>
      <c r="G850" s="2">
        <v>2</v>
      </c>
      <c r="H850" s="2">
        <v>8</v>
      </c>
      <c r="I850" s="2">
        <v>6</v>
      </c>
      <c r="J850" s="1"/>
      <c r="M850" t="s">
        <v>15</v>
      </c>
      <c r="N850" t="str">
        <f>IFERROR(VLOOKUP(B850,'[1]All Player'!$B$2:$C$1992,2,0),"")</f>
        <v>Ahmad Sakib Abdullah</v>
      </c>
      <c r="O850" s="2" t="s">
        <v>511</v>
      </c>
      <c r="P850" s="16" t="s">
        <v>603</v>
      </c>
      <c r="Q850" s="1">
        <f t="shared" si="31"/>
        <v>1</v>
      </c>
      <c r="R850" s="1">
        <v>138</v>
      </c>
      <c r="U850" s="8">
        <f t="shared" si="32"/>
        <v>42125</v>
      </c>
    </row>
    <row r="851" spans="1:21" x14ac:dyDescent="0.25">
      <c r="A851" s="2">
        <v>14</v>
      </c>
      <c r="B851" t="s">
        <v>144</v>
      </c>
      <c r="C851" s="2">
        <v>8</v>
      </c>
      <c r="D851" s="2">
        <v>128</v>
      </c>
      <c r="E851" s="2">
        <v>13</v>
      </c>
      <c r="F851" s="2">
        <v>11</v>
      </c>
      <c r="G851" s="2">
        <v>2</v>
      </c>
      <c r="H851" s="2">
        <v>16</v>
      </c>
      <c r="I851" s="2">
        <v>4</v>
      </c>
      <c r="J851" s="1"/>
      <c r="M851" t="s">
        <v>15</v>
      </c>
      <c r="N851" t="str">
        <f>IFERROR(VLOOKUP(B851,'[1]All Player'!$B$2:$C$1992,2,0),"")</f>
        <v>Toufiq Ahmed Ovi</v>
      </c>
      <c r="O851" s="2" t="s">
        <v>511</v>
      </c>
      <c r="P851" s="16" t="s">
        <v>603</v>
      </c>
      <c r="Q851" s="1">
        <f t="shared" si="31"/>
        <v>1</v>
      </c>
      <c r="R851" s="1">
        <v>138</v>
      </c>
      <c r="U851" s="8">
        <f t="shared" si="32"/>
        <v>42125</v>
      </c>
    </row>
    <row r="852" spans="1:21" x14ac:dyDescent="0.25">
      <c r="A852" s="2">
        <v>14</v>
      </c>
      <c r="B852" t="s">
        <v>136</v>
      </c>
      <c r="C852" s="2">
        <v>9</v>
      </c>
      <c r="D852" s="2">
        <v>129</v>
      </c>
      <c r="E852" s="2">
        <v>7</v>
      </c>
      <c r="F852" s="2">
        <v>15</v>
      </c>
      <c r="G852" s="2">
        <v>2</v>
      </c>
      <c r="H852" s="2">
        <v>7</v>
      </c>
      <c r="I852" s="2">
        <v>11</v>
      </c>
      <c r="J852" s="1"/>
      <c r="M852" t="s">
        <v>15</v>
      </c>
      <c r="N852" t="str">
        <f>IFERROR(VLOOKUP(B852,'[1]All Player'!$B$2:$C$1992,2,0),"")</f>
        <v>MD Kamal Hossain Kamal</v>
      </c>
      <c r="O852" s="2" t="s">
        <v>511</v>
      </c>
      <c r="P852" s="16" t="s">
        <v>603</v>
      </c>
      <c r="Q852" s="1">
        <f t="shared" si="31"/>
        <v>1</v>
      </c>
      <c r="R852" s="1">
        <v>138</v>
      </c>
      <c r="U852" s="8">
        <f t="shared" si="32"/>
        <v>42125</v>
      </c>
    </row>
    <row r="853" spans="1:21" x14ac:dyDescent="0.25">
      <c r="A853" s="2">
        <v>14</v>
      </c>
      <c r="B853" t="s">
        <v>386</v>
      </c>
      <c r="C853" s="2">
        <v>6</v>
      </c>
      <c r="D853" s="2">
        <v>116</v>
      </c>
      <c r="E853" s="2">
        <v>4</v>
      </c>
      <c r="F853" s="2">
        <v>8</v>
      </c>
      <c r="G853" s="2">
        <v>0</v>
      </c>
      <c r="H853" s="2">
        <v>8</v>
      </c>
      <c r="I853" s="2">
        <v>4</v>
      </c>
      <c r="J853" s="1"/>
      <c r="M853" t="s">
        <v>15</v>
      </c>
      <c r="N853" t="str">
        <f>IFERROR(VLOOKUP(B853,'[1]All Player'!$B$2:$C$1992,2,0),"")</f>
        <v>Apurba Rockz</v>
      </c>
      <c r="O853" s="2" t="s">
        <v>511</v>
      </c>
      <c r="P853" s="16" t="s">
        <v>603</v>
      </c>
      <c r="Q853" s="1">
        <f t="shared" si="31"/>
        <v>1</v>
      </c>
      <c r="R853" s="1">
        <v>138</v>
      </c>
      <c r="U853" s="8">
        <f t="shared" si="32"/>
        <v>42125</v>
      </c>
    </row>
    <row r="854" spans="1:21" x14ac:dyDescent="0.25">
      <c r="A854" s="2">
        <v>14</v>
      </c>
      <c r="B854" t="s">
        <v>85</v>
      </c>
      <c r="C854" s="2">
        <v>9</v>
      </c>
      <c r="D854" s="2">
        <v>55</v>
      </c>
      <c r="E854" s="2">
        <v>9</v>
      </c>
      <c r="F854" s="2">
        <v>8</v>
      </c>
      <c r="G854" s="2">
        <v>0</v>
      </c>
      <c r="H854" s="2">
        <v>5</v>
      </c>
      <c r="I854" s="2">
        <v>3</v>
      </c>
      <c r="J854" s="1"/>
      <c r="M854" t="s">
        <v>15</v>
      </c>
      <c r="N854" t="str">
        <f>IFERROR(VLOOKUP(B854,'[1]All Player'!$B$2:$C$1992,2,0),"")</f>
        <v>Asik Hassan Tonmoy</v>
      </c>
      <c r="O854" s="2" t="s">
        <v>511</v>
      </c>
      <c r="P854" s="16" t="s">
        <v>603</v>
      </c>
      <c r="Q854" s="1">
        <f t="shared" si="31"/>
        <v>1</v>
      </c>
      <c r="R854" s="1">
        <v>138</v>
      </c>
      <c r="U854" s="8">
        <f t="shared" si="32"/>
        <v>42125</v>
      </c>
    </row>
    <row r="855" spans="1:21" x14ac:dyDescent="0.25">
      <c r="A855" s="2">
        <v>14</v>
      </c>
      <c r="B855" s="13" t="s">
        <v>846</v>
      </c>
      <c r="J855" s="1"/>
      <c r="M855" t="s">
        <v>15</v>
      </c>
      <c r="N855" t="str">
        <f>IFERROR(VLOOKUP(B855,'[1]All Player'!$B$2:$C$1992,2,0),"")</f>
        <v/>
      </c>
      <c r="O855" s="2" t="s">
        <v>511</v>
      </c>
      <c r="P855" s="16" t="s">
        <v>846</v>
      </c>
      <c r="Q855" s="1">
        <f t="shared" si="31"/>
        <v>1</v>
      </c>
      <c r="R855" s="1">
        <v>139</v>
      </c>
      <c r="U855" s="8">
        <f t="shared" si="32"/>
        <v>42125</v>
      </c>
    </row>
    <row r="856" spans="1:21" x14ac:dyDescent="0.25">
      <c r="A856" s="2">
        <v>14</v>
      </c>
      <c r="B856" t="s">
        <v>64</v>
      </c>
      <c r="C856" s="2">
        <v>5</v>
      </c>
      <c r="D856" s="2">
        <v>77</v>
      </c>
      <c r="E856" s="2">
        <v>9</v>
      </c>
      <c r="F856" s="2">
        <v>8</v>
      </c>
      <c r="G856" s="2">
        <v>1</v>
      </c>
      <c r="H856" s="2">
        <v>4</v>
      </c>
      <c r="I856" s="2">
        <v>5</v>
      </c>
      <c r="J856" s="1"/>
      <c r="M856" t="s">
        <v>15</v>
      </c>
      <c r="N856" t="str">
        <f>IFERROR(VLOOKUP(B856,'[1]All Player'!$B$2:$C$1992,2,0),"")</f>
        <v>Sumon Ab</v>
      </c>
      <c r="O856" s="2" t="s">
        <v>511</v>
      </c>
      <c r="P856" s="16" t="s">
        <v>846</v>
      </c>
      <c r="Q856" s="1">
        <f t="shared" si="31"/>
        <v>1</v>
      </c>
      <c r="R856" s="1">
        <v>139</v>
      </c>
      <c r="U856" s="8">
        <f t="shared" si="32"/>
        <v>42125</v>
      </c>
    </row>
    <row r="857" spans="1:21" x14ac:dyDescent="0.25">
      <c r="A857" s="2">
        <v>14</v>
      </c>
      <c r="B857" t="s">
        <v>158</v>
      </c>
      <c r="C857" s="2">
        <v>6</v>
      </c>
      <c r="D857" s="2">
        <v>110</v>
      </c>
      <c r="E857" s="2">
        <v>13</v>
      </c>
      <c r="F857" s="2">
        <v>6</v>
      </c>
      <c r="G857" s="2">
        <v>0</v>
      </c>
      <c r="H857" s="2">
        <v>11</v>
      </c>
      <c r="I857" s="2">
        <v>6</v>
      </c>
      <c r="J857" s="1"/>
      <c r="M857" t="s">
        <v>15</v>
      </c>
      <c r="N857" t="str">
        <f>IFERROR(VLOOKUP(B857,'[1]All Player'!$B$2:$C$1992,2,0),"")</f>
        <v>Sabbir Ahmed</v>
      </c>
      <c r="O857" s="2" t="s">
        <v>511</v>
      </c>
      <c r="P857" s="16" t="s">
        <v>846</v>
      </c>
      <c r="Q857" s="1">
        <f t="shared" si="31"/>
        <v>1</v>
      </c>
      <c r="R857" s="1">
        <v>139</v>
      </c>
      <c r="U857" s="8">
        <f t="shared" si="32"/>
        <v>42125</v>
      </c>
    </row>
    <row r="858" spans="1:21" x14ac:dyDescent="0.25">
      <c r="A858" s="2">
        <v>14</v>
      </c>
      <c r="B858" t="s">
        <v>126</v>
      </c>
      <c r="C858" s="2">
        <v>5</v>
      </c>
      <c r="D858" s="2">
        <v>123</v>
      </c>
      <c r="E858" s="2">
        <v>4</v>
      </c>
      <c r="F858" s="2">
        <v>9</v>
      </c>
      <c r="G858" s="2">
        <v>0</v>
      </c>
      <c r="H858" s="2">
        <v>11</v>
      </c>
      <c r="I858" s="2">
        <v>9</v>
      </c>
      <c r="J858" s="1"/>
      <c r="M858" t="s">
        <v>15</v>
      </c>
      <c r="N858" t="str">
        <f>IFERROR(VLOOKUP(B858,'[1]All Player'!$B$2:$C$1992,2,0),"")</f>
        <v>M R Shakil</v>
      </c>
      <c r="O858" s="2" t="s">
        <v>511</v>
      </c>
      <c r="P858" s="16" t="s">
        <v>846</v>
      </c>
      <c r="Q858" s="1">
        <f t="shared" si="31"/>
        <v>1</v>
      </c>
      <c r="R858" s="1">
        <v>139</v>
      </c>
      <c r="U858" s="8">
        <f t="shared" si="32"/>
        <v>42125</v>
      </c>
    </row>
    <row r="859" spans="1:21" x14ac:dyDescent="0.25">
      <c r="A859" s="2">
        <v>14</v>
      </c>
      <c r="B859" t="s">
        <v>76</v>
      </c>
      <c r="C859" s="2">
        <v>4</v>
      </c>
      <c r="D859" s="2">
        <v>59</v>
      </c>
      <c r="E859" s="2">
        <v>2</v>
      </c>
      <c r="F859" s="2">
        <v>4</v>
      </c>
      <c r="G859" s="2">
        <v>0</v>
      </c>
      <c r="H859" s="2">
        <v>4</v>
      </c>
      <c r="I859" s="2">
        <v>2</v>
      </c>
      <c r="J859" s="1"/>
      <c r="M859" t="s">
        <v>15</v>
      </c>
      <c r="N859" t="str">
        <f>IFERROR(VLOOKUP(B859,'[1]All Player'!$B$2:$C$1992,2,0),"")</f>
        <v>Kamil Ahmed</v>
      </c>
      <c r="O859" s="2" t="s">
        <v>511</v>
      </c>
      <c r="P859" s="16" t="s">
        <v>846</v>
      </c>
      <c r="Q859" s="1">
        <f t="shared" si="31"/>
        <v>1</v>
      </c>
      <c r="R859" s="1">
        <v>139</v>
      </c>
      <c r="U859" s="8">
        <f t="shared" si="32"/>
        <v>42125</v>
      </c>
    </row>
    <row r="860" spans="1:21" x14ac:dyDescent="0.25">
      <c r="A860" s="2">
        <v>14</v>
      </c>
      <c r="B860" t="s">
        <v>350</v>
      </c>
      <c r="C860" s="2">
        <v>5</v>
      </c>
      <c r="D860" s="2">
        <v>76</v>
      </c>
      <c r="E860" s="2">
        <v>5</v>
      </c>
      <c r="F860" s="2">
        <v>8</v>
      </c>
      <c r="G860" s="2">
        <v>1</v>
      </c>
      <c r="H860" s="2">
        <v>6</v>
      </c>
      <c r="I860" s="2">
        <v>3</v>
      </c>
      <c r="J860" s="1"/>
      <c r="M860" t="s">
        <v>15</v>
      </c>
      <c r="N860" t="str">
        <f>IFERROR(VLOOKUP(B860,'[1]All Player'!$B$2:$C$1992,2,0),"")</f>
        <v>Shahriar Shuvro</v>
      </c>
      <c r="O860" s="2" t="s">
        <v>511</v>
      </c>
      <c r="P860" s="16" t="s">
        <v>846</v>
      </c>
      <c r="Q860" s="1">
        <f t="shared" si="31"/>
        <v>1</v>
      </c>
      <c r="R860" s="1">
        <v>139</v>
      </c>
      <c r="U860" s="8">
        <f t="shared" si="32"/>
        <v>42125</v>
      </c>
    </row>
    <row r="861" spans="1:21" x14ac:dyDescent="0.25">
      <c r="A861" s="2">
        <v>15</v>
      </c>
      <c r="B861" s="17" t="s">
        <v>847</v>
      </c>
      <c r="J861" s="1"/>
      <c r="M861" t="s">
        <v>15</v>
      </c>
      <c r="N861" t="str">
        <f>IFERROR(VLOOKUP(B861,'[1]All Player'!$B$2:$C$1992,2,0),"")</f>
        <v/>
      </c>
      <c r="O861" s="2" t="s">
        <v>530</v>
      </c>
      <c r="P861" s="16" t="s">
        <v>847</v>
      </c>
      <c r="Q861" s="1">
        <f t="shared" si="31"/>
        <v>1</v>
      </c>
      <c r="R861" s="1">
        <v>140</v>
      </c>
      <c r="U861" s="8">
        <v>42248</v>
      </c>
    </row>
    <row r="862" spans="1:21" x14ac:dyDescent="0.25">
      <c r="A862" s="2">
        <v>15</v>
      </c>
      <c r="B862" t="s">
        <v>95</v>
      </c>
      <c r="C862" s="2">
        <v>3</v>
      </c>
      <c r="D862" s="2">
        <v>83</v>
      </c>
      <c r="E862" s="2">
        <v>7</v>
      </c>
      <c r="F862" s="2">
        <v>4</v>
      </c>
      <c r="G862" s="2">
        <v>0</v>
      </c>
      <c r="H862" s="2">
        <v>5</v>
      </c>
      <c r="I862" s="2">
        <v>6</v>
      </c>
      <c r="J862" s="1"/>
      <c r="M862" t="s">
        <v>15</v>
      </c>
      <c r="N862" t="str">
        <f>IFERROR(VLOOKUP(B862,'[1]All Player'!$B$2:$C$1992,2,0),"")</f>
        <v>Sadrul Anam</v>
      </c>
      <c r="O862" s="26" t="s">
        <v>530</v>
      </c>
      <c r="P862" s="16" t="s">
        <v>847</v>
      </c>
      <c r="Q862" s="1">
        <f t="shared" si="31"/>
        <v>1</v>
      </c>
      <c r="R862" s="1">
        <v>140</v>
      </c>
      <c r="U862" s="8">
        <f t="shared" ref="U862:U921" si="33">U861</f>
        <v>42248</v>
      </c>
    </row>
    <row r="863" spans="1:21" x14ac:dyDescent="0.25">
      <c r="A863" s="2">
        <v>15</v>
      </c>
      <c r="B863" t="s">
        <v>205</v>
      </c>
      <c r="C863" s="2">
        <v>3</v>
      </c>
      <c r="D863" s="2">
        <v>14</v>
      </c>
      <c r="E863" s="2">
        <v>2</v>
      </c>
      <c r="F863" s="2">
        <v>2</v>
      </c>
      <c r="G863" s="2">
        <v>0</v>
      </c>
      <c r="H863" s="2">
        <v>2</v>
      </c>
      <c r="I863" s="2">
        <v>1</v>
      </c>
      <c r="J863" s="1"/>
      <c r="M863" t="s">
        <v>15</v>
      </c>
      <c r="N863" t="str">
        <f>IFERROR(VLOOKUP(B863,'[1]All Player'!$B$2:$C$1992,2,0),"")</f>
        <v>Injamul Haque (Syed Injamul Haque)</v>
      </c>
      <c r="O863" s="2" t="s">
        <v>530</v>
      </c>
      <c r="P863" s="16" t="s">
        <v>847</v>
      </c>
      <c r="Q863" s="1">
        <f t="shared" si="31"/>
        <v>1</v>
      </c>
      <c r="R863" s="1">
        <v>140</v>
      </c>
      <c r="U863" s="8">
        <f t="shared" si="33"/>
        <v>42248</v>
      </c>
    </row>
    <row r="864" spans="1:21" x14ac:dyDescent="0.25">
      <c r="A864" s="2">
        <v>15</v>
      </c>
      <c r="B864" t="s">
        <v>138</v>
      </c>
      <c r="C864" s="2">
        <v>3</v>
      </c>
      <c r="D864" s="2">
        <v>84</v>
      </c>
      <c r="E864" s="2">
        <v>2</v>
      </c>
      <c r="F864" s="2">
        <v>4</v>
      </c>
      <c r="G864" s="2">
        <v>0</v>
      </c>
      <c r="H864" s="2">
        <v>6</v>
      </c>
      <c r="I864" s="2">
        <v>6</v>
      </c>
      <c r="J864" s="1"/>
      <c r="M864" t="s">
        <v>15</v>
      </c>
      <c r="N864" t="str">
        <f>IFERROR(VLOOKUP(B864,'[1]All Player'!$B$2:$C$1992,2,0),"")</f>
        <v>Asif Iqbal Khan</v>
      </c>
      <c r="O864" s="2" t="s">
        <v>530</v>
      </c>
      <c r="P864" s="16" t="s">
        <v>847</v>
      </c>
      <c r="Q864" s="1">
        <f t="shared" si="31"/>
        <v>1</v>
      </c>
      <c r="R864" s="1">
        <v>140</v>
      </c>
      <c r="U864" s="8">
        <f t="shared" si="33"/>
        <v>42248</v>
      </c>
    </row>
    <row r="865" spans="1:21" x14ac:dyDescent="0.25">
      <c r="A865" s="2">
        <v>15</v>
      </c>
      <c r="B865" t="s">
        <v>282</v>
      </c>
      <c r="C865" s="2">
        <v>1</v>
      </c>
      <c r="D865" s="2">
        <v>4</v>
      </c>
      <c r="E865" s="2">
        <v>1</v>
      </c>
      <c r="F865" s="2">
        <v>3</v>
      </c>
      <c r="G865" s="2">
        <v>0</v>
      </c>
      <c r="H865" s="2">
        <v>0</v>
      </c>
      <c r="I865" s="2">
        <v>0</v>
      </c>
      <c r="J865" s="1"/>
      <c r="M865" t="s">
        <v>15</v>
      </c>
      <c r="N865" t="str">
        <f>IFERROR(VLOOKUP(B865,'[1]All Player'!$B$2:$C$1992,2,0),"")</f>
        <v>Mohammad Asif</v>
      </c>
      <c r="O865" s="2" t="s">
        <v>530</v>
      </c>
      <c r="P865" s="16" t="s">
        <v>847</v>
      </c>
      <c r="Q865" s="1">
        <f t="shared" si="31"/>
        <v>1</v>
      </c>
      <c r="R865" s="1">
        <v>140</v>
      </c>
      <c r="U865" s="8">
        <f t="shared" si="33"/>
        <v>42248</v>
      </c>
    </row>
    <row r="866" spans="1:21" x14ac:dyDescent="0.25">
      <c r="A866" s="2">
        <v>15</v>
      </c>
      <c r="B866" t="s">
        <v>106</v>
      </c>
      <c r="C866" s="2">
        <v>2</v>
      </c>
      <c r="D866" s="2">
        <v>0</v>
      </c>
      <c r="E866" s="2">
        <v>2</v>
      </c>
      <c r="F866" s="2">
        <v>1</v>
      </c>
      <c r="G866" s="2">
        <v>0</v>
      </c>
      <c r="H866" s="2">
        <v>0</v>
      </c>
      <c r="I866" s="2">
        <v>0</v>
      </c>
      <c r="J866" s="1"/>
      <c r="M866" t="s">
        <v>15</v>
      </c>
      <c r="N866" t="str">
        <f>IFERROR(VLOOKUP(B866,'[1]All Player'!$B$2:$C$1992,2,0),"")</f>
        <v>Sayed Anowar Shanto</v>
      </c>
      <c r="O866" s="2" t="s">
        <v>530</v>
      </c>
      <c r="P866" s="16" t="s">
        <v>847</v>
      </c>
      <c r="Q866" s="1">
        <f t="shared" si="31"/>
        <v>1</v>
      </c>
      <c r="R866" s="1">
        <v>140</v>
      </c>
      <c r="U866" s="8">
        <f t="shared" si="33"/>
        <v>42248</v>
      </c>
    </row>
    <row r="867" spans="1:21" x14ac:dyDescent="0.25">
      <c r="A867" s="2">
        <v>15</v>
      </c>
      <c r="B867" s="17" t="s">
        <v>848</v>
      </c>
      <c r="J867" s="1"/>
      <c r="M867" t="s">
        <v>15</v>
      </c>
      <c r="N867" t="str">
        <f>IFERROR(VLOOKUP(B867,'[1]All Player'!$B$2:$C$1992,2,0),"")</f>
        <v/>
      </c>
      <c r="O867" s="2" t="s">
        <v>530</v>
      </c>
      <c r="P867" s="16" t="s">
        <v>848</v>
      </c>
      <c r="Q867" s="1">
        <f t="shared" si="31"/>
        <v>1</v>
      </c>
      <c r="R867" s="1">
        <v>141</v>
      </c>
      <c r="U867" s="8">
        <f t="shared" si="33"/>
        <v>42248</v>
      </c>
    </row>
    <row r="868" spans="1:21" x14ac:dyDescent="0.25">
      <c r="A868" s="2">
        <v>15</v>
      </c>
      <c r="B868" t="s">
        <v>114</v>
      </c>
      <c r="C868" s="2">
        <v>3</v>
      </c>
      <c r="D868" s="2">
        <v>39</v>
      </c>
      <c r="E868" s="2">
        <v>1</v>
      </c>
      <c r="F868" s="2">
        <v>5</v>
      </c>
      <c r="G868" s="2">
        <v>0</v>
      </c>
      <c r="H868" s="2">
        <v>3</v>
      </c>
      <c r="I868" s="2">
        <v>1</v>
      </c>
      <c r="J868" s="1"/>
      <c r="M868" t="s">
        <v>15</v>
      </c>
      <c r="N868" t="str">
        <f>IFERROR(VLOOKUP(B868,'[1]All Player'!$B$2:$C$1992,2,0),"")</f>
        <v>Tanvir Shakib</v>
      </c>
      <c r="O868" s="2" t="s">
        <v>530</v>
      </c>
      <c r="P868" s="16" t="s">
        <v>848</v>
      </c>
      <c r="Q868" s="1">
        <f t="shared" si="31"/>
        <v>1</v>
      </c>
      <c r="R868" s="1">
        <v>141</v>
      </c>
      <c r="U868" s="8">
        <f t="shared" si="33"/>
        <v>42248</v>
      </c>
    </row>
    <row r="869" spans="1:21" x14ac:dyDescent="0.25">
      <c r="A869" s="2">
        <v>15</v>
      </c>
      <c r="B869" t="s">
        <v>29</v>
      </c>
      <c r="C869" s="2">
        <v>3</v>
      </c>
      <c r="D869" s="2">
        <v>84</v>
      </c>
      <c r="E869" s="2">
        <v>6</v>
      </c>
      <c r="F869" s="2">
        <v>5</v>
      </c>
      <c r="G869" s="2">
        <v>1</v>
      </c>
      <c r="H869" s="2">
        <v>7</v>
      </c>
      <c r="I869" s="2">
        <v>5</v>
      </c>
      <c r="J869" s="1"/>
      <c r="M869" t="s">
        <v>15</v>
      </c>
      <c r="N869" t="str">
        <f>IFERROR(VLOOKUP(B869,'[1]All Player'!$B$2:$C$1992,2,0),"")</f>
        <v>Foysal Ahmed Jumon</v>
      </c>
      <c r="O869" s="2" t="s">
        <v>530</v>
      </c>
      <c r="P869" s="16" t="s">
        <v>848</v>
      </c>
      <c r="Q869" s="1">
        <f t="shared" si="31"/>
        <v>1</v>
      </c>
      <c r="R869" s="1">
        <v>141</v>
      </c>
      <c r="U869" s="8">
        <f t="shared" si="33"/>
        <v>42248</v>
      </c>
    </row>
    <row r="870" spans="1:21" x14ac:dyDescent="0.25">
      <c r="A870" s="2">
        <v>15</v>
      </c>
      <c r="B870" t="s">
        <v>154</v>
      </c>
      <c r="C870" s="2">
        <v>3</v>
      </c>
      <c r="D870" s="2">
        <v>78</v>
      </c>
      <c r="E870" s="2">
        <v>3</v>
      </c>
      <c r="F870" s="2">
        <v>4</v>
      </c>
      <c r="G870" s="2">
        <v>1</v>
      </c>
      <c r="H870" s="2">
        <v>2</v>
      </c>
      <c r="I870" s="2">
        <v>9</v>
      </c>
      <c r="J870" s="1"/>
      <c r="M870" t="s">
        <v>15</v>
      </c>
      <c r="N870" t="str">
        <f>IFERROR(VLOOKUP(B870,'[1]All Player'!$B$2:$C$1992,2,0),"")</f>
        <v>Meyaz Al Emon</v>
      </c>
      <c r="O870" s="2" t="s">
        <v>530</v>
      </c>
      <c r="P870" s="16" t="s">
        <v>848</v>
      </c>
      <c r="Q870" s="1">
        <f t="shared" si="31"/>
        <v>1</v>
      </c>
      <c r="R870" s="1">
        <v>141</v>
      </c>
      <c r="U870" s="8">
        <f t="shared" si="33"/>
        <v>42248</v>
      </c>
    </row>
    <row r="871" spans="1:21" x14ac:dyDescent="0.25">
      <c r="A871" s="2">
        <v>15</v>
      </c>
      <c r="B871" t="s">
        <v>136</v>
      </c>
      <c r="C871" s="2">
        <v>2</v>
      </c>
      <c r="D871" s="2">
        <v>3</v>
      </c>
      <c r="E871" s="2">
        <v>2</v>
      </c>
      <c r="F871" s="2">
        <v>3</v>
      </c>
      <c r="G871" s="2">
        <v>0</v>
      </c>
      <c r="H871" s="2">
        <v>0</v>
      </c>
      <c r="I871" s="2">
        <v>0</v>
      </c>
      <c r="J871" s="1"/>
      <c r="M871" t="s">
        <v>15</v>
      </c>
      <c r="N871" t="str">
        <f>IFERROR(VLOOKUP(B871,'[1]All Player'!$B$2:$C$1992,2,0),"")</f>
        <v>MD Kamal Hossain Kamal</v>
      </c>
      <c r="O871" s="2" t="s">
        <v>530</v>
      </c>
      <c r="P871" s="16" t="s">
        <v>848</v>
      </c>
      <c r="Q871" s="1">
        <f t="shared" si="31"/>
        <v>1</v>
      </c>
      <c r="R871" s="1">
        <v>141</v>
      </c>
      <c r="U871" s="8">
        <f t="shared" si="33"/>
        <v>42248</v>
      </c>
    </row>
    <row r="872" spans="1:21" x14ac:dyDescent="0.25">
      <c r="A872" s="2">
        <v>15</v>
      </c>
      <c r="B872" s="17" t="s">
        <v>604</v>
      </c>
      <c r="J872" s="1"/>
      <c r="M872" t="s">
        <v>15</v>
      </c>
      <c r="N872" t="str">
        <f>IFERROR(VLOOKUP(B872,'[1]All Player'!$B$2:$C$1992,2,0),"")</f>
        <v/>
      </c>
      <c r="O872" s="2" t="s">
        <v>530</v>
      </c>
      <c r="P872" s="16" t="s">
        <v>604</v>
      </c>
      <c r="Q872" s="1">
        <f t="shared" si="31"/>
        <v>1</v>
      </c>
      <c r="R872" s="1">
        <v>142</v>
      </c>
      <c r="U872" s="8">
        <f t="shared" si="33"/>
        <v>42248</v>
      </c>
    </row>
    <row r="873" spans="1:21" x14ac:dyDescent="0.25">
      <c r="A873" s="2">
        <v>15</v>
      </c>
      <c r="B873" t="s">
        <v>70</v>
      </c>
      <c r="C873" s="2">
        <v>2</v>
      </c>
      <c r="D873" s="2">
        <v>36</v>
      </c>
      <c r="E873" s="2">
        <v>2</v>
      </c>
      <c r="F873" s="2">
        <v>3</v>
      </c>
      <c r="G873" s="2">
        <v>0</v>
      </c>
      <c r="H873" s="2">
        <v>0</v>
      </c>
      <c r="I873" s="2">
        <v>4</v>
      </c>
      <c r="J873" s="1"/>
      <c r="M873" t="s">
        <v>15</v>
      </c>
      <c r="N873" t="str">
        <f>IFERROR(VLOOKUP(B873,'[1]All Player'!$B$2:$C$1992,2,0),"")</f>
        <v>Sheik Helal Ahmed</v>
      </c>
      <c r="O873" s="2" t="s">
        <v>530</v>
      </c>
      <c r="P873" s="16" t="s">
        <v>604</v>
      </c>
      <c r="Q873" s="1">
        <f t="shared" si="31"/>
        <v>1</v>
      </c>
      <c r="R873" s="1">
        <v>142</v>
      </c>
      <c r="U873" s="8">
        <f t="shared" si="33"/>
        <v>42248</v>
      </c>
    </row>
    <row r="874" spans="1:21" x14ac:dyDescent="0.25">
      <c r="A874" s="2">
        <v>15</v>
      </c>
      <c r="B874" t="s">
        <v>93</v>
      </c>
      <c r="C874" s="2">
        <v>2</v>
      </c>
      <c r="D874" s="2">
        <v>41</v>
      </c>
      <c r="E874" s="2">
        <v>3</v>
      </c>
      <c r="F874" s="2">
        <v>3</v>
      </c>
      <c r="G874" s="2">
        <v>0</v>
      </c>
      <c r="H874" s="2">
        <v>3</v>
      </c>
      <c r="I874" s="2">
        <v>2</v>
      </c>
      <c r="M874" t="s">
        <v>15</v>
      </c>
      <c r="N874" t="str">
        <f>IFERROR(VLOOKUP(B874,'[1]All Player'!$B$2:$C$1992,2,0),"")</f>
        <v>Zaheed Hasan</v>
      </c>
      <c r="O874" s="2" t="s">
        <v>530</v>
      </c>
      <c r="P874" s="16" t="s">
        <v>604</v>
      </c>
      <c r="Q874" s="1">
        <f t="shared" si="31"/>
        <v>1</v>
      </c>
      <c r="R874" s="1">
        <v>142</v>
      </c>
      <c r="U874" s="8">
        <f t="shared" si="33"/>
        <v>42248</v>
      </c>
    </row>
    <row r="875" spans="1:21" x14ac:dyDescent="0.25">
      <c r="A875" s="2">
        <v>15</v>
      </c>
      <c r="B875" t="s">
        <v>167</v>
      </c>
      <c r="C875" s="2">
        <v>2</v>
      </c>
      <c r="D875" s="2">
        <v>7</v>
      </c>
      <c r="E875" s="2">
        <v>1</v>
      </c>
      <c r="F875" s="2">
        <v>1</v>
      </c>
      <c r="G875" s="2">
        <v>0</v>
      </c>
      <c r="H875" s="2">
        <v>1</v>
      </c>
      <c r="I875" s="2">
        <v>0</v>
      </c>
      <c r="J875" s="1"/>
      <c r="M875" t="s">
        <v>15</v>
      </c>
      <c r="N875" t="str">
        <f>IFERROR(VLOOKUP(B875,'[1]All Player'!$B$2:$C$1992,2,0),"")</f>
        <v>Sakif Rahaman</v>
      </c>
      <c r="O875" s="2" t="s">
        <v>530</v>
      </c>
      <c r="P875" s="16" t="s">
        <v>604</v>
      </c>
      <c r="Q875" s="1">
        <f t="shared" si="31"/>
        <v>1</v>
      </c>
      <c r="R875" s="1">
        <v>142</v>
      </c>
      <c r="U875" s="8">
        <f t="shared" si="33"/>
        <v>42248</v>
      </c>
    </row>
    <row r="876" spans="1:21" x14ac:dyDescent="0.25">
      <c r="A876" s="2">
        <v>15</v>
      </c>
      <c r="B876" t="s">
        <v>388</v>
      </c>
      <c r="C876" s="2">
        <v>2</v>
      </c>
      <c r="D876" s="2">
        <v>35</v>
      </c>
      <c r="E876" s="2">
        <v>1</v>
      </c>
      <c r="F876" s="2">
        <v>2</v>
      </c>
      <c r="G876" s="2">
        <v>0</v>
      </c>
      <c r="H876" s="2">
        <v>1</v>
      </c>
      <c r="I876" s="2">
        <v>0</v>
      </c>
      <c r="J876" s="1"/>
      <c r="M876" t="s">
        <v>15</v>
      </c>
      <c r="N876" t="str">
        <f>IFERROR(VLOOKUP(B876,'[1]All Player'!$B$2:$C$1992,2,0),"")</f>
        <v>Oji Vokto Tofu</v>
      </c>
      <c r="O876" s="2" t="s">
        <v>530</v>
      </c>
      <c r="P876" s="16" t="s">
        <v>604</v>
      </c>
      <c r="Q876" s="1">
        <f t="shared" si="31"/>
        <v>1</v>
      </c>
      <c r="R876" s="1">
        <v>142</v>
      </c>
      <c r="U876" s="8">
        <f t="shared" si="33"/>
        <v>42248</v>
      </c>
    </row>
    <row r="877" spans="1:21" x14ac:dyDescent="0.25">
      <c r="A877" s="2">
        <v>15</v>
      </c>
      <c r="B877" s="17" t="s">
        <v>849</v>
      </c>
      <c r="J877" s="1"/>
      <c r="M877" t="s">
        <v>15</v>
      </c>
      <c r="N877" t="str">
        <f>IFERROR(VLOOKUP(B877,'[1]All Player'!$B$2:$C$1992,2,0),"")</f>
        <v/>
      </c>
      <c r="O877" s="2" t="s">
        <v>530</v>
      </c>
      <c r="P877" s="16" t="s">
        <v>849</v>
      </c>
      <c r="Q877" s="1">
        <f t="shared" si="31"/>
        <v>1</v>
      </c>
      <c r="R877" s="1">
        <v>143</v>
      </c>
      <c r="U877" s="8">
        <f t="shared" si="33"/>
        <v>42248</v>
      </c>
    </row>
    <row r="878" spans="1:21" x14ac:dyDescent="0.25">
      <c r="A878" s="2">
        <v>15</v>
      </c>
      <c r="B878" t="s">
        <v>64</v>
      </c>
      <c r="C878" s="2">
        <v>4</v>
      </c>
      <c r="D878" s="2">
        <v>29</v>
      </c>
      <c r="E878" s="2">
        <v>5</v>
      </c>
      <c r="F878" s="2">
        <v>6</v>
      </c>
      <c r="G878" s="2">
        <v>1</v>
      </c>
      <c r="H878" s="2">
        <v>3</v>
      </c>
      <c r="I878" s="2">
        <v>2</v>
      </c>
      <c r="J878" s="1"/>
      <c r="M878" t="s">
        <v>15</v>
      </c>
      <c r="N878" t="str">
        <f>IFERROR(VLOOKUP(B878,'[1]All Player'!$B$2:$C$1992,2,0),"")</f>
        <v>Sumon Ab</v>
      </c>
      <c r="O878" s="2" t="s">
        <v>530</v>
      </c>
      <c r="P878" s="16" t="s">
        <v>849</v>
      </c>
      <c r="Q878" s="1">
        <f t="shared" si="31"/>
        <v>1</v>
      </c>
      <c r="R878" s="1">
        <v>143</v>
      </c>
      <c r="U878" s="8">
        <f t="shared" si="33"/>
        <v>42248</v>
      </c>
    </row>
    <row r="879" spans="1:21" x14ac:dyDescent="0.25">
      <c r="A879" s="2">
        <v>15</v>
      </c>
      <c r="B879" t="s">
        <v>120</v>
      </c>
      <c r="C879" s="2">
        <v>4</v>
      </c>
      <c r="D879" s="2">
        <v>87</v>
      </c>
      <c r="E879" s="2">
        <v>2</v>
      </c>
      <c r="F879" s="2">
        <v>5</v>
      </c>
      <c r="G879" s="2">
        <v>1</v>
      </c>
      <c r="H879" s="2">
        <v>5</v>
      </c>
      <c r="I879" s="2">
        <v>7</v>
      </c>
      <c r="J879" s="1"/>
      <c r="M879" t="s">
        <v>15</v>
      </c>
      <c r="N879" t="str">
        <f>IFERROR(VLOOKUP(B879,'[1]All Player'!$B$2:$C$1992,2,0),"")</f>
        <v>Kamrul Hasan Hridoy</v>
      </c>
      <c r="O879" s="2" t="s">
        <v>530</v>
      </c>
      <c r="P879" s="16" t="s">
        <v>849</v>
      </c>
      <c r="Q879" s="1">
        <f t="shared" si="31"/>
        <v>1</v>
      </c>
      <c r="R879" s="1">
        <v>143</v>
      </c>
      <c r="U879" s="8">
        <f t="shared" si="33"/>
        <v>42248</v>
      </c>
    </row>
    <row r="880" spans="1:21" x14ac:dyDescent="0.25">
      <c r="A880" s="2">
        <v>15</v>
      </c>
      <c r="B880" t="s">
        <v>97</v>
      </c>
      <c r="C880" s="2">
        <v>4</v>
      </c>
      <c r="D880" s="2">
        <v>86</v>
      </c>
      <c r="E880" s="2">
        <v>5</v>
      </c>
      <c r="F880" s="2">
        <v>6</v>
      </c>
      <c r="G880" s="2">
        <v>0</v>
      </c>
      <c r="H880" s="2">
        <v>4</v>
      </c>
      <c r="I880" s="2">
        <v>5</v>
      </c>
      <c r="J880" s="1"/>
      <c r="M880" t="s">
        <v>15</v>
      </c>
      <c r="N880" t="str">
        <f>IFERROR(VLOOKUP(B880,'[1]All Player'!$B$2:$C$1992,2,0),"")</f>
        <v>Sanju Pritom</v>
      </c>
      <c r="O880" s="2" t="s">
        <v>530</v>
      </c>
      <c r="P880" s="16" t="s">
        <v>849</v>
      </c>
      <c r="Q880" s="1">
        <f t="shared" si="31"/>
        <v>1</v>
      </c>
      <c r="R880" s="1">
        <v>143</v>
      </c>
      <c r="U880" s="8">
        <f t="shared" si="33"/>
        <v>42248</v>
      </c>
    </row>
    <row r="881" spans="1:23" x14ac:dyDescent="0.25">
      <c r="A881" s="2">
        <v>15</v>
      </c>
      <c r="B881" t="s">
        <v>380</v>
      </c>
      <c r="C881" s="2">
        <v>4</v>
      </c>
      <c r="D881" s="2">
        <v>15</v>
      </c>
      <c r="E881" s="2">
        <v>1</v>
      </c>
      <c r="F881" s="2">
        <v>4</v>
      </c>
      <c r="G881" s="2">
        <v>0</v>
      </c>
      <c r="H881" s="2">
        <v>1</v>
      </c>
      <c r="I881" s="2">
        <v>1</v>
      </c>
      <c r="J881" s="1"/>
      <c r="M881" t="s">
        <v>15</v>
      </c>
      <c r="N881" t="str">
        <f>IFERROR(VLOOKUP(B881,'[1]All Player'!$B$2:$C$1992,2,0),"")</f>
        <v>Mridul Haque</v>
      </c>
      <c r="O881" s="2" t="s">
        <v>530</v>
      </c>
      <c r="P881" s="16" t="s">
        <v>849</v>
      </c>
      <c r="Q881" s="1">
        <f t="shared" si="31"/>
        <v>1</v>
      </c>
      <c r="R881" s="1">
        <v>143</v>
      </c>
      <c r="U881" s="8">
        <f t="shared" si="33"/>
        <v>42248</v>
      </c>
    </row>
    <row r="882" spans="1:23" x14ac:dyDescent="0.25">
      <c r="A882" s="2">
        <v>15</v>
      </c>
      <c r="B882" s="17" t="s">
        <v>850</v>
      </c>
      <c r="J882" s="1"/>
      <c r="M882" t="s">
        <v>15</v>
      </c>
      <c r="N882" t="str">
        <f>IFERROR(VLOOKUP(B882,'[1]All Player'!$B$2:$C$1992,2,0),"")</f>
        <v/>
      </c>
      <c r="O882" s="2" t="s">
        <v>530</v>
      </c>
      <c r="P882" s="16" t="s">
        <v>850</v>
      </c>
      <c r="Q882" s="1">
        <f t="shared" si="31"/>
        <v>1</v>
      </c>
      <c r="R882" s="1">
        <v>144</v>
      </c>
      <c r="T882" s="1" t="s">
        <v>657</v>
      </c>
      <c r="U882" s="8">
        <f t="shared" si="33"/>
        <v>42248</v>
      </c>
    </row>
    <row r="883" spans="1:23" x14ac:dyDescent="0.25">
      <c r="A883" s="2">
        <v>15</v>
      </c>
      <c r="B883" t="s">
        <v>80</v>
      </c>
      <c r="C883" s="2">
        <v>4</v>
      </c>
      <c r="D883" s="2">
        <v>11</v>
      </c>
      <c r="E883" s="2">
        <v>12</v>
      </c>
      <c r="F883" s="2">
        <v>2</v>
      </c>
      <c r="G883" s="2">
        <v>1</v>
      </c>
      <c r="H883" s="2">
        <v>1</v>
      </c>
      <c r="I883" s="2">
        <v>1</v>
      </c>
      <c r="J883" s="1"/>
      <c r="M883" t="s">
        <v>15</v>
      </c>
      <c r="N883" t="str">
        <f>IFERROR(VLOOKUP(B883,'[1]All Player'!$B$2:$C$1992,2,0),"")</f>
        <v>Kamrul Hasan Tutul</v>
      </c>
      <c r="O883" s="2" t="s">
        <v>530</v>
      </c>
      <c r="P883" s="16" t="s">
        <v>850</v>
      </c>
      <c r="Q883" s="1">
        <f t="shared" si="31"/>
        <v>1</v>
      </c>
      <c r="R883" s="1">
        <v>144</v>
      </c>
      <c r="T883" s="1" t="s">
        <v>657</v>
      </c>
      <c r="U883" s="8">
        <f t="shared" si="33"/>
        <v>42248</v>
      </c>
      <c r="W883" s="1">
        <v>1</v>
      </c>
    </row>
    <row r="884" spans="1:23" x14ac:dyDescent="0.25">
      <c r="A884" s="2">
        <v>15</v>
      </c>
      <c r="B884" t="s">
        <v>85</v>
      </c>
      <c r="C884" s="2">
        <v>5</v>
      </c>
      <c r="D884" s="2">
        <v>65</v>
      </c>
      <c r="E884" s="2">
        <v>8</v>
      </c>
      <c r="F884" s="2">
        <v>3</v>
      </c>
      <c r="G884" s="2">
        <v>0</v>
      </c>
      <c r="H884" s="2">
        <v>2</v>
      </c>
      <c r="I884" s="2">
        <v>5</v>
      </c>
      <c r="J884" s="1"/>
      <c r="M884" t="s">
        <v>15</v>
      </c>
      <c r="N884" t="str">
        <f>IFERROR(VLOOKUP(B884,'[1]All Player'!$B$2:$C$1992,2,0),"")</f>
        <v>Asik Hassan Tonmoy</v>
      </c>
      <c r="O884" s="2" t="s">
        <v>530</v>
      </c>
      <c r="P884" s="16" t="s">
        <v>850</v>
      </c>
      <c r="Q884" s="1">
        <f t="shared" si="31"/>
        <v>1</v>
      </c>
      <c r="R884" s="1">
        <v>144</v>
      </c>
      <c r="T884" s="1" t="s">
        <v>657</v>
      </c>
      <c r="U884" s="8">
        <f t="shared" si="33"/>
        <v>42248</v>
      </c>
    </row>
    <row r="885" spans="1:23" x14ac:dyDescent="0.25">
      <c r="A885" s="2">
        <v>15</v>
      </c>
      <c r="B885" t="s">
        <v>197</v>
      </c>
      <c r="C885" s="2">
        <v>5</v>
      </c>
      <c r="D885" s="2">
        <v>60</v>
      </c>
      <c r="E885" s="2">
        <v>8</v>
      </c>
      <c r="F885" s="2">
        <v>3</v>
      </c>
      <c r="G885" s="2">
        <v>2</v>
      </c>
      <c r="H885" s="2">
        <v>5</v>
      </c>
      <c r="I885" s="2">
        <v>4</v>
      </c>
      <c r="J885" s="1"/>
      <c r="M885" t="s">
        <v>15</v>
      </c>
      <c r="N885" t="str">
        <f>IFERROR(VLOOKUP(B885,'[1]All Player'!$B$2:$C$1992,2,0),"")</f>
        <v>Noushed Mijan</v>
      </c>
      <c r="O885" s="2" t="s">
        <v>530</v>
      </c>
      <c r="P885" s="16" t="s">
        <v>850</v>
      </c>
      <c r="Q885" s="1">
        <f t="shared" si="31"/>
        <v>1</v>
      </c>
      <c r="R885" s="1">
        <v>144</v>
      </c>
      <c r="T885" s="1" t="s">
        <v>657</v>
      </c>
      <c r="U885" s="8">
        <f t="shared" si="33"/>
        <v>42248</v>
      </c>
    </row>
    <row r="886" spans="1:23" x14ac:dyDescent="0.25">
      <c r="A886" s="2">
        <v>15</v>
      </c>
      <c r="B886" t="s">
        <v>199</v>
      </c>
      <c r="C886" s="2">
        <v>5</v>
      </c>
      <c r="D886" s="2">
        <v>126</v>
      </c>
      <c r="E886" s="2">
        <v>1</v>
      </c>
      <c r="F886" s="2">
        <v>6</v>
      </c>
      <c r="G886" s="2">
        <v>2</v>
      </c>
      <c r="H886" s="2">
        <v>9</v>
      </c>
      <c r="I886" s="2">
        <v>7</v>
      </c>
      <c r="J886" s="1"/>
      <c r="M886" t="s">
        <v>15</v>
      </c>
      <c r="N886" t="str">
        <f>IFERROR(VLOOKUP(B886,'[1]All Player'!$B$2:$C$1992,2,0),"")</f>
        <v>Mohammad Faruque</v>
      </c>
      <c r="O886" s="2" t="s">
        <v>530</v>
      </c>
      <c r="P886" s="16" t="s">
        <v>850</v>
      </c>
      <c r="Q886" s="1">
        <f t="shared" si="31"/>
        <v>1</v>
      </c>
      <c r="R886" s="1">
        <v>144</v>
      </c>
      <c r="S886" s="2" t="s">
        <v>658</v>
      </c>
      <c r="T886" s="1" t="s">
        <v>657</v>
      </c>
      <c r="U886" s="8">
        <f t="shared" si="33"/>
        <v>42248</v>
      </c>
      <c r="V886" s="1">
        <v>1</v>
      </c>
    </row>
    <row r="887" spans="1:23" x14ac:dyDescent="0.25">
      <c r="A887" s="2">
        <v>15</v>
      </c>
      <c r="B887" s="17" t="s">
        <v>851</v>
      </c>
      <c r="J887" s="1"/>
      <c r="M887" t="s">
        <v>15</v>
      </c>
      <c r="N887" t="str">
        <f>IFERROR(VLOOKUP(B887,'[1]All Player'!$B$2:$C$1992,2,0),"")</f>
        <v/>
      </c>
      <c r="O887" s="2" t="s">
        <v>530</v>
      </c>
      <c r="P887" s="16" t="s">
        <v>851</v>
      </c>
      <c r="Q887" s="1">
        <f t="shared" si="31"/>
        <v>1</v>
      </c>
      <c r="R887" s="1">
        <v>145</v>
      </c>
      <c r="U887" s="8">
        <f t="shared" si="33"/>
        <v>42248</v>
      </c>
    </row>
    <row r="888" spans="1:23" x14ac:dyDescent="0.25">
      <c r="A888" s="2">
        <v>15</v>
      </c>
      <c r="B888" t="s">
        <v>122</v>
      </c>
      <c r="C888" s="2">
        <v>2</v>
      </c>
      <c r="D888" s="2">
        <v>21</v>
      </c>
      <c r="E888" s="2">
        <v>1</v>
      </c>
      <c r="F888" s="2">
        <v>1</v>
      </c>
      <c r="G888" s="2">
        <v>0</v>
      </c>
      <c r="H888" s="2">
        <v>3</v>
      </c>
      <c r="I888" s="2">
        <v>1</v>
      </c>
      <c r="J888" s="1"/>
      <c r="M888" t="s">
        <v>15</v>
      </c>
      <c r="N888" t="str">
        <f>IFERROR(VLOOKUP(B888,'[1]All Player'!$B$2:$C$1992,2,0),"")</f>
        <v>Towkir Ahmed Siddique</v>
      </c>
      <c r="O888" s="2" t="s">
        <v>530</v>
      </c>
      <c r="P888" s="16" t="s">
        <v>851</v>
      </c>
      <c r="Q888" s="1">
        <f t="shared" si="31"/>
        <v>1</v>
      </c>
      <c r="R888" s="1">
        <v>145</v>
      </c>
      <c r="U888" s="8">
        <f t="shared" si="33"/>
        <v>42248</v>
      </c>
    </row>
    <row r="889" spans="1:23" x14ac:dyDescent="0.25">
      <c r="A889" s="2">
        <v>15</v>
      </c>
      <c r="B889" t="s">
        <v>132</v>
      </c>
      <c r="C889" s="2">
        <v>2</v>
      </c>
      <c r="D889" s="2">
        <v>47</v>
      </c>
      <c r="E889" s="2">
        <v>2</v>
      </c>
      <c r="F889" s="2">
        <v>4</v>
      </c>
      <c r="G889" s="2">
        <v>1</v>
      </c>
      <c r="H889" s="2">
        <v>5</v>
      </c>
      <c r="I889" s="2">
        <v>2</v>
      </c>
      <c r="J889" s="1"/>
      <c r="M889" t="s">
        <v>15</v>
      </c>
      <c r="N889" t="str">
        <f>IFERROR(VLOOKUP(B889,'[1]All Player'!$B$2:$C$1992,2,0),"")</f>
        <v>ShiShir Hossain</v>
      </c>
      <c r="O889" s="2" t="s">
        <v>530</v>
      </c>
      <c r="P889" s="16" t="s">
        <v>851</v>
      </c>
      <c r="Q889" s="1">
        <f t="shared" si="31"/>
        <v>1</v>
      </c>
      <c r="R889" s="1">
        <v>145</v>
      </c>
      <c r="U889" s="8">
        <f t="shared" si="33"/>
        <v>42248</v>
      </c>
    </row>
    <row r="890" spans="1:23" x14ac:dyDescent="0.25">
      <c r="A890" s="2">
        <v>15</v>
      </c>
      <c r="B890" t="s">
        <v>181</v>
      </c>
      <c r="C890" s="2">
        <v>2</v>
      </c>
      <c r="D890" s="2">
        <v>28</v>
      </c>
      <c r="E890" s="2">
        <v>1</v>
      </c>
      <c r="F890" s="2">
        <v>2</v>
      </c>
      <c r="G890" s="2">
        <v>0</v>
      </c>
      <c r="H890" s="2">
        <v>4</v>
      </c>
      <c r="I890" s="2">
        <v>2</v>
      </c>
      <c r="J890" s="1"/>
      <c r="M890" t="s">
        <v>15</v>
      </c>
      <c r="N890" t="str">
        <f>IFERROR(VLOOKUP(B890,'[1]All Player'!$B$2:$C$1992,2,0),"")</f>
        <v>SH Shamim</v>
      </c>
      <c r="O890" s="2" t="s">
        <v>530</v>
      </c>
      <c r="P890" s="16" t="s">
        <v>851</v>
      </c>
      <c r="Q890" s="1">
        <f t="shared" si="31"/>
        <v>1</v>
      </c>
      <c r="R890" s="1">
        <v>145</v>
      </c>
      <c r="U890" s="8">
        <f t="shared" si="33"/>
        <v>42248</v>
      </c>
    </row>
    <row r="891" spans="1:23" x14ac:dyDescent="0.25">
      <c r="A891" s="2">
        <v>15</v>
      </c>
      <c r="B891" t="s">
        <v>148</v>
      </c>
      <c r="C891" s="2">
        <v>2</v>
      </c>
      <c r="D891" s="2">
        <v>4</v>
      </c>
      <c r="E891" s="2">
        <v>1</v>
      </c>
      <c r="F891" s="2">
        <v>2</v>
      </c>
      <c r="G891" s="2">
        <v>0</v>
      </c>
      <c r="H891" s="2">
        <v>0</v>
      </c>
      <c r="I891" s="2">
        <v>0</v>
      </c>
      <c r="J891" s="1"/>
      <c r="M891" t="s">
        <v>15</v>
      </c>
      <c r="N891" t="str">
        <f>IFERROR(VLOOKUP(B891,'[1]All Player'!$B$2:$C$1992,2,0),"")</f>
        <v>AB Saaj</v>
      </c>
      <c r="O891" s="2" t="s">
        <v>530</v>
      </c>
      <c r="P891" s="16" t="s">
        <v>851</v>
      </c>
      <c r="Q891" s="1">
        <f t="shared" si="31"/>
        <v>1</v>
      </c>
      <c r="R891" s="1">
        <v>145</v>
      </c>
      <c r="U891" s="8">
        <f t="shared" si="33"/>
        <v>42248</v>
      </c>
    </row>
    <row r="892" spans="1:23" x14ac:dyDescent="0.25">
      <c r="A892" s="2">
        <v>15</v>
      </c>
      <c r="B892" s="17" t="s">
        <v>852</v>
      </c>
      <c r="J892" s="1"/>
      <c r="M892" t="s">
        <v>15</v>
      </c>
      <c r="N892" t="str">
        <f>IFERROR(VLOOKUP(B892,'[1]All Player'!$B$2:$C$1992,2,0),"")</f>
        <v/>
      </c>
      <c r="O892" s="2" t="s">
        <v>530</v>
      </c>
      <c r="P892" s="16" t="s">
        <v>852</v>
      </c>
      <c r="Q892" s="1">
        <f t="shared" si="31"/>
        <v>1</v>
      </c>
      <c r="R892" s="1">
        <v>146</v>
      </c>
      <c r="U892" s="8">
        <f t="shared" si="33"/>
        <v>42248</v>
      </c>
    </row>
    <row r="893" spans="1:23" x14ac:dyDescent="0.25">
      <c r="A893" s="2">
        <v>15</v>
      </c>
      <c r="B893" t="s">
        <v>104</v>
      </c>
      <c r="C893" s="2">
        <v>2</v>
      </c>
      <c r="D893" s="2">
        <v>27</v>
      </c>
      <c r="E893" s="2">
        <v>2</v>
      </c>
      <c r="F893" s="2">
        <v>1</v>
      </c>
      <c r="G893" s="2">
        <v>0</v>
      </c>
      <c r="H893" s="2">
        <v>3</v>
      </c>
      <c r="I893" s="2">
        <v>1</v>
      </c>
      <c r="J893" s="1"/>
      <c r="M893" t="s">
        <v>15</v>
      </c>
      <c r="N893" t="str">
        <f>IFERROR(VLOOKUP(B893,'[1]All Player'!$B$2:$C$1992,2,0),"")</f>
        <v>Bandhon Podder Pranto</v>
      </c>
      <c r="O893" s="2" t="s">
        <v>530</v>
      </c>
      <c r="P893" s="16" t="s">
        <v>852</v>
      </c>
      <c r="Q893" s="1">
        <f t="shared" si="31"/>
        <v>1</v>
      </c>
      <c r="R893" s="1">
        <v>146</v>
      </c>
      <c r="U893" s="8">
        <f t="shared" si="33"/>
        <v>42248</v>
      </c>
    </row>
    <row r="894" spans="1:23" x14ac:dyDescent="0.25">
      <c r="A894" s="2">
        <v>15</v>
      </c>
      <c r="B894" t="s">
        <v>158</v>
      </c>
      <c r="C894" s="2">
        <v>2</v>
      </c>
      <c r="D894" s="2">
        <v>6</v>
      </c>
      <c r="E894" s="2">
        <v>2</v>
      </c>
      <c r="F894" s="2">
        <v>1</v>
      </c>
      <c r="G894" s="2">
        <v>0</v>
      </c>
      <c r="H894" s="2">
        <v>0</v>
      </c>
      <c r="I894" s="2">
        <v>1</v>
      </c>
      <c r="J894" s="1"/>
      <c r="M894" t="s">
        <v>15</v>
      </c>
      <c r="N894" t="str">
        <f>IFERROR(VLOOKUP(B894,'[1]All Player'!$B$2:$C$1992,2,0),"")</f>
        <v>Sabbir Ahmed</v>
      </c>
      <c r="O894" s="2" t="s">
        <v>530</v>
      </c>
      <c r="P894" s="16" t="s">
        <v>852</v>
      </c>
      <c r="Q894" s="1">
        <f t="shared" si="31"/>
        <v>1</v>
      </c>
      <c r="R894" s="1">
        <v>146</v>
      </c>
      <c r="U894" s="8">
        <f t="shared" si="33"/>
        <v>42248</v>
      </c>
    </row>
    <row r="895" spans="1:23" x14ac:dyDescent="0.25">
      <c r="A895" s="2">
        <v>15</v>
      </c>
      <c r="B895" t="s">
        <v>195</v>
      </c>
      <c r="C895" s="2">
        <v>2</v>
      </c>
      <c r="D895" s="2">
        <v>96</v>
      </c>
      <c r="E895" s="2">
        <v>1</v>
      </c>
      <c r="F895" s="2">
        <v>2</v>
      </c>
      <c r="G895" s="2">
        <v>1</v>
      </c>
      <c r="H895" s="2">
        <v>8</v>
      </c>
      <c r="I895" s="2">
        <v>6</v>
      </c>
      <c r="J895" s="1"/>
      <c r="M895" t="s">
        <v>15</v>
      </c>
      <c r="N895" t="str">
        <f>IFERROR(VLOOKUP(B895,'[1]All Player'!$B$2:$C$1992,2,0),"")</f>
        <v>Hj Himel</v>
      </c>
      <c r="O895" s="2" t="s">
        <v>530</v>
      </c>
      <c r="P895" s="16" t="s">
        <v>852</v>
      </c>
      <c r="Q895" s="1">
        <f t="shared" si="31"/>
        <v>1</v>
      </c>
      <c r="R895" s="1">
        <v>146</v>
      </c>
      <c r="U895" s="8">
        <f t="shared" si="33"/>
        <v>42248</v>
      </c>
    </row>
    <row r="896" spans="1:23" x14ac:dyDescent="0.25">
      <c r="A896" s="2">
        <v>15</v>
      </c>
      <c r="B896" t="s">
        <v>193</v>
      </c>
      <c r="C896" s="2">
        <v>2</v>
      </c>
      <c r="D896" s="2">
        <v>16</v>
      </c>
      <c r="E896" s="2">
        <v>5</v>
      </c>
      <c r="F896" s="2">
        <v>1</v>
      </c>
      <c r="G896" s="2">
        <v>0</v>
      </c>
      <c r="H896" s="2">
        <v>2</v>
      </c>
      <c r="I896" s="2">
        <v>1</v>
      </c>
      <c r="J896" s="1"/>
      <c r="M896" t="s">
        <v>15</v>
      </c>
      <c r="N896" t="str">
        <f>IFERROR(VLOOKUP(B896,'[1]All Player'!$B$2:$C$1992,2,0),"")</f>
        <v>Mostafizur Rahman Mithu</v>
      </c>
      <c r="O896" s="2" t="s">
        <v>530</v>
      </c>
      <c r="P896" s="16" t="s">
        <v>852</v>
      </c>
      <c r="Q896" s="1">
        <f t="shared" si="31"/>
        <v>1</v>
      </c>
      <c r="R896" s="1">
        <v>146</v>
      </c>
      <c r="U896" s="8">
        <f t="shared" si="33"/>
        <v>42248</v>
      </c>
    </row>
    <row r="897" spans="1:21" x14ac:dyDescent="0.25">
      <c r="A897" s="2">
        <v>15</v>
      </c>
      <c r="B897" s="17" t="s">
        <v>853</v>
      </c>
      <c r="J897" s="1"/>
      <c r="M897" t="s">
        <v>15</v>
      </c>
      <c r="N897" t="str">
        <f>IFERROR(VLOOKUP(B897,'[1]All Player'!$B$2:$C$1992,2,0),"")</f>
        <v/>
      </c>
      <c r="O897" s="2" t="s">
        <v>530</v>
      </c>
      <c r="P897" s="16" t="s">
        <v>853</v>
      </c>
      <c r="Q897" s="1">
        <f t="shared" si="31"/>
        <v>1</v>
      </c>
      <c r="R897" s="1">
        <v>147</v>
      </c>
      <c r="U897" s="8">
        <f t="shared" si="33"/>
        <v>42248</v>
      </c>
    </row>
    <row r="898" spans="1:21" x14ac:dyDescent="0.25">
      <c r="A898" s="2">
        <v>15</v>
      </c>
      <c r="B898" t="s">
        <v>298</v>
      </c>
      <c r="C898" s="2">
        <v>3</v>
      </c>
      <c r="D898" s="2">
        <v>22</v>
      </c>
      <c r="E898" s="2">
        <v>1</v>
      </c>
      <c r="F898" s="2">
        <v>3</v>
      </c>
      <c r="G898" s="2">
        <v>0</v>
      </c>
      <c r="H898" s="2">
        <v>2</v>
      </c>
      <c r="I898" s="2">
        <v>2</v>
      </c>
      <c r="J898" s="1"/>
      <c r="M898" t="s">
        <v>15</v>
      </c>
      <c r="N898" t="str">
        <f>IFERROR(VLOOKUP(B898,'[1]All Player'!$B$2:$C$1992,2,0),"")</f>
        <v>Sahed Hossain Masum</v>
      </c>
      <c r="O898" s="2" t="s">
        <v>530</v>
      </c>
      <c r="P898" s="16" t="s">
        <v>853</v>
      </c>
      <c r="Q898" s="1">
        <f t="shared" ref="Q898:Q961" si="34">IF(B898="","",1)</f>
        <v>1</v>
      </c>
      <c r="R898" s="1">
        <v>147</v>
      </c>
      <c r="U898" s="8">
        <f t="shared" si="33"/>
        <v>42248</v>
      </c>
    </row>
    <row r="899" spans="1:21" x14ac:dyDescent="0.25">
      <c r="A899" s="2">
        <v>15</v>
      </c>
      <c r="B899" t="s">
        <v>76</v>
      </c>
      <c r="C899" s="2">
        <v>4</v>
      </c>
      <c r="D899" s="2">
        <v>99</v>
      </c>
      <c r="E899" s="2">
        <v>2</v>
      </c>
      <c r="F899" s="2">
        <v>7</v>
      </c>
      <c r="G899" s="2">
        <v>1</v>
      </c>
      <c r="H899" s="2">
        <v>6</v>
      </c>
      <c r="I899" s="2">
        <v>4</v>
      </c>
      <c r="J899" s="1"/>
      <c r="M899" t="s">
        <v>15</v>
      </c>
      <c r="N899" t="str">
        <f>IFERROR(VLOOKUP(B899,'[1]All Player'!$B$2:$C$1992,2,0),"")</f>
        <v>Kamil Ahmed</v>
      </c>
      <c r="O899" s="2" t="s">
        <v>530</v>
      </c>
      <c r="P899" s="16" t="s">
        <v>853</v>
      </c>
      <c r="Q899" s="1">
        <f t="shared" si="34"/>
        <v>1</v>
      </c>
      <c r="R899" s="1">
        <v>147</v>
      </c>
      <c r="U899" s="8">
        <f t="shared" si="33"/>
        <v>42248</v>
      </c>
    </row>
    <row r="900" spans="1:21" x14ac:dyDescent="0.25">
      <c r="A900" s="2">
        <v>15</v>
      </c>
      <c r="B900" t="s">
        <v>296</v>
      </c>
      <c r="C900" s="2">
        <v>4</v>
      </c>
      <c r="D900" s="2">
        <v>116</v>
      </c>
      <c r="E900" s="2">
        <v>2</v>
      </c>
      <c r="F900" s="2">
        <v>7</v>
      </c>
      <c r="G900" s="2">
        <v>1</v>
      </c>
      <c r="H900" s="2">
        <v>10</v>
      </c>
      <c r="I900" s="2">
        <v>11</v>
      </c>
      <c r="J900" s="1"/>
      <c r="M900" t="s">
        <v>15</v>
      </c>
      <c r="N900" t="str">
        <f>IFERROR(VLOOKUP(B900,'[1]All Player'!$B$2:$C$1992,2,0),"")</f>
        <v>Zi Zohir</v>
      </c>
      <c r="O900" s="2" t="s">
        <v>530</v>
      </c>
      <c r="P900" s="16" t="s">
        <v>853</v>
      </c>
      <c r="Q900" s="1">
        <f t="shared" si="34"/>
        <v>1</v>
      </c>
      <c r="R900" s="1">
        <v>147</v>
      </c>
      <c r="U900" s="8">
        <f t="shared" si="33"/>
        <v>42248</v>
      </c>
    </row>
    <row r="901" spans="1:21" x14ac:dyDescent="0.25">
      <c r="A901" s="2">
        <v>15</v>
      </c>
      <c r="B901" t="s">
        <v>171</v>
      </c>
      <c r="C901" s="2">
        <v>4</v>
      </c>
      <c r="D901" s="2">
        <v>44</v>
      </c>
      <c r="E901" s="2">
        <v>7</v>
      </c>
      <c r="F901" s="2">
        <v>4</v>
      </c>
      <c r="G901" s="2">
        <v>1</v>
      </c>
      <c r="H901" s="2">
        <v>3</v>
      </c>
      <c r="I901" s="2">
        <v>2</v>
      </c>
      <c r="J901" s="1"/>
      <c r="M901" t="s">
        <v>15</v>
      </c>
      <c r="N901" t="str">
        <f>IFERROR(VLOOKUP(B901,'[1]All Player'!$B$2:$C$1992,2,0),"")</f>
        <v>Md. Ruhin</v>
      </c>
      <c r="O901" s="2" t="s">
        <v>530</v>
      </c>
      <c r="P901" s="16" t="s">
        <v>853</v>
      </c>
      <c r="Q901" s="1">
        <f t="shared" si="34"/>
        <v>1</v>
      </c>
      <c r="R901" s="1">
        <v>147</v>
      </c>
      <c r="U901" s="8">
        <f t="shared" si="33"/>
        <v>42248</v>
      </c>
    </row>
    <row r="902" spans="1:21" x14ac:dyDescent="0.25">
      <c r="A902" s="2">
        <v>15</v>
      </c>
      <c r="B902" s="17" t="s">
        <v>854</v>
      </c>
      <c r="J902" s="1"/>
      <c r="M902" t="s">
        <v>15</v>
      </c>
      <c r="N902" t="str">
        <f>IFERROR(VLOOKUP(B902,'[1]All Player'!$B$2:$C$1992,2,0),"")</f>
        <v/>
      </c>
      <c r="O902" s="2" t="s">
        <v>530</v>
      </c>
      <c r="P902" s="16" t="s">
        <v>854</v>
      </c>
      <c r="Q902" s="1">
        <f t="shared" si="34"/>
        <v>1</v>
      </c>
      <c r="R902" s="1">
        <v>148</v>
      </c>
      <c r="U902" s="8">
        <f t="shared" si="33"/>
        <v>42248</v>
      </c>
    </row>
    <row r="903" spans="1:21" x14ac:dyDescent="0.25">
      <c r="A903" s="2">
        <v>15</v>
      </c>
      <c r="B903" t="s">
        <v>62</v>
      </c>
      <c r="C903" s="2">
        <v>1</v>
      </c>
      <c r="D903" s="2">
        <v>13</v>
      </c>
      <c r="E903" s="2">
        <v>1</v>
      </c>
      <c r="F903" s="2">
        <v>2</v>
      </c>
      <c r="G903" s="2">
        <v>0</v>
      </c>
      <c r="H903" s="2">
        <v>1</v>
      </c>
      <c r="I903" s="2">
        <v>1</v>
      </c>
      <c r="J903" s="1"/>
      <c r="M903" t="s">
        <v>15</v>
      </c>
      <c r="N903" t="str">
        <f>IFERROR(VLOOKUP(B903,'[1]All Player'!$B$2:$C$1992,2,0),"")</f>
        <v>MD Tofayel Ahmed</v>
      </c>
      <c r="O903" s="2" t="s">
        <v>530</v>
      </c>
      <c r="P903" s="16" t="s">
        <v>854</v>
      </c>
      <c r="Q903" s="1">
        <f t="shared" si="34"/>
        <v>1</v>
      </c>
      <c r="R903" s="1">
        <v>148</v>
      </c>
      <c r="U903" s="8">
        <f t="shared" si="33"/>
        <v>42248</v>
      </c>
    </row>
    <row r="904" spans="1:21" x14ac:dyDescent="0.25">
      <c r="A904" s="2">
        <v>15</v>
      </c>
      <c r="B904" t="s">
        <v>21</v>
      </c>
      <c r="C904" s="2">
        <v>1</v>
      </c>
      <c r="D904" s="2">
        <v>4</v>
      </c>
      <c r="E904" s="2">
        <v>0</v>
      </c>
      <c r="F904" s="2">
        <v>2</v>
      </c>
      <c r="G904" s="2">
        <v>0</v>
      </c>
      <c r="H904" s="2">
        <v>1</v>
      </c>
      <c r="I904" s="2">
        <v>0</v>
      </c>
      <c r="J904" s="1"/>
      <c r="M904" t="s">
        <v>15</v>
      </c>
      <c r="N904" t="str">
        <f>IFERROR(VLOOKUP(B904,'[1]All Player'!$B$2:$C$1992,2,0),"")</f>
        <v>Faisal Ahmed Jhony</v>
      </c>
      <c r="O904" s="2" t="s">
        <v>530</v>
      </c>
      <c r="P904" s="16" t="s">
        <v>854</v>
      </c>
      <c r="Q904" s="1">
        <f t="shared" si="34"/>
        <v>1</v>
      </c>
      <c r="R904" s="1">
        <v>148</v>
      </c>
      <c r="U904" s="8">
        <f t="shared" si="33"/>
        <v>42248</v>
      </c>
    </row>
    <row r="905" spans="1:21" x14ac:dyDescent="0.25">
      <c r="A905" s="2">
        <v>15</v>
      </c>
      <c r="B905" t="s">
        <v>183</v>
      </c>
      <c r="C905" s="2">
        <v>1</v>
      </c>
      <c r="D905" s="2">
        <v>37</v>
      </c>
      <c r="E905" s="2">
        <v>1</v>
      </c>
      <c r="F905" s="2">
        <v>2</v>
      </c>
      <c r="G905" s="2">
        <v>0</v>
      </c>
      <c r="H905" s="2">
        <v>2</v>
      </c>
      <c r="I905" s="2">
        <v>4</v>
      </c>
      <c r="J905" s="1"/>
      <c r="M905" t="s">
        <v>15</v>
      </c>
      <c r="N905" t="str">
        <f>IFERROR(VLOOKUP(B905,'[1]All Player'!$B$2:$C$1992,2,0),"")</f>
        <v>Red Heart Faisal (Fayze Ahamed)</v>
      </c>
      <c r="O905" s="2" t="s">
        <v>530</v>
      </c>
      <c r="P905" s="16" t="s">
        <v>854</v>
      </c>
      <c r="Q905" s="1">
        <f t="shared" si="34"/>
        <v>1</v>
      </c>
      <c r="R905" s="1">
        <v>148</v>
      </c>
      <c r="U905" s="8">
        <f t="shared" si="33"/>
        <v>42248</v>
      </c>
    </row>
    <row r="906" spans="1:21" x14ac:dyDescent="0.25">
      <c r="A906" s="2">
        <v>15</v>
      </c>
      <c r="B906" t="s">
        <v>78</v>
      </c>
      <c r="C906" s="2">
        <v>1</v>
      </c>
      <c r="D906" s="2">
        <v>0</v>
      </c>
      <c r="E906" s="2">
        <v>1</v>
      </c>
      <c r="F906" s="2">
        <v>0</v>
      </c>
      <c r="G906" s="2">
        <v>0</v>
      </c>
      <c r="H906" s="2">
        <v>0</v>
      </c>
      <c r="I906" s="2">
        <v>0</v>
      </c>
      <c r="J906" s="1"/>
      <c r="M906" t="s">
        <v>15</v>
      </c>
      <c r="N906" t="str">
        <f>IFERROR(VLOOKUP(B906,'[1]All Player'!$B$2:$C$1992,2,0),"")</f>
        <v>KM Rashedul Islam Rashed</v>
      </c>
      <c r="O906" s="2" t="s">
        <v>530</v>
      </c>
      <c r="P906" s="16" t="s">
        <v>854</v>
      </c>
      <c r="Q906" s="1">
        <f t="shared" si="34"/>
        <v>1</v>
      </c>
      <c r="R906" s="1">
        <v>148</v>
      </c>
      <c r="U906" s="8">
        <f t="shared" si="33"/>
        <v>42248</v>
      </c>
    </row>
    <row r="907" spans="1:21" x14ac:dyDescent="0.25">
      <c r="A907" s="2">
        <v>15</v>
      </c>
      <c r="B907" s="17" t="s">
        <v>855</v>
      </c>
      <c r="J907" s="1"/>
      <c r="M907" t="s">
        <v>15</v>
      </c>
      <c r="N907" t="str">
        <f>IFERROR(VLOOKUP(B907,'[1]All Player'!$B$2:$C$1992,2,0),"")</f>
        <v/>
      </c>
      <c r="O907" s="2" t="s">
        <v>530</v>
      </c>
      <c r="P907" s="16" t="s">
        <v>855</v>
      </c>
      <c r="Q907" s="1">
        <f t="shared" si="34"/>
        <v>1</v>
      </c>
      <c r="R907" s="1">
        <v>149</v>
      </c>
      <c r="T907" s="1" t="s">
        <v>659</v>
      </c>
      <c r="U907" s="8">
        <f t="shared" si="33"/>
        <v>42248</v>
      </c>
    </row>
    <row r="908" spans="1:21" x14ac:dyDescent="0.25">
      <c r="A908" s="2">
        <v>15</v>
      </c>
      <c r="B908" t="s">
        <v>46</v>
      </c>
      <c r="C908" s="2">
        <v>4</v>
      </c>
      <c r="D908" s="2">
        <v>81</v>
      </c>
      <c r="E908" s="2">
        <v>5</v>
      </c>
      <c r="F908" s="2">
        <v>8</v>
      </c>
      <c r="G908" s="2">
        <v>1</v>
      </c>
      <c r="H908" s="2">
        <v>7</v>
      </c>
      <c r="I908" s="2">
        <v>3</v>
      </c>
      <c r="J908" s="1"/>
      <c r="M908" t="s">
        <v>15</v>
      </c>
      <c r="N908" t="str">
        <f>IFERROR(VLOOKUP(B908,'[1]All Player'!$B$2:$C$1992,2,0),"")</f>
        <v>Roman mahamud Arko</v>
      </c>
      <c r="O908" s="2" t="s">
        <v>530</v>
      </c>
      <c r="P908" s="16" t="s">
        <v>855</v>
      </c>
      <c r="Q908" s="1">
        <f t="shared" si="34"/>
        <v>1</v>
      </c>
      <c r="R908" s="1">
        <v>149</v>
      </c>
      <c r="T908" s="1" t="s">
        <v>659</v>
      </c>
      <c r="U908" s="8">
        <f t="shared" si="33"/>
        <v>42248</v>
      </c>
    </row>
    <row r="909" spans="1:21" x14ac:dyDescent="0.25">
      <c r="A909" s="2">
        <v>15</v>
      </c>
      <c r="B909" t="s">
        <v>144</v>
      </c>
      <c r="C909" s="2">
        <v>4</v>
      </c>
      <c r="D909" s="2">
        <v>116</v>
      </c>
      <c r="E909" s="2">
        <v>6</v>
      </c>
      <c r="F909" s="2">
        <v>8</v>
      </c>
      <c r="G909" s="2">
        <v>1</v>
      </c>
      <c r="H909" s="2">
        <v>17</v>
      </c>
      <c r="I909" s="2">
        <v>7</v>
      </c>
      <c r="J909" s="1"/>
      <c r="M909" t="s">
        <v>15</v>
      </c>
      <c r="N909" t="str">
        <f>IFERROR(VLOOKUP(B909,'[1]All Player'!$B$2:$C$1992,2,0),"")</f>
        <v>Toufiq Ahmed Ovi</v>
      </c>
      <c r="O909" s="2" t="s">
        <v>530</v>
      </c>
      <c r="P909" s="16" t="s">
        <v>855</v>
      </c>
      <c r="Q909" s="1">
        <f t="shared" si="34"/>
        <v>1</v>
      </c>
      <c r="R909" s="1">
        <v>149</v>
      </c>
      <c r="S909" s="2" t="s">
        <v>660</v>
      </c>
      <c r="T909" s="1" t="s">
        <v>659</v>
      </c>
      <c r="U909" s="8">
        <f t="shared" si="33"/>
        <v>42248</v>
      </c>
    </row>
    <row r="910" spans="1:21" x14ac:dyDescent="0.25">
      <c r="A910" s="2">
        <v>15</v>
      </c>
      <c r="B910" t="s">
        <v>191</v>
      </c>
      <c r="C910" s="2">
        <v>4</v>
      </c>
      <c r="D910" s="2">
        <v>40</v>
      </c>
      <c r="E910" s="2">
        <v>2</v>
      </c>
      <c r="F910" s="2">
        <v>4</v>
      </c>
      <c r="G910" s="2">
        <v>0</v>
      </c>
      <c r="H910" s="2">
        <v>5</v>
      </c>
      <c r="I910" s="2">
        <v>2</v>
      </c>
      <c r="J910" s="1"/>
      <c r="M910" t="s">
        <v>15</v>
      </c>
      <c r="N910" t="str">
        <f>IFERROR(VLOOKUP(B910,'[1]All Player'!$B$2:$C$1992,2,0),"")</f>
        <v>Mohammad Haris Mullah</v>
      </c>
      <c r="O910" s="2" t="s">
        <v>530</v>
      </c>
      <c r="P910" s="16" t="s">
        <v>855</v>
      </c>
      <c r="Q910" s="1">
        <f t="shared" si="34"/>
        <v>1</v>
      </c>
      <c r="R910" s="1">
        <v>149</v>
      </c>
      <c r="T910" s="1" t="s">
        <v>659</v>
      </c>
      <c r="U910" s="8">
        <f t="shared" si="33"/>
        <v>42248</v>
      </c>
    </row>
    <row r="911" spans="1:21" x14ac:dyDescent="0.25">
      <c r="A911" s="2">
        <v>15</v>
      </c>
      <c r="B911" t="s">
        <v>31</v>
      </c>
      <c r="C911" s="2">
        <v>1</v>
      </c>
      <c r="D911" s="2">
        <v>1</v>
      </c>
      <c r="E911" s="2">
        <v>3</v>
      </c>
      <c r="F911" s="2">
        <v>1</v>
      </c>
      <c r="G911" s="2">
        <v>0</v>
      </c>
      <c r="H911" s="2">
        <v>0</v>
      </c>
      <c r="I911" s="2">
        <v>0</v>
      </c>
      <c r="J911" s="1"/>
      <c r="M911" t="s">
        <v>15</v>
      </c>
      <c r="N911" t="str">
        <f>IFERROR(VLOOKUP(B911,'[1]All Player'!$B$2:$C$1992,2,0),"")</f>
        <v>Hetlar Shohag</v>
      </c>
      <c r="O911" s="2" t="s">
        <v>530</v>
      </c>
      <c r="P911" s="16" t="s">
        <v>855</v>
      </c>
      <c r="Q911" s="1">
        <f t="shared" si="34"/>
        <v>1</v>
      </c>
      <c r="R911" s="1">
        <v>149</v>
      </c>
      <c r="T911" s="1" t="s">
        <v>659</v>
      </c>
      <c r="U911" s="8">
        <f t="shared" si="33"/>
        <v>42248</v>
      </c>
    </row>
    <row r="912" spans="1:21" x14ac:dyDescent="0.25">
      <c r="A912" s="2">
        <v>15</v>
      </c>
      <c r="B912" s="17" t="s">
        <v>531</v>
      </c>
      <c r="J912" s="1"/>
      <c r="M912" t="s">
        <v>15</v>
      </c>
      <c r="N912" t="str">
        <f>IFERROR(VLOOKUP(B912,'[1]All Player'!$B$2:$C$1992,2,0),"")</f>
        <v/>
      </c>
      <c r="O912" s="2" t="s">
        <v>530</v>
      </c>
      <c r="P912" s="16" t="s">
        <v>531</v>
      </c>
      <c r="Q912" s="1">
        <f t="shared" si="34"/>
        <v>1</v>
      </c>
      <c r="R912" s="1">
        <v>150</v>
      </c>
      <c r="U912" s="8">
        <f t="shared" si="33"/>
        <v>42248</v>
      </c>
    </row>
    <row r="913" spans="1:21" x14ac:dyDescent="0.25">
      <c r="A913" s="2">
        <v>15</v>
      </c>
      <c r="B913" t="s">
        <v>130</v>
      </c>
      <c r="C913" s="2">
        <v>3</v>
      </c>
      <c r="D913" s="2">
        <v>73</v>
      </c>
      <c r="E913" s="2">
        <v>3</v>
      </c>
      <c r="F913" s="2">
        <v>6</v>
      </c>
      <c r="G913" s="2">
        <v>1</v>
      </c>
      <c r="H913" s="2">
        <v>6</v>
      </c>
      <c r="I913" s="2">
        <v>6</v>
      </c>
      <c r="J913" s="1"/>
      <c r="M913" t="s">
        <v>15</v>
      </c>
      <c r="N913" t="str">
        <f>IFERROR(VLOOKUP(B913,'[1]All Player'!$B$2:$C$1992,2,0),"")</f>
        <v>Shahriar Khokon</v>
      </c>
      <c r="O913" s="2" t="s">
        <v>530</v>
      </c>
      <c r="P913" s="16" t="s">
        <v>531</v>
      </c>
      <c r="Q913" s="1">
        <f t="shared" si="34"/>
        <v>1</v>
      </c>
      <c r="R913" s="1">
        <v>150</v>
      </c>
      <c r="U913" s="8">
        <f t="shared" si="33"/>
        <v>42248</v>
      </c>
    </row>
    <row r="914" spans="1:21" x14ac:dyDescent="0.25">
      <c r="A914" s="2">
        <v>15</v>
      </c>
      <c r="B914" t="s">
        <v>221</v>
      </c>
      <c r="C914" s="2">
        <v>3</v>
      </c>
      <c r="D914" s="2">
        <v>14</v>
      </c>
      <c r="E914" s="2">
        <v>1</v>
      </c>
      <c r="F914" s="2">
        <v>2</v>
      </c>
      <c r="G914" s="2">
        <v>0</v>
      </c>
      <c r="H914" s="2">
        <v>2</v>
      </c>
      <c r="I914" s="2">
        <v>1</v>
      </c>
      <c r="J914" s="1"/>
      <c r="M914" t="s">
        <v>15</v>
      </c>
      <c r="N914" t="str">
        <f>IFERROR(VLOOKUP(B914,'[1]All Player'!$B$2:$C$1992,2,0),"")</f>
        <v>Yahya Riyad</v>
      </c>
      <c r="O914" s="2" t="s">
        <v>530</v>
      </c>
      <c r="P914" s="16" t="s">
        <v>531</v>
      </c>
      <c r="Q914" s="1">
        <f t="shared" si="34"/>
        <v>1</v>
      </c>
      <c r="R914" s="1">
        <v>150</v>
      </c>
      <c r="U914" s="8">
        <f t="shared" si="33"/>
        <v>42248</v>
      </c>
    </row>
    <row r="915" spans="1:21" x14ac:dyDescent="0.25">
      <c r="A915" s="2">
        <v>15</v>
      </c>
      <c r="B915" t="s">
        <v>124</v>
      </c>
      <c r="C915" s="2">
        <v>3</v>
      </c>
      <c r="D915" s="2">
        <v>40</v>
      </c>
      <c r="E915" s="2">
        <v>4</v>
      </c>
      <c r="F915" s="2">
        <v>5</v>
      </c>
      <c r="G915" s="2">
        <v>0</v>
      </c>
      <c r="H915" s="2">
        <v>3</v>
      </c>
      <c r="I915" s="2">
        <v>1</v>
      </c>
      <c r="J915" s="1"/>
      <c r="M915" t="s">
        <v>15</v>
      </c>
      <c r="N915" t="str">
        <f>IFERROR(VLOOKUP(B915,'[1]All Player'!$B$2:$C$1992,2,0),"")</f>
        <v>Mahbubur Rahman Akash</v>
      </c>
      <c r="O915" s="2" t="s">
        <v>530</v>
      </c>
      <c r="P915" s="16" t="s">
        <v>531</v>
      </c>
      <c r="Q915" s="1">
        <f t="shared" si="34"/>
        <v>1</v>
      </c>
      <c r="R915" s="1">
        <v>150</v>
      </c>
      <c r="U915" s="8">
        <f t="shared" si="33"/>
        <v>42248</v>
      </c>
    </row>
    <row r="916" spans="1:21" x14ac:dyDescent="0.25">
      <c r="A916" s="2">
        <v>15</v>
      </c>
      <c r="B916" t="s">
        <v>239</v>
      </c>
      <c r="C916" s="2">
        <v>3</v>
      </c>
      <c r="D916" s="2">
        <v>60</v>
      </c>
      <c r="E916" s="2">
        <v>3</v>
      </c>
      <c r="F916" s="2">
        <v>5</v>
      </c>
      <c r="G916" s="2">
        <v>0</v>
      </c>
      <c r="H916" s="2">
        <v>3</v>
      </c>
      <c r="I916" s="2">
        <v>4</v>
      </c>
      <c r="J916" s="1"/>
      <c r="M916" t="s">
        <v>15</v>
      </c>
      <c r="N916" t="str">
        <f>IFERROR(VLOOKUP(B916,'[1]All Player'!$B$2:$C$1992,2,0),"")</f>
        <v>GM Manik</v>
      </c>
      <c r="O916" s="2" t="s">
        <v>530</v>
      </c>
      <c r="P916" s="16" t="s">
        <v>531</v>
      </c>
      <c r="Q916" s="1">
        <f t="shared" si="34"/>
        <v>1</v>
      </c>
      <c r="R916" s="1">
        <v>150</v>
      </c>
      <c r="U916" s="8">
        <f t="shared" si="33"/>
        <v>42248</v>
      </c>
    </row>
    <row r="917" spans="1:21" x14ac:dyDescent="0.25">
      <c r="A917" s="2">
        <v>15</v>
      </c>
      <c r="B917" s="17" t="s">
        <v>856</v>
      </c>
      <c r="J917" s="1"/>
      <c r="M917" t="s">
        <v>15</v>
      </c>
      <c r="N917" t="str">
        <f>IFERROR(VLOOKUP(B917,'[1]All Player'!$B$2:$C$1992,2,0),"")</f>
        <v/>
      </c>
      <c r="O917" s="2" t="s">
        <v>530</v>
      </c>
      <c r="P917" s="16" t="s">
        <v>856</v>
      </c>
      <c r="Q917" s="1">
        <f t="shared" si="34"/>
        <v>1</v>
      </c>
      <c r="R917" s="1">
        <v>151</v>
      </c>
      <c r="U917" s="8">
        <f t="shared" si="33"/>
        <v>42248</v>
      </c>
    </row>
    <row r="918" spans="1:21" x14ac:dyDescent="0.25">
      <c r="A918" s="2">
        <v>15</v>
      </c>
      <c r="B918" t="s">
        <v>24</v>
      </c>
      <c r="C918" s="2">
        <v>1</v>
      </c>
      <c r="D918" s="2">
        <v>18</v>
      </c>
      <c r="E918" s="2">
        <v>2</v>
      </c>
      <c r="F918" s="2">
        <v>1</v>
      </c>
      <c r="G918" s="24">
        <v>0</v>
      </c>
      <c r="H918" s="2">
        <v>3</v>
      </c>
      <c r="I918" s="2">
        <v>1</v>
      </c>
      <c r="J918" s="1"/>
      <c r="M918" t="s">
        <v>15</v>
      </c>
      <c r="N918" t="str">
        <f>IFERROR(VLOOKUP(B918,'[1]All Player'!$B$2:$C$1992,2,0),"")</f>
        <v>Nur Muhammad</v>
      </c>
      <c r="O918" s="2" t="s">
        <v>530</v>
      </c>
      <c r="P918" s="16" t="s">
        <v>856</v>
      </c>
      <c r="Q918" s="1">
        <f t="shared" si="34"/>
        <v>1</v>
      </c>
      <c r="R918" s="1">
        <v>151</v>
      </c>
      <c r="U918" s="8">
        <f t="shared" si="33"/>
        <v>42248</v>
      </c>
    </row>
    <row r="919" spans="1:21" x14ac:dyDescent="0.25">
      <c r="A919" s="2">
        <v>15</v>
      </c>
      <c r="B919" t="s">
        <v>99</v>
      </c>
      <c r="C919" s="2">
        <v>1</v>
      </c>
      <c r="D919" s="2">
        <v>3</v>
      </c>
      <c r="E919" s="2">
        <v>1</v>
      </c>
      <c r="F919" s="2">
        <v>1</v>
      </c>
      <c r="G919" s="2">
        <v>0</v>
      </c>
      <c r="H919" s="2">
        <v>0</v>
      </c>
      <c r="I919" s="2">
        <v>0</v>
      </c>
      <c r="J919" s="1"/>
      <c r="M919" t="s">
        <v>15</v>
      </c>
      <c r="N919" t="str">
        <f>IFERROR(VLOOKUP(B919,'[1]All Player'!$B$2:$C$1992,2,0),"")</f>
        <v>Bishwajit Sarkar</v>
      </c>
      <c r="O919" s="2" t="s">
        <v>530</v>
      </c>
      <c r="P919" s="16" t="s">
        <v>856</v>
      </c>
      <c r="Q919" s="1">
        <f t="shared" si="34"/>
        <v>1</v>
      </c>
      <c r="R919" s="1">
        <v>151</v>
      </c>
      <c r="U919" s="8">
        <f t="shared" si="33"/>
        <v>42248</v>
      </c>
    </row>
    <row r="920" spans="1:21" x14ac:dyDescent="0.25">
      <c r="A920" s="2">
        <v>15</v>
      </c>
      <c r="B920" t="s">
        <v>91</v>
      </c>
      <c r="C920" s="2">
        <v>1</v>
      </c>
      <c r="D920" s="2">
        <v>51</v>
      </c>
      <c r="E920" s="2">
        <v>1</v>
      </c>
      <c r="F920" s="2">
        <v>2</v>
      </c>
      <c r="G920" s="2">
        <v>1</v>
      </c>
      <c r="H920" s="2">
        <v>5</v>
      </c>
      <c r="I920" s="2">
        <v>2</v>
      </c>
      <c r="J920" s="1"/>
      <c r="M920" t="s">
        <v>15</v>
      </c>
      <c r="N920" t="str">
        <f>IFERROR(VLOOKUP(B920,'[1]All Player'!$B$2:$C$1992,2,0),"")</f>
        <v>Abdullah Al Mamun</v>
      </c>
      <c r="O920" s="2" t="s">
        <v>530</v>
      </c>
      <c r="P920" s="16" t="s">
        <v>856</v>
      </c>
      <c r="Q920" s="1">
        <f t="shared" si="34"/>
        <v>1</v>
      </c>
      <c r="R920" s="1">
        <v>151</v>
      </c>
      <c r="U920" s="8">
        <f t="shared" si="33"/>
        <v>42248</v>
      </c>
    </row>
    <row r="921" spans="1:21" x14ac:dyDescent="0.25">
      <c r="A921" s="2">
        <v>15</v>
      </c>
      <c r="B921" t="s">
        <v>156</v>
      </c>
      <c r="C921" s="2">
        <v>1</v>
      </c>
      <c r="D921" s="2">
        <v>0</v>
      </c>
      <c r="E921" s="2">
        <v>2</v>
      </c>
      <c r="F921" s="2">
        <v>1</v>
      </c>
      <c r="G921" s="2">
        <v>0</v>
      </c>
      <c r="H921" s="2">
        <v>0</v>
      </c>
      <c r="I921" s="2">
        <v>0</v>
      </c>
      <c r="J921" s="1"/>
      <c r="M921" t="s">
        <v>15</v>
      </c>
      <c r="N921" t="str">
        <f>IFERROR(VLOOKUP(B921,'[1]All Player'!$B$2:$C$1992,2,0),"")</f>
        <v>Prince Tarek</v>
      </c>
      <c r="O921" s="2" t="s">
        <v>530</v>
      </c>
      <c r="P921" s="16" t="s">
        <v>856</v>
      </c>
      <c r="Q921" s="1">
        <f t="shared" si="34"/>
        <v>1</v>
      </c>
      <c r="R921" s="1">
        <v>151</v>
      </c>
      <c r="U921" s="8">
        <f t="shared" si="33"/>
        <v>42248</v>
      </c>
    </row>
    <row r="922" spans="1:21" x14ac:dyDescent="0.25">
      <c r="A922" s="2">
        <v>16</v>
      </c>
      <c r="B922" t="s">
        <v>857</v>
      </c>
      <c r="J922" s="1"/>
      <c r="M922" t="s">
        <v>15</v>
      </c>
      <c r="N922" t="str">
        <f>IFERROR(VLOOKUP(B922,'[1]All Player'!$B$2:$C$1992,2,0),"")</f>
        <v/>
      </c>
      <c r="O922" s="2" t="s">
        <v>496</v>
      </c>
      <c r="P922" s="16" t="s">
        <v>606</v>
      </c>
      <c r="Q922" s="1">
        <f t="shared" si="34"/>
        <v>1</v>
      </c>
      <c r="R922" s="1">
        <v>152</v>
      </c>
      <c r="T922" s="27"/>
      <c r="U922" s="8">
        <v>42401</v>
      </c>
    </row>
    <row r="923" spans="1:21" x14ac:dyDescent="0.25">
      <c r="A923" s="2">
        <v>16</v>
      </c>
      <c r="B923" t="s">
        <v>191</v>
      </c>
      <c r="C923" s="2">
        <v>6</v>
      </c>
      <c r="D923" s="2">
        <v>42</v>
      </c>
      <c r="E923" s="2">
        <v>5</v>
      </c>
      <c r="F923" s="2">
        <v>7</v>
      </c>
      <c r="G923" s="2">
        <v>0</v>
      </c>
      <c r="H923" s="2">
        <v>5</v>
      </c>
      <c r="I923" s="2">
        <v>1</v>
      </c>
      <c r="J923" s="1"/>
      <c r="M923" t="s">
        <v>15</v>
      </c>
      <c r="N923" t="str">
        <f>IFERROR(VLOOKUP(B923,'[1]All Player'!$B$2:$C$1992,2,0),"")</f>
        <v>Mohammad Haris Mullah</v>
      </c>
      <c r="O923" s="2" t="s">
        <v>496</v>
      </c>
      <c r="P923" s="16" t="s">
        <v>606</v>
      </c>
      <c r="Q923" s="1">
        <f t="shared" si="34"/>
        <v>1</v>
      </c>
      <c r="R923" s="1">
        <v>152</v>
      </c>
      <c r="U923" s="8">
        <f t="shared" ref="U923:U984" si="35">U922</f>
        <v>42401</v>
      </c>
    </row>
    <row r="924" spans="1:21" x14ac:dyDescent="0.25">
      <c r="A924" s="2">
        <v>16</v>
      </c>
      <c r="B924" t="s">
        <v>400</v>
      </c>
      <c r="C924" s="2">
        <v>5</v>
      </c>
      <c r="D924" s="2">
        <v>85</v>
      </c>
      <c r="E924" s="2">
        <v>9</v>
      </c>
      <c r="F924" s="2">
        <v>7</v>
      </c>
      <c r="G924" s="2">
        <v>0</v>
      </c>
      <c r="H924" s="2">
        <v>4</v>
      </c>
      <c r="I924" s="2">
        <v>2</v>
      </c>
      <c r="J924" s="1"/>
      <c r="M924" t="s">
        <v>15</v>
      </c>
      <c r="N924" t="str">
        <f>IFERROR(VLOOKUP(B924,'[1]All Player'!$B$2:$C$1992,2,0),"")</f>
        <v>Obak Roxy</v>
      </c>
      <c r="O924" s="2" t="s">
        <v>496</v>
      </c>
      <c r="P924" s="16" t="s">
        <v>606</v>
      </c>
      <c r="Q924" s="1">
        <f t="shared" si="34"/>
        <v>1</v>
      </c>
      <c r="R924" s="1">
        <v>152</v>
      </c>
      <c r="U924" s="8">
        <f t="shared" si="35"/>
        <v>42401</v>
      </c>
    </row>
    <row r="925" spans="1:21" x14ac:dyDescent="0.25">
      <c r="A925" s="2">
        <v>16</v>
      </c>
      <c r="B925" t="s">
        <v>29</v>
      </c>
      <c r="C925" s="2">
        <v>5</v>
      </c>
      <c r="D925" s="2">
        <v>98</v>
      </c>
      <c r="E925" s="2">
        <v>0</v>
      </c>
      <c r="F925" s="2">
        <v>8</v>
      </c>
      <c r="G925" s="2">
        <v>1</v>
      </c>
      <c r="H925" s="2">
        <v>8</v>
      </c>
      <c r="I925" s="2">
        <v>4</v>
      </c>
      <c r="J925" s="1"/>
      <c r="M925" t="s">
        <v>15</v>
      </c>
      <c r="N925" t="str">
        <f>IFERROR(VLOOKUP(B925,'[1]All Player'!$B$2:$C$1992,2,0),"")</f>
        <v>Foysal Ahmed Jumon</v>
      </c>
      <c r="O925" s="2" t="s">
        <v>496</v>
      </c>
      <c r="P925" s="16" t="s">
        <v>606</v>
      </c>
      <c r="Q925" s="1">
        <f t="shared" si="34"/>
        <v>1</v>
      </c>
      <c r="R925" s="1">
        <v>152</v>
      </c>
      <c r="U925" s="8">
        <f t="shared" si="35"/>
        <v>42401</v>
      </c>
    </row>
    <row r="926" spans="1:21" x14ac:dyDescent="0.25">
      <c r="A926" s="2">
        <v>16</v>
      </c>
      <c r="B926" t="s">
        <v>38</v>
      </c>
      <c r="C926" s="2">
        <v>2</v>
      </c>
      <c r="D926" s="2">
        <v>14</v>
      </c>
      <c r="E926" s="2">
        <v>1</v>
      </c>
      <c r="F926" s="2">
        <v>2</v>
      </c>
      <c r="G926" s="2">
        <v>0</v>
      </c>
      <c r="H926" s="2">
        <v>1</v>
      </c>
      <c r="I926" s="2">
        <v>1</v>
      </c>
      <c r="J926" s="1"/>
      <c r="M926" t="s">
        <v>15</v>
      </c>
      <c r="N926" t="str">
        <f>IFERROR(VLOOKUP(B926,'[1]All Player'!$B$2:$C$1992,2,0),"")</f>
        <v>Rayhan Rahman</v>
      </c>
      <c r="O926" s="2" t="s">
        <v>496</v>
      </c>
      <c r="P926" s="16" t="s">
        <v>606</v>
      </c>
      <c r="Q926" s="1">
        <f t="shared" si="34"/>
        <v>1</v>
      </c>
      <c r="R926" s="1">
        <v>152</v>
      </c>
      <c r="U926" s="8">
        <f t="shared" si="35"/>
        <v>42401</v>
      </c>
    </row>
    <row r="927" spans="1:21" x14ac:dyDescent="0.25">
      <c r="A927" s="2">
        <v>16</v>
      </c>
      <c r="B927" t="s">
        <v>95</v>
      </c>
      <c r="C927" s="2">
        <v>5</v>
      </c>
      <c r="D927" s="2">
        <v>61</v>
      </c>
      <c r="E927" s="2">
        <v>4</v>
      </c>
      <c r="F927" s="2">
        <v>6</v>
      </c>
      <c r="G927" s="2">
        <v>1</v>
      </c>
      <c r="H927" s="2">
        <v>3</v>
      </c>
      <c r="I927" s="2">
        <v>5</v>
      </c>
      <c r="J927" s="1"/>
      <c r="M927" t="s">
        <v>15</v>
      </c>
      <c r="N927" t="str">
        <f>IFERROR(VLOOKUP(B927,'[1]All Player'!$B$2:$C$1992,2,0),"")</f>
        <v>Sadrul Anam</v>
      </c>
      <c r="O927" s="26" t="s">
        <v>496</v>
      </c>
      <c r="P927" s="16" t="s">
        <v>606</v>
      </c>
      <c r="Q927" s="1">
        <f t="shared" si="34"/>
        <v>1</v>
      </c>
      <c r="R927" s="1">
        <v>152</v>
      </c>
      <c r="U927" s="8">
        <f t="shared" si="35"/>
        <v>42401</v>
      </c>
    </row>
    <row r="928" spans="1:21" x14ac:dyDescent="0.25">
      <c r="A928" s="2">
        <v>16</v>
      </c>
      <c r="B928" t="s">
        <v>24</v>
      </c>
      <c r="C928" s="2">
        <v>5</v>
      </c>
      <c r="D928" s="2">
        <v>129</v>
      </c>
      <c r="E928" s="2">
        <v>7</v>
      </c>
      <c r="F928" s="2">
        <v>7</v>
      </c>
      <c r="G928" s="24">
        <v>1</v>
      </c>
      <c r="H928" s="2">
        <v>13</v>
      </c>
      <c r="I928" s="2">
        <v>10</v>
      </c>
      <c r="J928" s="1"/>
      <c r="M928" t="s">
        <v>15</v>
      </c>
      <c r="N928" t="str">
        <f>IFERROR(VLOOKUP(B928,'[1]All Player'!$B$2:$C$1992,2,0),"")</f>
        <v>Nur Muhammad</v>
      </c>
      <c r="O928" s="2" t="s">
        <v>496</v>
      </c>
      <c r="P928" s="16" t="s">
        <v>606</v>
      </c>
      <c r="Q928" s="1">
        <f t="shared" si="34"/>
        <v>1</v>
      </c>
      <c r="R928" s="1">
        <v>152</v>
      </c>
      <c r="U928" s="8">
        <f t="shared" si="35"/>
        <v>42401</v>
      </c>
    </row>
    <row r="929" spans="1:22" x14ac:dyDescent="0.25">
      <c r="A929" s="2">
        <v>16</v>
      </c>
      <c r="B929" t="s">
        <v>173</v>
      </c>
      <c r="C929" s="2">
        <v>4</v>
      </c>
      <c r="D929" s="2">
        <v>56</v>
      </c>
      <c r="E929" s="2">
        <v>2</v>
      </c>
      <c r="F929" s="2">
        <v>5</v>
      </c>
      <c r="G929" s="2">
        <v>0</v>
      </c>
      <c r="H929" s="2">
        <v>4</v>
      </c>
      <c r="I929" s="2">
        <v>3</v>
      </c>
      <c r="J929" s="1"/>
      <c r="M929" t="s">
        <v>15</v>
      </c>
      <c r="N929" t="str">
        <f>IFERROR(VLOOKUP(B929,'[1]All Player'!$B$2:$C$1992,2,0),"")</f>
        <v>Sajjadul Haque Sagar</v>
      </c>
      <c r="O929" s="2" t="s">
        <v>496</v>
      </c>
      <c r="P929" s="16" t="s">
        <v>606</v>
      </c>
      <c r="Q929" s="1">
        <f t="shared" si="34"/>
        <v>1</v>
      </c>
      <c r="R929" s="1">
        <v>152</v>
      </c>
      <c r="U929" s="8">
        <f t="shared" si="35"/>
        <v>42401</v>
      </c>
    </row>
    <row r="930" spans="1:22" x14ac:dyDescent="0.25">
      <c r="A930" s="2">
        <v>16</v>
      </c>
      <c r="B930" t="s">
        <v>858</v>
      </c>
      <c r="J930" s="1"/>
      <c r="M930" t="s">
        <v>15</v>
      </c>
      <c r="N930" t="str">
        <f>IFERROR(VLOOKUP(B930,'[1]All Player'!$B$2:$C$1992,2,0),"")</f>
        <v/>
      </c>
      <c r="O930" s="2" t="s">
        <v>496</v>
      </c>
      <c r="P930" s="16" t="s">
        <v>859</v>
      </c>
      <c r="Q930" s="1">
        <f t="shared" si="34"/>
        <v>1</v>
      </c>
      <c r="R930" s="1">
        <v>153</v>
      </c>
      <c r="T930" s="1" t="s">
        <v>659</v>
      </c>
      <c r="U930" s="8">
        <f t="shared" si="35"/>
        <v>42401</v>
      </c>
    </row>
    <row r="931" spans="1:22" x14ac:dyDescent="0.25">
      <c r="A931" s="2">
        <v>16</v>
      </c>
      <c r="B931" t="s">
        <v>126</v>
      </c>
      <c r="C931" s="2">
        <v>8</v>
      </c>
      <c r="D931" s="2">
        <v>106</v>
      </c>
      <c r="E931" s="2">
        <v>11</v>
      </c>
      <c r="F931" s="2">
        <v>11</v>
      </c>
      <c r="G931" s="2">
        <v>1</v>
      </c>
      <c r="H931" s="2">
        <v>8</v>
      </c>
      <c r="I931" s="2">
        <v>9</v>
      </c>
      <c r="J931" s="2">
        <v>1</v>
      </c>
      <c r="M931" t="s">
        <v>15</v>
      </c>
      <c r="N931" t="str">
        <f>IFERROR(VLOOKUP(B931,'[1]All Player'!$B$2:$C$1992,2,0),"")</f>
        <v>M R Shakil</v>
      </c>
      <c r="O931" s="2" t="s">
        <v>496</v>
      </c>
      <c r="P931" s="16" t="s">
        <v>859</v>
      </c>
      <c r="Q931" s="1">
        <f t="shared" si="34"/>
        <v>1</v>
      </c>
      <c r="R931" s="1">
        <v>153</v>
      </c>
      <c r="T931" s="1" t="s">
        <v>659</v>
      </c>
      <c r="U931" s="8">
        <f t="shared" si="35"/>
        <v>42401</v>
      </c>
    </row>
    <row r="932" spans="1:22" x14ac:dyDescent="0.25">
      <c r="A932" s="2">
        <v>16</v>
      </c>
      <c r="B932" t="s">
        <v>124</v>
      </c>
      <c r="C932" s="2">
        <v>4</v>
      </c>
      <c r="D932" s="2">
        <v>12</v>
      </c>
      <c r="E932" s="2">
        <v>2</v>
      </c>
      <c r="F932" s="2">
        <v>2</v>
      </c>
      <c r="G932" s="2">
        <v>0</v>
      </c>
      <c r="H932" s="2">
        <v>1</v>
      </c>
      <c r="I932" s="2">
        <v>1</v>
      </c>
      <c r="J932" s="1"/>
      <c r="M932" t="s">
        <v>15</v>
      </c>
      <c r="N932" t="str">
        <f>IFERROR(VLOOKUP(B932,'[1]All Player'!$B$2:$C$1992,2,0),"")</f>
        <v>Mahbubur Rahman Akash</v>
      </c>
      <c r="O932" s="2" t="s">
        <v>496</v>
      </c>
      <c r="P932" s="16" t="s">
        <v>859</v>
      </c>
      <c r="Q932" s="1">
        <f t="shared" si="34"/>
        <v>1</v>
      </c>
      <c r="R932" s="1">
        <v>153</v>
      </c>
      <c r="T932" s="1" t="s">
        <v>659</v>
      </c>
      <c r="U932" s="8">
        <f t="shared" si="35"/>
        <v>42401</v>
      </c>
    </row>
    <row r="933" spans="1:22" x14ac:dyDescent="0.25">
      <c r="A933" s="2">
        <v>16</v>
      </c>
      <c r="B933" t="s">
        <v>80</v>
      </c>
      <c r="C933" s="2">
        <v>8</v>
      </c>
      <c r="D933" s="2">
        <v>242</v>
      </c>
      <c r="E933" s="2">
        <v>11</v>
      </c>
      <c r="F933" s="2">
        <v>12</v>
      </c>
      <c r="G933" s="2">
        <v>2</v>
      </c>
      <c r="H933" s="2">
        <v>23</v>
      </c>
      <c r="I933" s="2">
        <v>10</v>
      </c>
      <c r="J933" s="1"/>
      <c r="M933" t="s">
        <v>15</v>
      </c>
      <c r="N933" t="str">
        <f>IFERROR(VLOOKUP(B933,'[1]All Player'!$B$2:$C$1992,2,0),"")</f>
        <v>Kamrul Hasan Tutul</v>
      </c>
      <c r="O933" s="2" t="s">
        <v>496</v>
      </c>
      <c r="P933" s="16" t="s">
        <v>859</v>
      </c>
      <c r="Q933" s="1">
        <f t="shared" si="34"/>
        <v>1</v>
      </c>
      <c r="R933" s="1">
        <v>153</v>
      </c>
      <c r="S933" s="2" t="s">
        <v>660</v>
      </c>
      <c r="T933" s="1" t="s">
        <v>659</v>
      </c>
      <c r="U933" s="8">
        <f t="shared" si="35"/>
        <v>42401</v>
      </c>
      <c r="V933" s="1">
        <v>1</v>
      </c>
    </row>
    <row r="934" spans="1:22" x14ac:dyDescent="0.25">
      <c r="A934" s="2">
        <v>16</v>
      </c>
      <c r="B934" t="s">
        <v>197</v>
      </c>
      <c r="C934" s="2">
        <v>5</v>
      </c>
      <c r="D934" s="2">
        <v>61</v>
      </c>
      <c r="E934" s="2">
        <v>8</v>
      </c>
      <c r="F934" s="2">
        <v>5</v>
      </c>
      <c r="G934" s="2">
        <v>0</v>
      </c>
      <c r="H934" s="2">
        <v>4</v>
      </c>
      <c r="I934" s="2">
        <v>3</v>
      </c>
      <c r="J934" s="1"/>
      <c r="M934" t="s">
        <v>15</v>
      </c>
      <c r="N934" t="str">
        <f>IFERROR(VLOOKUP(B934,'[1]All Player'!$B$2:$C$1992,2,0),"")</f>
        <v>Noushed Mijan</v>
      </c>
      <c r="O934" s="2" t="s">
        <v>496</v>
      </c>
      <c r="P934" s="16" t="s">
        <v>859</v>
      </c>
      <c r="Q934" s="1">
        <f t="shared" si="34"/>
        <v>1</v>
      </c>
      <c r="R934" s="1">
        <v>153</v>
      </c>
      <c r="T934" s="1" t="s">
        <v>659</v>
      </c>
      <c r="U934" s="8">
        <f t="shared" si="35"/>
        <v>42401</v>
      </c>
    </row>
    <row r="935" spans="1:22" x14ac:dyDescent="0.25">
      <c r="A935" s="2">
        <v>16</v>
      </c>
      <c r="B935" t="s">
        <v>64</v>
      </c>
      <c r="C935" s="2">
        <v>8</v>
      </c>
      <c r="D935" s="2">
        <v>97</v>
      </c>
      <c r="E935" s="2">
        <v>10</v>
      </c>
      <c r="F935" s="2">
        <v>12</v>
      </c>
      <c r="G935" s="2">
        <v>1</v>
      </c>
      <c r="H935" s="2">
        <v>6</v>
      </c>
      <c r="I935" s="2">
        <v>7</v>
      </c>
      <c r="J935" s="1"/>
      <c r="M935" t="s">
        <v>15</v>
      </c>
      <c r="N935" t="str">
        <f>IFERROR(VLOOKUP(B935,'[1]All Player'!$B$2:$C$1992,2,0),"")</f>
        <v>Sumon Ab</v>
      </c>
      <c r="O935" s="2" t="s">
        <v>496</v>
      </c>
      <c r="P935" s="16" t="s">
        <v>859</v>
      </c>
      <c r="Q935" s="1">
        <f t="shared" si="34"/>
        <v>1</v>
      </c>
      <c r="R935" s="1">
        <v>153</v>
      </c>
      <c r="T935" s="1" t="s">
        <v>659</v>
      </c>
      <c r="U935" s="8">
        <f t="shared" si="35"/>
        <v>42401</v>
      </c>
    </row>
    <row r="936" spans="1:22" x14ac:dyDescent="0.25">
      <c r="A936" s="2">
        <v>16</v>
      </c>
      <c r="B936" t="s">
        <v>70</v>
      </c>
      <c r="C936" s="2">
        <v>7</v>
      </c>
      <c r="D936" s="2">
        <v>109</v>
      </c>
      <c r="E936" s="2">
        <v>3</v>
      </c>
      <c r="F936" s="2">
        <v>7</v>
      </c>
      <c r="G936" s="2">
        <v>0</v>
      </c>
      <c r="H936" s="2">
        <v>2</v>
      </c>
      <c r="I936" s="2">
        <v>7</v>
      </c>
      <c r="J936" s="1"/>
      <c r="M936" t="s">
        <v>15</v>
      </c>
      <c r="N936" t="str">
        <f>IFERROR(VLOOKUP(B936,'[1]All Player'!$B$2:$C$1992,2,0),"")</f>
        <v>Sheik Helal Ahmed</v>
      </c>
      <c r="O936" s="2" t="s">
        <v>496</v>
      </c>
      <c r="P936" s="16" t="s">
        <v>859</v>
      </c>
      <c r="Q936" s="1">
        <f t="shared" si="34"/>
        <v>1</v>
      </c>
      <c r="R936" s="1">
        <v>153</v>
      </c>
      <c r="T936" s="1" t="s">
        <v>659</v>
      </c>
      <c r="U936" s="8">
        <f t="shared" si="35"/>
        <v>42401</v>
      </c>
    </row>
    <row r="937" spans="1:22" x14ac:dyDescent="0.25">
      <c r="A937" s="2">
        <v>16</v>
      </c>
      <c r="B937" t="s">
        <v>860</v>
      </c>
      <c r="J937" s="1"/>
      <c r="M937" t="s">
        <v>15</v>
      </c>
      <c r="N937" t="str">
        <f>IFERROR(VLOOKUP(B937,'[1]All Player'!$B$2:$C$1992,2,0),"")</f>
        <v/>
      </c>
      <c r="O937" s="2" t="s">
        <v>496</v>
      </c>
      <c r="P937" s="16" t="s">
        <v>497</v>
      </c>
      <c r="Q937" s="1">
        <f t="shared" si="34"/>
        <v>1</v>
      </c>
      <c r="R937" s="1">
        <v>154</v>
      </c>
      <c r="U937" s="8">
        <f t="shared" si="35"/>
        <v>42401</v>
      </c>
    </row>
    <row r="938" spans="1:22" x14ac:dyDescent="0.25">
      <c r="A938" s="2">
        <v>16</v>
      </c>
      <c r="B938" t="s">
        <v>171</v>
      </c>
      <c r="C938" s="2">
        <v>5</v>
      </c>
      <c r="D938" s="2">
        <v>58</v>
      </c>
      <c r="E938" s="2">
        <v>4</v>
      </c>
      <c r="F938" s="2">
        <v>4</v>
      </c>
      <c r="G938" s="2">
        <v>0</v>
      </c>
      <c r="H938" s="2">
        <v>5</v>
      </c>
      <c r="I938" s="2">
        <v>2</v>
      </c>
      <c r="J938" s="1"/>
      <c r="M938" t="s">
        <v>15</v>
      </c>
      <c r="N938" t="str">
        <f>IFERROR(VLOOKUP(B938,'[1]All Player'!$B$2:$C$1992,2,0),"")</f>
        <v>Md. Ruhin</v>
      </c>
      <c r="O938" s="2" t="s">
        <v>496</v>
      </c>
      <c r="P938" s="16" t="s">
        <v>497</v>
      </c>
      <c r="Q938" s="1">
        <f t="shared" si="34"/>
        <v>1</v>
      </c>
      <c r="R938" s="1">
        <v>154</v>
      </c>
      <c r="U938" s="8">
        <f t="shared" si="35"/>
        <v>42401</v>
      </c>
    </row>
    <row r="939" spans="1:22" x14ac:dyDescent="0.25">
      <c r="A939" s="2">
        <v>16</v>
      </c>
      <c r="B939" t="s">
        <v>394</v>
      </c>
      <c r="C939" s="2">
        <v>1</v>
      </c>
      <c r="D939" s="2">
        <v>5</v>
      </c>
      <c r="E939" s="2">
        <v>0</v>
      </c>
      <c r="F939" s="2">
        <v>1</v>
      </c>
      <c r="G939" s="2">
        <v>0</v>
      </c>
      <c r="H939" s="2">
        <v>0</v>
      </c>
      <c r="I939" s="2">
        <v>0</v>
      </c>
      <c r="J939" s="1"/>
      <c r="M939" t="s">
        <v>15</v>
      </c>
      <c r="N939" t="str">
        <f>IFERROR(VLOOKUP(B939,'[1]All Player'!$B$2:$C$1992,2,0),"")</f>
        <v>রুবেল মুন্না</v>
      </c>
      <c r="O939" s="2" t="s">
        <v>496</v>
      </c>
      <c r="P939" s="16" t="s">
        <v>497</v>
      </c>
      <c r="Q939" s="1">
        <f t="shared" si="34"/>
        <v>1</v>
      </c>
      <c r="R939" s="1">
        <v>154</v>
      </c>
      <c r="U939" s="8">
        <f t="shared" si="35"/>
        <v>42401</v>
      </c>
    </row>
    <row r="940" spans="1:22" x14ac:dyDescent="0.25">
      <c r="A940" s="2">
        <v>16</v>
      </c>
      <c r="B940" t="s">
        <v>62</v>
      </c>
      <c r="C940" s="2">
        <v>5</v>
      </c>
      <c r="D940" s="2">
        <v>61</v>
      </c>
      <c r="E940" s="2">
        <v>9</v>
      </c>
      <c r="F940" s="2">
        <v>10</v>
      </c>
      <c r="G940" s="2">
        <v>0</v>
      </c>
      <c r="H940" s="2">
        <v>4</v>
      </c>
      <c r="I940" s="2">
        <v>6</v>
      </c>
      <c r="J940" s="1"/>
      <c r="M940" t="s">
        <v>15</v>
      </c>
      <c r="N940" t="str">
        <f>IFERROR(VLOOKUP(B940,'[1]All Player'!$B$2:$C$1992,2,0),"")</f>
        <v>MD Tofayel Ahmed</v>
      </c>
      <c r="O940" s="2" t="s">
        <v>496</v>
      </c>
      <c r="P940" s="16" t="s">
        <v>497</v>
      </c>
      <c r="Q940" s="1">
        <f t="shared" si="34"/>
        <v>1</v>
      </c>
      <c r="R940" s="1">
        <v>154</v>
      </c>
      <c r="U940" s="8">
        <f t="shared" si="35"/>
        <v>42401</v>
      </c>
    </row>
    <row r="941" spans="1:22" x14ac:dyDescent="0.25">
      <c r="A941" s="2">
        <v>16</v>
      </c>
      <c r="B941" t="s">
        <v>57</v>
      </c>
      <c r="C941" s="2">
        <v>5</v>
      </c>
      <c r="D941" s="2">
        <v>66</v>
      </c>
      <c r="E941" s="2">
        <v>4</v>
      </c>
      <c r="F941" s="2">
        <v>6</v>
      </c>
      <c r="G941" s="2">
        <v>0</v>
      </c>
      <c r="H941" s="2">
        <v>7</v>
      </c>
      <c r="I941" s="2">
        <v>2</v>
      </c>
      <c r="J941" s="1"/>
      <c r="M941" t="s">
        <v>15</v>
      </c>
      <c r="N941" t="str">
        <f>IFERROR(VLOOKUP(B941,'[1]All Player'!$B$2:$C$1992,2,0),"")</f>
        <v>মাহি উদ্দিন শুভ্র</v>
      </c>
      <c r="O941" s="2" t="s">
        <v>496</v>
      </c>
      <c r="P941" s="16" t="s">
        <v>497</v>
      </c>
      <c r="Q941" s="1">
        <f t="shared" si="34"/>
        <v>1</v>
      </c>
      <c r="R941" s="1">
        <v>154</v>
      </c>
      <c r="U941" s="8">
        <f t="shared" si="35"/>
        <v>42401</v>
      </c>
    </row>
    <row r="942" spans="1:22" x14ac:dyDescent="0.25">
      <c r="A942" s="2">
        <v>16</v>
      </c>
      <c r="B942" t="s">
        <v>99</v>
      </c>
      <c r="C942" s="2">
        <v>4</v>
      </c>
      <c r="D942" s="2">
        <v>40</v>
      </c>
      <c r="E942" s="2">
        <v>3</v>
      </c>
      <c r="F942" s="2">
        <v>5</v>
      </c>
      <c r="G942" s="2">
        <v>0</v>
      </c>
      <c r="H942" s="2">
        <v>7</v>
      </c>
      <c r="I942" s="2">
        <v>1</v>
      </c>
      <c r="J942" s="1"/>
      <c r="M942" t="s">
        <v>15</v>
      </c>
      <c r="N942" t="str">
        <f>IFERROR(VLOOKUP(B942,'[1]All Player'!$B$2:$C$1992,2,0),"")</f>
        <v>Bishwajit Sarkar</v>
      </c>
      <c r="O942" s="2" t="s">
        <v>496</v>
      </c>
      <c r="P942" s="16" t="s">
        <v>497</v>
      </c>
      <c r="Q942" s="1">
        <f t="shared" si="34"/>
        <v>1</v>
      </c>
      <c r="R942" s="1">
        <v>154</v>
      </c>
      <c r="U942" s="8">
        <f t="shared" si="35"/>
        <v>42401</v>
      </c>
    </row>
    <row r="943" spans="1:22" x14ac:dyDescent="0.25">
      <c r="A943" s="2">
        <v>16</v>
      </c>
      <c r="B943" t="s">
        <v>199</v>
      </c>
      <c r="C943" s="2">
        <v>5</v>
      </c>
      <c r="D943" s="2">
        <v>135</v>
      </c>
      <c r="E943" s="2">
        <v>8</v>
      </c>
      <c r="F943" s="2">
        <v>10</v>
      </c>
      <c r="G943" s="2">
        <v>2</v>
      </c>
      <c r="H943" s="2">
        <v>6</v>
      </c>
      <c r="I943" s="2">
        <v>6</v>
      </c>
      <c r="J943" s="1"/>
      <c r="M943" t="s">
        <v>15</v>
      </c>
      <c r="N943" t="str">
        <f>IFERROR(VLOOKUP(B943,'[1]All Player'!$B$2:$C$1992,2,0),"")</f>
        <v>Mohammad Faruque</v>
      </c>
      <c r="O943" s="2" t="s">
        <v>496</v>
      </c>
      <c r="P943" s="16" t="s">
        <v>497</v>
      </c>
      <c r="Q943" s="1">
        <f t="shared" si="34"/>
        <v>1</v>
      </c>
      <c r="R943" s="1">
        <v>154</v>
      </c>
      <c r="U943" s="8">
        <f t="shared" si="35"/>
        <v>42401</v>
      </c>
    </row>
    <row r="944" spans="1:22" x14ac:dyDescent="0.25">
      <c r="A944" s="2">
        <v>16</v>
      </c>
      <c r="B944" t="s">
        <v>154</v>
      </c>
      <c r="C944" s="2">
        <v>2</v>
      </c>
      <c r="D944" s="2">
        <v>12</v>
      </c>
      <c r="E944" s="2">
        <v>0</v>
      </c>
      <c r="F944" s="2">
        <v>2</v>
      </c>
      <c r="G944" s="2">
        <v>0</v>
      </c>
      <c r="H944" s="2">
        <v>1</v>
      </c>
      <c r="I944" s="2">
        <v>1</v>
      </c>
      <c r="J944" s="1"/>
      <c r="M944" t="s">
        <v>15</v>
      </c>
      <c r="N944" t="str">
        <f>IFERROR(VLOOKUP(B944,'[1]All Player'!$B$2:$C$1992,2,0),"")</f>
        <v>Meyaz Al Emon</v>
      </c>
      <c r="O944" s="2" t="s">
        <v>496</v>
      </c>
      <c r="P944" s="16" t="s">
        <v>497</v>
      </c>
      <c r="Q944" s="1">
        <f t="shared" si="34"/>
        <v>1</v>
      </c>
      <c r="R944" s="1">
        <v>154</v>
      </c>
      <c r="U944" s="8">
        <f t="shared" si="35"/>
        <v>42401</v>
      </c>
    </row>
    <row r="945" spans="1:21" x14ac:dyDescent="0.25">
      <c r="A945" s="2">
        <v>16</v>
      </c>
      <c r="B945" t="s">
        <v>861</v>
      </c>
      <c r="J945" s="1"/>
      <c r="M945" t="s">
        <v>15</v>
      </c>
      <c r="N945" t="str">
        <f>IFERROR(VLOOKUP(B945,'[1]All Player'!$B$2:$C$1992,2,0),"")</f>
        <v/>
      </c>
      <c r="O945" s="2" t="s">
        <v>496</v>
      </c>
      <c r="P945" s="16" t="s">
        <v>862</v>
      </c>
      <c r="Q945" s="1">
        <f t="shared" si="34"/>
        <v>1</v>
      </c>
      <c r="R945" s="1">
        <v>155</v>
      </c>
      <c r="U945" s="8">
        <f t="shared" si="35"/>
        <v>42401</v>
      </c>
    </row>
    <row r="946" spans="1:21" x14ac:dyDescent="0.25">
      <c r="A946" s="2">
        <v>16</v>
      </c>
      <c r="B946" t="s">
        <v>136</v>
      </c>
      <c r="C946" s="2">
        <v>6</v>
      </c>
      <c r="D946" s="2">
        <v>111</v>
      </c>
      <c r="E946" s="2">
        <v>6</v>
      </c>
      <c r="F946" s="2">
        <v>10</v>
      </c>
      <c r="G946" s="2">
        <v>1</v>
      </c>
      <c r="H946" s="2">
        <v>7</v>
      </c>
      <c r="I946" s="2">
        <v>5</v>
      </c>
      <c r="J946" s="1"/>
      <c r="M946" t="s">
        <v>15</v>
      </c>
      <c r="N946" t="str">
        <f>IFERROR(VLOOKUP(B946,'[1]All Player'!$B$2:$C$1992,2,0),"")</f>
        <v>MD Kamal Hossain Kamal</v>
      </c>
      <c r="O946" s="2" t="s">
        <v>496</v>
      </c>
      <c r="P946" s="16" t="s">
        <v>862</v>
      </c>
      <c r="Q946" s="1">
        <f t="shared" si="34"/>
        <v>1</v>
      </c>
      <c r="R946" s="1">
        <v>155</v>
      </c>
      <c r="U946" s="8">
        <f t="shared" si="35"/>
        <v>42401</v>
      </c>
    </row>
    <row r="947" spans="1:21" x14ac:dyDescent="0.25">
      <c r="A947" s="2">
        <v>16</v>
      </c>
      <c r="B947" t="s">
        <v>130</v>
      </c>
      <c r="C947" s="2">
        <v>5</v>
      </c>
      <c r="D947" s="2">
        <v>111</v>
      </c>
      <c r="E947" s="2">
        <v>9</v>
      </c>
      <c r="F947" s="2">
        <v>7</v>
      </c>
      <c r="G947" s="2">
        <v>0</v>
      </c>
      <c r="H947" s="2">
        <v>6</v>
      </c>
      <c r="I947" s="2">
        <v>5</v>
      </c>
      <c r="J947" s="1"/>
      <c r="M947" t="s">
        <v>15</v>
      </c>
      <c r="N947" t="str">
        <f>IFERROR(VLOOKUP(B947,'[1]All Player'!$B$2:$C$1992,2,0),"")</f>
        <v>Shahriar Khokon</v>
      </c>
      <c r="O947" s="2" t="s">
        <v>496</v>
      </c>
      <c r="P947" s="16" t="s">
        <v>862</v>
      </c>
      <c r="Q947" s="1">
        <f t="shared" si="34"/>
        <v>1</v>
      </c>
      <c r="R947" s="1">
        <v>155</v>
      </c>
      <c r="U947" s="8">
        <f t="shared" si="35"/>
        <v>42401</v>
      </c>
    </row>
    <row r="948" spans="1:21" x14ac:dyDescent="0.25">
      <c r="A948" s="2">
        <v>16</v>
      </c>
      <c r="B948" t="s">
        <v>333</v>
      </c>
      <c r="C948" s="2">
        <v>4</v>
      </c>
      <c r="D948" s="2">
        <v>78</v>
      </c>
      <c r="E948" s="2">
        <v>4</v>
      </c>
      <c r="F948" s="2">
        <v>5</v>
      </c>
      <c r="G948" s="2">
        <v>0</v>
      </c>
      <c r="H948" s="2">
        <v>6</v>
      </c>
      <c r="I948" s="2">
        <v>3</v>
      </c>
      <c r="J948" s="1"/>
      <c r="M948" t="s">
        <v>15</v>
      </c>
      <c r="N948" t="str">
        <f>IFERROR(VLOOKUP(B948,'[1]All Player'!$B$2:$C$1992,2,0),"")</f>
        <v>Shah Abi Talib Adnan</v>
      </c>
      <c r="O948" s="2" t="s">
        <v>496</v>
      </c>
      <c r="P948" s="16" t="s">
        <v>862</v>
      </c>
      <c r="Q948" s="1">
        <f t="shared" si="34"/>
        <v>1</v>
      </c>
      <c r="R948" s="1">
        <v>155</v>
      </c>
      <c r="U948" s="8">
        <f t="shared" si="35"/>
        <v>42401</v>
      </c>
    </row>
    <row r="949" spans="1:21" x14ac:dyDescent="0.25">
      <c r="A949" s="2">
        <v>16</v>
      </c>
      <c r="B949" t="s">
        <v>132</v>
      </c>
      <c r="C949" s="2">
        <v>3</v>
      </c>
      <c r="D949" s="2">
        <v>49</v>
      </c>
      <c r="E949" s="2">
        <v>1</v>
      </c>
      <c r="F949" s="2">
        <v>2</v>
      </c>
      <c r="G949" s="2">
        <v>1</v>
      </c>
      <c r="H949" s="2">
        <v>4</v>
      </c>
      <c r="I949" s="2">
        <v>3</v>
      </c>
      <c r="J949" s="1"/>
      <c r="M949" t="s">
        <v>15</v>
      </c>
      <c r="N949" t="str">
        <f>IFERROR(VLOOKUP(B949,'[1]All Player'!$B$2:$C$1992,2,0),"")</f>
        <v>ShiShir Hossain</v>
      </c>
      <c r="O949" s="2" t="s">
        <v>496</v>
      </c>
      <c r="P949" s="16" t="s">
        <v>862</v>
      </c>
      <c r="Q949" s="1">
        <f t="shared" si="34"/>
        <v>1</v>
      </c>
      <c r="R949" s="1">
        <v>155</v>
      </c>
      <c r="U949" s="8">
        <f t="shared" si="35"/>
        <v>42401</v>
      </c>
    </row>
    <row r="950" spans="1:21" x14ac:dyDescent="0.25">
      <c r="A950" s="2">
        <v>16</v>
      </c>
      <c r="B950" t="s">
        <v>296</v>
      </c>
      <c r="C950" s="2">
        <v>3</v>
      </c>
      <c r="D950" s="2">
        <v>33</v>
      </c>
      <c r="E950" s="2">
        <v>1</v>
      </c>
      <c r="F950" s="2">
        <v>2</v>
      </c>
      <c r="G950" s="2">
        <v>0</v>
      </c>
      <c r="H950" s="2">
        <v>2</v>
      </c>
      <c r="I950" s="2">
        <v>2</v>
      </c>
      <c r="J950" s="1"/>
      <c r="M950" t="s">
        <v>15</v>
      </c>
      <c r="N950" t="str">
        <f>IFERROR(VLOOKUP(B950,'[1]All Player'!$B$2:$C$1992,2,0),"")</f>
        <v>Zi Zohir</v>
      </c>
      <c r="O950" s="2" t="s">
        <v>496</v>
      </c>
      <c r="P950" s="16" t="s">
        <v>862</v>
      </c>
      <c r="Q950" s="1">
        <f t="shared" si="34"/>
        <v>1</v>
      </c>
      <c r="R950" s="1">
        <v>155</v>
      </c>
      <c r="U950" s="8">
        <f t="shared" si="35"/>
        <v>42401</v>
      </c>
    </row>
    <row r="951" spans="1:21" x14ac:dyDescent="0.25">
      <c r="A951" s="2">
        <v>16</v>
      </c>
      <c r="B951" t="s">
        <v>120</v>
      </c>
      <c r="C951" s="2">
        <v>6</v>
      </c>
      <c r="D951" s="2">
        <v>43</v>
      </c>
      <c r="E951" s="2">
        <v>5</v>
      </c>
      <c r="F951" s="2">
        <v>8</v>
      </c>
      <c r="G951" s="2">
        <v>1</v>
      </c>
      <c r="H951" s="2">
        <v>3</v>
      </c>
      <c r="I951" s="2">
        <v>3</v>
      </c>
      <c r="J951" s="1"/>
      <c r="M951" t="s">
        <v>15</v>
      </c>
      <c r="N951" t="str">
        <f>IFERROR(VLOOKUP(B951,'[1]All Player'!$B$2:$C$1992,2,0),"")</f>
        <v>Kamrul Hasan Hridoy</v>
      </c>
      <c r="O951" s="2" t="s">
        <v>496</v>
      </c>
      <c r="P951" s="16" t="s">
        <v>862</v>
      </c>
      <c r="Q951" s="1">
        <f t="shared" si="34"/>
        <v>1</v>
      </c>
      <c r="R951" s="1">
        <v>155</v>
      </c>
      <c r="U951" s="8">
        <f t="shared" si="35"/>
        <v>42401</v>
      </c>
    </row>
    <row r="952" spans="1:21" x14ac:dyDescent="0.25">
      <c r="A952" s="2">
        <v>16</v>
      </c>
      <c r="B952" t="s">
        <v>91</v>
      </c>
      <c r="C952" s="2">
        <v>6</v>
      </c>
      <c r="D952" s="2">
        <v>53</v>
      </c>
      <c r="E952" s="2">
        <v>8</v>
      </c>
      <c r="F952" s="2">
        <v>6</v>
      </c>
      <c r="G952" s="2">
        <v>0</v>
      </c>
      <c r="H952" s="2">
        <v>5</v>
      </c>
      <c r="I952" s="2">
        <v>2</v>
      </c>
      <c r="J952" s="1"/>
      <c r="M952" t="s">
        <v>15</v>
      </c>
      <c r="N952" t="str">
        <f>IFERROR(VLOOKUP(B952,'[1]All Player'!$B$2:$C$1992,2,0),"")</f>
        <v>Abdullah Al Mamun</v>
      </c>
      <c r="O952" s="2" t="s">
        <v>496</v>
      </c>
      <c r="P952" s="16" t="s">
        <v>862</v>
      </c>
      <c r="Q952" s="1">
        <f t="shared" si="34"/>
        <v>1</v>
      </c>
      <c r="R952" s="1">
        <v>155</v>
      </c>
      <c r="U952" s="8">
        <f t="shared" si="35"/>
        <v>42401</v>
      </c>
    </row>
    <row r="953" spans="1:21" x14ac:dyDescent="0.25">
      <c r="A953" s="2">
        <v>16</v>
      </c>
      <c r="B953" t="s">
        <v>863</v>
      </c>
      <c r="J953" s="1"/>
      <c r="M953" t="s">
        <v>15</v>
      </c>
      <c r="N953" t="str">
        <f>IFERROR(VLOOKUP(B953,'[1]All Player'!$B$2:$C$1992,2,0),"")</f>
        <v/>
      </c>
      <c r="O953" s="2" t="s">
        <v>496</v>
      </c>
      <c r="P953" s="16" t="s">
        <v>864</v>
      </c>
      <c r="Q953" s="1">
        <f t="shared" si="34"/>
        <v>1</v>
      </c>
      <c r="R953" s="1">
        <v>156</v>
      </c>
      <c r="U953" s="8">
        <f t="shared" si="35"/>
        <v>42401</v>
      </c>
    </row>
    <row r="954" spans="1:21" x14ac:dyDescent="0.25">
      <c r="A954" s="2">
        <v>16</v>
      </c>
      <c r="B954" t="s">
        <v>85</v>
      </c>
      <c r="C954" s="2">
        <v>6</v>
      </c>
      <c r="D954" s="2">
        <v>224</v>
      </c>
      <c r="E954" s="2">
        <v>7</v>
      </c>
      <c r="F954" s="2">
        <v>12</v>
      </c>
      <c r="G954" s="2">
        <v>2</v>
      </c>
      <c r="H954" s="2">
        <v>18</v>
      </c>
      <c r="I954" s="2">
        <v>10</v>
      </c>
      <c r="J954" s="1"/>
      <c r="M954" t="s">
        <v>15</v>
      </c>
      <c r="N954" t="str">
        <f>IFERROR(VLOOKUP(B954,'[1]All Player'!$B$2:$C$1992,2,0),"")</f>
        <v>Asik Hassan Tonmoy</v>
      </c>
      <c r="O954" s="2" t="s">
        <v>496</v>
      </c>
      <c r="P954" s="16" t="s">
        <v>864</v>
      </c>
      <c r="Q954" s="1">
        <f t="shared" si="34"/>
        <v>1</v>
      </c>
      <c r="R954" s="1">
        <v>156</v>
      </c>
      <c r="U954" s="8">
        <f t="shared" si="35"/>
        <v>42401</v>
      </c>
    </row>
    <row r="955" spans="1:21" x14ac:dyDescent="0.25">
      <c r="A955" s="2">
        <v>16</v>
      </c>
      <c r="B955" t="s">
        <v>116</v>
      </c>
      <c r="C955" s="2">
        <v>6</v>
      </c>
      <c r="D955" s="2">
        <v>88</v>
      </c>
      <c r="E955" s="2">
        <v>12</v>
      </c>
      <c r="F955" s="2">
        <v>9</v>
      </c>
      <c r="G955" s="2">
        <v>0</v>
      </c>
      <c r="H955" s="2">
        <v>6</v>
      </c>
      <c r="I955" s="2">
        <v>6</v>
      </c>
      <c r="J955" s="1"/>
      <c r="M955" t="s">
        <v>15</v>
      </c>
      <c r="N955" t="str">
        <f>IFERROR(VLOOKUP(B955,'[1]All Player'!$B$2:$C$1992,2,0),"")</f>
        <v>Ahammed Ariful Haq</v>
      </c>
      <c r="O955" s="2" t="s">
        <v>496</v>
      </c>
      <c r="P955" s="16" t="s">
        <v>864</v>
      </c>
      <c r="Q955" s="1">
        <f t="shared" si="34"/>
        <v>1</v>
      </c>
      <c r="R955" s="1">
        <v>156</v>
      </c>
      <c r="U955" s="8">
        <f t="shared" si="35"/>
        <v>42401</v>
      </c>
    </row>
    <row r="956" spans="1:21" x14ac:dyDescent="0.25">
      <c r="A956" s="2">
        <v>16</v>
      </c>
      <c r="B956" t="s">
        <v>156</v>
      </c>
      <c r="C956" s="2">
        <v>4</v>
      </c>
      <c r="D956" s="2">
        <v>30</v>
      </c>
      <c r="E956" s="2">
        <v>4</v>
      </c>
      <c r="F956" s="2">
        <v>3</v>
      </c>
      <c r="G956" s="2">
        <v>0</v>
      </c>
      <c r="H956" s="2">
        <v>2</v>
      </c>
      <c r="I956" s="2">
        <v>2</v>
      </c>
      <c r="J956" s="1"/>
      <c r="M956" t="s">
        <v>15</v>
      </c>
      <c r="N956" t="str">
        <f>IFERROR(VLOOKUP(B956,'[1]All Player'!$B$2:$C$1992,2,0),"")</f>
        <v>Prince Tarek</v>
      </c>
      <c r="O956" s="2" t="s">
        <v>496</v>
      </c>
      <c r="P956" s="16" t="s">
        <v>864</v>
      </c>
      <c r="Q956" s="1">
        <f t="shared" si="34"/>
        <v>1</v>
      </c>
      <c r="R956" s="1">
        <v>156</v>
      </c>
      <c r="U956" s="8">
        <f t="shared" si="35"/>
        <v>42401</v>
      </c>
    </row>
    <row r="957" spans="1:21" x14ac:dyDescent="0.25">
      <c r="A957" s="2">
        <v>16</v>
      </c>
      <c r="B957" t="s">
        <v>661</v>
      </c>
      <c r="C957" s="2">
        <v>6</v>
      </c>
      <c r="D957" s="2">
        <v>104</v>
      </c>
      <c r="E957" s="2">
        <v>7</v>
      </c>
      <c r="F957" s="2">
        <v>8</v>
      </c>
      <c r="G957" s="2">
        <v>1</v>
      </c>
      <c r="H957" s="2">
        <v>8</v>
      </c>
      <c r="I957" s="2">
        <v>8</v>
      </c>
      <c r="J957" s="1"/>
      <c r="M957" t="s">
        <v>15</v>
      </c>
      <c r="N957" t="str">
        <f>IFERROR(VLOOKUP(B957,'[1]All Player'!$B$2:$C$1992,2,0),"")</f>
        <v>Sakhawat Hossain Shanto</v>
      </c>
      <c r="O957" s="2" t="s">
        <v>496</v>
      </c>
      <c r="P957" s="16" t="s">
        <v>864</v>
      </c>
      <c r="Q957" s="1">
        <f t="shared" si="34"/>
        <v>1</v>
      </c>
      <c r="R957" s="1">
        <v>156</v>
      </c>
      <c r="U957" s="8">
        <f t="shared" si="35"/>
        <v>42401</v>
      </c>
    </row>
    <row r="958" spans="1:21" x14ac:dyDescent="0.25">
      <c r="A958" s="2">
        <v>16</v>
      </c>
      <c r="B958" t="s">
        <v>60</v>
      </c>
      <c r="C958" s="2">
        <v>2</v>
      </c>
      <c r="D958" s="2">
        <v>0</v>
      </c>
      <c r="E958" s="2">
        <v>1</v>
      </c>
      <c r="F958" s="2">
        <v>1</v>
      </c>
      <c r="G958" s="2">
        <v>0</v>
      </c>
      <c r="H958" s="2">
        <v>0</v>
      </c>
      <c r="I958" s="2">
        <v>0</v>
      </c>
      <c r="J958" s="1"/>
      <c r="M958" t="s">
        <v>15</v>
      </c>
      <c r="N958" t="str">
        <f>IFERROR(VLOOKUP(B958,'[1]All Player'!$B$2:$C$1992,2,0),"")</f>
        <v>Jahin Shahriar Chowdhury</v>
      </c>
      <c r="O958" s="2" t="s">
        <v>496</v>
      </c>
      <c r="P958" s="16" t="s">
        <v>864</v>
      </c>
      <c r="Q958" s="1">
        <f t="shared" si="34"/>
        <v>1</v>
      </c>
      <c r="R958" s="1">
        <v>156</v>
      </c>
      <c r="U958" s="8">
        <f t="shared" si="35"/>
        <v>42401</v>
      </c>
    </row>
    <row r="959" spans="1:21" x14ac:dyDescent="0.25">
      <c r="A959" s="2">
        <v>16</v>
      </c>
      <c r="B959" t="s">
        <v>350</v>
      </c>
      <c r="C959" s="2">
        <v>4</v>
      </c>
      <c r="D959" s="2">
        <v>31</v>
      </c>
      <c r="E959" s="2">
        <v>2</v>
      </c>
      <c r="F959" s="2">
        <v>3</v>
      </c>
      <c r="G959" s="2">
        <v>0</v>
      </c>
      <c r="H959" s="2">
        <v>2</v>
      </c>
      <c r="I959" s="2">
        <v>1</v>
      </c>
      <c r="J959" s="1"/>
      <c r="M959" t="s">
        <v>15</v>
      </c>
      <c r="N959" t="str">
        <f>IFERROR(VLOOKUP(B959,'[1]All Player'!$B$2:$C$1992,2,0),"")</f>
        <v>Shahriar Shuvro</v>
      </c>
      <c r="O959" s="2" t="s">
        <v>496</v>
      </c>
      <c r="P959" s="16" t="s">
        <v>864</v>
      </c>
      <c r="Q959" s="1">
        <f t="shared" si="34"/>
        <v>1</v>
      </c>
      <c r="R959" s="1">
        <v>156</v>
      </c>
      <c r="U959" s="8">
        <f t="shared" si="35"/>
        <v>42401</v>
      </c>
    </row>
    <row r="960" spans="1:21" x14ac:dyDescent="0.25">
      <c r="A960" s="2">
        <v>16</v>
      </c>
      <c r="B960" t="s">
        <v>76</v>
      </c>
      <c r="C960" s="2">
        <v>3</v>
      </c>
      <c r="D960" s="2">
        <v>28</v>
      </c>
      <c r="E960" s="2">
        <v>5</v>
      </c>
      <c r="F960" s="2">
        <v>3</v>
      </c>
      <c r="G960" s="2">
        <v>0</v>
      </c>
      <c r="H960" s="2">
        <v>3</v>
      </c>
      <c r="I960" s="2">
        <v>0</v>
      </c>
      <c r="J960" s="1"/>
      <c r="M960" t="s">
        <v>15</v>
      </c>
      <c r="N960" t="str">
        <f>IFERROR(VLOOKUP(B960,'[1]All Player'!$B$2:$C$1992,2,0),"")</f>
        <v>Kamil Ahmed</v>
      </c>
      <c r="O960" s="2" t="s">
        <v>496</v>
      </c>
      <c r="P960" s="16" t="s">
        <v>864</v>
      </c>
      <c r="Q960" s="1">
        <f t="shared" si="34"/>
        <v>1</v>
      </c>
      <c r="R960" s="1">
        <v>156</v>
      </c>
      <c r="U960" s="8">
        <f t="shared" si="35"/>
        <v>42401</v>
      </c>
    </row>
    <row r="961" spans="1:23" x14ac:dyDescent="0.25">
      <c r="A961" s="2">
        <v>16</v>
      </c>
      <c r="B961" t="s">
        <v>865</v>
      </c>
      <c r="J961" s="1"/>
      <c r="M961" t="s">
        <v>15</v>
      </c>
      <c r="N961" t="str">
        <f>IFERROR(VLOOKUP(B961,'[1]All Player'!$B$2:$C$1992,2,0),"")</f>
        <v/>
      </c>
      <c r="O961" s="2" t="s">
        <v>496</v>
      </c>
      <c r="P961" s="16" t="s">
        <v>553</v>
      </c>
      <c r="Q961" s="1">
        <f t="shared" si="34"/>
        <v>1</v>
      </c>
      <c r="R961" s="1">
        <v>157</v>
      </c>
      <c r="U961" s="8">
        <f t="shared" si="35"/>
        <v>42401</v>
      </c>
    </row>
    <row r="962" spans="1:23" x14ac:dyDescent="0.25">
      <c r="A962" s="2">
        <v>16</v>
      </c>
      <c r="B962" t="s">
        <v>148</v>
      </c>
      <c r="C962" s="2">
        <v>7</v>
      </c>
      <c r="D962" s="2">
        <v>196</v>
      </c>
      <c r="E962" s="2">
        <v>17</v>
      </c>
      <c r="F962" s="2">
        <v>13</v>
      </c>
      <c r="G962" s="2">
        <v>1</v>
      </c>
      <c r="H962" s="2">
        <v>10</v>
      </c>
      <c r="I962" s="2">
        <v>12</v>
      </c>
      <c r="J962" s="1"/>
      <c r="M962" t="s">
        <v>15</v>
      </c>
      <c r="N962" t="str">
        <f>IFERROR(VLOOKUP(B962,'[1]All Player'!$B$2:$C$1992,2,0),"")</f>
        <v>AB Saaj</v>
      </c>
      <c r="O962" s="2" t="s">
        <v>496</v>
      </c>
      <c r="P962" s="16" t="s">
        <v>553</v>
      </c>
      <c r="Q962" s="1">
        <f t="shared" ref="Q962:Q1025" si="36">IF(B962="","",1)</f>
        <v>1</v>
      </c>
      <c r="R962" s="1">
        <v>157</v>
      </c>
      <c r="S962" s="2" t="s">
        <v>658</v>
      </c>
      <c r="U962" s="8">
        <f t="shared" si="35"/>
        <v>42401</v>
      </c>
      <c r="W962" s="1">
        <v>1</v>
      </c>
    </row>
    <row r="963" spans="1:23" x14ac:dyDescent="0.25">
      <c r="A963" s="2">
        <v>16</v>
      </c>
      <c r="B963" t="s">
        <v>144</v>
      </c>
      <c r="C963" s="2">
        <v>5</v>
      </c>
      <c r="D963" s="2">
        <v>63</v>
      </c>
      <c r="E963" s="2">
        <v>3</v>
      </c>
      <c r="F963" s="2">
        <v>7</v>
      </c>
      <c r="G963" s="2">
        <v>1</v>
      </c>
      <c r="H963" s="2">
        <v>5</v>
      </c>
      <c r="I963" s="2">
        <v>5</v>
      </c>
      <c r="J963" s="1"/>
      <c r="M963" t="s">
        <v>15</v>
      </c>
      <c r="N963" t="str">
        <f>IFERROR(VLOOKUP(B963,'[1]All Player'!$B$2:$C$1992,2,0),"")</f>
        <v>Toufiq Ahmed Ovi</v>
      </c>
      <c r="O963" s="2" t="s">
        <v>496</v>
      </c>
      <c r="P963" s="16" t="s">
        <v>553</v>
      </c>
      <c r="Q963" s="1">
        <f t="shared" si="36"/>
        <v>1</v>
      </c>
      <c r="R963" s="1">
        <v>157</v>
      </c>
      <c r="U963" s="8">
        <f t="shared" si="35"/>
        <v>42401</v>
      </c>
    </row>
    <row r="964" spans="1:23" x14ac:dyDescent="0.25">
      <c r="A964" s="2">
        <v>16</v>
      </c>
      <c r="B964" t="s">
        <v>396</v>
      </c>
      <c r="C964" s="2">
        <v>6</v>
      </c>
      <c r="D964" s="2">
        <v>45</v>
      </c>
      <c r="E964" s="2">
        <v>9</v>
      </c>
      <c r="F964" s="2">
        <v>7</v>
      </c>
      <c r="G964" s="2">
        <v>0</v>
      </c>
      <c r="H964" s="2">
        <v>4</v>
      </c>
      <c r="I964" s="2">
        <v>2</v>
      </c>
      <c r="J964" s="1"/>
      <c r="M964" t="s">
        <v>15</v>
      </c>
      <c r="N964" t="str">
        <f>IFERROR(VLOOKUP(B964,'[1]All Player'!$B$2:$C$1992,2,0),"")</f>
        <v>আবিদুর রহমান</v>
      </c>
      <c r="O964" s="2" t="s">
        <v>496</v>
      </c>
      <c r="P964" s="16" t="s">
        <v>553</v>
      </c>
      <c r="Q964" s="1">
        <f t="shared" si="36"/>
        <v>1</v>
      </c>
      <c r="R964" s="1">
        <v>157</v>
      </c>
      <c r="U964" s="8">
        <f t="shared" si="35"/>
        <v>42401</v>
      </c>
    </row>
    <row r="965" spans="1:23" x14ac:dyDescent="0.25">
      <c r="A965" s="2">
        <v>16</v>
      </c>
      <c r="B965" t="s">
        <v>177</v>
      </c>
      <c r="C965" s="2">
        <v>6</v>
      </c>
      <c r="D965" s="2">
        <v>58</v>
      </c>
      <c r="E965" s="2">
        <v>11</v>
      </c>
      <c r="F965" s="2">
        <v>9</v>
      </c>
      <c r="G965" s="2">
        <v>0</v>
      </c>
      <c r="H965" s="2">
        <v>5</v>
      </c>
      <c r="I965" s="2">
        <v>0</v>
      </c>
      <c r="J965" s="1"/>
      <c r="M965" t="s">
        <v>15</v>
      </c>
      <c r="N965" t="str">
        <f>IFERROR(VLOOKUP(B965,'[1]All Player'!$B$2:$C$1992,2,0),"")</f>
        <v>Tanjir Rahman</v>
      </c>
      <c r="O965" s="2" t="s">
        <v>496</v>
      </c>
      <c r="P965" s="16" t="s">
        <v>553</v>
      </c>
      <c r="Q965" s="1">
        <f t="shared" si="36"/>
        <v>1</v>
      </c>
      <c r="R965" s="1">
        <v>157</v>
      </c>
      <c r="U965" s="8">
        <f t="shared" si="35"/>
        <v>42401</v>
      </c>
    </row>
    <row r="966" spans="1:23" x14ac:dyDescent="0.25">
      <c r="A966" s="2">
        <v>16</v>
      </c>
      <c r="B966" t="s">
        <v>138</v>
      </c>
      <c r="C966" s="2">
        <v>1</v>
      </c>
      <c r="D966" s="2">
        <v>14</v>
      </c>
      <c r="E966" s="2">
        <v>0</v>
      </c>
      <c r="F966" s="2">
        <v>1</v>
      </c>
      <c r="G966" s="2">
        <v>0</v>
      </c>
      <c r="H966" s="2">
        <v>1</v>
      </c>
      <c r="I966" s="2">
        <v>1</v>
      </c>
      <c r="J966" s="1"/>
      <c r="M966" t="s">
        <v>15</v>
      </c>
      <c r="N966" t="str">
        <f>IFERROR(VLOOKUP(B966,'[1]All Player'!$B$2:$C$1992,2,0),"")</f>
        <v>Asif Iqbal Khan</v>
      </c>
      <c r="O966" s="2" t="s">
        <v>496</v>
      </c>
      <c r="P966" s="16" t="s">
        <v>553</v>
      </c>
      <c r="Q966" s="1">
        <f t="shared" si="36"/>
        <v>1</v>
      </c>
      <c r="R966" s="1">
        <v>157</v>
      </c>
      <c r="U966" s="8">
        <f t="shared" si="35"/>
        <v>42401</v>
      </c>
    </row>
    <row r="967" spans="1:23" x14ac:dyDescent="0.25">
      <c r="A967" s="2">
        <v>16</v>
      </c>
      <c r="B967" t="s">
        <v>186</v>
      </c>
      <c r="C967" s="2">
        <v>5</v>
      </c>
      <c r="D967" s="2">
        <v>70</v>
      </c>
      <c r="E967" s="2">
        <v>3</v>
      </c>
      <c r="F967" s="2">
        <v>6</v>
      </c>
      <c r="G967" s="2">
        <v>0</v>
      </c>
      <c r="H967" s="2">
        <v>5</v>
      </c>
      <c r="I967" s="2">
        <v>2</v>
      </c>
      <c r="J967" s="1"/>
      <c r="M967" t="s">
        <v>15</v>
      </c>
      <c r="N967" t="str">
        <f>IFERROR(VLOOKUP(B967,'[1]All Player'!$B$2:$C$1992,2,0),"")</f>
        <v>Galaxsy Prince Tahmid (Tahmid Rahman)</v>
      </c>
      <c r="O967" s="2" t="s">
        <v>496</v>
      </c>
      <c r="P967" s="16" t="s">
        <v>553</v>
      </c>
      <c r="Q967" s="1">
        <f t="shared" si="36"/>
        <v>1</v>
      </c>
      <c r="R967" s="1">
        <v>157</v>
      </c>
      <c r="U967" s="8">
        <f t="shared" si="35"/>
        <v>42401</v>
      </c>
    </row>
    <row r="968" spans="1:23" x14ac:dyDescent="0.25">
      <c r="A968" s="2">
        <v>16</v>
      </c>
      <c r="B968" t="s">
        <v>282</v>
      </c>
      <c r="C968" s="2">
        <v>3</v>
      </c>
      <c r="D968" s="2">
        <v>17</v>
      </c>
      <c r="E968" s="2">
        <v>3</v>
      </c>
      <c r="F968" s="2">
        <v>1</v>
      </c>
      <c r="G968" s="2">
        <v>0</v>
      </c>
      <c r="H968" s="2">
        <v>0</v>
      </c>
      <c r="I968" s="2">
        <v>2</v>
      </c>
      <c r="J968" s="1"/>
      <c r="M968" t="s">
        <v>15</v>
      </c>
      <c r="N968" t="str">
        <f>IFERROR(VLOOKUP(B968,'[1]All Player'!$B$2:$C$1992,2,0),"")</f>
        <v>Mohammad Asif</v>
      </c>
      <c r="O968" s="2" t="s">
        <v>496</v>
      </c>
      <c r="P968" s="16" t="s">
        <v>553</v>
      </c>
      <c r="Q968" s="1">
        <f t="shared" si="36"/>
        <v>1</v>
      </c>
      <c r="R968" s="1">
        <v>157</v>
      </c>
      <c r="U968" s="8">
        <f t="shared" si="35"/>
        <v>42401</v>
      </c>
    </row>
    <row r="969" spans="1:23" x14ac:dyDescent="0.25">
      <c r="A969" s="2">
        <v>16</v>
      </c>
      <c r="B969" t="s">
        <v>866</v>
      </c>
      <c r="J969" s="1"/>
      <c r="M969" t="s">
        <v>15</v>
      </c>
      <c r="N969" t="str">
        <f>IFERROR(VLOOKUP(B969,'[1]All Player'!$B$2:$C$1992,2,0),"")</f>
        <v/>
      </c>
      <c r="O969" s="2" t="s">
        <v>496</v>
      </c>
      <c r="P969" s="16" t="s">
        <v>867</v>
      </c>
      <c r="Q969" s="1">
        <f t="shared" si="36"/>
        <v>1</v>
      </c>
      <c r="R969" s="1">
        <v>158</v>
      </c>
      <c r="T969" s="1" t="s">
        <v>657</v>
      </c>
      <c r="U969" s="8">
        <f t="shared" si="35"/>
        <v>42401</v>
      </c>
    </row>
    <row r="970" spans="1:23" x14ac:dyDescent="0.25">
      <c r="A970" s="2">
        <v>16</v>
      </c>
      <c r="B970" t="s">
        <v>93</v>
      </c>
      <c r="C970" s="2">
        <v>6</v>
      </c>
      <c r="D970" s="2">
        <v>101</v>
      </c>
      <c r="E970" s="2">
        <v>13</v>
      </c>
      <c r="F970" s="2">
        <v>7</v>
      </c>
      <c r="G970" s="2">
        <v>1</v>
      </c>
      <c r="H970" s="2">
        <v>8</v>
      </c>
      <c r="I970" s="2">
        <v>5</v>
      </c>
      <c r="J970" s="2">
        <v>2</v>
      </c>
      <c r="M970" t="s">
        <v>15</v>
      </c>
      <c r="N970" t="str">
        <f>IFERROR(VLOOKUP(B970,'[1]All Player'!$B$2:$C$1992,2,0),"")</f>
        <v>Zaheed Hasan</v>
      </c>
      <c r="O970" s="2" t="s">
        <v>496</v>
      </c>
      <c r="P970" s="16" t="s">
        <v>867</v>
      </c>
      <c r="Q970" s="1">
        <f t="shared" si="36"/>
        <v>1</v>
      </c>
      <c r="R970" s="1">
        <v>158</v>
      </c>
      <c r="T970" s="1" t="s">
        <v>657</v>
      </c>
      <c r="U970" s="8">
        <f t="shared" si="35"/>
        <v>42401</v>
      </c>
    </row>
    <row r="971" spans="1:23" x14ac:dyDescent="0.25">
      <c r="A971" s="2">
        <v>16</v>
      </c>
      <c r="B971" t="s">
        <v>239</v>
      </c>
      <c r="C971" s="2">
        <v>6</v>
      </c>
      <c r="D971" s="2">
        <v>72</v>
      </c>
      <c r="E971" s="2">
        <v>7</v>
      </c>
      <c r="F971" s="2">
        <v>4</v>
      </c>
      <c r="G971" s="2">
        <v>1</v>
      </c>
      <c r="H971" s="2">
        <v>4</v>
      </c>
      <c r="I971" s="2">
        <v>3</v>
      </c>
      <c r="J971" s="1"/>
      <c r="M971" t="s">
        <v>15</v>
      </c>
      <c r="N971" t="str">
        <f>IFERROR(VLOOKUP(B971,'[1]All Player'!$B$2:$C$1992,2,0),"")</f>
        <v>GM Manik</v>
      </c>
      <c r="O971" s="2" t="s">
        <v>496</v>
      </c>
      <c r="P971" s="16" t="s">
        <v>867</v>
      </c>
      <c r="Q971" s="1">
        <f t="shared" si="36"/>
        <v>1</v>
      </c>
      <c r="R971" s="1">
        <v>158</v>
      </c>
      <c r="T971" s="1" t="s">
        <v>657</v>
      </c>
      <c r="U971" s="8">
        <f t="shared" si="35"/>
        <v>42401</v>
      </c>
    </row>
    <row r="972" spans="1:23" x14ac:dyDescent="0.25">
      <c r="A972" s="2">
        <v>16</v>
      </c>
      <c r="B972" t="s">
        <v>228</v>
      </c>
      <c r="C972" s="2">
        <v>6</v>
      </c>
      <c r="D972" s="2">
        <v>69</v>
      </c>
      <c r="E972" s="24">
        <v>9</v>
      </c>
      <c r="F972" s="2">
        <v>4</v>
      </c>
      <c r="G972" s="2">
        <v>0</v>
      </c>
      <c r="H972" s="2">
        <v>9</v>
      </c>
      <c r="I972" s="2">
        <v>3</v>
      </c>
      <c r="J972" s="2">
        <v>1</v>
      </c>
      <c r="M972" t="s">
        <v>15</v>
      </c>
      <c r="N972" t="str">
        <f>IFERROR(VLOOKUP(B972,'[1]All Player'!$B$2:$C$1992,2,0),"")</f>
        <v>Arif Ziad</v>
      </c>
      <c r="O972" s="2" t="s">
        <v>496</v>
      </c>
      <c r="P972" s="16" t="s">
        <v>867</v>
      </c>
      <c r="Q972" s="1">
        <f t="shared" si="36"/>
        <v>1</v>
      </c>
      <c r="R972" s="1">
        <v>158</v>
      </c>
      <c r="T972" s="1" t="s">
        <v>657</v>
      </c>
      <c r="U972" s="8">
        <f t="shared" si="35"/>
        <v>42401</v>
      </c>
    </row>
    <row r="973" spans="1:23" x14ac:dyDescent="0.25">
      <c r="A973" s="2">
        <v>16</v>
      </c>
      <c r="B973" t="s">
        <v>114</v>
      </c>
      <c r="C973" s="2">
        <v>5</v>
      </c>
      <c r="D973" s="2">
        <v>40</v>
      </c>
      <c r="E973" s="2">
        <v>6</v>
      </c>
      <c r="F973" s="2">
        <v>4</v>
      </c>
      <c r="G973" s="2">
        <v>1</v>
      </c>
      <c r="H973" s="2">
        <v>3</v>
      </c>
      <c r="I973" s="2">
        <v>2</v>
      </c>
      <c r="J973" s="1"/>
      <c r="M973" t="s">
        <v>15</v>
      </c>
      <c r="N973" t="str">
        <f>IFERROR(VLOOKUP(B973,'[1]All Player'!$B$2:$C$1992,2,0),"")</f>
        <v>Tanvir Shakib</v>
      </c>
      <c r="O973" s="2" t="s">
        <v>496</v>
      </c>
      <c r="P973" s="16" t="s">
        <v>867</v>
      </c>
      <c r="Q973" s="1">
        <f t="shared" si="36"/>
        <v>1</v>
      </c>
      <c r="R973" s="1">
        <v>158</v>
      </c>
      <c r="T973" s="1" t="s">
        <v>657</v>
      </c>
      <c r="U973" s="8">
        <f t="shared" si="35"/>
        <v>42401</v>
      </c>
    </row>
    <row r="974" spans="1:23" x14ac:dyDescent="0.25">
      <c r="A974" s="2">
        <v>16</v>
      </c>
      <c r="B974" t="s">
        <v>128</v>
      </c>
      <c r="C974" s="2">
        <v>4</v>
      </c>
      <c r="D974" s="2">
        <v>22</v>
      </c>
      <c r="E974" s="2">
        <v>4</v>
      </c>
      <c r="F974" s="2">
        <v>3</v>
      </c>
      <c r="G974" s="2">
        <v>0</v>
      </c>
      <c r="H974" s="2">
        <v>1</v>
      </c>
      <c r="I974" s="2">
        <v>3</v>
      </c>
      <c r="J974" s="1"/>
      <c r="M974" t="s">
        <v>15</v>
      </c>
      <c r="N974" t="str">
        <f>IFERROR(VLOOKUP(B974,'[1]All Player'!$B$2:$C$1992,2,0),"")</f>
        <v>Monsur Rahman</v>
      </c>
      <c r="O974" s="2" t="s">
        <v>496</v>
      </c>
      <c r="P974" s="16" t="s">
        <v>867</v>
      </c>
      <c r="Q974" s="1">
        <f t="shared" si="36"/>
        <v>1</v>
      </c>
      <c r="R974" s="1">
        <v>158</v>
      </c>
      <c r="T974" s="1" t="s">
        <v>657</v>
      </c>
      <c r="U974" s="8">
        <f t="shared" si="35"/>
        <v>42401</v>
      </c>
    </row>
    <row r="975" spans="1:23" x14ac:dyDescent="0.25">
      <c r="A975" s="2">
        <v>16</v>
      </c>
      <c r="B975" t="s">
        <v>122</v>
      </c>
      <c r="C975" s="2">
        <v>6</v>
      </c>
      <c r="D975" s="2">
        <v>27</v>
      </c>
      <c r="E975" s="2">
        <v>2</v>
      </c>
      <c r="F975" s="2">
        <v>4</v>
      </c>
      <c r="G975" s="2">
        <v>0</v>
      </c>
      <c r="H975" s="2">
        <v>4</v>
      </c>
      <c r="I975" s="2">
        <v>0</v>
      </c>
      <c r="J975" s="1"/>
      <c r="M975" t="s">
        <v>15</v>
      </c>
      <c r="N975" t="str">
        <f>IFERROR(VLOOKUP(B975,'[1]All Player'!$B$2:$C$1992,2,0),"")</f>
        <v>Towkir Ahmed Siddique</v>
      </c>
      <c r="O975" s="2" t="s">
        <v>496</v>
      </c>
      <c r="P975" s="16" t="s">
        <v>867</v>
      </c>
      <c r="Q975" s="1">
        <f t="shared" si="36"/>
        <v>1</v>
      </c>
      <c r="R975" s="1">
        <v>158</v>
      </c>
      <c r="T975" s="1" t="s">
        <v>657</v>
      </c>
      <c r="U975" s="8">
        <f t="shared" si="35"/>
        <v>42401</v>
      </c>
    </row>
    <row r="976" spans="1:23" x14ac:dyDescent="0.25">
      <c r="A976" s="2">
        <v>16</v>
      </c>
      <c r="B976" t="s">
        <v>52</v>
      </c>
      <c r="C976" s="2">
        <v>6</v>
      </c>
      <c r="D976" s="2">
        <v>132</v>
      </c>
      <c r="E976" s="2">
        <v>7</v>
      </c>
      <c r="F976" s="2">
        <v>6</v>
      </c>
      <c r="G976" s="2">
        <v>1</v>
      </c>
      <c r="H976" s="2">
        <v>10</v>
      </c>
      <c r="I976" s="2">
        <v>4</v>
      </c>
      <c r="J976" s="1"/>
      <c r="M976" t="s">
        <v>15</v>
      </c>
      <c r="N976" t="str">
        <f>IFERROR(VLOOKUP(B976,'[1]All Player'!$B$2:$C$1992,2,0),"")</f>
        <v>Mohammed Al Mamun</v>
      </c>
      <c r="O976" s="2" t="s">
        <v>496</v>
      </c>
      <c r="P976" s="16" t="s">
        <v>867</v>
      </c>
      <c r="Q976" s="1">
        <f t="shared" si="36"/>
        <v>1</v>
      </c>
      <c r="R976" s="1">
        <v>158</v>
      </c>
      <c r="T976" s="1" t="s">
        <v>657</v>
      </c>
      <c r="U976" s="8">
        <f t="shared" si="35"/>
        <v>42401</v>
      </c>
    </row>
    <row r="977" spans="1:22" x14ac:dyDescent="0.25">
      <c r="A977" s="2">
        <v>16</v>
      </c>
      <c r="B977" t="s">
        <v>868</v>
      </c>
      <c r="J977" s="1"/>
      <c r="M977" t="s">
        <v>15</v>
      </c>
      <c r="N977" t="str">
        <f>IFERROR(VLOOKUP(B977,'[1]All Player'!$B$2:$C$1992,2,0),"")</f>
        <v/>
      </c>
      <c r="O977" s="2" t="s">
        <v>496</v>
      </c>
      <c r="P977" s="16" t="s">
        <v>605</v>
      </c>
      <c r="Q977" s="1">
        <f t="shared" si="36"/>
        <v>1</v>
      </c>
      <c r="R977" s="1">
        <v>159</v>
      </c>
      <c r="U977" s="8">
        <f t="shared" si="35"/>
        <v>42401</v>
      </c>
    </row>
    <row r="978" spans="1:22" x14ac:dyDescent="0.25">
      <c r="A978" s="2">
        <v>16</v>
      </c>
      <c r="B978" t="s">
        <v>106</v>
      </c>
      <c r="C978" s="2">
        <v>6</v>
      </c>
      <c r="D978" s="2">
        <v>185</v>
      </c>
      <c r="E978" s="2">
        <v>6</v>
      </c>
      <c r="F978" s="2">
        <v>13</v>
      </c>
      <c r="G978" s="2">
        <v>0</v>
      </c>
      <c r="H978" s="2">
        <v>9</v>
      </c>
      <c r="I978" s="2">
        <v>12</v>
      </c>
      <c r="J978" s="1"/>
      <c r="M978" t="s">
        <v>15</v>
      </c>
      <c r="N978" t="str">
        <f>IFERROR(VLOOKUP(B978,'[1]All Player'!$B$2:$C$1992,2,0),"")</f>
        <v>Sayed Anowar Shanto</v>
      </c>
      <c r="O978" s="2" t="s">
        <v>496</v>
      </c>
      <c r="P978" s="16" t="s">
        <v>605</v>
      </c>
      <c r="Q978" s="1">
        <f t="shared" si="36"/>
        <v>1</v>
      </c>
      <c r="R978" s="1">
        <v>159</v>
      </c>
      <c r="U978" s="8">
        <f t="shared" si="35"/>
        <v>42401</v>
      </c>
    </row>
    <row r="979" spans="1:22" x14ac:dyDescent="0.25">
      <c r="A979" s="2">
        <v>16</v>
      </c>
      <c r="B979" t="s">
        <v>390</v>
      </c>
      <c r="C979" s="2">
        <v>2</v>
      </c>
      <c r="D979" s="2">
        <v>7</v>
      </c>
      <c r="E979" s="2">
        <v>2</v>
      </c>
      <c r="F979" s="2">
        <v>1</v>
      </c>
      <c r="G979" s="2">
        <v>0</v>
      </c>
      <c r="H979" s="2">
        <v>0</v>
      </c>
      <c r="I979" s="2">
        <v>0</v>
      </c>
      <c r="J979" s="1"/>
      <c r="M979" t="s">
        <v>15</v>
      </c>
      <c r="N979" t="str">
        <f>IFERROR(VLOOKUP(B979,'[1]All Player'!$B$2:$C$1992,2,0),"")</f>
        <v>Wahidur Rahman Riad</v>
      </c>
      <c r="O979" s="2" t="s">
        <v>496</v>
      </c>
      <c r="P979" s="16" t="s">
        <v>605</v>
      </c>
      <c r="Q979" s="1">
        <f t="shared" si="36"/>
        <v>1</v>
      </c>
      <c r="R979" s="1">
        <v>159</v>
      </c>
      <c r="U979" s="8">
        <f t="shared" si="35"/>
        <v>42401</v>
      </c>
    </row>
    <row r="980" spans="1:22" x14ac:dyDescent="0.25">
      <c r="A980" s="2">
        <v>16</v>
      </c>
      <c r="B980" t="s">
        <v>31</v>
      </c>
      <c r="C980" s="2">
        <v>3</v>
      </c>
      <c r="D980" s="2">
        <v>33</v>
      </c>
      <c r="E980" s="2">
        <v>2</v>
      </c>
      <c r="F980" s="2">
        <v>5</v>
      </c>
      <c r="G980" s="2">
        <v>0</v>
      </c>
      <c r="H980" s="2">
        <v>2</v>
      </c>
      <c r="I980" s="2">
        <v>1</v>
      </c>
      <c r="J980" s="1"/>
      <c r="M980" t="s">
        <v>15</v>
      </c>
      <c r="N980" t="str">
        <f>IFERROR(VLOOKUP(B980,'[1]All Player'!$B$2:$C$1992,2,0),"")</f>
        <v>Hetlar Shohag</v>
      </c>
      <c r="O980" s="2" t="s">
        <v>496</v>
      </c>
      <c r="P980" s="16" t="s">
        <v>605</v>
      </c>
      <c r="Q980" s="1">
        <f t="shared" si="36"/>
        <v>1</v>
      </c>
      <c r="R980" s="1">
        <v>159</v>
      </c>
      <c r="U980" s="8">
        <f t="shared" si="35"/>
        <v>42401</v>
      </c>
    </row>
    <row r="981" spans="1:22" x14ac:dyDescent="0.25">
      <c r="A981" s="2">
        <v>16</v>
      </c>
      <c r="B981" t="s">
        <v>74</v>
      </c>
      <c r="C981" s="2">
        <v>6</v>
      </c>
      <c r="D981" s="2">
        <v>66</v>
      </c>
      <c r="E981" s="2">
        <v>6</v>
      </c>
      <c r="F981" s="2">
        <v>9</v>
      </c>
      <c r="G981" s="2">
        <v>1</v>
      </c>
      <c r="H981" s="2">
        <v>2</v>
      </c>
      <c r="I981" s="2">
        <v>5</v>
      </c>
      <c r="J981" s="1"/>
      <c r="M981" t="s">
        <v>15</v>
      </c>
      <c r="N981" t="str">
        <f>IFERROR(VLOOKUP(B981,'[1]All Player'!$B$2:$C$1992,2,0),"")</f>
        <v>Sakib Arafat</v>
      </c>
      <c r="O981" s="2" t="s">
        <v>496</v>
      </c>
      <c r="P981" s="16" t="s">
        <v>605</v>
      </c>
      <c r="Q981" s="1">
        <f t="shared" si="36"/>
        <v>1</v>
      </c>
      <c r="R981" s="1">
        <v>159</v>
      </c>
      <c r="U981" s="8">
        <f t="shared" si="35"/>
        <v>42401</v>
      </c>
    </row>
    <row r="982" spans="1:22" x14ac:dyDescent="0.25">
      <c r="A982" s="2">
        <v>16</v>
      </c>
      <c r="B982" t="s">
        <v>46</v>
      </c>
      <c r="C982" s="2">
        <v>5</v>
      </c>
      <c r="D982" s="2">
        <v>67</v>
      </c>
      <c r="E982" s="2">
        <v>8</v>
      </c>
      <c r="F982" s="2">
        <v>7</v>
      </c>
      <c r="G982" s="2">
        <v>0</v>
      </c>
      <c r="H982" s="2">
        <v>3</v>
      </c>
      <c r="I982" s="2">
        <v>5</v>
      </c>
      <c r="J982" s="1"/>
      <c r="M982" t="s">
        <v>15</v>
      </c>
      <c r="N982" t="str">
        <f>IFERROR(VLOOKUP(B982,'[1]All Player'!$B$2:$C$1992,2,0),"")</f>
        <v>Roman mahamud Arko</v>
      </c>
      <c r="O982" s="2" t="s">
        <v>496</v>
      </c>
      <c r="P982" s="16" t="s">
        <v>605</v>
      </c>
      <c r="Q982" s="1">
        <f t="shared" si="36"/>
        <v>1</v>
      </c>
      <c r="R982" s="1">
        <v>159</v>
      </c>
      <c r="U982" s="8">
        <f t="shared" si="35"/>
        <v>42401</v>
      </c>
    </row>
    <row r="983" spans="1:22" x14ac:dyDescent="0.25">
      <c r="A983" s="2">
        <v>16</v>
      </c>
      <c r="B983" t="s">
        <v>398</v>
      </c>
      <c r="C983" s="2">
        <v>5</v>
      </c>
      <c r="D983" s="2">
        <v>110</v>
      </c>
      <c r="E983" s="2">
        <v>12</v>
      </c>
      <c r="F983" s="2">
        <v>6</v>
      </c>
      <c r="G983" s="2">
        <v>0</v>
      </c>
      <c r="H983" s="2">
        <v>6</v>
      </c>
      <c r="I983" s="2">
        <v>4</v>
      </c>
      <c r="J983" s="1"/>
      <c r="M983" t="s">
        <v>15</v>
      </c>
      <c r="N983" t="str">
        <f>IFERROR(VLOOKUP(B983,'[1]All Player'!$B$2:$C$1992,2,0),"")</f>
        <v>Ahmad Saykat (Mohammad Sheikh Farid Uddin)</v>
      </c>
      <c r="O983" s="2" t="s">
        <v>496</v>
      </c>
      <c r="P983" s="16" t="s">
        <v>605</v>
      </c>
      <c r="Q983" s="1">
        <f t="shared" si="36"/>
        <v>1</v>
      </c>
      <c r="R983" s="1">
        <v>159</v>
      </c>
      <c r="U983" s="8">
        <f t="shared" si="35"/>
        <v>42401</v>
      </c>
    </row>
    <row r="984" spans="1:22" x14ac:dyDescent="0.25">
      <c r="A984" s="2">
        <v>16</v>
      </c>
      <c r="B984" t="s">
        <v>392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1"/>
      <c r="M984" t="s">
        <v>15</v>
      </c>
      <c r="N984" t="str">
        <f>IFERROR(VLOOKUP(B984,'[1]All Player'!$B$2:$C$1992,2,0),"")</f>
        <v>Ruffin Remad</v>
      </c>
      <c r="O984" s="2" t="s">
        <v>496</v>
      </c>
      <c r="P984" s="16" t="s">
        <v>605</v>
      </c>
      <c r="Q984" s="1">
        <f t="shared" si="36"/>
        <v>1</v>
      </c>
      <c r="R984" s="1">
        <v>159</v>
      </c>
      <c r="U984" s="8">
        <f t="shared" si="35"/>
        <v>42401</v>
      </c>
    </row>
    <row r="985" spans="1:22" x14ac:dyDescent="0.25">
      <c r="A985" s="2">
        <v>17</v>
      </c>
      <c r="B985" s="17" t="s">
        <v>869</v>
      </c>
      <c r="J985" s="1"/>
      <c r="M985" t="s">
        <v>15</v>
      </c>
      <c r="N985" t="str">
        <f>IFERROR(VLOOKUP(B985,'[1]All Player'!$B$2:$C$1992,2,0),"")</f>
        <v/>
      </c>
      <c r="O985" s="2" t="s">
        <v>539</v>
      </c>
      <c r="P985" s="16" t="s">
        <v>869</v>
      </c>
      <c r="Q985" s="1">
        <f t="shared" si="36"/>
        <v>1</v>
      </c>
      <c r="R985" s="1">
        <v>160</v>
      </c>
      <c r="U985" s="8">
        <v>42339</v>
      </c>
    </row>
    <row r="986" spans="1:22" x14ac:dyDescent="0.25">
      <c r="A986" s="2">
        <v>17</v>
      </c>
      <c r="B986" t="s">
        <v>70</v>
      </c>
      <c r="C986" s="2">
        <v>8</v>
      </c>
      <c r="D986" s="2">
        <v>138</v>
      </c>
      <c r="E986" s="2">
        <v>4</v>
      </c>
      <c r="F986" s="2">
        <v>11</v>
      </c>
      <c r="G986" s="2">
        <v>0</v>
      </c>
      <c r="H986" s="2">
        <v>2</v>
      </c>
      <c r="I986" s="2">
        <v>8</v>
      </c>
      <c r="J986" s="1"/>
      <c r="M986" t="s">
        <v>15</v>
      </c>
      <c r="N986" t="str">
        <f>IFERROR(VLOOKUP(B986,'[1]All Player'!$B$2:$C$1992,2,0),"")</f>
        <v>Sheik Helal Ahmed</v>
      </c>
      <c r="O986" s="2" t="s">
        <v>539</v>
      </c>
      <c r="P986" s="16" t="s">
        <v>869</v>
      </c>
      <c r="Q986" s="1">
        <f t="shared" si="36"/>
        <v>1</v>
      </c>
      <c r="R986" s="1">
        <v>160</v>
      </c>
      <c r="U986" s="8">
        <f t="shared" ref="U986:U1042" si="37">U985</f>
        <v>42339</v>
      </c>
    </row>
    <row r="987" spans="1:22" x14ac:dyDescent="0.25">
      <c r="A987" s="2">
        <v>17</v>
      </c>
      <c r="B987" t="s">
        <v>148</v>
      </c>
      <c r="C987" s="2">
        <v>8</v>
      </c>
      <c r="D987" s="2">
        <v>73</v>
      </c>
      <c r="E987" s="2">
        <v>10</v>
      </c>
      <c r="F987" s="2">
        <v>10</v>
      </c>
      <c r="G987" s="2">
        <v>0</v>
      </c>
      <c r="H987" s="2">
        <v>5</v>
      </c>
      <c r="I987" s="2">
        <v>6</v>
      </c>
      <c r="J987" s="1"/>
      <c r="M987" t="s">
        <v>15</v>
      </c>
      <c r="N987" t="str">
        <f>IFERROR(VLOOKUP(B987,'[1]All Player'!$B$2:$C$1992,2,0),"")</f>
        <v>AB Saaj</v>
      </c>
      <c r="O987" s="2" t="s">
        <v>539</v>
      </c>
      <c r="P987" s="16" t="s">
        <v>869</v>
      </c>
      <c r="Q987" s="1">
        <f t="shared" si="36"/>
        <v>1</v>
      </c>
      <c r="R987" s="1">
        <v>160</v>
      </c>
      <c r="U987" s="8">
        <f t="shared" si="37"/>
        <v>42339</v>
      </c>
    </row>
    <row r="988" spans="1:22" x14ac:dyDescent="0.25">
      <c r="A988" s="2">
        <v>17</v>
      </c>
      <c r="B988" t="s">
        <v>78</v>
      </c>
      <c r="C988" s="2">
        <v>4</v>
      </c>
      <c r="D988" s="2">
        <v>57</v>
      </c>
      <c r="E988" s="2">
        <v>5</v>
      </c>
      <c r="F988" s="2">
        <v>5</v>
      </c>
      <c r="G988" s="2">
        <v>0</v>
      </c>
      <c r="H988" s="2">
        <v>2</v>
      </c>
      <c r="I988" s="2">
        <v>4</v>
      </c>
      <c r="J988" s="1"/>
      <c r="M988" t="s">
        <v>15</v>
      </c>
      <c r="N988" t="str">
        <f>IFERROR(VLOOKUP(B988,'[1]All Player'!$B$2:$C$1992,2,0),"")</f>
        <v>KM Rashedul Islam Rashed</v>
      </c>
      <c r="O988" s="2" t="s">
        <v>539</v>
      </c>
      <c r="P988" s="16" t="s">
        <v>869</v>
      </c>
      <c r="Q988" s="1">
        <f t="shared" si="36"/>
        <v>1</v>
      </c>
      <c r="R988" s="1">
        <v>160</v>
      </c>
      <c r="U988" s="8">
        <f t="shared" si="37"/>
        <v>42339</v>
      </c>
    </row>
    <row r="989" spans="1:22" x14ac:dyDescent="0.25">
      <c r="A989" s="2">
        <v>17</v>
      </c>
      <c r="B989" t="s">
        <v>350</v>
      </c>
      <c r="C989" s="2">
        <v>8</v>
      </c>
      <c r="D989" s="2">
        <v>46</v>
      </c>
      <c r="E989" s="2">
        <v>12</v>
      </c>
      <c r="F989" s="2">
        <v>6</v>
      </c>
      <c r="G989" s="2">
        <v>2</v>
      </c>
      <c r="H989" s="2">
        <v>3</v>
      </c>
      <c r="I989" s="2">
        <v>2</v>
      </c>
      <c r="J989" s="1"/>
      <c r="M989" t="s">
        <v>15</v>
      </c>
      <c r="N989" t="str">
        <f>IFERROR(VLOOKUP(B989,'[1]All Player'!$B$2:$C$1992,2,0),"")</f>
        <v>Shahriar Shuvro</v>
      </c>
      <c r="O989" s="2" t="s">
        <v>539</v>
      </c>
      <c r="P989" s="16" t="s">
        <v>869</v>
      </c>
      <c r="Q989" s="1">
        <f t="shared" si="36"/>
        <v>1</v>
      </c>
      <c r="R989" s="1">
        <v>160</v>
      </c>
      <c r="U989" s="8">
        <f t="shared" si="37"/>
        <v>42339</v>
      </c>
    </row>
    <row r="990" spans="1:22" x14ac:dyDescent="0.25">
      <c r="A990" s="2">
        <v>17</v>
      </c>
      <c r="B990" t="s">
        <v>870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1"/>
      <c r="M990" t="s">
        <v>15</v>
      </c>
      <c r="N990" t="str">
        <f>IFERROR(VLOOKUP(B990,'[1]All Player'!$B$2:$C$1992,2,0),"")</f>
        <v>Sawon Ahmed</v>
      </c>
      <c r="O990" s="2" t="s">
        <v>539</v>
      </c>
      <c r="P990" s="16" t="s">
        <v>869</v>
      </c>
      <c r="Q990" s="1">
        <f t="shared" si="36"/>
        <v>1</v>
      </c>
      <c r="R990" s="1">
        <v>160</v>
      </c>
      <c r="U990" s="8">
        <f t="shared" si="37"/>
        <v>42339</v>
      </c>
    </row>
    <row r="991" spans="1:22" x14ac:dyDescent="0.25">
      <c r="A991" s="2">
        <v>17</v>
      </c>
      <c r="B991" t="s">
        <v>64</v>
      </c>
      <c r="C991" s="2">
        <v>8</v>
      </c>
      <c r="D991" s="2">
        <v>301</v>
      </c>
      <c r="E991" s="2">
        <v>10</v>
      </c>
      <c r="F991" s="2">
        <v>15</v>
      </c>
      <c r="G991" s="2">
        <v>0</v>
      </c>
      <c r="H991" s="2">
        <v>27</v>
      </c>
      <c r="I991" s="2">
        <v>22</v>
      </c>
      <c r="J991" s="1"/>
      <c r="M991" t="s">
        <v>15</v>
      </c>
      <c r="N991" t="str">
        <f>IFERROR(VLOOKUP(B991,'[1]All Player'!$B$2:$C$1992,2,0),"")</f>
        <v>Sumon Ab</v>
      </c>
      <c r="O991" s="2" t="s">
        <v>539</v>
      </c>
      <c r="P991" s="16" t="s">
        <v>869</v>
      </c>
      <c r="Q991" s="1">
        <f t="shared" si="36"/>
        <v>1</v>
      </c>
      <c r="R991" s="1">
        <v>160</v>
      </c>
      <c r="S991" s="2" t="s">
        <v>660</v>
      </c>
      <c r="U991" s="8">
        <f t="shared" si="37"/>
        <v>42339</v>
      </c>
      <c r="V991" s="1">
        <v>1</v>
      </c>
    </row>
    <row r="992" spans="1:22" x14ac:dyDescent="0.25">
      <c r="A992" s="2">
        <v>17</v>
      </c>
      <c r="B992" t="s">
        <v>197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1"/>
      <c r="M992" t="s">
        <v>15</v>
      </c>
      <c r="N992" t="str">
        <f>IFERROR(VLOOKUP(B992,'[1]All Player'!$B$2:$C$1992,2,0),"")</f>
        <v>Noushed Mijan</v>
      </c>
      <c r="O992" s="2" t="s">
        <v>539</v>
      </c>
      <c r="P992" s="16" t="s">
        <v>869</v>
      </c>
      <c r="Q992" s="1">
        <f t="shared" si="36"/>
        <v>1</v>
      </c>
      <c r="R992" s="1">
        <v>160</v>
      </c>
      <c r="U992" s="8">
        <f t="shared" si="37"/>
        <v>42339</v>
      </c>
    </row>
    <row r="993" spans="1:21" x14ac:dyDescent="0.25">
      <c r="A993" s="2">
        <v>17</v>
      </c>
      <c r="B993" s="17" t="s">
        <v>871</v>
      </c>
      <c r="J993" s="1"/>
      <c r="M993" t="s">
        <v>15</v>
      </c>
      <c r="N993" t="str">
        <f>IFERROR(VLOOKUP(B993,'[1]All Player'!$B$2:$C$1992,2,0),"")</f>
        <v/>
      </c>
      <c r="O993" s="2" t="s">
        <v>539</v>
      </c>
      <c r="P993" s="16" t="s">
        <v>871</v>
      </c>
      <c r="Q993" s="1">
        <f t="shared" si="36"/>
        <v>1</v>
      </c>
      <c r="R993" s="1">
        <v>161</v>
      </c>
      <c r="U993" s="8">
        <f t="shared" si="37"/>
        <v>42339</v>
      </c>
    </row>
    <row r="994" spans="1:21" x14ac:dyDescent="0.25">
      <c r="A994" s="2">
        <v>17</v>
      </c>
      <c r="B994" t="s">
        <v>136</v>
      </c>
      <c r="C994" s="2">
        <v>6</v>
      </c>
      <c r="D994" s="2">
        <v>85</v>
      </c>
      <c r="E994" s="2">
        <v>9</v>
      </c>
      <c r="F994" s="2">
        <v>10</v>
      </c>
      <c r="G994" s="2">
        <v>1</v>
      </c>
      <c r="H994" s="2">
        <v>11</v>
      </c>
      <c r="I994" s="2">
        <v>3</v>
      </c>
      <c r="J994" s="1"/>
      <c r="M994" t="s">
        <v>15</v>
      </c>
      <c r="N994" t="str">
        <f>IFERROR(VLOOKUP(B994,'[1]All Player'!$B$2:$C$1992,2,0),"")</f>
        <v>MD Kamal Hossain Kamal</v>
      </c>
      <c r="O994" s="2" t="s">
        <v>539</v>
      </c>
      <c r="P994" s="16" t="s">
        <v>871</v>
      </c>
      <c r="Q994" s="1">
        <f t="shared" si="36"/>
        <v>1</v>
      </c>
      <c r="R994" s="1">
        <v>161</v>
      </c>
      <c r="U994" s="8">
        <f t="shared" si="37"/>
        <v>42339</v>
      </c>
    </row>
    <row r="995" spans="1:21" x14ac:dyDescent="0.25">
      <c r="A995" s="2">
        <v>17</v>
      </c>
      <c r="B995" t="s">
        <v>60</v>
      </c>
      <c r="C995" s="2">
        <v>6</v>
      </c>
      <c r="D995" s="2">
        <v>102</v>
      </c>
      <c r="E995" s="2">
        <v>11</v>
      </c>
      <c r="F995" s="2">
        <v>9</v>
      </c>
      <c r="G995" s="2">
        <v>0</v>
      </c>
      <c r="H995" s="2">
        <v>6</v>
      </c>
      <c r="I995" s="2">
        <v>7</v>
      </c>
      <c r="J995" s="1"/>
      <c r="M995" t="s">
        <v>15</v>
      </c>
      <c r="N995" t="str">
        <f>IFERROR(VLOOKUP(B995,'[1]All Player'!$B$2:$C$1992,2,0),"")</f>
        <v>Jahin Shahriar Chowdhury</v>
      </c>
      <c r="O995" s="2" t="s">
        <v>539</v>
      </c>
      <c r="P995" s="16" t="s">
        <v>871</v>
      </c>
      <c r="Q995" s="1">
        <f t="shared" si="36"/>
        <v>1</v>
      </c>
      <c r="R995" s="1">
        <v>161</v>
      </c>
      <c r="U995" s="8">
        <f t="shared" si="37"/>
        <v>42339</v>
      </c>
    </row>
    <row r="996" spans="1:21" x14ac:dyDescent="0.25">
      <c r="A996" s="2">
        <v>17</v>
      </c>
      <c r="B996" t="s">
        <v>154</v>
      </c>
      <c r="C996" s="2">
        <v>1</v>
      </c>
      <c r="D996" s="2">
        <v>0</v>
      </c>
      <c r="E996" s="2">
        <v>0</v>
      </c>
      <c r="F996" s="2">
        <v>1</v>
      </c>
      <c r="G996" s="2">
        <v>0</v>
      </c>
      <c r="H996" s="2">
        <v>0</v>
      </c>
      <c r="I996" s="2">
        <v>0</v>
      </c>
      <c r="J996" s="1"/>
      <c r="M996" t="s">
        <v>15</v>
      </c>
      <c r="N996" t="str">
        <f>IFERROR(VLOOKUP(B996,'[1]All Player'!$B$2:$C$1992,2,0),"")</f>
        <v>Meyaz Al Emon</v>
      </c>
      <c r="O996" s="2" t="s">
        <v>539</v>
      </c>
      <c r="P996" s="16" t="s">
        <v>871</v>
      </c>
      <c r="Q996" s="1">
        <f t="shared" si="36"/>
        <v>1</v>
      </c>
      <c r="R996" s="1">
        <v>161</v>
      </c>
      <c r="U996" s="8">
        <f t="shared" si="37"/>
        <v>42339</v>
      </c>
    </row>
    <row r="997" spans="1:21" x14ac:dyDescent="0.25">
      <c r="A997" s="2">
        <v>17</v>
      </c>
      <c r="B997" t="s">
        <v>97</v>
      </c>
      <c r="C997" s="2">
        <v>5</v>
      </c>
      <c r="D997" s="2">
        <v>44</v>
      </c>
      <c r="E997" s="2">
        <v>6</v>
      </c>
      <c r="F997" s="2">
        <v>6</v>
      </c>
      <c r="G997" s="2">
        <v>0</v>
      </c>
      <c r="H997" s="2">
        <v>4</v>
      </c>
      <c r="I997" s="2">
        <v>2</v>
      </c>
      <c r="J997" s="1"/>
      <c r="M997" t="s">
        <v>15</v>
      </c>
      <c r="N997" t="str">
        <f>IFERROR(VLOOKUP(B997,'[1]All Player'!$B$2:$C$1992,2,0),"")</f>
        <v>Sanju Pritom</v>
      </c>
      <c r="O997" s="2" t="s">
        <v>539</v>
      </c>
      <c r="P997" s="16" t="s">
        <v>871</v>
      </c>
      <c r="Q997" s="1">
        <f t="shared" si="36"/>
        <v>1</v>
      </c>
      <c r="R997" s="1">
        <v>161</v>
      </c>
      <c r="U997" s="8">
        <f t="shared" si="37"/>
        <v>42339</v>
      </c>
    </row>
    <row r="998" spans="1:21" x14ac:dyDescent="0.25">
      <c r="A998" s="2">
        <v>17</v>
      </c>
      <c r="B998" t="s">
        <v>76</v>
      </c>
      <c r="C998" s="2">
        <v>3</v>
      </c>
      <c r="D998" s="2">
        <v>22</v>
      </c>
      <c r="E998" s="2">
        <v>1</v>
      </c>
      <c r="F998" s="2">
        <v>3</v>
      </c>
      <c r="G998" s="2">
        <v>0</v>
      </c>
      <c r="H998" s="2">
        <v>3</v>
      </c>
      <c r="I998" s="2">
        <v>1</v>
      </c>
      <c r="J998" s="1"/>
      <c r="M998" t="s">
        <v>15</v>
      </c>
      <c r="N998" t="str">
        <f>IFERROR(VLOOKUP(B998,'[1]All Player'!$B$2:$C$1992,2,0),"")</f>
        <v>Kamil Ahmed</v>
      </c>
      <c r="O998" s="2" t="s">
        <v>539</v>
      </c>
      <c r="P998" s="16" t="s">
        <v>871</v>
      </c>
      <c r="Q998" s="1">
        <f t="shared" si="36"/>
        <v>1</v>
      </c>
      <c r="R998" s="1">
        <v>161</v>
      </c>
      <c r="U998" s="8">
        <f t="shared" si="37"/>
        <v>42339</v>
      </c>
    </row>
    <row r="999" spans="1:21" x14ac:dyDescent="0.25">
      <c r="A999" s="2">
        <v>17</v>
      </c>
      <c r="B999" t="s">
        <v>396</v>
      </c>
      <c r="C999" s="2">
        <v>4</v>
      </c>
      <c r="D999" s="2">
        <v>85</v>
      </c>
      <c r="E999" s="2">
        <v>4</v>
      </c>
      <c r="F999" s="2">
        <v>5</v>
      </c>
      <c r="G999" s="2">
        <v>1</v>
      </c>
      <c r="H999" s="2">
        <v>3</v>
      </c>
      <c r="I999" s="2">
        <v>7</v>
      </c>
      <c r="J999" s="1"/>
      <c r="M999" t="s">
        <v>15</v>
      </c>
      <c r="N999" t="str">
        <f>IFERROR(VLOOKUP(B999,'[1]All Player'!$B$2:$C$1992,2,0),"")</f>
        <v>আবিদুর রহমান</v>
      </c>
      <c r="O999" s="2" t="s">
        <v>539</v>
      </c>
      <c r="P999" s="16" t="s">
        <v>871</v>
      </c>
      <c r="Q999" s="1">
        <f t="shared" si="36"/>
        <v>1</v>
      </c>
      <c r="R999" s="1">
        <v>161</v>
      </c>
      <c r="U999" s="8">
        <f t="shared" si="37"/>
        <v>42339</v>
      </c>
    </row>
    <row r="1000" spans="1:21" x14ac:dyDescent="0.25">
      <c r="A1000" s="2">
        <v>17</v>
      </c>
      <c r="B1000" t="s">
        <v>193</v>
      </c>
      <c r="C1000" s="2">
        <v>1</v>
      </c>
      <c r="D1000" s="2">
        <v>0</v>
      </c>
      <c r="E1000" s="2">
        <v>2</v>
      </c>
      <c r="F1000" s="2">
        <v>0</v>
      </c>
      <c r="G1000" s="2">
        <v>0</v>
      </c>
      <c r="H1000" s="2">
        <v>0</v>
      </c>
      <c r="I1000" s="2">
        <v>0</v>
      </c>
      <c r="J1000" s="1"/>
      <c r="M1000" t="s">
        <v>15</v>
      </c>
      <c r="N1000" t="str">
        <f>IFERROR(VLOOKUP(B1000,'[1]All Player'!$B$2:$C$1992,2,0),"")</f>
        <v>Mostafizur Rahman Mithu</v>
      </c>
      <c r="O1000" s="2" t="s">
        <v>539</v>
      </c>
      <c r="P1000" s="16" t="s">
        <v>871</v>
      </c>
      <c r="Q1000" s="1">
        <f t="shared" si="36"/>
        <v>1</v>
      </c>
      <c r="R1000" s="1">
        <v>161</v>
      </c>
      <c r="U1000" s="8">
        <f t="shared" si="37"/>
        <v>42339</v>
      </c>
    </row>
    <row r="1001" spans="1:21" x14ac:dyDescent="0.25">
      <c r="A1001" s="2">
        <v>17</v>
      </c>
      <c r="B1001" s="17" t="s">
        <v>872</v>
      </c>
      <c r="J1001" s="1"/>
      <c r="M1001" t="s">
        <v>15</v>
      </c>
      <c r="N1001" t="str">
        <f>IFERROR(VLOOKUP(B1001,'[1]All Player'!$B$2:$C$1992,2,0),"")</f>
        <v/>
      </c>
      <c r="O1001" s="2" t="s">
        <v>539</v>
      </c>
      <c r="P1001" s="16" t="s">
        <v>872</v>
      </c>
      <c r="Q1001" s="1">
        <f t="shared" si="36"/>
        <v>1</v>
      </c>
      <c r="R1001" s="1">
        <v>162</v>
      </c>
      <c r="U1001" s="8">
        <f t="shared" si="37"/>
        <v>42339</v>
      </c>
    </row>
    <row r="1002" spans="1:21" x14ac:dyDescent="0.25">
      <c r="A1002" s="2">
        <v>17</v>
      </c>
      <c r="B1002" t="s">
        <v>29</v>
      </c>
      <c r="C1002" s="2">
        <v>6</v>
      </c>
      <c r="D1002" s="2">
        <v>86</v>
      </c>
      <c r="E1002" s="2">
        <v>4</v>
      </c>
      <c r="F1002" s="2">
        <v>7</v>
      </c>
      <c r="G1002" s="2">
        <v>0</v>
      </c>
      <c r="H1002" s="2">
        <v>11</v>
      </c>
      <c r="I1002" s="2">
        <v>0</v>
      </c>
      <c r="J1002" s="1"/>
      <c r="M1002" t="s">
        <v>15</v>
      </c>
      <c r="N1002" t="str">
        <f>IFERROR(VLOOKUP(B1002,'[1]All Player'!$B$2:$C$1992,2,0),"")</f>
        <v>Foysal Ahmed Jumon</v>
      </c>
      <c r="O1002" s="2" t="s">
        <v>539</v>
      </c>
      <c r="P1002" s="16" t="s">
        <v>872</v>
      </c>
      <c r="Q1002" s="1">
        <f t="shared" si="36"/>
        <v>1</v>
      </c>
      <c r="R1002" s="1">
        <v>162</v>
      </c>
      <c r="U1002" s="8">
        <f t="shared" si="37"/>
        <v>42339</v>
      </c>
    </row>
    <row r="1003" spans="1:21" x14ac:dyDescent="0.25">
      <c r="A1003" s="2">
        <v>17</v>
      </c>
      <c r="B1003" t="s">
        <v>130</v>
      </c>
      <c r="C1003" s="2">
        <v>6</v>
      </c>
      <c r="D1003" s="2">
        <v>227</v>
      </c>
      <c r="E1003" s="2">
        <v>6</v>
      </c>
      <c r="F1003" s="2">
        <v>14</v>
      </c>
      <c r="G1003" s="2">
        <v>4</v>
      </c>
      <c r="H1003" s="2">
        <v>17</v>
      </c>
      <c r="I1003" s="2">
        <v>16</v>
      </c>
      <c r="J1003" s="1"/>
      <c r="M1003" t="s">
        <v>15</v>
      </c>
      <c r="N1003" t="str">
        <f>IFERROR(VLOOKUP(B1003,'[1]All Player'!$B$2:$C$1992,2,0),"")</f>
        <v>Shahriar Khokon</v>
      </c>
      <c r="O1003" s="2" t="s">
        <v>539</v>
      </c>
      <c r="P1003" s="16" t="s">
        <v>872</v>
      </c>
      <c r="Q1003" s="1">
        <f t="shared" si="36"/>
        <v>1</v>
      </c>
      <c r="R1003" s="1">
        <v>162</v>
      </c>
      <c r="U1003" s="8">
        <f t="shared" si="37"/>
        <v>42339</v>
      </c>
    </row>
    <row r="1004" spans="1:21" x14ac:dyDescent="0.25">
      <c r="A1004" s="2">
        <v>17</v>
      </c>
      <c r="B1004" t="s">
        <v>52</v>
      </c>
      <c r="C1004" s="2">
        <v>5</v>
      </c>
      <c r="D1004" s="2">
        <v>6</v>
      </c>
      <c r="E1004" s="2">
        <v>1</v>
      </c>
      <c r="F1004" s="2">
        <v>4</v>
      </c>
      <c r="G1004" s="2">
        <v>0</v>
      </c>
      <c r="H1004" s="2">
        <v>0</v>
      </c>
      <c r="I1004" s="2">
        <v>0</v>
      </c>
      <c r="J1004" s="1"/>
      <c r="M1004" t="s">
        <v>15</v>
      </c>
      <c r="N1004" t="str">
        <f>IFERROR(VLOOKUP(B1004,'[1]All Player'!$B$2:$C$1992,2,0),"")</f>
        <v>Mohammed Al Mamun</v>
      </c>
      <c r="O1004" s="2" t="s">
        <v>539</v>
      </c>
      <c r="P1004" s="16" t="s">
        <v>872</v>
      </c>
      <c r="Q1004" s="1">
        <f t="shared" si="36"/>
        <v>1</v>
      </c>
      <c r="R1004" s="1">
        <v>162</v>
      </c>
      <c r="U1004" s="8">
        <f t="shared" si="37"/>
        <v>42339</v>
      </c>
    </row>
    <row r="1005" spans="1:21" x14ac:dyDescent="0.25">
      <c r="A1005" s="2">
        <v>17</v>
      </c>
      <c r="B1005" t="s">
        <v>128</v>
      </c>
      <c r="C1005" s="2">
        <v>6</v>
      </c>
      <c r="D1005" s="2">
        <v>81</v>
      </c>
      <c r="E1005" s="2">
        <v>2</v>
      </c>
      <c r="F1005" s="2">
        <v>7</v>
      </c>
      <c r="G1005" s="2">
        <v>0</v>
      </c>
      <c r="H1005" s="2">
        <v>0</v>
      </c>
      <c r="I1005" s="2">
        <v>9</v>
      </c>
      <c r="J1005" s="1"/>
      <c r="M1005" t="s">
        <v>15</v>
      </c>
      <c r="N1005" t="str">
        <f>IFERROR(VLOOKUP(B1005,'[1]All Player'!$B$2:$C$1992,2,0),"")</f>
        <v>Monsur Rahman</v>
      </c>
      <c r="O1005" s="2" t="s">
        <v>539</v>
      </c>
      <c r="P1005" s="16" t="s">
        <v>872</v>
      </c>
      <c r="Q1005" s="1">
        <f t="shared" si="36"/>
        <v>1</v>
      </c>
      <c r="R1005" s="1">
        <v>162</v>
      </c>
      <c r="U1005" s="8">
        <f t="shared" si="37"/>
        <v>42339</v>
      </c>
    </row>
    <row r="1006" spans="1:21" x14ac:dyDescent="0.25">
      <c r="A1006" s="2">
        <v>17</v>
      </c>
      <c r="B1006" t="s">
        <v>228</v>
      </c>
      <c r="C1006" s="2">
        <v>5</v>
      </c>
      <c r="D1006" s="2">
        <v>24</v>
      </c>
      <c r="E1006" s="24">
        <v>10</v>
      </c>
      <c r="F1006" s="2">
        <v>6</v>
      </c>
      <c r="G1006" s="2">
        <v>0</v>
      </c>
      <c r="H1006" s="2">
        <v>3</v>
      </c>
      <c r="I1006" s="2">
        <v>1</v>
      </c>
      <c r="J1006" s="1"/>
      <c r="M1006" t="s">
        <v>15</v>
      </c>
      <c r="N1006" t="str">
        <f>IFERROR(VLOOKUP(B1006,'[1]All Player'!$B$2:$C$1992,2,0),"")</f>
        <v>Arif Ziad</v>
      </c>
      <c r="O1006" s="2" t="s">
        <v>539</v>
      </c>
      <c r="P1006" s="16" t="s">
        <v>872</v>
      </c>
      <c r="Q1006" s="1">
        <f t="shared" si="36"/>
        <v>1</v>
      </c>
      <c r="R1006" s="1">
        <v>162</v>
      </c>
      <c r="U1006" s="8">
        <f t="shared" si="37"/>
        <v>42339</v>
      </c>
    </row>
    <row r="1007" spans="1:21" x14ac:dyDescent="0.25">
      <c r="A1007" s="2">
        <v>17</v>
      </c>
      <c r="B1007" t="s">
        <v>38</v>
      </c>
      <c r="C1007" s="2">
        <v>1</v>
      </c>
      <c r="D1007" s="2">
        <v>0</v>
      </c>
      <c r="E1007" s="2">
        <v>1</v>
      </c>
      <c r="F1007" s="2">
        <v>0</v>
      </c>
      <c r="G1007" s="2">
        <v>0</v>
      </c>
      <c r="H1007" s="2">
        <v>0</v>
      </c>
      <c r="I1007" s="2">
        <v>0</v>
      </c>
      <c r="J1007" s="1"/>
      <c r="M1007" t="s">
        <v>15</v>
      </c>
      <c r="N1007" t="str">
        <f>IFERROR(VLOOKUP(B1007,'[1]All Player'!$B$2:$C$1992,2,0),"")</f>
        <v>Rayhan Rahman</v>
      </c>
      <c r="O1007" s="2" t="s">
        <v>539</v>
      </c>
      <c r="P1007" s="16" t="s">
        <v>872</v>
      </c>
      <c r="Q1007" s="1">
        <f t="shared" si="36"/>
        <v>1</v>
      </c>
      <c r="R1007" s="1">
        <v>162</v>
      </c>
      <c r="U1007" s="8">
        <f t="shared" si="37"/>
        <v>42339</v>
      </c>
    </row>
    <row r="1008" spans="1:21" x14ac:dyDescent="0.25">
      <c r="A1008" s="2">
        <v>17</v>
      </c>
      <c r="B1008" s="17" t="s">
        <v>873</v>
      </c>
      <c r="J1008" s="1"/>
      <c r="M1008" t="s">
        <v>15</v>
      </c>
      <c r="N1008" t="str">
        <f>IFERROR(VLOOKUP(B1008,'[1]All Player'!$B$2:$C$1992,2,0),"")</f>
        <v/>
      </c>
      <c r="O1008" s="2" t="s">
        <v>539</v>
      </c>
      <c r="P1008" s="16" t="s">
        <v>873</v>
      </c>
      <c r="Q1008" s="1">
        <f t="shared" si="36"/>
        <v>1</v>
      </c>
      <c r="R1008" s="1">
        <v>163</v>
      </c>
      <c r="T1008" s="1" t="s">
        <v>659</v>
      </c>
      <c r="U1008" s="8">
        <f t="shared" si="37"/>
        <v>42339</v>
      </c>
    </row>
    <row r="1009" spans="1:21" x14ac:dyDescent="0.25">
      <c r="A1009" s="2">
        <v>17</v>
      </c>
      <c r="B1009" t="s">
        <v>62</v>
      </c>
      <c r="C1009" s="2">
        <v>8</v>
      </c>
      <c r="D1009" s="2">
        <v>14</v>
      </c>
      <c r="E1009" s="2">
        <v>13</v>
      </c>
      <c r="F1009" s="2">
        <v>3</v>
      </c>
      <c r="G1009" s="2">
        <v>1</v>
      </c>
      <c r="H1009" s="2">
        <v>2</v>
      </c>
      <c r="I1009" s="2">
        <v>1</v>
      </c>
      <c r="J1009" s="1"/>
      <c r="M1009" t="s">
        <v>15</v>
      </c>
      <c r="N1009" t="str">
        <f>IFERROR(VLOOKUP(B1009,'[1]All Player'!$B$2:$C$1992,2,0),"")</f>
        <v>MD Tofayel Ahmed</v>
      </c>
      <c r="O1009" s="2" t="s">
        <v>539</v>
      </c>
      <c r="P1009" s="16" t="s">
        <v>873</v>
      </c>
      <c r="Q1009" s="1">
        <f t="shared" si="36"/>
        <v>1</v>
      </c>
      <c r="R1009" s="1">
        <v>163</v>
      </c>
      <c r="T1009" s="1" t="s">
        <v>659</v>
      </c>
      <c r="U1009" s="8">
        <f t="shared" si="37"/>
        <v>42339</v>
      </c>
    </row>
    <row r="1010" spans="1:21" x14ac:dyDescent="0.25">
      <c r="A1010" s="2">
        <v>17</v>
      </c>
      <c r="B1010" t="s">
        <v>171</v>
      </c>
      <c r="C1010" s="2">
        <v>8</v>
      </c>
      <c r="D1010" s="2">
        <v>153</v>
      </c>
      <c r="E1010" s="2">
        <v>11</v>
      </c>
      <c r="F1010" s="2">
        <v>8</v>
      </c>
      <c r="G1010" s="2">
        <v>3</v>
      </c>
      <c r="H1010" s="2">
        <v>8</v>
      </c>
      <c r="I1010" s="2">
        <v>9</v>
      </c>
      <c r="J1010" s="1"/>
      <c r="M1010" t="s">
        <v>15</v>
      </c>
      <c r="N1010" t="str">
        <f>IFERROR(VLOOKUP(B1010,'[1]All Player'!$B$2:$C$1992,2,0),"")</f>
        <v>Md. Ruhin</v>
      </c>
      <c r="O1010" s="2" t="s">
        <v>539</v>
      </c>
      <c r="P1010" s="16" t="s">
        <v>873</v>
      </c>
      <c r="Q1010" s="1">
        <f t="shared" si="36"/>
        <v>1</v>
      </c>
      <c r="R1010" s="1">
        <v>163</v>
      </c>
      <c r="T1010" s="1" t="s">
        <v>659</v>
      </c>
      <c r="U1010" s="8">
        <f t="shared" si="37"/>
        <v>42339</v>
      </c>
    </row>
    <row r="1011" spans="1:21" x14ac:dyDescent="0.25">
      <c r="A1011" s="2">
        <v>17</v>
      </c>
      <c r="B1011" t="s">
        <v>191</v>
      </c>
      <c r="C1011" s="2">
        <v>8</v>
      </c>
      <c r="D1011" s="2">
        <v>166</v>
      </c>
      <c r="E1011" s="2">
        <v>1</v>
      </c>
      <c r="F1011" s="2">
        <v>9</v>
      </c>
      <c r="G1011" s="2">
        <v>1</v>
      </c>
      <c r="H1011" s="2">
        <v>14</v>
      </c>
      <c r="I1011" s="2">
        <v>9</v>
      </c>
      <c r="J1011" s="1"/>
      <c r="M1011" t="s">
        <v>15</v>
      </c>
      <c r="N1011" t="str">
        <f>IFERROR(VLOOKUP(B1011,'[1]All Player'!$B$2:$C$1992,2,0),"")</f>
        <v>Mohammad Haris Mullah</v>
      </c>
      <c r="O1011" s="2" t="s">
        <v>539</v>
      </c>
      <c r="P1011" s="16" t="s">
        <v>873</v>
      </c>
      <c r="Q1011" s="1">
        <f t="shared" si="36"/>
        <v>1</v>
      </c>
      <c r="R1011" s="1">
        <v>163</v>
      </c>
      <c r="T1011" s="1" t="s">
        <v>659</v>
      </c>
      <c r="U1011" s="8">
        <f t="shared" si="37"/>
        <v>42339</v>
      </c>
    </row>
    <row r="1012" spans="1:21" x14ac:dyDescent="0.25">
      <c r="A1012" s="2">
        <v>17</v>
      </c>
      <c r="B1012" s="4" t="s">
        <v>234</v>
      </c>
      <c r="C1012" s="2">
        <v>5</v>
      </c>
      <c r="D1012" s="2">
        <v>35</v>
      </c>
      <c r="E1012" s="2">
        <v>4</v>
      </c>
      <c r="F1012" s="2">
        <v>4</v>
      </c>
      <c r="G1012" s="2">
        <v>1</v>
      </c>
      <c r="H1012" s="2">
        <v>3</v>
      </c>
      <c r="I1012" s="2">
        <v>2</v>
      </c>
      <c r="J1012" s="1"/>
      <c r="M1012" t="s">
        <v>15</v>
      </c>
      <c r="N1012" t="str">
        <f>IFERROR(VLOOKUP(B1012,'[1]All Player'!$B$2:$C$1992,2,0),"")</f>
        <v>Rafi Islam</v>
      </c>
      <c r="O1012" s="2" t="s">
        <v>539</v>
      </c>
      <c r="P1012" s="16" t="s">
        <v>873</v>
      </c>
      <c r="Q1012" s="1">
        <f t="shared" si="36"/>
        <v>1</v>
      </c>
      <c r="R1012" s="1">
        <v>163</v>
      </c>
      <c r="T1012" s="1" t="s">
        <v>659</v>
      </c>
      <c r="U1012" s="8">
        <f t="shared" si="37"/>
        <v>42339</v>
      </c>
    </row>
    <row r="1013" spans="1:21" x14ac:dyDescent="0.25">
      <c r="A1013" s="2">
        <v>17</v>
      </c>
      <c r="B1013" t="s">
        <v>874</v>
      </c>
      <c r="C1013" s="2">
        <v>5</v>
      </c>
      <c r="D1013" s="2">
        <v>59</v>
      </c>
      <c r="E1013" s="2">
        <v>7</v>
      </c>
      <c r="F1013" s="2">
        <v>5</v>
      </c>
      <c r="G1013" s="2">
        <v>1</v>
      </c>
      <c r="H1013" s="2">
        <v>7</v>
      </c>
      <c r="I1013" s="2">
        <v>2</v>
      </c>
      <c r="J1013" s="1"/>
      <c r="M1013" t="s">
        <v>15</v>
      </c>
      <c r="N1013" t="str">
        <f>IFERROR(VLOOKUP(B1013,'[1]All Player'!$B$2:$C$1992,2,0),"")</f>
        <v>Abdullah Al Mamun</v>
      </c>
      <c r="O1013" s="2" t="s">
        <v>539</v>
      </c>
      <c r="P1013" s="16" t="s">
        <v>873</v>
      </c>
      <c r="Q1013" s="1">
        <f t="shared" si="36"/>
        <v>1</v>
      </c>
      <c r="R1013" s="1">
        <v>163</v>
      </c>
      <c r="T1013" s="1" t="s">
        <v>659</v>
      </c>
      <c r="U1013" s="8">
        <f t="shared" si="37"/>
        <v>42339</v>
      </c>
    </row>
    <row r="1014" spans="1:21" x14ac:dyDescent="0.25">
      <c r="A1014" s="2">
        <v>17</v>
      </c>
      <c r="B1014" t="s">
        <v>80</v>
      </c>
      <c r="C1014" s="2">
        <v>7</v>
      </c>
      <c r="D1014" s="2">
        <v>100</v>
      </c>
      <c r="E1014" s="2">
        <v>8</v>
      </c>
      <c r="F1014" s="2">
        <v>7</v>
      </c>
      <c r="G1014" s="2">
        <v>0</v>
      </c>
      <c r="H1014" s="2">
        <v>8</v>
      </c>
      <c r="I1014" s="2">
        <v>6</v>
      </c>
      <c r="J1014" s="1"/>
      <c r="M1014" t="s">
        <v>15</v>
      </c>
      <c r="N1014" t="str">
        <f>IFERROR(VLOOKUP(B1014,'[1]All Player'!$B$2:$C$1992,2,0),"")</f>
        <v>Kamrul Hasan Tutul</v>
      </c>
      <c r="O1014" s="2" t="s">
        <v>539</v>
      </c>
      <c r="P1014" s="16" t="s">
        <v>873</v>
      </c>
      <c r="Q1014" s="1">
        <f t="shared" si="36"/>
        <v>1</v>
      </c>
      <c r="R1014" s="1">
        <v>163</v>
      </c>
      <c r="T1014" s="1" t="s">
        <v>659</v>
      </c>
      <c r="U1014" s="8">
        <f t="shared" si="37"/>
        <v>42339</v>
      </c>
    </row>
    <row r="1015" spans="1:21" x14ac:dyDescent="0.25">
      <c r="A1015" s="2">
        <v>17</v>
      </c>
      <c r="B1015" s="17" t="s">
        <v>610</v>
      </c>
      <c r="J1015" s="1"/>
      <c r="M1015" t="s">
        <v>15</v>
      </c>
      <c r="N1015" t="str">
        <f>IFERROR(VLOOKUP(B1015,'[1]All Player'!$B$2:$C$1992,2,0),"")</f>
        <v/>
      </c>
      <c r="O1015" s="2" t="s">
        <v>539</v>
      </c>
      <c r="P1015" s="16" t="s">
        <v>610</v>
      </c>
      <c r="Q1015" s="1">
        <f t="shared" si="36"/>
        <v>1</v>
      </c>
      <c r="R1015" s="1">
        <v>164</v>
      </c>
      <c r="U1015" s="8">
        <f t="shared" si="37"/>
        <v>42339</v>
      </c>
    </row>
    <row r="1016" spans="1:21" x14ac:dyDescent="0.25">
      <c r="A1016" s="2">
        <v>17</v>
      </c>
      <c r="B1016" t="s">
        <v>156</v>
      </c>
      <c r="C1016" s="2">
        <v>6</v>
      </c>
      <c r="D1016" s="2">
        <v>112</v>
      </c>
      <c r="E1016" s="2">
        <v>7</v>
      </c>
      <c r="F1016" s="2">
        <v>9</v>
      </c>
      <c r="G1016" s="2">
        <v>1</v>
      </c>
      <c r="H1016" s="2">
        <v>9</v>
      </c>
      <c r="I1016" s="2">
        <v>7</v>
      </c>
      <c r="J1016" s="1"/>
      <c r="M1016" t="s">
        <v>15</v>
      </c>
      <c r="N1016" t="str">
        <f>IFERROR(VLOOKUP(B1016,'[1]All Player'!$B$2:$C$1992,2,0),"")</f>
        <v>Prince Tarek</v>
      </c>
      <c r="O1016" s="2" t="s">
        <v>539</v>
      </c>
      <c r="P1016" s="16" t="s">
        <v>610</v>
      </c>
      <c r="Q1016" s="1">
        <f t="shared" si="36"/>
        <v>1</v>
      </c>
      <c r="R1016" s="1">
        <v>164</v>
      </c>
      <c r="U1016" s="8">
        <f t="shared" si="37"/>
        <v>42339</v>
      </c>
    </row>
    <row r="1017" spans="1:21" x14ac:dyDescent="0.25">
      <c r="A1017" s="2">
        <v>17</v>
      </c>
      <c r="B1017" t="s">
        <v>93</v>
      </c>
      <c r="C1017" s="2">
        <v>6</v>
      </c>
      <c r="D1017" s="2">
        <v>109</v>
      </c>
      <c r="E1017" s="2">
        <v>7</v>
      </c>
      <c r="F1017" s="2">
        <v>12</v>
      </c>
      <c r="G1017" s="2">
        <v>1</v>
      </c>
      <c r="H1017" s="2">
        <v>12</v>
      </c>
      <c r="I1017" s="2">
        <v>7</v>
      </c>
      <c r="M1017" t="s">
        <v>15</v>
      </c>
      <c r="N1017" t="str">
        <f>IFERROR(VLOOKUP(B1017,'[1]All Player'!$B$2:$C$1992,2,0),"")</f>
        <v>Zaheed Hasan</v>
      </c>
      <c r="O1017" s="2" t="s">
        <v>539</v>
      </c>
      <c r="P1017" s="16" t="s">
        <v>610</v>
      </c>
      <c r="Q1017" s="1">
        <f t="shared" si="36"/>
        <v>1</v>
      </c>
      <c r="R1017" s="1">
        <v>164</v>
      </c>
      <c r="U1017" s="8">
        <f t="shared" si="37"/>
        <v>42339</v>
      </c>
    </row>
    <row r="1018" spans="1:21" x14ac:dyDescent="0.25">
      <c r="A1018" s="2">
        <v>17</v>
      </c>
      <c r="B1018" t="s">
        <v>409</v>
      </c>
      <c r="C1018" s="2">
        <v>1</v>
      </c>
      <c r="D1018" s="2">
        <v>2</v>
      </c>
      <c r="E1018" s="2">
        <v>0</v>
      </c>
      <c r="F1018" s="2">
        <v>1</v>
      </c>
      <c r="G1018" s="2">
        <v>0</v>
      </c>
      <c r="H1018" s="2">
        <v>0</v>
      </c>
      <c r="I1018" s="2">
        <v>0</v>
      </c>
      <c r="J1018" s="1"/>
      <c r="M1018" t="s">
        <v>15</v>
      </c>
      <c r="N1018" t="str">
        <f>IFERROR(VLOOKUP(B1018,'[1]All Player'!$B$2:$C$1992,2,0),"")</f>
        <v>Karim Al Hasan</v>
      </c>
      <c r="O1018" s="2" t="s">
        <v>539</v>
      </c>
      <c r="P1018" s="16" t="s">
        <v>610</v>
      </c>
      <c r="Q1018" s="1">
        <f t="shared" si="36"/>
        <v>1</v>
      </c>
      <c r="R1018" s="1">
        <v>164</v>
      </c>
      <c r="U1018" s="8">
        <f t="shared" si="37"/>
        <v>42339</v>
      </c>
    </row>
    <row r="1019" spans="1:21" x14ac:dyDescent="0.25">
      <c r="A1019" s="2">
        <v>17</v>
      </c>
      <c r="B1019" t="s">
        <v>400</v>
      </c>
      <c r="C1019" s="2">
        <v>6</v>
      </c>
      <c r="D1019" s="2">
        <v>19</v>
      </c>
      <c r="E1019" s="2">
        <v>4</v>
      </c>
      <c r="F1019" s="2">
        <v>4</v>
      </c>
      <c r="G1019" s="2">
        <v>0</v>
      </c>
      <c r="H1019" s="2">
        <v>0</v>
      </c>
      <c r="I1019" s="2">
        <v>1</v>
      </c>
      <c r="J1019" s="1"/>
      <c r="M1019" t="s">
        <v>15</v>
      </c>
      <c r="N1019" t="str">
        <f>IFERROR(VLOOKUP(B1019,'[1]All Player'!$B$2:$C$1992,2,0),"")</f>
        <v>Obak Roxy</v>
      </c>
      <c r="O1019" s="2" t="s">
        <v>539</v>
      </c>
      <c r="P1019" s="16" t="s">
        <v>610</v>
      </c>
      <c r="Q1019" s="1">
        <f t="shared" si="36"/>
        <v>1</v>
      </c>
      <c r="R1019" s="1">
        <v>164</v>
      </c>
      <c r="U1019" s="8">
        <f t="shared" si="37"/>
        <v>42339</v>
      </c>
    </row>
    <row r="1020" spans="1:21" x14ac:dyDescent="0.25">
      <c r="A1020" s="2">
        <v>17</v>
      </c>
      <c r="B1020" t="s">
        <v>85</v>
      </c>
      <c r="C1020" s="2">
        <v>6</v>
      </c>
      <c r="D1020" s="2">
        <v>103</v>
      </c>
      <c r="E1020" s="2">
        <v>6</v>
      </c>
      <c r="F1020" s="2">
        <v>8</v>
      </c>
      <c r="G1020" s="2">
        <v>0</v>
      </c>
      <c r="H1020" s="2">
        <v>6</v>
      </c>
      <c r="I1020" s="2">
        <v>7</v>
      </c>
      <c r="J1020" s="1"/>
      <c r="M1020" t="s">
        <v>15</v>
      </c>
      <c r="N1020" t="str">
        <f>IFERROR(VLOOKUP(B1020,'[1]All Player'!$B$2:$C$1992,2,0),"")</f>
        <v>Asik Hassan Tonmoy</v>
      </c>
      <c r="O1020" s="2" t="s">
        <v>539</v>
      </c>
      <c r="P1020" s="16" t="s">
        <v>610</v>
      </c>
      <c r="Q1020" s="1">
        <f t="shared" si="36"/>
        <v>1</v>
      </c>
      <c r="R1020" s="1">
        <v>164</v>
      </c>
      <c r="U1020" s="8">
        <f t="shared" si="37"/>
        <v>42339</v>
      </c>
    </row>
    <row r="1021" spans="1:21" x14ac:dyDescent="0.25">
      <c r="A1021" s="2">
        <v>17</v>
      </c>
      <c r="B1021" t="s">
        <v>124</v>
      </c>
      <c r="C1021" s="2">
        <v>6</v>
      </c>
      <c r="D1021" s="2">
        <v>59</v>
      </c>
      <c r="E1021" s="2">
        <v>8</v>
      </c>
      <c r="F1021" s="2">
        <v>6</v>
      </c>
      <c r="G1021" s="2">
        <v>0</v>
      </c>
      <c r="H1021" s="2">
        <v>5</v>
      </c>
      <c r="I1021" s="2">
        <v>5</v>
      </c>
      <c r="J1021" s="1"/>
      <c r="M1021" t="s">
        <v>15</v>
      </c>
      <c r="N1021" t="str">
        <f>IFERROR(VLOOKUP(B1021,'[1]All Player'!$B$2:$C$1992,2,0),"")</f>
        <v>Mahbubur Rahman Akash</v>
      </c>
      <c r="O1021" s="2" t="s">
        <v>539</v>
      </c>
      <c r="P1021" s="16" t="s">
        <v>610</v>
      </c>
      <c r="Q1021" s="1">
        <f t="shared" si="36"/>
        <v>1</v>
      </c>
      <c r="R1021" s="1">
        <v>164</v>
      </c>
      <c r="U1021" s="8">
        <f t="shared" si="37"/>
        <v>42339</v>
      </c>
    </row>
    <row r="1022" spans="1:21" x14ac:dyDescent="0.25">
      <c r="A1022" s="2">
        <v>17</v>
      </c>
      <c r="B1022" s="17" t="s">
        <v>540</v>
      </c>
      <c r="J1022" s="1"/>
      <c r="M1022" t="s">
        <v>15</v>
      </c>
      <c r="N1022" t="str">
        <f>IFERROR(VLOOKUP(B1022,'[1]All Player'!$B$2:$C$1992,2,0),"")</f>
        <v/>
      </c>
      <c r="O1022" s="2" t="s">
        <v>539</v>
      </c>
      <c r="P1022" s="16" t="s">
        <v>540</v>
      </c>
      <c r="Q1022" s="1">
        <f t="shared" si="36"/>
        <v>1</v>
      </c>
      <c r="R1022" s="1">
        <v>165</v>
      </c>
      <c r="T1022" s="1" t="s">
        <v>657</v>
      </c>
      <c r="U1022" s="8">
        <f t="shared" si="37"/>
        <v>42339</v>
      </c>
    </row>
    <row r="1023" spans="1:21" x14ac:dyDescent="0.25">
      <c r="A1023" s="2">
        <v>17</v>
      </c>
      <c r="B1023" t="s">
        <v>46</v>
      </c>
      <c r="C1023" s="2">
        <v>7</v>
      </c>
      <c r="D1023" s="2">
        <v>207</v>
      </c>
      <c r="E1023" s="2">
        <v>5</v>
      </c>
      <c r="F1023" s="2">
        <v>9</v>
      </c>
      <c r="G1023" s="2">
        <v>2</v>
      </c>
      <c r="H1023" s="2">
        <v>19</v>
      </c>
      <c r="I1023" s="2">
        <v>14</v>
      </c>
      <c r="J1023" s="1"/>
      <c r="M1023" t="s">
        <v>15</v>
      </c>
      <c r="N1023" t="str">
        <f>IFERROR(VLOOKUP(B1023,'[1]All Player'!$B$2:$C$1992,2,0),"")</f>
        <v>Roman mahamud Arko</v>
      </c>
      <c r="O1023" s="2" t="s">
        <v>539</v>
      </c>
      <c r="P1023" s="16" t="s">
        <v>540</v>
      </c>
      <c r="Q1023" s="1">
        <f t="shared" si="36"/>
        <v>1</v>
      </c>
      <c r="R1023" s="1">
        <v>165</v>
      </c>
      <c r="T1023" s="1" t="s">
        <v>657</v>
      </c>
      <c r="U1023" s="8">
        <f t="shared" si="37"/>
        <v>42339</v>
      </c>
    </row>
    <row r="1024" spans="1:21" x14ac:dyDescent="0.25">
      <c r="A1024" s="2">
        <v>17</v>
      </c>
      <c r="B1024" t="s">
        <v>114</v>
      </c>
      <c r="C1024" s="2">
        <v>8</v>
      </c>
      <c r="D1024" s="2">
        <v>139</v>
      </c>
      <c r="E1024" s="2">
        <v>13</v>
      </c>
      <c r="F1024" s="2">
        <v>11</v>
      </c>
      <c r="G1024" s="2">
        <v>1</v>
      </c>
      <c r="H1024" s="2">
        <v>9</v>
      </c>
      <c r="I1024" s="2">
        <v>10</v>
      </c>
      <c r="J1024" s="1"/>
      <c r="M1024" t="s">
        <v>15</v>
      </c>
      <c r="N1024" t="str">
        <f>IFERROR(VLOOKUP(B1024,'[1]All Player'!$B$2:$C$1992,2,0),"")</f>
        <v>Tanvir Shakib</v>
      </c>
      <c r="O1024" s="2" t="s">
        <v>539</v>
      </c>
      <c r="P1024" s="16" t="s">
        <v>540</v>
      </c>
      <c r="Q1024" s="1">
        <f t="shared" si="36"/>
        <v>1</v>
      </c>
      <c r="R1024" s="1">
        <v>165</v>
      </c>
      <c r="T1024" s="1" t="s">
        <v>657</v>
      </c>
      <c r="U1024" s="8">
        <f t="shared" si="37"/>
        <v>42339</v>
      </c>
    </row>
    <row r="1025" spans="1:23" x14ac:dyDescent="0.25">
      <c r="A1025" s="2">
        <v>17</v>
      </c>
      <c r="B1025" t="s">
        <v>167</v>
      </c>
      <c r="C1025" s="2">
        <v>7</v>
      </c>
      <c r="D1025" s="2">
        <v>104</v>
      </c>
      <c r="E1025" s="2">
        <v>2</v>
      </c>
      <c r="F1025" s="2">
        <v>7</v>
      </c>
      <c r="G1025" s="2">
        <v>1</v>
      </c>
      <c r="H1025" s="2">
        <v>7</v>
      </c>
      <c r="I1025" s="2">
        <v>3</v>
      </c>
      <c r="J1025" s="1"/>
      <c r="M1025" t="s">
        <v>15</v>
      </c>
      <c r="N1025" t="str">
        <f>IFERROR(VLOOKUP(B1025,'[1]All Player'!$B$2:$C$1992,2,0),"")</f>
        <v>Sakif Rahaman</v>
      </c>
      <c r="O1025" s="2" t="s">
        <v>539</v>
      </c>
      <c r="P1025" s="16" t="s">
        <v>540</v>
      </c>
      <c r="Q1025" s="1">
        <f t="shared" si="36"/>
        <v>1</v>
      </c>
      <c r="R1025" s="1">
        <v>165</v>
      </c>
      <c r="T1025" s="1" t="s">
        <v>657</v>
      </c>
      <c r="U1025" s="8">
        <f t="shared" si="37"/>
        <v>42339</v>
      </c>
    </row>
    <row r="1026" spans="1:23" x14ac:dyDescent="0.25">
      <c r="A1026" s="2">
        <v>17</v>
      </c>
      <c r="B1026" t="s">
        <v>140</v>
      </c>
      <c r="C1026" s="2">
        <v>5</v>
      </c>
      <c r="D1026" s="2">
        <v>72</v>
      </c>
      <c r="E1026" s="2">
        <v>10</v>
      </c>
      <c r="F1026" s="2">
        <v>4</v>
      </c>
      <c r="G1026" s="2">
        <v>0</v>
      </c>
      <c r="H1026" s="2">
        <v>5</v>
      </c>
      <c r="I1026" s="2">
        <v>3</v>
      </c>
      <c r="J1026" s="1"/>
      <c r="M1026" t="s">
        <v>15</v>
      </c>
      <c r="N1026" t="str">
        <f>IFERROR(VLOOKUP(B1026,'[1]All Player'!$B$2:$C$1992,2,0),"")</f>
        <v>Monowar Hossain Munna</v>
      </c>
      <c r="O1026" s="2" t="s">
        <v>539</v>
      </c>
      <c r="P1026" s="16" t="s">
        <v>540</v>
      </c>
      <c r="Q1026" s="1">
        <f t="shared" ref="Q1026:Q1089" si="38">IF(B1026="","",1)</f>
        <v>1</v>
      </c>
      <c r="R1026" s="1">
        <v>165</v>
      </c>
      <c r="T1026" s="1" t="s">
        <v>657</v>
      </c>
      <c r="U1026" s="8">
        <f t="shared" si="37"/>
        <v>42339</v>
      </c>
    </row>
    <row r="1027" spans="1:23" x14ac:dyDescent="0.25">
      <c r="A1027" s="2">
        <v>17</v>
      </c>
      <c r="B1027" t="s">
        <v>106</v>
      </c>
      <c r="C1027" s="2">
        <v>8</v>
      </c>
      <c r="D1027" s="2">
        <v>69</v>
      </c>
      <c r="E1027" s="2">
        <v>9</v>
      </c>
      <c r="F1027" s="2">
        <v>8</v>
      </c>
      <c r="G1027" s="2">
        <v>1</v>
      </c>
      <c r="H1027" s="2">
        <v>2</v>
      </c>
      <c r="I1027" s="2">
        <v>5</v>
      </c>
      <c r="J1027" s="1"/>
      <c r="M1027" t="s">
        <v>15</v>
      </c>
      <c r="N1027" t="str">
        <f>IFERROR(VLOOKUP(B1027,'[1]All Player'!$B$2:$C$1992,2,0),"")</f>
        <v>Sayed Anowar Shanto</v>
      </c>
      <c r="O1027" s="2" t="s">
        <v>539</v>
      </c>
      <c r="P1027" s="16" t="s">
        <v>540</v>
      </c>
      <c r="Q1027" s="1">
        <f t="shared" si="38"/>
        <v>1</v>
      </c>
      <c r="R1027" s="1">
        <v>165</v>
      </c>
      <c r="T1027" s="1" t="s">
        <v>657</v>
      </c>
      <c r="U1027" s="8">
        <f t="shared" si="37"/>
        <v>42339</v>
      </c>
    </row>
    <row r="1028" spans="1:23" x14ac:dyDescent="0.25">
      <c r="A1028" s="2">
        <v>17</v>
      </c>
      <c r="B1028" t="s">
        <v>152</v>
      </c>
      <c r="C1028" s="2">
        <v>7</v>
      </c>
      <c r="D1028" s="2">
        <v>56</v>
      </c>
      <c r="E1028" s="2">
        <v>6</v>
      </c>
      <c r="F1028" s="2">
        <v>7</v>
      </c>
      <c r="G1028" s="2">
        <v>1</v>
      </c>
      <c r="H1028" s="2">
        <v>4</v>
      </c>
      <c r="I1028" s="2">
        <v>3</v>
      </c>
      <c r="J1028" s="1"/>
      <c r="M1028" t="s">
        <v>15</v>
      </c>
      <c r="N1028" t="str">
        <f>IFERROR(VLOOKUP(B1028,'[1]All Player'!$B$2:$C$1992,2,0),"")</f>
        <v>Niamul Habib Setu</v>
      </c>
      <c r="O1028" s="2" t="s">
        <v>539</v>
      </c>
      <c r="P1028" s="16" t="s">
        <v>540</v>
      </c>
      <c r="Q1028" s="1">
        <f t="shared" si="38"/>
        <v>1</v>
      </c>
      <c r="R1028" s="1">
        <v>165</v>
      </c>
      <c r="T1028" s="1" t="s">
        <v>657</v>
      </c>
      <c r="U1028" s="8">
        <f t="shared" si="37"/>
        <v>42339</v>
      </c>
    </row>
    <row r="1029" spans="1:23" x14ac:dyDescent="0.25">
      <c r="A1029" s="2">
        <v>17</v>
      </c>
      <c r="B1029" s="17" t="s">
        <v>875</v>
      </c>
      <c r="J1029" s="1"/>
      <c r="M1029" t="s">
        <v>15</v>
      </c>
      <c r="N1029" t="str">
        <f>IFERROR(VLOOKUP(B1029,'[1]All Player'!$B$2:$C$1992,2,0),"")</f>
        <v/>
      </c>
      <c r="O1029" s="2" t="s">
        <v>539</v>
      </c>
      <c r="P1029" s="16" t="s">
        <v>875</v>
      </c>
      <c r="Q1029" s="1">
        <f t="shared" si="38"/>
        <v>1</v>
      </c>
      <c r="R1029" s="1">
        <v>166</v>
      </c>
      <c r="U1029" s="8">
        <f t="shared" si="37"/>
        <v>42339</v>
      </c>
    </row>
    <row r="1030" spans="1:23" x14ac:dyDescent="0.25">
      <c r="A1030" s="2">
        <v>17</v>
      </c>
      <c r="B1030" t="s">
        <v>24</v>
      </c>
      <c r="C1030" s="2">
        <v>8</v>
      </c>
      <c r="D1030" s="2">
        <v>61</v>
      </c>
      <c r="E1030" s="2">
        <v>4</v>
      </c>
      <c r="F1030" s="24">
        <v>10</v>
      </c>
      <c r="G1030" s="24">
        <v>1</v>
      </c>
      <c r="H1030" s="2">
        <v>4</v>
      </c>
      <c r="I1030" s="2">
        <v>3</v>
      </c>
      <c r="J1030" s="1"/>
      <c r="M1030" t="s">
        <v>15</v>
      </c>
      <c r="N1030" t="str">
        <f>IFERROR(VLOOKUP(B1030,'[1]All Player'!$B$2:$C$1992,2,0),"")</f>
        <v>Nur Muhammad</v>
      </c>
      <c r="O1030" s="2" t="s">
        <v>539</v>
      </c>
      <c r="P1030" s="16" t="s">
        <v>875</v>
      </c>
      <c r="Q1030" s="1">
        <f t="shared" si="38"/>
        <v>1</v>
      </c>
      <c r="R1030" s="1">
        <v>166</v>
      </c>
      <c r="U1030" s="8">
        <f t="shared" si="37"/>
        <v>42339</v>
      </c>
    </row>
    <row r="1031" spans="1:23" x14ac:dyDescent="0.25">
      <c r="A1031" s="2">
        <v>17</v>
      </c>
      <c r="B1031" t="s">
        <v>138</v>
      </c>
      <c r="C1031" s="2">
        <v>8</v>
      </c>
      <c r="D1031" s="2">
        <v>174</v>
      </c>
      <c r="E1031" s="2">
        <v>1</v>
      </c>
      <c r="F1031" s="2">
        <v>10</v>
      </c>
      <c r="G1031" s="2">
        <v>0</v>
      </c>
      <c r="H1031" s="2">
        <v>10</v>
      </c>
      <c r="I1031" s="2">
        <v>14</v>
      </c>
      <c r="J1031" s="1"/>
      <c r="M1031" t="s">
        <v>15</v>
      </c>
      <c r="N1031" t="str">
        <f>IFERROR(VLOOKUP(B1031,'[1]All Player'!$B$2:$C$1992,2,0),"")</f>
        <v>Asif Iqbal Khan</v>
      </c>
      <c r="O1031" s="2" t="s">
        <v>539</v>
      </c>
      <c r="P1031" s="16" t="s">
        <v>875</v>
      </c>
      <c r="Q1031" s="1">
        <f t="shared" si="38"/>
        <v>1</v>
      </c>
      <c r="R1031" s="1">
        <v>166</v>
      </c>
      <c r="U1031" s="8">
        <f t="shared" si="37"/>
        <v>42339</v>
      </c>
    </row>
    <row r="1032" spans="1:23" x14ac:dyDescent="0.25">
      <c r="A1032" s="2">
        <v>17</v>
      </c>
      <c r="B1032" t="s">
        <v>122</v>
      </c>
      <c r="C1032" s="2">
        <v>6</v>
      </c>
      <c r="D1032" s="2">
        <v>90</v>
      </c>
      <c r="E1032" s="2">
        <v>5</v>
      </c>
      <c r="F1032" s="2">
        <v>6</v>
      </c>
      <c r="G1032" s="2">
        <v>2</v>
      </c>
      <c r="H1032" s="2">
        <v>10</v>
      </c>
      <c r="I1032" s="2">
        <v>3</v>
      </c>
      <c r="J1032" s="1"/>
      <c r="M1032" t="s">
        <v>15</v>
      </c>
      <c r="N1032" t="str">
        <f>IFERROR(VLOOKUP(B1032,'[1]All Player'!$B$2:$C$1992,2,0),"")</f>
        <v>Towkir Ahmed Siddique</v>
      </c>
      <c r="O1032" s="2" t="s">
        <v>539</v>
      </c>
      <c r="P1032" s="16" t="s">
        <v>875</v>
      </c>
      <c r="Q1032" s="1">
        <f t="shared" si="38"/>
        <v>1</v>
      </c>
      <c r="R1032" s="1">
        <v>166</v>
      </c>
      <c r="U1032" s="8">
        <f t="shared" si="37"/>
        <v>42339</v>
      </c>
    </row>
    <row r="1033" spans="1:23" x14ac:dyDescent="0.25">
      <c r="A1033" s="2">
        <v>17</v>
      </c>
      <c r="B1033" t="s">
        <v>116</v>
      </c>
      <c r="C1033" s="2">
        <v>8</v>
      </c>
      <c r="D1033" s="2">
        <v>66</v>
      </c>
      <c r="E1033" s="2">
        <v>14</v>
      </c>
      <c r="F1033" s="2">
        <v>7</v>
      </c>
      <c r="G1033" s="2">
        <v>0</v>
      </c>
      <c r="H1033" s="2">
        <v>3</v>
      </c>
      <c r="I1033" s="2">
        <v>5</v>
      </c>
      <c r="J1033" s="1"/>
      <c r="M1033" t="s">
        <v>15</v>
      </c>
      <c r="N1033" t="str">
        <f>IFERROR(VLOOKUP(B1033,'[1]All Player'!$B$2:$C$1992,2,0),"")</f>
        <v>Ahammed Ariful Haq</v>
      </c>
      <c r="O1033" s="2" t="s">
        <v>539</v>
      </c>
      <c r="P1033" s="16" t="s">
        <v>875</v>
      </c>
      <c r="Q1033" s="1">
        <f t="shared" si="38"/>
        <v>1</v>
      </c>
      <c r="R1033" s="1">
        <v>166</v>
      </c>
      <c r="U1033" s="8">
        <f t="shared" si="37"/>
        <v>42339</v>
      </c>
      <c r="W1033" s="1">
        <v>1</v>
      </c>
    </row>
    <row r="1034" spans="1:23" x14ac:dyDescent="0.25">
      <c r="A1034" s="2">
        <v>17</v>
      </c>
      <c r="B1034" t="s">
        <v>132</v>
      </c>
      <c r="C1034" s="2">
        <v>6</v>
      </c>
      <c r="D1034" s="2">
        <v>50</v>
      </c>
      <c r="E1034" s="2">
        <v>4</v>
      </c>
      <c r="F1034" s="2">
        <v>4</v>
      </c>
      <c r="G1034" s="2">
        <v>1</v>
      </c>
      <c r="H1034" s="2">
        <v>3</v>
      </c>
      <c r="I1034" s="2">
        <v>4</v>
      </c>
      <c r="J1034" s="1"/>
      <c r="M1034" t="s">
        <v>15</v>
      </c>
      <c r="N1034" t="str">
        <f>IFERROR(VLOOKUP(B1034,'[1]All Player'!$B$2:$C$1992,2,0),"")</f>
        <v>ShiShir Hossain</v>
      </c>
      <c r="O1034" s="2" t="s">
        <v>539</v>
      </c>
      <c r="P1034" s="16" t="s">
        <v>875</v>
      </c>
      <c r="Q1034" s="1">
        <f t="shared" si="38"/>
        <v>1</v>
      </c>
      <c r="R1034" s="1">
        <v>166</v>
      </c>
      <c r="U1034" s="8">
        <f t="shared" si="37"/>
        <v>42339</v>
      </c>
    </row>
    <row r="1035" spans="1:23" x14ac:dyDescent="0.25">
      <c r="A1035" s="2">
        <v>17</v>
      </c>
      <c r="B1035" t="s">
        <v>120</v>
      </c>
      <c r="C1035" s="2">
        <v>8</v>
      </c>
      <c r="D1035" s="2">
        <v>142</v>
      </c>
      <c r="E1035" s="2">
        <v>13</v>
      </c>
      <c r="F1035" s="2">
        <v>10</v>
      </c>
      <c r="G1035" s="2">
        <v>0</v>
      </c>
      <c r="H1035" s="2">
        <v>12</v>
      </c>
      <c r="I1035" s="2">
        <v>12</v>
      </c>
      <c r="J1035" s="1"/>
      <c r="M1035" t="s">
        <v>15</v>
      </c>
      <c r="N1035" t="str">
        <f>IFERROR(VLOOKUP(B1035,'[1]All Player'!$B$2:$C$1992,2,0),"")</f>
        <v>Kamrul Hasan Hridoy</v>
      </c>
      <c r="O1035" s="2" t="s">
        <v>539</v>
      </c>
      <c r="P1035" s="16" t="s">
        <v>875</v>
      </c>
      <c r="Q1035" s="1">
        <f t="shared" si="38"/>
        <v>1</v>
      </c>
      <c r="R1035" s="1">
        <v>166</v>
      </c>
      <c r="S1035" s="2" t="s">
        <v>658</v>
      </c>
      <c r="U1035" s="8">
        <f t="shared" si="37"/>
        <v>42339</v>
      </c>
    </row>
    <row r="1036" spans="1:23" x14ac:dyDescent="0.25">
      <c r="A1036" s="2">
        <v>17</v>
      </c>
      <c r="B1036" s="17" t="s">
        <v>609</v>
      </c>
      <c r="J1036" s="1"/>
      <c r="M1036" t="s">
        <v>15</v>
      </c>
      <c r="N1036" t="str">
        <f>IFERROR(VLOOKUP(B1036,'[1]All Player'!$B$2:$C$1992,2,0),"")</f>
        <v/>
      </c>
      <c r="O1036" s="2" t="s">
        <v>539</v>
      </c>
      <c r="P1036" s="16" t="s">
        <v>609</v>
      </c>
      <c r="Q1036" s="1">
        <f t="shared" si="38"/>
        <v>1</v>
      </c>
      <c r="R1036" s="1">
        <v>167</v>
      </c>
      <c r="U1036" s="8">
        <f t="shared" si="37"/>
        <v>42339</v>
      </c>
    </row>
    <row r="1037" spans="1:23" x14ac:dyDescent="0.25">
      <c r="A1037" s="2">
        <v>17</v>
      </c>
      <c r="B1037" t="s">
        <v>95</v>
      </c>
      <c r="C1037" s="2">
        <v>6</v>
      </c>
      <c r="D1037" s="2">
        <v>70</v>
      </c>
      <c r="E1037" s="2">
        <v>11</v>
      </c>
      <c r="F1037" s="2">
        <v>9</v>
      </c>
      <c r="G1037" s="2">
        <v>1</v>
      </c>
      <c r="H1037" s="2">
        <v>4</v>
      </c>
      <c r="I1037" s="2">
        <v>6</v>
      </c>
      <c r="J1037" s="1"/>
      <c r="M1037" t="s">
        <v>15</v>
      </c>
      <c r="N1037" t="str">
        <f>IFERROR(VLOOKUP(B1037,'[1]All Player'!$B$2:$C$1992,2,0),"")</f>
        <v>Sadrul Anam</v>
      </c>
      <c r="O1037" s="26" t="s">
        <v>539</v>
      </c>
      <c r="P1037" s="16" t="s">
        <v>609</v>
      </c>
      <c r="Q1037" s="1">
        <f t="shared" si="38"/>
        <v>1</v>
      </c>
      <c r="R1037" s="1">
        <v>167</v>
      </c>
      <c r="U1037" s="8">
        <f t="shared" si="37"/>
        <v>42339</v>
      </c>
    </row>
    <row r="1038" spans="1:23" x14ac:dyDescent="0.25">
      <c r="A1038" s="2">
        <v>17</v>
      </c>
      <c r="B1038" t="s">
        <v>99</v>
      </c>
      <c r="C1038" s="2">
        <v>6</v>
      </c>
      <c r="D1038" s="2">
        <v>79</v>
      </c>
      <c r="E1038" s="2">
        <v>6</v>
      </c>
      <c r="F1038" s="2">
        <v>10</v>
      </c>
      <c r="G1038" s="2">
        <v>1</v>
      </c>
      <c r="H1038" s="2">
        <v>8</v>
      </c>
      <c r="I1038" s="2">
        <v>3</v>
      </c>
      <c r="J1038" s="1"/>
      <c r="M1038" t="s">
        <v>15</v>
      </c>
      <c r="N1038" t="str">
        <f>IFERROR(VLOOKUP(B1038,'[1]All Player'!$B$2:$C$1992,2,0),"")</f>
        <v>Bishwajit Sarkar</v>
      </c>
      <c r="O1038" s="2" t="s">
        <v>539</v>
      </c>
      <c r="P1038" s="16" t="s">
        <v>609</v>
      </c>
      <c r="Q1038" s="1">
        <f t="shared" si="38"/>
        <v>1</v>
      </c>
      <c r="R1038" s="1">
        <v>167</v>
      </c>
      <c r="U1038" s="8">
        <f t="shared" si="37"/>
        <v>42339</v>
      </c>
    </row>
    <row r="1039" spans="1:23" x14ac:dyDescent="0.25">
      <c r="A1039" s="2">
        <v>17</v>
      </c>
      <c r="B1039" t="s">
        <v>407</v>
      </c>
      <c r="C1039" s="2">
        <v>6</v>
      </c>
      <c r="D1039" s="2">
        <v>77</v>
      </c>
      <c r="E1039" s="2">
        <v>5</v>
      </c>
      <c r="F1039" s="2">
        <v>8</v>
      </c>
      <c r="G1039" s="2">
        <v>1</v>
      </c>
      <c r="H1039" s="2">
        <v>2</v>
      </c>
      <c r="I1039" s="2">
        <v>2</v>
      </c>
      <c r="J1039" s="1"/>
      <c r="M1039" t="s">
        <v>15</v>
      </c>
      <c r="N1039" t="str">
        <f>IFERROR(VLOOKUP(B1039,'[1]All Player'!$B$2:$C$1992,2,0),"")</f>
        <v xml:space="preserve">RA H IB </v>
      </c>
      <c r="O1039" s="2" t="s">
        <v>539</v>
      </c>
      <c r="P1039" s="16" t="s">
        <v>609</v>
      </c>
      <c r="Q1039" s="1">
        <f t="shared" si="38"/>
        <v>1</v>
      </c>
      <c r="R1039" s="1">
        <v>167</v>
      </c>
      <c r="U1039" s="8">
        <f t="shared" si="37"/>
        <v>42339</v>
      </c>
    </row>
    <row r="1040" spans="1:23" x14ac:dyDescent="0.25">
      <c r="A1040" s="2">
        <v>17</v>
      </c>
      <c r="B1040" t="s">
        <v>392</v>
      </c>
      <c r="C1040" s="2">
        <v>6</v>
      </c>
      <c r="D1040" s="2">
        <v>77</v>
      </c>
      <c r="E1040" s="2">
        <v>7</v>
      </c>
      <c r="F1040" s="2">
        <v>8</v>
      </c>
      <c r="G1040" s="2">
        <v>0</v>
      </c>
      <c r="H1040" s="2">
        <v>5</v>
      </c>
      <c r="I1040" s="2">
        <v>6</v>
      </c>
      <c r="J1040" s="1"/>
      <c r="M1040" t="s">
        <v>15</v>
      </c>
      <c r="N1040" t="str">
        <f>IFERROR(VLOOKUP(B1040,'[1]All Player'!$B$2:$C$1992,2,0),"")</f>
        <v>Ruffin Remad</v>
      </c>
      <c r="O1040" s="2" t="s">
        <v>539</v>
      </c>
      <c r="P1040" s="16" t="s">
        <v>609</v>
      </c>
      <c r="Q1040" s="1">
        <f t="shared" si="38"/>
        <v>1</v>
      </c>
      <c r="R1040" s="1">
        <v>167</v>
      </c>
      <c r="U1040" s="8">
        <f t="shared" si="37"/>
        <v>42339</v>
      </c>
    </row>
    <row r="1041" spans="1:23" x14ac:dyDescent="0.25">
      <c r="A1041" s="2">
        <v>17</v>
      </c>
      <c r="B1041" t="s">
        <v>405</v>
      </c>
      <c r="C1041" s="2">
        <v>1</v>
      </c>
      <c r="D1041" s="2">
        <v>3</v>
      </c>
      <c r="E1041" s="2">
        <v>2</v>
      </c>
      <c r="F1041" s="2">
        <v>1</v>
      </c>
      <c r="G1041" s="2">
        <v>0</v>
      </c>
      <c r="H1041" s="2">
        <v>0</v>
      </c>
      <c r="I1041" s="2">
        <v>0</v>
      </c>
      <c r="J1041" s="1"/>
      <c r="M1041" t="s">
        <v>15</v>
      </c>
      <c r="N1041" t="str">
        <f>IFERROR(VLOOKUP(B1041,'[1]All Player'!$B$2:$C$1992,2,0),"")</f>
        <v>Ash Saroer</v>
      </c>
      <c r="O1041" s="2" t="s">
        <v>539</v>
      </c>
      <c r="P1041" s="16" t="s">
        <v>609</v>
      </c>
      <c r="Q1041" s="1">
        <f t="shared" si="38"/>
        <v>1</v>
      </c>
      <c r="R1041" s="1">
        <v>167</v>
      </c>
      <c r="U1041" s="8">
        <f t="shared" si="37"/>
        <v>42339</v>
      </c>
    </row>
    <row r="1042" spans="1:23" x14ac:dyDescent="0.25">
      <c r="A1042" s="2">
        <v>17</v>
      </c>
      <c r="B1042" t="s">
        <v>160</v>
      </c>
      <c r="C1042" s="2">
        <v>2</v>
      </c>
      <c r="D1042" s="2">
        <v>23</v>
      </c>
      <c r="E1042" s="2">
        <v>1</v>
      </c>
      <c r="F1042" s="2">
        <v>2</v>
      </c>
      <c r="G1042" s="2">
        <v>0</v>
      </c>
      <c r="H1042" s="2">
        <v>1</v>
      </c>
      <c r="I1042" s="2">
        <v>2</v>
      </c>
      <c r="J1042" s="1"/>
      <c r="M1042" t="s">
        <v>15</v>
      </c>
      <c r="N1042" t="str">
        <f>IFERROR(VLOOKUP(B1042,'[1]All Player'!$B$2:$C$1992,2,0),"")</f>
        <v>Tanbir Hasan</v>
      </c>
      <c r="O1042" s="2" t="s">
        <v>539</v>
      </c>
      <c r="P1042" s="16" t="s">
        <v>609</v>
      </c>
      <c r="Q1042" s="1">
        <f t="shared" si="38"/>
        <v>1</v>
      </c>
      <c r="R1042" s="1">
        <v>167</v>
      </c>
      <c r="U1042" s="8">
        <f t="shared" si="37"/>
        <v>42339</v>
      </c>
    </row>
    <row r="1043" spans="1:23" x14ac:dyDescent="0.25">
      <c r="A1043" s="2">
        <v>18</v>
      </c>
      <c r="B1043" s="17" t="s">
        <v>876</v>
      </c>
      <c r="J1043" s="1"/>
      <c r="M1043" t="s">
        <v>15</v>
      </c>
      <c r="N1043" t="str">
        <f>IFERROR(VLOOKUP(B1043,'[1]All Player'!$B$2:$C$1992,2,0),"")</f>
        <v/>
      </c>
      <c r="O1043" s="2" t="s">
        <v>484</v>
      </c>
      <c r="P1043" s="16" t="s">
        <v>554</v>
      </c>
      <c r="Q1043" s="1">
        <f t="shared" si="38"/>
        <v>1</v>
      </c>
      <c r="R1043" s="1">
        <v>168</v>
      </c>
      <c r="T1043" s="1" t="s">
        <v>657</v>
      </c>
      <c r="U1043" s="8">
        <v>42675</v>
      </c>
    </row>
    <row r="1044" spans="1:23" x14ac:dyDescent="0.25">
      <c r="A1044" s="2">
        <v>18</v>
      </c>
      <c r="B1044" t="s">
        <v>661</v>
      </c>
      <c r="C1044" s="2">
        <v>15</v>
      </c>
      <c r="D1044" s="2">
        <v>189</v>
      </c>
      <c r="E1044" s="2">
        <v>26</v>
      </c>
      <c r="F1044" s="2">
        <v>21</v>
      </c>
      <c r="G1044" s="2">
        <v>0</v>
      </c>
      <c r="H1044" s="2">
        <v>13</v>
      </c>
      <c r="I1044" s="2">
        <v>14</v>
      </c>
      <c r="J1044" s="1">
        <v>2</v>
      </c>
      <c r="M1044" t="s">
        <v>15</v>
      </c>
      <c r="N1044" t="str">
        <f>IFERROR(VLOOKUP(B1044,'[1]All Player'!$B$2:$C$1992,2,0),"")</f>
        <v>Sakhawat Hossain Shanto</v>
      </c>
      <c r="O1044" s="2" t="s">
        <v>484</v>
      </c>
      <c r="P1044" s="16" t="s">
        <v>554</v>
      </c>
      <c r="Q1044" s="1">
        <f t="shared" si="38"/>
        <v>1</v>
      </c>
      <c r="R1044" s="1">
        <v>168</v>
      </c>
      <c r="T1044" s="1" t="s">
        <v>657</v>
      </c>
      <c r="U1044" s="8">
        <f t="shared" ref="U1044:U1103" si="39">U1043</f>
        <v>42675</v>
      </c>
    </row>
    <row r="1045" spans="1:23" x14ac:dyDescent="0.25">
      <c r="A1045" s="2">
        <v>18</v>
      </c>
      <c r="B1045" t="s">
        <v>188</v>
      </c>
      <c r="C1045" s="2">
        <v>5</v>
      </c>
      <c r="D1045" s="2">
        <v>50</v>
      </c>
      <c r="E1045" s="2">
        <v>5</v>
      </c>
      <c r="F1045" s="2">
        <v>7</v>
      </c>
      <c r="G1045" s="2">
        <v>0</v>
      </c>
      <c r="H1045" s="2">
        <v>5</v>
      </c>
      <c r="I1045" s="2">
        <v>3</v>
      </c>
      <c r="J1045" s="1"/>
      <c r="M1045" t="s">
        <v>15</v>
      </c>
      <c r="N1045" t="str">
        <f>IFERROR(VLOOKUP(B1045,'[1]All Player'!$B$2:$C$1992,2,0),"")</f>
        <v>Kafi Mazharul Islam</v>
      </c>
      <c r="O1045" s="2" t="s">
        <v>484</v>
      </c>
      <c r="P1045" s="16" t="s">
        <v>554</v>
      </c>
      <c r="Q1045" s="1">
        <f t="shared" si="38"/>
        <v>1</v>
      </c>
      <c r="R1045" s="1">
        <v>168</v>
      </c>
      <c r="T1045" s="1" t="s">
        <v>657</v>
      </c>
      <c r="U1045" s="8">
        <f t="shared" si="39"/>
        <v>42675</v>
      </c>
    </row>
    <row r="1046" spans="1:23" x14ac:dyDescent="0.25">
      <c r="A1046" s="2">
        <v>18</v>
      </c>
      <c r="B1046" t="s">
        <v>74</v>
      </c>
      <c r="C1046" s="2">
        <v>13</v>
      </c>
      <c r="D1046" s="2">
        <v>192</v>
      </c>
      <c r="E1046" s="2">
        <v>10</v>
      </c>
      <c r="F1046" s="2">
        <v>16</v>
      </c>
      <c r="G1046" s="2">
        <v>0</v>
      </c>
      <c r="H1046" s="2">
        <v>13</v>
      </c>
      <c r="I1046" s="2">
        <v>13</v>
      </c>
      <c r="J1046" s="1"/>
      <c r="M1046" t="s">
        <v>15</v>
      </c>
      <c r="N1046" t="str">
        <f>IFERROR(VLOOKUP(B1046,'[1]All Player'!$B$2:$C$1992,2,0),"")</f>
        <v>Sakib Arafat</v>
      </c>
      <c r="O1046" s="2" t="s">
        <v>484</v>
      </c>
      <c r="P1046" s="16" t="s">
        <v>554</v>
      </c>
      <c r="Q1046" s="1">
        <f t="shared" si="38"/>
        <v>1</v>
      </c>
      <c r="R1046" s="1">
        <v>168</v>
      </c>
      <c r="T1046" s="1" t="s">
        <v>657</v>
      </c>
      <c r="U1046" s="8">
        <f t="shared" si="39"/>
        <v>42675</v>
      </c>
    </row>
    <row r="1047" spans="1:23" x14ac:dyDescent="0.25">
      <c r="A1047" s="2">
        <v>18</v>
      </c>
      <c r="B1047" t="s">
        <v>183</v>
      </c>
      <c r="C1047" s="2">
        <v>1</v>
      </c>
      <c r="D1047" s="2">
        <v>3</v>
      </c>
      <c r="E1047" s="2">
        <v>0</v>
      </c>
      <c r="F1047" s="2">
        <v>1</v>
      </c>
      <c r="G1047" s="2">
        <v>0</v>
      </c>
      <c r="H1047" s="2">
        <v>0</v>
      </c>
      <c r="I1047" s="2">
        <v>0</v>
      </c>
      <c r="J1047" s="1"/>
      <c r="M1047" t="s">
        <v>15</v>
      </c>
      <c r="N1047" t="str">
        <f>IFERROR(VLOOKUP(B1047,'[1]All Player'!$B$2:$C$1992,2,0),"")</f>
        <v>Red Heart Faisal (Fayze Ahamed)</v>
      </c>
      <c r="O1047" s="2" t="s">
        <v>484</v>
      </c>
      <c r="P1047" s="16" t="s">
        <v>554</v>
      </c>
      <c r="Q1047" s="1">
        <f t="shared" si="38"/>
        <v>1</v>
      </c>
      <c r="R1047" s="28">
        <v>168</v>
      </c>
      <c r="T1047" s="1" t="s">
        <v>657</v>
      </c>
      <c r="U1047" s="8">
        <f t="shared" si="39"/>
        <v>42675</v>
      </c>
    </row>
    <row r="1048" spans="1:23" x14ac:dyDescent="0.25">
      <c r="A1048" s="2">
        <v>18</v>
      </c>
      <c r="B1048" t="s">
        <v>169</v>
      </c>
      <c r="C1048" s="2">
        <v>15</v>
      </c>
      <c r="D1048" s="2">
        <v>198</v>
      </c>
      <c r="E1048" s="2">
        <v>12</v>
      </c>
      <c r="F1048" s="2">
        <v>19</v>
      </c>
      <c r="G1048" s="2">
        <v>3</v>
      </c>
      <c r="H1048" s="2">
        <v>18</v>
      </c>
      <c r="I1048" s="2">
        <v>14</v>
      </c>
      <c r="J1048" s="1"/>
      <c r="M1048" t="s">
        <v>15</v>
      </c>
      <c r="N1048" t="str">
        <f>IFERROR(VLOOKUP(B1048,'[1]All Player'!$B$2:$C$1992,2,0),"")</f>
        <v>Saiful Islam</v>
      </c>
      <c r="O1048" s="2" t="s">
        <v>484</v>
      </c>
      <c r="P1048" s="16" t="s">
        <v>554</v>
      </c>
      <c r="Q1048" s="1">
        <f t="shared" si="38"/>
        <v>1</v>
      </c>
      <c r="R1048" s="28">
        <v>168</v>
      </c>
      <c r="T1048" s="1" t="s">
        <v>657</v>
      </c>
      <c r="U1048" s="8">
        <f t="shared" si="39"/>
        <v>42675</v>
      </c>
    </row>
    <row r="1049" spans="1:23" x14ac:dyDescent="0.25">
      <c r="A1049" s="2">
        <v>18</v>
      </c>
      <c r="B1049" t="s">
        <v>46</v>
      </c>
      <c r="C1049" s="2">
        <v>9</v>
      </c>
      <c r="D1049" s="2">
        <v>215</v>
      </c>
      <c r="E1049" s="2">
        <v>13</v>
      </c>
      <c r="F1049" s="2">
        <v>16</v>
      </c>
      <c r="G1049" s="2">
        <v>3</v>
      </c>
      <c r="H1049" s="2">
        <v>16</v>
      </c>
      <c r="I1049" s="2">
        <v>8</v>
      </c>
      <c r="J1049" s="1"/>
      <c r="M1049" t="s">
        <v>15</v>
      </c>
      <c r="N1049" t="str">
        <f>IFERROR(VLOOKUP(B1049,'[1]All Player'!$B$2:$C$1992,2,0),"")</f>
        <v>Roman mahamud Arko</v>
      </c>
      <c r="O1049" s="2" t="s">
        <v>484</v>
      </c>
      <c r="P1049" s="16" t="s">
        <v>554</v>
      </c>
      <c r="Q1049" s="1">
        <f t="shared" si="38"/>
        <v>1</v>
      </c>
      <c r="R1049" s="1">
        <v>168</v>
      </c>
      <c r="T1049" s="1" t="s">
        <v>657</v>
      </c>
      <c r="U1049" s="8">
        <f t="shared" si="39"/>
        <v>42675</v>
      </c>
    </row>
    <row r="1050" spans="1:23" x14ac:dyDescent="0.25">
      <c r="A1050" s="2">
        <v>18</v>
      </c>
      <c r="B1050" s="17" t="s">
        <v>877</v>
      </c>
      <c r="J1050" s="1"/>
      <c r="M1050" t="s">
        <v>15</v>
      </c>
      <c r="N1050" t="str">
        <f>IFERROR(VLOOKUP(B1050,'[1]All Player'!$B$2:$C$1992,2,0),"")</f>
        <v/>
      </c>
      <c r="O1050" s="2" t="s">
        <v>484</v>
      </c>
      <c r="P1050" s="16" t="s">
        <v>878</v>
      </c>
      <c r="Q1050" s="1">
        <f t="shared" si="38"/>
        <v>1</v>
      </c>
      <c r="R1050" s="1">
        <v>169</v>
      </c>
      <c r="T1050" s="1" t="s">
        <v>659</v>
      </c>
      <c r="U1050" s="8">
        <f t="shared" si="39"/>
        <v>42675</v>
      </c>
    </row>
    <row r="1051" spans="1:23" x14ac:dyDescent="0.25">
      <c r="A1051" s="2">
        <v>18</v>
      </c>
      <c r="B1051" t="s">
        <v>156</v>
      </c>
      <c r="C1051" s="2">
        <v>15</v>
      </c>
      <c r="D1051" s="2">
        <v>237</v>
      </c>
      <c r="E1051" s="2">
        <v>29</v>
      </c>
      <c r="F1051" s="2">
        <v>19</v>
      </c>
      <c r="G1051" s="2">
        <v>4</v>
      </c>
      <c r="H1051" s="2">
        <v>12</v>
      </c>
      <c r="I1051" s="2">
        <v>14</v>
      </c>
      <c r="J1051" s="1">
        <v>2</v>
      </c>
      <c r="M1051" t="s">
        <v>15</v>
      </c>
      <c r="N1051" t="str">
        <f>IFERROR(VLOOKUP(B1051,'[1]All Player'!$B$2:$C$1992,2,0),"")</f>
        <v>Prince Tarek</v>
      </c>
      <c r="O1051" s="2" t="s">
        <v>484</v>
      </c>
      <c r="P1051" s="16" t="s">
        <v>878</v>
      </c>
      <c r="Q1051" s="1">
        <f t="shared" si="38"/>
        <v>1</v>
      </c>
      <c r="R1051" s="1">
        <v>169</v>
      </c>
      <c r="S1051" s="2" t="s">
        <v>660</v>
      </c>
      <c r="T1051" s="1" t="s">
        <v>659</v>
      </c>
      <c r="U1051" s="8">
        <f t="shared" si="39"/>
        <v>42675</v>
      </c>
      <c r="W1051" s="1">
        <v>1</v>
      </c>
    </row>
    <row r="1052" spans="1:23" x14ac:dyDescent="0.25">
      <c r="A1052" s="2">
        <v>18</v>
      </c>
      <c r="B1052" t="s">
        <v>91</v>
      </c>
      <c r="C1052" s="2">
        <v>11</v>
      </c>
      <c r="D1052" s="2">
        <v>103</v>
      </c>
      <c r="E1052" s="2">
        <v>16</v>
      </c>
      <c r="F1052" s="2">
        <v>11</v>
      </c>
      <c r="G1052" s="2">
        <v>0</v>
      </c>
      <c r="H1052" s="2">
        <v>8</v>
      </c>
      <c r="I1052" s="2">
        <v>6</v>
      </c>
      <c r="J1052" s="1">
        <v>1</v>
      </c>
      <c r="M1052" t="s">
        <v>15</v>
      </c>
      <c r="N1052" t="str">
        <f>IFERROR(VLOOKUP(B1052,'[1]All Player'!$B$2:$C$1992,2,0),"")</f>
        <v>Abdullah Al Mamun</v>
      </c>
      <c r="O1052" s="2" t="s">
        <v>484</v>
      </c>
      <c r="P1052" s="16" t="s">
        <v>878</v>
      </c>
      <c r="Q1052" s="1">
        <f t="shared" si="38"/>
        <v>1</v>
      </c>
      <c r="R1052" s="1">
        <v>169</v>
      </c>
      <c r="T1052" s="1" t="s">
        <v>659</v>
      </c>
      <c r="U1052" s="8">
        <f t="shared" si="39"/>
        <v>42675</v>
      </c>
    </row>
    <row r="1053" spans="1:23" x14ac:dyDescent="0.25">
      <c r="A1053" s="2">
        <v>18</v>
      </c>
      <c r="B1053" t="s">
        <v>106</v>
      </c>
      <c r="C1053" s="2">
        <v>14</v>
      </c>
      <c r="D1053" s="2">
        <v>227</v>
      </c>
      <c r="E1053" s="2">
        <v>15</v>
      </c>
      <c r="F1053" s="2">
        <v>16</v>
      </c>
      <c r="G1053" s="2">
        <v>2</v>
      </c>
      <c r="H1053" s="2">
        <v>24</v>
      </c>
      <c r="I1053" s="2">
        <v>11</v>
      </c>
      <c r="J1053" s="1"/>
      <c r="M1053" t="s">
        <v>15</v>
      </c>
      <c r="N1053" t="str">
        <f>IFERROR(VLOOKUP(B1053,'[1]All Player'!$B$2:$C$1992,2,0),"")</f>
        <v>Sayed Anowar Shanto</v>
      </c>
      <c r="O1053" s="2" t="s">
        <v>484</v>
      </c>
      <c r="P1053" s="16" t="s">
        <v>878</v>
      </c>
      <c r="Q1053" s="1">
        <f t="shared" si="38"/>
        <v>1</v>
      </c>
      <c r="R1053" s="1">
        <v>169</v>
      </c>
      <c r="T1053" s="1" t="s">
        <v>659</v>
      </c>
      <c r="U1053" s="8">
        <f t="shared" si="39"/>
        <v>42675</v>
      </c>
    </row>
    <row r="1054" spans="1:23" x14ac:dyDescent="0.25">
      <c r="A1054" s="2">
        <v>18</v>
      </c>
      <c r="B1054" t="s">
        <v>72</v>
      </c>
      <c r="C1054" s="2">
        <v>5</v>
      </c>
      <c r="D1054" s="2">
        <v>57</v>
      </c>
      <c r="E1054" s="2">
        <v>4</v>
      </c>
      <c r="F1054" s="2">
        <v>4</v>
      </c>
      <c r="G1054" s="2">
        <v>1</v>
      </c>
      <c r="H1054" s="2">
        <v>2</v>
      </c>
      <c r="I1054" s="2">
        <v>6</v>
      </c>
      <c r="J1054" s="1"/>
      <c r="M1054" t="s">
        <v>15</v>
      </c>
      <c r="N1054" t="str">
        <f>IFERROR(VLOOKUP(B1054,'[1]All Player'!$B$2:$C$1992,2,0),"")</f>
        <v>Akram Husan (Washim)</v>
      </c>
      <c r="O1054" s="2" t="s">
        <v>484</v>
      </c>
      <c r="P1054" s="16" t="s">
        <v>878</v>
      </c>
      <c r="Q1054" s="1">
        <f t="shared" si="38"/>
        <v>1</v>
      </c>
      <c r="R1054" s="1">
        <v>169</v>
      </c>
      <c r="T1054" s="1" t="s">
        <v>659</v>
      </c>
      <c r="U1054" s="8">
        <f t="shared" si="39"/>
        <v>42675</v>
      </c>
    </row>
    <row r="1055" spans="1:23" x14ac:dyDescent="0.25">
      <c r="A1055" s="2">
        <v>18</v>
      </c>
      <c r="B1055" t="s">
        <v>114</v>
      </c>
      <c r="C1055" s="2">
        <v>15</v>
      </c>
      <c r="D1055" s="2">
        <v>233</v>
      </c>
      <c r="E1055" s="2">
        <v>14</v>
      </c>
      <c r="F1055" s="2">
        <v>20</v>
      </c>
      <c r="G1055" s="2">
        <v>4</v>
      </c>
      <c r="H1055" s="2">
        <v>25</v>
      </c>
      <c r="I1055" s="2">
        <v>16</v>
      </c>
      <c r="J1055" s="1"/>
      <c r="M1055" t="s">
        <v>15</v>
      </c>
      <c r="N1055" t="str">
        <f>IFERROR(VLOOKUP(B1055,'[1]All Player'!$B$2:$C$1992,2,0),"")</f>
        <v>Tanvir Shakib</v>
      </c>
      <c r="O1055" s="2" t="s">
        <v>484</v>
      </c>
      <c r="P1055" s="16" t="s">
        <v>878</v>
      </c>
      <c r="Q1055" s="1">
        <f t="shared" si="38"/>
        <v>1</v>
      </c>
      <c r="R1055" s="1">
        <v>169</v>
      </c>
      <c r="T1055" s="1" t="s">
        <v>659</v>
      </c>
      <c r="U1055" s="8">
        <f t="shared" si="39"/>
        <v>42675</v>
      </c>
    </row>
    <row r="1056" spans="1:23" x14ac:dyDescent="0.25">
      <c r="A1056" s="2">
        <v>18</v>
      </c>
      <c r="B1056" s="17" t="s">
        <v>879</v>
      </c>
      <c r="J1056" s="1"/>
      <c r="M1056" t="s">
        <v>15</v>
      </c>
      <c r="N1056" t="str">
        <f>IFERROR(VLOOKUP(B1056,'[1]All Player'!$B$2:$C$1992,2,0),"")</f>
        <v/>
      </c>
      <c r="O1056" s="2" t="s">
        <v>484</v>
      </c>
      <c r="P1056" s="16" t="s">
        <v>611</v>
      </c>
      <c r="Q1056" s="1">
        <f t="shared" si="38"/>
        <v>1</v>
      </c>
      <c r="R1056" s="1">
        <v>170</v>
      </c>
      <c r="U1056" s="8">
        <f t="shared" si="39"/>
        <v>42675</v>
      </c>
    </row>
    <row r="1057" spans="1:22" x14ac:dyDescent="0.25">
      <c r="A1057" s="2">
        <v>18</v>
      </c>
      <c r="B1057" t="s">
        <v>52</v>
      </c>
      <c r="C1057" s="2">
        <v>15</v>
      </c>
      <c r="D1057" s="2">
        <v>248</v>
      </c>
      <c r="E1057" s="2">
        <v>21</v>
      </c>
      <c r="F1057" s="2">
        <v>21</v>
      </c>
      <c r="G1057" s="2">
        <v>1</v>
      </c>
      <c r="H1057" s="2">
        <v>17</v>
      </c>
      <c r="I1057" s="2">
        <v>15</v>
      </c>
      <c r="J1057" s="1"/>
      <c r="M1057" t="s">
        <v>15</v>
      </c>
      <c r="N1057" t="str">
        <f>IFERROR(VLOOKUP(B1057,'[1]All Player'!$B$2:$C$1992,2,0),"")</f>
        <v>Mohammed Al Mamun</v>
      </c>
      <c r="O1057" s="2" t="s">
        <v>484</v>
      </c>
      <c r="P1057" s="16" t="s">
        <v>611</v>
      </c>
      <c r="Q1057" s="1">
        <f t="shared" si="38"/>
        <v>1</v>
      </c>
      <c r="R1057" s="1">
        <v>170</v>
      </c>
      <c r="U1057" s="8">
        <f t="shared" si="39"/>
        <v>42675</v>
      </c>
    </row>
    <row r="1058" spans="1:22" x14ac:dyDescent="0.25">
      <c r="A1058" s="2">
        <v>18</v>
      </c>
      <c r="B1058" t="s">
        <v>411</v>
      </c>
      <c r="C1058" s="2">
        <v>9</v>
      </c>
      <c r="D1058" s="2">
        <v>163</v>
      </c>
      <c r="E1058" s="2">
        <v>8</v>
      </c>
      <c r="F1058" s="2">
        <v>10</v>
      </c>
      <c r="G1058" s="2">
        <v>2</v>
      </c>
      <c r="H1058" s="2">
        <v>5</v>
      </c>
      <c r="I1058" s="2">
        <v>13</v>
      </c>
      <c r="J1058" s="1"/>
      <c r="M1058" t="s">
        <v>15</v>
      </c>
      <c r="N1058" t="str">
        <f>IFERROR(VLOOKUP(B1058,'[1]All Player'!$B$2:$C$1992,2,0),"")</f>
        <v>Al Amin Apon</v>
      </c>
      <c r="O1058" s="2" t="s">
        <v>484</v>
      </c>
      <c r="P1058" s="16" t="s">
        <v>611</v>
      </c>
      <c r="Q1058" s="1">
        <f t="shared" si="38"/>
        <v>1</v>
      </c>
      <c r="R1058" s="1">
        <v>170</v>
      </c>
      <c r="U1058" s="8">
        <f t="shared" si="39"/>
        <v>42675</v>
      </c>
    </row>
    <row r="1059" spans="1:22" x14ac:dyDescent="0.25">
      <c r="A1059" s="2">
        <v>18</v>
      </c>
      <c r="B1059" t="s">
        <v>177</v>
      </c>
      <c r="C1059" s="2">
        <v>6</v>
      </c>
      <c r="D1059" s="2">
        <v>76</v>
      </c>
      <c r="E1059" s="2">
        <v>4</v>
      </c>
      <c r="F1059" s="2">
        <v>5</v>
      </c>
      <c r="G1059" s="2">
        <v>0</v>
      </c>
      <c r="H1059" s="2">
        <v>8</v>
      </c>
      <c r="I1059" s="2">
        <v>5</v>
      </c>
      <c r="J1059" s="1"/>
      <c r="M1059" t="s">
        <v>15</v>
      </c>
      <c r="N1059" t="str">
        <f>IFERROR(VLOOKUP(B1059,'[1]All Player'!$B$2:$C$1992,2,0),"")</f>
        <v>Tanjir Rahman</v>
      </c>
      <c r="O1059" s="2" t="s">
        <v>484</v>
      </c>
      <c r="P1059" s="16" t="s">
        <v>611</v>
      </c>
      <c r="Q1059" s="1">
        <f t="shared" si="38"/>
        <v>1</v>
      </c>
      <c r="R1059" s="1">
        <v>170</v>
      </c>
      <c r="U1059" s="8">
        <f t="shared" si="39"/>
        <v>42675</v>
      </c>
    </row>
    <row r="1060" spans="1:22" x14ac:dyDescent="0.25">
      <c r="A1060" s="2">
        <v>18</v>
      </c>
      <c r="B1060" t="s">
        <v>95</v>
      </c>
      <c r="C1060" s="2">
        <v>15</v>
      </c>
      <c r="D1060" s="2">
        <v>241</v>
      </c>
      <c r="E1060" s="2">
        <v>20</v>
      </c>
      <c r="F1060" s="2">
        <v>21</v>
      </c>
      <c r="G1060" s="2">
        <v>6</v>
      </c>
      <c r="H1060" s="2">
        <v>23</v>
      </c>
      <c r="I1060" s="2">
        <v>13</v>
      </c>
      <c r="J1060" s="1"/>
      <c r="M1060" t="s">
        <v>15</v>
      </c>
      <c r="N1060" t="str">
        <f>IFERROR(VLOOKUP(B1060,'[1]All Player'!$B$2:$C$1992,2,0),"")</f>
        <v>Sadrul Anam</v>
      </c>
      <c r="O1060" s="26" t="s">
        <v>484</v>
      </c>
      <c r="P1060" s="16" t="s">
        <v>611</v>
      </c>
      <c r="Q1060" s="1">
        <f t="shared" si="38"/>
        <v>1</v>
      </c>
      <c r="R1060" s="1">
        <v>170</v>
      </c>
      <c r="U1060" s="8">
        <f t="shared" si="39"/>
        <v>42675</v>
      </c>
    </row>
    <row r="1061" spans="1:22" x14ac:dyDescent="0.25">
      <c r="A1061" s="2">
        <v>18</v>
      </c>
      <c r="B1061" t="s">
        <v>191</v>
      </c>
      <c r="C1061" s="2">
        <v>14</v>
      </c>
      <c r="D1061" s="2">
        <v>207</v>
      </c>
      <c r="E1061" s="2">
        <v>20</v>
      </c>
      <c r="F1061" s="2">
        <v>20</v>
      </c>
      <c r="G1061" s="2">
        <v>2</v>
      </c>
      <c r="H1061" s="2">
        <v>17</v>
      </c>
      <c r="I1061" s="2">
        <v>12</v>
      </c>
      <c r="J1061" s="1"/>
      <c r="M1061" t="s">
        <v>15</v>
      </c>
      <c r="N1061" t="str">
        <f>IFERROR(VLOOKUP(B1061,'[1]All Player'!$B$2:$C$1992,2,0),"")</f>
        <v>Mohammad Haris Mullah</v>
      </c>
      <c r="O1061" s="2" t="s">
        <v>484</v>
      </c>
      <c r="P1061" s="16" t="s">
        <v>611</v>
      </c>
      <c r="Q1061" s="1">
        <f t="shared" si="38"/>
        <v>1</v>
      </c>
      <c r="R1061" s="1">
        <v>170</v>
      </c>
      <c r="U1061" s="8">
        <f t="shared" si="39"/>
        <v>42675</v>
      </c>
    </row>
    <row r="1062" spans="1:22" x14ac:dyDescent="0.25">
      <c r="A1062" s="2">
        <v>18</v>
      </c>
      <c r="B1062" s="17" t="s">
        <v>880</v>
      </c>
      <c r="J1062" s="1"/>
      <c r="M1062" t="s">
        <v>15</v>
      </c>
      <c r="N1062" t="str">
        <f>IFERROR(VLOOKUP(B1062,'[1]All Player'!$B$2:$C$1992,2,0),"")</f>
        <v/>
      </c>
      <c r="O1062" s="2" t="s">
        <v>484</v>
      </c>
      <c r="P1062" s="16" t="s">
        <v>881</v>
      </c>
      <c r="Q1062" s="1">
        <f t="shared" si="38"/>
        <v>1</v>
      </c>
      <c r="R1062" s="1">
        <v>171</v>
      </c>
      <c r="U1062" s="8">
        <f t="shared" si="39"/>
        <v>42675</v>
      </c>
    </row>
    <row r="1063" spans="1:22" x14ac:dyDescent="0.25">
      <c r="A1063" s="2">
        <v>18</v>
      </c>
      <c r="B1063" t="s">
        <v>85</v>
      </c>
      <c r="C1063" s="2">
        <v>15</v>
      </c>
      <c r="D1063" s="2">
        <v>165</v>
      </c>
      <c r="E1063" s="2">
        <v>22</v>
      </c>
      <c r="F1063" s="2">
        <v>16</v>
      </c>
      <c r="G1063" s="2">
        <v>0</v>
      </c>
      <c r="H1063" s="2">
        <v>12</v>
      </c>
      <c r="I1063" s="2">
        <v>14</v>
      </c>
      <c r="J1063" s="1"/>
      <c r="M1063" t="s">
        <v>15</v>
      </c>
      <c r="N1063" t="str">
        <f>IFERROR(VLOOKUP(B1063,'[1]All Player'!$B$2:$C$1992,2,0),"")</f>
        <v>Asik Hassan Tonmoy</v>
      </c>
      <c r="O1063" s="2" t="s">
        <v>484</v>
      </c>
      <c r="P1063" s="16" t="s">
        <v>881</v>
      </c>
      <c r="Q1063" s="1">
        <f t="shared" si="38"/>
        <v>1</v>
      </c>
      <c r="R1063" s="1">
        <v>171</v>
      </c>
      <c r="U1063" s="8">
        <f t="shared" si="39"/>
        <v>42675</v>
      </c>
    </row>
    <row r="1064" spans="1:22" x14ac:dyDescent="0.25">
      <c r="A1064" s="2">
        <v>18</v>
      </c>
      <c r="B1064" t="s">
        <v>789</v>
      </c>
      <c r="C1064" s="2">
        <v>15</v>
      </c>
      <c r="D1064" s="2">
        <v>186</v>
      </c>
      <c r="E1064" s="2">
        <v>18</v>
      </c>
      <c r="F1064" s="2">
        <v>16</v>
      </c>
      <c r="G1064" s="2">
        <v>3</v>
      </c>
      <c r="H1064" s="2">
        <v>18</v>
      </c>
      <c r="I1064" s="2">
        <v>13</v>
      </c>
      <c r="J1064" s="1"/>
      <c r="M1064" t="s">
        <v>15</v>
      </c>
      <c r="N1064" t="str">
        <f>IFERROR(VLOOKUP(B1064,'[1]All Player'!$B$2:$C$1992,2,0),"")</f>
        <v>Azwad Awsaf</v>
      </c>
      <c r="O1064" s="2" t="s">
        <v>484</v>
      </c>
      <c r="P1064" s="16" t="s">
        <v>881</v>
      </c>
      <c r="Q1064" s="1">
        <f t="shared" si="38"/>
        <v>1</v>
      </c>
      <c r="R1064" s="1">
        <v>171</v>
      </c>
      <c r="U1064" s="8">
        <f t="shared" si="39"/>
        <v>42675</v>
      </c>
    </row>
    <row r="1065" spans="1:22" x14ac:dyDescent="0.25">
      <c r="A1065" s="2">
        <v>18</v>
      </c>
      <c r="B1065" t="s">
        <v>99</v>
      </c>
      <c r="C1065" s="2">
        <v>13</v>
      </c>
      <c r="D1065" s="2">
        <v>127</v>
      </c>
      <c r="E1065" s="2">
        <v>18</v>
      </c>
      <c r="F1065" s="2">
        <v>13</v>
      </c>
      <c r="G1065" s="2">
        <v>0</v>
      </c>
      <c r="H1065" s="2">
        <v>12</v>
      </c>
      <c r="I1065" s="2">
        <v>7</v>
      </c>
      <c r="J1065" s="1">
        <v>1</v>
      </c>
      <c r="M1065" t="s">
        <v>15</v>
      </c>
      <c r="N1065" t="str">
        <f>IFERROR(VLOOKUP(B1065,'[1]All Player'!$B$2:$C$1992,2,0),"")</f>
        <v>Bishwajit Sarkar</v>
      </c>
      <c r="O1065" s="2" t="s">
        <v>484</v>
      </c>
      <c r="P1065" s="16" t="s">
        <v>881</v>
      </c>
      <c r="Q1065" s="1">
        <f t="shared" si="38"/>
        <v>1</v>
      </c>
      <c r="R1065" s="1">
        <v>171</v>
      </c>
      <c r="U1065" s="8">
        <f t="shared" si="39"/>
        <v>42675</v>
      </c>
    </row>
    <row r="1066" spans="1:22" x14ac:dyDescent="0.25">
      <c r="A1066" s="2">
        <v>18</v>
      </c>
      <c r="B1066" t="s">
        <v>136</v>
      </c>
      <c r="C1066" s="2">
        <v>15</v>
      </c>
      <c r="D1066" s="2">
        <v>314</v>
      </c>
      <c r="E1066" s="2">
        <v>21</v>
      </c>
      <c r="F1066" s="2">
        <v>20</v>
      </c>
      <c r="G1066" s="2">
        <v>6</v>
      </c>
      <c r="H1066" s="2">
        <v>18</v>
      </c>
      <c r="I1066" s="2">
        <v>19</v>
      </c>
      <c r="J1066" s="1"/>
      <c r="M1066" t="s">
        <v>15</v>
      </c>
      <c r="N1066" t="str">
        <f>IFERROR(VLOOKUP(B1066,'[1]All Player'!$B$2:$C$1992,2,0),"")</f>
        <v>MD Kamal Hossain Kamal</v>
      </c>
      <c r="O1066" s="2" t="s">
        <v>484</v>
      </c>
      <c r="P1066" s="16" t="s">
        <v>881</v>
      </c>
      <c r="Q1066" s="1">
        <f t="shared" si="38"/>
        <v>1</v>
      </c>
      <c r="R1066" s="1">
        <v>171</v>
      </c>
      <c r="S1066" s="2" t="s">
        <v>658</v>
      </c>
      <c r="U1066" s="8">
        <f t="shared" si="39"/>
        <v>42675</v>
      </c>
      <c r="V1066" s="1">
        <v>1</v>
      </c>
    </row>
    <row r="1067" spans="1:22" x14ac:dyDescent="0.25">
      <c r="A1067" s="2">
        <v>18</v>
      </c>
      <c r="B1067" t="s">
        <v>76</v>
      </c>
      <c r="C1067" s="2">
        <v>7</v>
      </c>
      <c r="D1067" s="2">
        <v>56</v>
      </c>
      <c r="E1067" s="2">
        <v>1</v>
      </c>
      <c r="F1067" s="2">
        <v>8</v>
      </c>
      <c r="G1067" s="2">
        <v>0</v>
      </c>
      <c r="H1067" s="2">
        <v>5</v>
      </c>
      <c r="I1067" s="2">
        <v>2</v>
      </c>
      <c r="J1067" s="1"/>
      <c r="M1067" t="s">
        <v>15</v>
      </c>
      <c r="N1067" t="str">
        <f>IFERROR(VLOOKUP(B1067,'[1]All Player'!$B$2:$C$1992,2,0),"")</f>
        <v>Kamil Ahmed</v>
      </c>
      <c r="O1067" s="2" t="s">
        <v>484</v>
      </c>
      <c r="P1067" s="16" t="s">
        <v>881</v>
      </c>
      <c r="Q1067" s="1">
        <f t="shared" si="38"/>
        <v>1</v>
      </c>
      <c r="R1067" s="1">
        <v>171</v>
      </c>
      <c r="U1067" s="8">
        <f t="shared" si="39"/>
        <v>42675</v>
      </c>
    </row>
    <row r="1068" spans="1:22" x14ac:dyDescent="0.25">
      <c r="A1068" s="2">
        <v>18</v>
      </c>
      <c r="B1068" s="17" t="s">
        <v>882</v>
      </c>
      <c r="J1068" s="1"/>
      <c r="M1068" t="s">
        <v>15</v>
      </c>
      <c r="N1068" t="str">
        <f>IFERROR(VLOOKUP(B1068,'[1]All Player'!$B$2:$C$1992,2,0),"")</f>
        <v/>
      </c>
      <c r="O1068" s="2" t="s">
        <v>484</v>
      </c>
      <c r="P1068" s="16" t="s">
        <v>883</v>
      </c>
      <c r="Q1068" s="1">
        <f t="shared" si="38"/>
        <v>1</v>
      </c>
      <c r="R1068" s="1">
        <v>172</v>
      </c>
      <c r="U1068" s="8">
        <f t="shared" si="39"/>
        <v>42675</v>
      </c>
    </row>
    <row r="1069" spans="1:22" x14ac:dyDescent="0.25">
      <c r="A1069" s="2">
        <v>18</v>
      </c>
      <c r="B1069" t="s">
        <v>24</v>
      </c>
      <c r="C1069" s="2">
        <v>12</v>
      </c>
      <c r="D1069" s="2">
        <v>224</v>
      </c>
      <c r="E1069" s="2">
        <v>22</v>
      </c>
      <c r="F1069" s="2">
        <v>19</v>
      </c>
      <c r="G1069" s="24">
        <v>4</v>
      </c>
      <c r="H1069" s="2">
        <v>23</v>
      </c>
      <c r="I1069" s="2">
        <v>15</v>
      </c>
      <c r="J1069" s="1"/>
      <c r="M1069" t="s">
        <v>15</v>
      </c>
      <c r="N1069" t="str">
        <f>IFERROR(VLOOKUP(B1069,'[1]All Player'!$B$2:$C$1992,2,0),"")</f>
        <v>Nur Muhammad</v>
      </c>
      <c r="O1069" s="2" t="s">
        <v>484</v>
      </c>
      <c r="P1069" s="16" t="s">
        <v>883</v>
      </c>
      <c r="Q1069" s="1">
        <f t="shared" si="38"/>
        <v>1</v>
      </c>
      <c r="R1069" s="1">
        <v>172</v>
      </c>
      <c r="U1069" s="8">
        <f t="shared" si="39"/>
        <v>42675</v>
      </c>
    </row>
    <row r="1070" spans="1:22" x14ac:dyDescent="0.25">
      <c r="A1070" s="2">
        <v>18</v>
      </c>
      <c r="B1070" t="s">
        <v>398</v>
      </c>
      <c r="C1070" s="2">
        <v>9</v>
      </c>
      <c r="D1070" s="2">
        <v>124</v>
      </c>
      <c r="E1070" s="2">
        <v>7</v>
      </c>
      <c r="F1070" s="2">
        <v>9</v>
      </c>
      <c r="G1070" s="2">
        <v>1</v>
      </c>
      <c r="H1070" s="2">
        <v>16</v>
      </c>
      <c r="I1070" s="2">
        <v>4</v>
      </c>
      <c r="J1070" s="1"/>
      <c r="M1070" t="s">
        <v>15</v>
      </c>
      <c r="N1070" t="str">
        <f>IFERROR(VLOOKUP(B1070,'[1]All Player'!$B$2:$C$1992,2,0),"")</f>
        <v>Ahmad Saykat (Mohammad Sheikh Farid Uddin)</v>
      </c>
      <c r="O1070" s="2" t="s">
        <v>484</v>
      </c>
      <c r="P1070" s="16" t="s">
        <v>883</v>
      </c>
      <c r="Q1070" s="1">
        <f t="shared" si="38"/>
        <v>1</v>
      </c>
      <c r="R1070" s="1">
        <v>172</v>
      </c>
      <c r="U1070" s="8">
        <f t="shared" si="39"/>
        <v>42675</v>
      </c>
    </row>
    <row r="1071" spans="1:22" x14ac:dyDescent="0.25">
      <c r="A1071" s="2">
        <v>18</v>
      </c>
      <c r="B1071" t="s">
        <v>228</v>
      </c>
      <c r="C1071" s="2">
        <v>13</v>
      </c>
      <c r="D1071" s="2">
        <v>231</v>
      </c>
      <c r="E1071" s="24">
        <v>20</v>
      </c>
      <c r="F1071" s="2">
        <v>22</v>
      </c>
      <c r="H1071" s="2">
        <v>18</v>
      </c>
      <c r="I1071" s="2">
        <v>15</v>
      </c>
      <c r="J1071" s="1"/>
      <c r="M1071" t="s">
        <v>15</v>
      </c>
      <c r="N1071" t="str">
        <f>IFERROR(VLOOKUP(B1071,'[1]All Player'!$B$2:$C$1992,2,0),"")</f>
        <v>Arif Ziad</v>
      </c>
      <c r="O1071" s="2" t="s">
        <v>484</v>
      </c>
      <c r="P1071" s="16" t="s">
        <v>883</v>
      </c>
      <c r="Q1071" s="1">
        <f t="shared" si="38"/>
        <v>1</v>
      </c>
      <c r="R1071" s="1">
        <v>172</v>
      </c>
      <c r="U1071" s="8">
        <f t="shared" si="39"/>
        <v>42675</v>
      </c>
    </row>
    <row r="1072" spans="1:22" x14ac:dyDescent="0.25">
      <c r="A1072" s="2">
        <v>18</v>
      </c>
      <c r="B1072" t="s">
        <v>31</v>
      </c>
      <c r="C1072" s="2">
        <v>4</v>
      </c>
      <c r="D1072" s="2">
        <v>25</v>
      </c>
      <c r="E1072" s="2">
        <v>0</v>
      </c>
      <c r="F1072" s="2">
        <v>4</v>
      </c>
      <c r="G1072" s="2">
        <v>1</v>
      </c>
      <c r="H1072" s="2">
        <v>0</v>
      </c>
      <c r="I1072" s="2">
        <v>3</v>
      </c>
      <c r="J1072" s="1"/>
      <c r="M1072" t="s">
        <v>15</v>
      </c>
      <c r="N1072" t="str">
        <f>IFERROR(VLOOKUP(B1072,'[1]All Player'!$B$2:$C$1992,2,0),"")</f>
        <v>Hetlar Shohag</v>
      </c>
      <c r="O1072" s="2" t="s">
        <v>484</v>
      </c>
      <c r="P1072" s="16" t="s">
        <v>883</v>
      </c>
      <c r="Q1072" s="1">
        <f t="shared" si="38"/>
        <v>1</v>
      </c>
      <c r="R1072" s="1">
        <v>172</v>
      </c>
      <c r="U1072" s="8">
        <f t="shared" si="39"/>
        <v>42675</v>
      </c>
    </row>
    <row r="1073" spans="1:21" x14ac:dyDescent="0.25">
      <c r="A1073" s="2">
        <v>18</v>
      </c>
      <c r="B1073" t="s">
        <v>116</v>
      </c>
      <c r="C1073" s="2">
        <v>13</v>
      </c>
      <c r="D1073" s="2">
        <v>161</v>
      </c>
      <c r="E1073" s="2">
        <v>17</v>
      </c>
      <c r="F1073" s="2">
        <v>18</v>
      </c>
      <c r="G1073" s="2">
        <v>0</v>
      </c>
      <c r="H1073" s="2">
        <v>17</v>
      </c>
      <c r="I1073" s="2">
        <v>10</v>
      </c>
      <c r="J1073" s="1"/>
      <c r="M1073" t="s">
        <v>15</v>
      </c>
      <c r="N1073" t="str">
        <f>IFERROR(VLOOKUP(B1073,'[1]All Player'!$B$2:$C$1992,2,0),"")</f>
        <v>Ahammed Ariful Haq</v>
      </c>
      <c r="O1073" s="2" t="s">
        <v>484</v>
      </c>
      <c r="P1073" s="16" t="s">
        <v>883</v>
      </c>
      <c r="Q1073" s="1">
        <f t="shared" si="38"/>
        <v>1</v>
      </c>
      <c r="R1073" s="1">
        <v>172</v>
      </c>
      <c r="U1073" s="8">
        <f t="shared" si="39"/>
        <v>42675</v>
      </c>
    </row>
    <row r="1074" spans="1:21" x14ac:dyDescent="0.25">
      <c r="A1074" s="2">
        <v>18</v>
      </c>
      <c r="B1074" s="17" t="s">
        <v>884</v>
      </c>
      <c r="J1074" s="1"/>
      <c r="M1074" t="s">
        <v>15</v>
      </c>
      <c r="N1074" t="str">
        <f>IFERROR(VLOOKUP(B1074,'[1]All Player'!$B$2:$C$1992,2,0),"")</f>
        <v/>
      </c>
      <c r="O1074" s="2" t="s">
        <v>484</v>
      </c>
      <c r="P1074" s="16" t="s">
        <v>612</v>
      </c>
      <c r="Q1074" s="1">
        <f t="shared" si="38"/>
        <v>1</v>
      </c>
      <c r="R1074" s="1">
        <v>173</v>
      </c>
      <c r="U1074" s="8">
        <f t="shared" si="39"/>
        <v>42675</v>
      </c>
    </row>
    <row r="1075" spans="1:21" x14ac:dyDescent="0.25">
      <c r="A1075" s="2">
        <v>18</v>
      </c>
      <c r="B1075" t="s">
        <v>80</v>
      </c>
      <c r="C1075" s="2">
        <v>13</v>
      </c>
      <c r="D1075" s="2">
        <v>200</v>
      </c>
      <c r="E1075" s="2">
        <v>13</v>
      </c>
      <c r="F1075" s="2">
        <v>17</v>
      </c>
      <c r="G1075" s="2">
        <v>1</v>
      </c>
      <c r="H1075" s="2">
        <v>11</v>
      </c>
      <c r="I1075" s="2">
        <v>16</v>
      </c>
      <c r="J1075" s="1"/>
      <c r="M1075" t="s">
        <v>15</v>
      </c>
      <c r="N1075" t="str">
        <f>IFERROR(VLOOKUP(B1075,'[1]All Player'!$B$2:$C$1992,2,0),"")</f>
        <v>Kamrul Hasan Tutul</v>
      </c>
      <c r="O1075" s="2" t="s">
        <v>484</v>
      </c>
      <c r="P1075" s="16" t="s">
        <v>612</v>
      </c>
      <c r="Q1075" s="1">
        <f t="shared" si="38"/>
        <v>1</v>
      </c>
      <c r="R1075" s="1">
        <v>173</v>
      </c>
      <c r="U1075" s="8">
        <f t="shared" si="39"/>
        <v>42675</v>
      </c>
    </row>
    <row r="1076" spans="1:21" x14ac:dyDescent="0.25">
      <c r="A1076" s="2">
        <v>18</v>
      </c>
      <c r="B1076" t="s">
        <v>413</v>
      </c>
      <c r="C1076" s="2">
        <v>13</v>
      </c>
      <c r="D1076" s="2">
        <v>220</v>
      </c>
      <c r="E1076" s="2">
        <v>8</v>
      </c>
      <c r="F1076" s="2">
        <v>16</v>
      </c>
      <c r="G1076" s="2">
        <v>2</v>
      </c>
      <c r="H1076" s="2">
        <v>16</v>
      </c>
      <c r="I1076" s="2">
        <v>17</v>
      </c>
      <c r="J1076" s="1"/>
      <c r="M1076" t="s">
        <v>15</v>
      </c>
      <c r="N1076" t="str">
        <f>IFERROR(VLOOKUP(B1076,'[1]All Player'!$B$2:$C$1992,2,0),"")</f>
        <v>Saniat Pranto</v>
      </c>
      <c r="O1076" s="2" t="s">
        <v>484</v>
      </c>
      <c r="P1076" s="16" t="s">
        <v>612</v>
      </c>
      <c r="Q1076" s="1">
        <f t="shared" si="38"/>
        <v>1</v>
      </c>
      <c r="R1076" s="1">
        <v>173</v>
      </c>
      <c r="U1076" s="8">
        <f t="shared" si="39"/>
        <v>42675</v>
      </c>
    </row>
    <row r="1077" spans="1:21" x14ac:dyDescent="0.25">
      <c r="A1077" s="2">
        <v>18</v>
      </c>
      <c r="B1077" t="s">
        <v>124</v>
      </c>
      <c r="C1077" s="2">
        <v>12</v>
      </c>
      <c r="D1077" s="2">
        <v>119</v>
      </c>
      <c r="E1077" s="2">
        <v>9</v>
      </c>
      <c r="F1077" s="2">
        <v>10</v>
      </c>
      <c r="G1077" s="2">
        <v>0</v>
      </c>
      <c r="H1077" s="2">
        <v>17</v>
      </c>
      <c r="I1077" s="2">
        <v>3</v>
      </c>
      <c r="J1077" s="1">
        <v>1</v>
      </c>
      <c r="M1077" t="s">
        <v>15</v>
      </c>
      <c r="N1077" t="str">
        <f>IFERROR(VLOOKUP(B1077,'[1]All Player'!$B$2:$C$1992,2,0),"")</f>
        <v>Mahbubur Rahman Akash</v>
      </c>
      <c r="O1077" s="2" t="s">
        <v>484</v>
      </c>
      <c r="P1077" s="16" t="s">
        <v>612</v>
      </c>
      <c r="Q1077" s="1">
        <f t="shared" si="38"/>
        <v>1</v>
      </c>
      <c r="R1077" s="1">
        <v>173</v>
      </c>
      <c r="U1077" s="8">
        <f t="shared" si="39"/>
        <v>42675</v>
      </c>
    </row>
    <row r="1078" spans="1:21" x14ac:dyDescent="0.25">
      <c r="A1078" s="2">
        <v>18</v>
      </c>
      <c r="B1078" t="s">
        <v>104</v>
      </c>
      <c r="C1078" s="2">
        <v>13</v>
      </c>
      <c r="D1078" s="2">
        <v>160</v>
      </c>
      <c r="E1078" s="2">
        <v>15</v>
      </c>
      <c r="F1078" s="2">
        <v>15</v>
      </c>
      <c r="G1078" s="2">
        <v>2</v>
      </c>
      <c r="H1078" s="2">
        <v>15</v>
      </c>
      <c r="I1078" s="2">
        <v>10</v>
      </c>
      <c r="J1078" s="1"/>
      <c r="M1078" t="s">
        <v>15</v>
      </c>
      <c r="N1078" t="str">
        <f>IFERROR(VLOOKUP(B1078,'[1]All Player'!$B$2:$C$1992,2,0),"")</f>
        <v>Bandhon Podder Pranto</v>
      </c>
      <c r="O1078" s="2" t="s">
        <v>484</v>
      </c>
      <c r="P1078" s="16" t="s">
        <v>612</v>
      </c>
      <c r="Q1078" s="1">
        <f t="shared" si="38"/>
        <v>1</v>
      </c>
      <c r="R1078" s="1">
        <v>173</v>
      </c>
      <c r="U1078" s="8">
        <f t="shared" si="39"/>
        <v>42675</v>
      </c>
    </row>
    <row r="1079" spans="1:21" x14ac:dyDescent="0.25">
      <c r="A1079" s="2">
        <v>18</v>
      </c>
      <c r="B1079" t="s">
        <v>120</v>
      </c>
      <c r="C1079" s="2">
        <v>10</v>
      </c>
      <c r="D1079" s="2">
        <v>117</v>
      </c>
      <c r="E1079" s="2">
        <v>7</v>
      </c>
      <c r="F1079" s="2">
        <v>11</v>
      </c>
      <c r="G1079" s="2">
        <v>1</v>
      </c>
      <c r="H1079" s="2">
        <v>8</v>
      </c>
      <c r="I1079" s="2">
        <v>7</v>
      </c>
      <c r="J1079" s="1">
        <v>1</v>
      </c>
      <c r="M1079" t="s">
        <v>15</v>
      </c>
      <c r="N1079" t="str">
        <f>IFERROR(VLOOKUP(B1079,'[1]All Player'!$B$2:$C$1992,2,0),"")</f>
        <v>Kamrul Hasan Hridoy</v>
      </c>
      <c r="O1079" s="2" t="s">
        <v>484</v>
      </c>
      <c r="P1079" s="16" t="s">
        <v>612</v>
      </c>
      <c r="Q1079" s="1">
        <f t="shared" si="38"/>
        <v>1</v>
      </c>
      <c r="R1079" s="1">
        <v>173</v>
      </c>
      <c r="U1079" s="8">
        <f t="shared" si="39"/>
        <v>42675</v>
      </c>
    </row>
    <row r="1080" spans="1:21" x14ac:dyDescent="0.25">
      <c r="A1080" s="2">
        <v>18</v>
      </c>
      <c r="B1080" s="17" t="s">
        <v>885</v>
      </c>
      <c r="J1080" s="1"/>
      <c r="M1080" t="s">
        <v>15</v>
      </c>
      <c r="N1080" t="str">
        <f>IFERROR(VLOOKUP(B1080,'[1]All Player'!$B$2:$C$1992,2,0),"")</f>
        <v/>
      </c>
      <c r="O1080" s="2" t="s">
        <v>484</v>
      </c>
      <c r="P1080" s="16" t="s">
        <v>485</v>
      </c>
      <c r="Q1080" s="1">
        <f t="shared" si="38"/>
        <v>1</v>
      </c>
      <c r="R1080" s="1">
        <v>174</v>
      </c>
      <c r="U1080" s="8">
        <f t="shared" si="39"/>
        <v>42675</v>
      </c>
    </row>
    <row r="1081" spans="1:21" x14ac:dyDescent="0.25">
      <c r="A1081" s="2">
        <v>18</v>
      </c>
      <c r="B1081" t="s">
        <v>62</v>
      </c>
      <c r="C1081" s="2">
        <v>8</v>
      </c>
      <c r="D1081" s="2">
        <v>75</v>
      </c>
      <c r="E1081" s="2">
        <v>12</v>
      </c>
      <c r="F1081" s="2">
        <v>13</v>
      </c>
      <c r="G1081" s="2">
        <v>0</v>
      </c>
      <c r="H1081" s="2">
        <v>8</v>
      </c>
      <c r="I1081" s="2">
        <v>5</v>
      </c>
      <c r="J1081" s="1"/>
      <c r="M1081" t="s">
        <v>15</v>
      </c>
      <c r="N1081" t="str">
        <f>IFERROR(VLOOKUP(B1081,'[1]All Player'!$B$2:$C$1992,2,0),"")</f>
        <v>MD Tofayel Ahmed</v>
      </c>
      <c r="O1081" s="2" t="s">
        <v>484</v>
      </c>
      <c r="P1081" s="16" t="s">
        <v>485</v>
      </c>
      <c r="Q1081" s="1">
        <f t="shared" si="38"/>
        <v>1</v>
      </c>
      <c r="R1081" s="1">
        <v>174</v>
      </c>
      <c r="U1081" s="8">
        <f t="shared" si="39"/>
        <v>42675</v>
      </c>
    </row>
    <row r="1082" spans="1:21" x14ac:dyDescent="0.25">
      <c r="A1082" s="2">
        <v>18</v>
      </c>
      <c r="B1082" t="s">
        <v>41</v>
      </c>
      <c r="C1082" s="2">
        <v>3</v>
      </c>
      <c r="D1082" s="2">
        <v>20</v>
      </c>
      <c r="E1082" s="2">
        <v>1</v>
      </c>
      <c r="F1082" s="2">
        <v>3</v>
      </c>
      <c r="G1082" s="2">
        <v>0</v>
      </c>
      <c r="H1082" s="2">
        <v>1</v>
      </c>
      <c r="I1082" s="2">
        <v>2</v>
      </c>
      <c r="J1082" s="1"/>
      <c r="M1082" t="s">
        <v>15</v>
      </c>
      <c r="N1082" t="str">
        <f>IFERROR(VLOOKUP(B1082,'[1]All Player'!$B$2:$C$1992,2,0),"")</f>
        <v>Firoj alam</v>
      </c>
      <c r="O1082" s="2" t="s">
        <v>484</v>
      </c>
      <c r="P1082" s="16" t="s">
        <v>485</v>
      </c>
      <c r="Q1082" s="1">
        <f t="shared" si="38"/>
        <v>1</v>
      </c>
      <c r="R1082" s="1">
        <v>174</v>
      </c>
      <c r="U1082" s="8">
        <f t="shared" si="39"/>
        <v>42675</v>
      </c>
    </row>
    <row r="1083" spans="1:21" x14ac:dyDescent="0.25">
      <c r="A1083" s="2">
        <v>18</v>
      </c>
      <c r="B1083" t="s">
        <v>384</v>
      </c>
      <c r="C1083" s="2">
        <v>5</v>
      </c>
      <c r="D1083" s="2">
        <v>120</v>
      </c>
      <c r="E1083" s="2">
        <v>1</v>
      </c>
      <c r="F1083" s="2">
        <v>6</v>
      </c>
      <c r="G1083" s="2">
        <v>0</v>
      </c>
      <c r="H1083" s="2">
        <v>11</v>
      </c>
      <c r="I1083" s="2">
        <v>8</v>
      </c>
      <c r="J1083" s="1"/>
      <c r="M1083" t="s">
        <v>15</v>
      </c>
      <c r="N1083" t="str">
        <f>IFERROR(VLOOKUP(B1083,'[1]All Player'!$B$2:$C$1992,2,0),"")</f>
        <v>Abdullah Al Mamun Shadhin</v>
      </c>
      <c r="O1083" s="2" t="s">
        <v>484</v>
      </c>
      <c r="P1083" s="16" t="s">
        <v>485</v>
      </c>
      <c r="Q1083" s="1">
        <f t="shared" si="38"/>
        <v>1</v>
      </c>
      <c r="R1083" s="1">
        <v>174</v>
      </c>
      <c r="U1083" s="8">
        <f t="shared" si="39"/>
        <v>42675</v>
      </c>
    </row>
    <row r="1084" spans="1:21" x14ac:dyDescent="0.25">
      <c r="A1084" s="2">
        <v>18</v>
      </c>
      <c r="B1084" t="s">
        <v>64</v>
      </c>
      <c r="C1084" s="2">
        <v>8</v>
      </c>
      <c r="D1084" s="2">
        <v>156</v>
      </c>
      <c r="E1084" s="2">
        <v>7</v>
      </c>
      <c r="F1084" s="2">
        <v>13</v>
      </c>
      <c r="G1084" s="2">
        <v>1</v>
      </c>
      <c r="H1084" s="2">
        <v>12</v>
      </c>
      <c r="I1084" s="2">
        <v>14</v>
      </c>
      <c r="J1084" s="1">
        <v>1</v>
      </c>
      <c r="M1084" t="s">
        <v>15</v>
      </c>
      <c r="N1084" t="str">
        <f>IFERROR(VLOOKUP(B1084,'[1]All Player'!$B$2:$C$1992,2,0),"")</f>
        <v>Sumon Ab</v>
      </c>
      <c r="O1084" s="2" t="s">
        <v>484</v>
      </c>
      <c r="P1084" s="16" t="s">
        <v>485</v>
      </c>
      <c r="Q1084" s="1">
        <f t="shared" si="38"/>
        <v>1</v>
      </c>
      <c r="R1084" s="1">
        <v>174</v>
      </c>
      <c r="U1084" s="8">
        <f t="shared" si="39"/>
        <v>42675</v>
      </c>
    </row>
    <row r="1085" spans="1:21" x14ac:dyDescent="0.25">
      <c r="A1085" s="2">
        <v>18</v>
      </c>
      <c r="B1085" t="s">
        <v>146</v>
      </c>
      <c r="C1085" s="2">
        <v>8</v>
      </c>
      <c r="D1085" s="2">
        <v>59</v>
      </c>
      <c r="E1085" s="2">
        <v>7</v>
      </c>
      <c r="F1085" s="2">
        <v>10</v>
      </c>
      <c r="G1085" s="2">
        <v>0</v>
      </c>
      <c r="H1085" s="2">
        <v>3</v>
      </c>
      <c r="I1085" s="2">
        <v>4</v>
      </c>
      <c r="J1085" s="1"/>
      <c r="M1085" t="s">
        <v>15</v>
      </c>
      <c r="N1085" t="str">
        <f>IFERROR(VLOOKUP(B1085,'[1]All Player'!$B$2:$C$1992,2,0),"")</f>
        <v>Nahid Saifullah</v>
      </c>
      <c r="O1085" s="2" t="s">
        <v>484</v>
      </c>
      <c r="P1085" s="16" t="s">
        <v>485</v>
      </c>
      <c r="Q1085" s="1">
        <f t="shared" si="38"/>
        <v>1</v>
      </c>
      <c r="R1085" s="1">
        <v>174</v>
      </c>
      <c r="U1085" s="8">
        <f t="shared" si="39"/>
        <v>42675</v>
      </c>
    </row>
    <row r="1086" spans="1:21" x14ac:dyDescent="0.25">
      <c r="A1086" s="2">
        <v>18</v>
      </c>
      <c r="B1086" s="17" t="s">
        <v>886</v>
      </c>
      <c r="J1086" s="1"/>
      <c r="M1086" t="s">
        <v>15</v>
      </c>
      <c r="N1086" t="str">
        <f>IFERROR(VLOOKUP(B1086,'[1]All Player'!$B$2:$C$1992,2,0),"")</f>
        <v/>
      </c>
      <c r="O1086" s="2" t="s">
        <v>484</v>
      </c>
      <c r="P1086" s="16" t="s">
        <v>887</v>
      </c>
      <c r="Q1086" s="1">
        <f t="shared" si="38"/>
        <v>1</v>
      </c>
      <c r="R1086" s="1">
        <v>175</v>
      </c>
      <c r="U1086" s="8">
        <f t="shared" si="39"/>
        <v>42675</v>
      </c>
    </row>
    <row r="1087" spans="1:21" x14ac:dyDescent="0.25">
      <c r="A1087" s="2">
        <v>18</v>
      </c>
      <c r="B1087" t="s">
        <v>138</v>
      </c>
      <c r="C1087" s="2">
        <v>8</v>
      </c>
      <c r="D1087" s="2">
        <v>113</v>
      </c>
      <c r="E1087" s="2">
        <v>6</v>
      </c>
      <c r="F1087" s="2">
        <v>11</v>
      </c>
      <c r="G1087" s="2">
        <v>1</v>
      </c>
      <c r="H1087" s="2">
        <v>9</v>
      </c>
      <c r="I1087" s="2">
        <v>5</v>
      </c>
      <c r="J1087" s="1"/>
      <c r="M1087" t="s">
        <v>15</v>
      </c>
      <c r="N1087" t="str">
        <f>IFERROR(VLOOKUP(B1087,'[1]All Player'!$B$2:$C$1992,2,0),"")</f>
        <v>Asif Iqbal Khan</v>
      </c>
      <c r="O1087" s="2" t="s">
        <v>484</v>
      </c>
      <c r="P1087" s="16" t="s">
        <v>887</v>
      </c>
      <c r="Q1087" s="1">
        <f t="shared" si="38"/>
        <v>1</v>
      </c>
      <c r="R1087" s="1">
        <v>175</v>
      </c>
      <c r="U1087" s="8">
        <f t="shared" si="39"/>
        <v>42675</v>
      </c>
    </row>
    <row r="1088" spans="1:21" x14ac:dyDescent="0.25">
      <c r="A1088" s="2">
        <v>18</v>
      </c>
      <c r="B1088" t="s">
        <v>181</v>
      </c>
      <c r="C1088" s="2">
        <v>5</v>
      </c>
      <c r="D1088" s="2">
        <v>7</v>
      </c>
      <c r="E1088" s="2">
        <v>5</v>
      </c>
      <c r="F1088" s="2">
        <v>3</v>
      </c>
      <c r="G1088" s="2">
        <v>0</v>
      </c>
      <c r="H1088" s="2">
        <v>1</v>
      </c>
      <c r="I1088" s="2">
        <v>0</v>
      </c>
      <c r="J1088" s="1"/>
      <c r="M1088" t="s">
        <v>15</v>
      </c>
      <c r="N1088" t="str">
        <f>IFERROR(VLOOKUP(B1088,'[1]All Player'!$B$2:$C$1992,2,0),"")</f>
        <v>SH Shamim</v>
      </c>
      <c r="O1088" s="2" t="s">
        <v>484</v>
      </c>
      <c r="P1088" s="16" t="s">
        <v>887</v>
      </c>
      <c r="Q1088" s="1">
        <f t="shared" si="38"/>
        <v>1</v>
      </c>
      <c r="R1088" s="1">
        <v>175</v>
      </c>
      <c r="U1088" s="8">
        <f t="shared" si="39"/>
        <v>42675</v>
      </c>
    </row>
    <row r="1089" spans="1:21" x14ac:dyDescent="0.25">
      <c r="A1089" s="2">
        <v>18</v>
      </c>
      <c r="B1089" t="s">
        <v>171</v>
      </c>
      <c r="C1089" s="2">
        <v>8</v>
      </c>
      <c r="D1089" s="2">
        <v>72</v>
      </c>
      <c r="E1089" s="2">
        <v>14</v>
      </c>
      <c r="F1089" s="2">
        <v>9</v>
      </c>
      <c r="G1089" s="2">
        <v>1</v>
      </c>
      <c r="H1089" s="2">
        <v>7</v>
      </c>
      <c r="I1089" s="2">
        <v>2</v>
      </c>
      <c r="J1089" s="1">
        <v>1</v>
      </c>
      <c r="M1089" t="s">
        <v>15</v>
      </c>
      <c r="N1089" t="str">
        <f>IFERROR(VLOOKUP(B1089,'[1]All Player'!$B$2:$C$1992,2,0),"")</f>
        <v>Md. Ruhin</v>
      </c>
      <c r="O1089" s="2" t="s">
        <v>484</v>
      </c>
      <c r="P1089" s="16" t="s">
        <v>887</v>
      </c>
      <c r="Q1089" s="1">
        <f t="shared" si="38"/>
        <v>1</v>
      </c>
      <c r="R1089" s="1">
        <v>175</v>
      </c>
      <c r="U1089" s="8">
        <f t="shared" si="39"/>
        <v>42675</v>
      </c>
    </row>
    <row r="1090" spans="1:21" x14ac:dyDescent="0.25">
      <c r="A1090" s="2">
        <v>18</v>
      </c>
      <c r="B1090" t="s">
        <v>130</v>
      </c>
      <c r="C1090" s="2">
        <v>8</v>
      </c>
      <c r="D1090" s="2">
        <v>190</v>
      </c>
      <c r="E1090" s="2">
        <v>13</v>
      </c>
      <c r="F1090" s="2">
        <v>14</v>
      </c>
      <c r="G1090" s="2">
        <v>0</v>
      </c>
      <c r="H1090" s="2">
        <v>15</v>
      </c>
      <c r="I1090" s="2">
        <v>14</v>
      </c>
      <c r="J1090" s="1">
        <v>1</v>
      </c>
      <c r="M1090" t="s">
        <v>15</v>
      </c>
      <c r="N1090" t="str">
        <f>IFERROR(VLOOKUP(B1090,'[1]All Player'!$B$2:$C$1992,2,0),"")</f>
        <v>Shahriar Khokon</v>
      </c>
      <c r="O1090" s="2" t="s">
        <v>484</v>
      </c>
      <c r="P1090" s="16" t="s">
        <v>887</v>
      </c>
      <c r="Q1090" s="1">
        <f t="shared" ref="Q1090:Q1153" si="40">IF(B1090="","",1)</f>
        <v>1</v>
      </c>
      <c r="R1090" s="1">
        <v>175</v>
      </c>
      <c r="U1090" s="8">
        <f t="shared" si="39"/>
        <v>42675</v>
      </c>
    </row>
    <row r="1091" spans="1:21" x14ac:dyDescent="0.25">
      <c r="A1091" s="2">
        <v>18</v>
      </c>
      <c r="B1091" t="s">
        <v>173</v>
      </c>
      <c r="C1091" s="2">
        <v>4</v>
      </c>
      <c r="D1091" s="2">
        <v>78</v>
      </c>
      <c r="E1091" s="2">
        <v>1</v>
      </c>
      <c r="F1091" s="2">
        <v>5</v>
      </c>
      <c r="G1091" s="2">
        <v>0</v>
      </c>
      <c r="H1091" s="2">
        <v>7</v>
      </c>
      <c r="I1091" s="2">
        <v>4</v>
      </c>
      <c r="J1091" s="1"/>
      <c r="M1091" t="s">
        <v>15</v>
      </c>
      <c r="N1091" t="str">
        <f>IFERROR(VLOOKUP(B1091,'[1]All Player'!$B$2:$C$1992,2,0),"")</f>
        <v>Sajjadul Haque Sagar</v>
      </c>
      <c r="O1091" s="2" t="s">
        <v>484</v>
      </c>
      <c r="P1091" s="16" t="s">
        <v>887</v>
      </c>
      <c r="Q1091" s="1">
        <f t="shared" si="40"/>
        <v>1</v>
      </c>
      <c r="R1091" s="1">
        <v>175</v>
      </c>
      <c r="U1091" s="8">
        <f t="shared" si="39"/>
        <v>42675</v>
      </c>
    </row>
    <row r="1092" spans="1:21" x14ac:dyDescent="0.25">
      <c r="A1092" s="2">
        <v>18</v>
      </c>
      <c r="B1092" s="17" t="s">
        <v>888</v>
      </c>
      <c r="J1092" s="1"/>
      <c r="M1092" t="s">
        <v>15</v>
      </c>
      <c r="N1092" t="str">
        <f>IFERROR(VLOOKUP(B1092,'[1]All Player'!$B$2:$C$1992,2,0),"")</f>
        <v/>
      </c>
      <c r="O1092" s="2" t="s">
        <v>484</v>
      </c>
      <c r="P1092" s="16" t="s">
        <v>889</v>
      </c>
      <c r="Q1092" s="1">
        <f t="shared" si="40"/>
        <v>1</v>
      </c>
      <c r="R1092" s="1">
        <v>176</v>
      </c>
      <c r="U1092" s="8">
        <f t="shared" si="39"/>
        <v>42675</v>
      </c>
    </row>
    <row r="1093" spans="1:21" x14ac:dyDescent="0.25">
      <c r="A1093" s="2">
        <v>18</v>
      </c>
      <c r="B1093" t="s">
        <v>29</v>
      </c>
      <c r="C1093" s="2">
        <v>8</v>
      </c>
      <c r="D1093" s="2">
        <v>91</v>
      </c>
      <c r="E1093" s="2">
        <v>1</v>
      </c>
      <c r="F1093" s="2">
        <v>7</v>
      </c>
      <c r="G1093" s="2">
        <v>0</v>
      </c>
      <c r="H1093" s="2">
        <v>9</v>
      </c>
      <c r="I1093" s="2">
        <v>5</v>
      </c>
      <c r="J1093" s="1"/>
      <c r="M1093" t="s">
        <v>15</v>
      </c>
      <c r="N1093" t="str">
        <f>IFERROR(VLOOKUP(B1093,'[1]All Player'!$B$2:$C$1992,2,0),"")</f>
        <v>Foysal Ahmed Jumon</v>
      </c>
      <c r="O1093" s="2" t="s">
        <v>484</v>
      </c>
      <c r="P1093" s="16" t="s">
        <v>889</v>
      </c>
      <c r="Q1093" s="1">
        <f t="shared" si="40"/>
        <v>1</v>
      </c>
      <c r="R1093" s="1">
        <v>176</v>
      </c>
      <c r="U1093" s="8">
        <f t="shared" si="39"/>
        <v>42675</v>
      </c>
    </row>
    <row r="1094" spans="1:21" x14ac:dyDescent="0.25">
      <c r="A1094" s="2">
        <v>18</v>
      </c>
      <c r="B1094" t="s">
        <v>148</v>
      </c>
      <c r="C1094" s="2">
        <v>8</v>
      </c>
      <c r="D1094" s="2">
        <v>159</v>
      </c>
      <c r="E1094" s="2">
        <v>8</v>
      </c>
      <c r="F1094" s="2">
        <v>12</v>
      </c>
      <c r="G1094" s="2">
        <v>1</v>
      </c>
      <c r="H1094" s="2">
        <v>11</v>
      </c>
      <c r="I1094" s="2">
        <v>12</v>
      </c>
      <c r="J1094" s="1"/>
      <c r="M1094" t="s">
        <v>15</v>
      </c>
      <c r="N1094" t="str">
        <f>IFERROR(VLOOKUP(B1094,'[1]All Player'!$B$2:$C$1992,2,0),"")</f>
        <v>AB Saaj</v>
      </c>
      <c r="O1094" s="2" t="s">
        <v>484</v>
      </c>
      <c r="P1094" s="16" t="s">
        <v>889</v>
      </c>
      <c r="Q1094" s="1">
        <f t="shared" si="40"/>
        <v>1</v>
      </c>
      <c r="R1094" s="1">
        <v>176</v>
      </c>
      <c r="U1094" s="8">
        <f t="shared" si="39"/>
        <v>42675</v>
      </c>
    </row>
    <row r="1095" spans="1:21" x14ac:dyDescent="0.25">
      <c r="A1095" s="2">
        <v>18</v>
      </c>
      <c r="B1095" t="s">
        <v>21</v>
      </c>
      <c r="C1095" s="2">
        <v>8</v>
      </c>
      <c r="D1095" s="2">
        <v>76</v>
      </c>
      <c r="E1095" s="2">
        <v>12</v>
      </c>
      <c r="F1095" s="2">
        <v>9</v>
      </c>
      <c r="G1095" s="2">
        <v>1</v>
      </c>
      <c r="H1095" s="2">
        <v>5</v>
      </c>
      <c r="I1095" s="2">
        <v>6</v>
      </c>
      <c r="J1095" s="1">
        <v>1</v>
      </c>
      <c r="M1095" t="s">
        <v>15</v>
      </c>
      <c r="N1095" t="str">
        <f>IFERROR(VLOOKUP(B1095,'[1]All Player'!$B$2:$C$1992,2,0),"")</f>
        <v>Faisal Ahmed Jhony</v>
      </c>
      <c r="O1095" s="2" t="s">
        <v>484</v>
      </c>
      <c r="P1095" s="16" t="s">
        <v>889</v>
      </c>
      <c r="Q1095" s="1">
        <f t="shared" si="40"/>
        <v>1</v>
      </c>
      <c r="R1095" s="1">
        <v>176</v>
      </c>
      <c r="U1095" s="8">
        <f t="shared" si="39"/>
        <v>42675</v>
      </c>
    </row>
    <row r="1096" spans="1:21" x14ac:dyDescent="0.25">
      <c r="A1096" s="2">
        <v>18</v>
      </c>
      <c r="B1096" t="s">
        <v>122</v>
      </c>
      <c r="C1096" s="2">
        <v>8</v>
      </c>
      <c r="D1096" s="2">
        <v>84</v>
      </c>
      <c r="E1096" s="2">
        <v>3</v>
      </c>
      <c r="F1096" s="2">
        <v>7</v>
      </c>
      <c r="G1096" s="2">
        <v>1</v>
      </c>
      <c r="H1096" s="2">
        <v>4</v>
      </c>
      <c r="I1096" s="2">
        <v>6</v>
      </c>
      <c r="J1096" s="1"/>
      <c r="M1096" t="s">
        <v>15</v>
      </c>
      <c r="N1096" t="str">
        <f>IFERROR(VLOOKUP(B1096,'[1]All Player'!$B$2:$C$1992,2,0),"")</f>
        <v>Towkir Ahmed Siddique</v>
      </c>
      <c r="O1096" s="2" t="s">
        <v>484</v>
      </c>
      <c r="P1096" s="16" t="s">
        <v>889</v>
      </c>
      <c r="Q1096" s="1">
        <f t="shared" si="40"/>
        <v>1</v>
      </c>
      <c r="R1096" s="1">
        <v>176</v>
      </c>
      <c r="U1096" s="8">
        <f t="shared" si="39"/>
        <v>42675</v>
      </c>
    </row>
    <row r="1097" spans="1:21" x14ac:dyDescent="0.25">
      <c r="A1097" s="2">
        <v>18</v>
      </c>
      <c r="B1097" t="s">
        <v>298</v>
      </c>
      <c r="C1097" s="2">
        <v>7</v>
      </c>
      <c r="D1097" s="2">
        <v>77</v>
      </c>
      <c r="E1097" s="2">
        <v>10</v>
      </c>
      <c r="F1097" s="2">
        <v>6</v>
      </c>
      <c r="G1097" s="2">
        <v>0</v>
      </c>
      <c r="H1097" s="2">
        <v>7</v>
      </c>
      <c r="I1097" s="2">
        <v>7</v>
      </c>
      <c r="J1097" s="1">
        <v>1</v>
      </c>
      <c r="M1097" t="s">
        <v>15</v>
      </c>
      <c r="N1097" t="str">
        <f>IFERROR(VLOOKUP(B1097,'[1]All Player'!$B$2:$C$1992,2,0),"")</f>
        <v>Sahed Hossain Masum</v>
      </c>
      <c r="O1097" s="2" t="s">
        <v>484</v>
      </c>
      <c r="P1097" s="16" t="s">
        <v>889</v>
      </c>
      <c r="Q1097" s="1">
        <f t="shared" si="40"/>
        <v>1</v>
      </c>
      <c r="R1097" s="1">
        <v>176</v>
      </c>
      <c r="U1097" s="8">
        <f t="shared" si="39"/>
        <v>42675</v>
      </c>
    </row>
    <row r="1098" spans="1:21" x14ac:dyDescent="0.25">
      <c r="A1098" s="2">
        <v>18</v>
      </c>
      <c r="B1098" s="17" t="s">
        <v>890</v>
      </c>
      <c r="J1098" s="1"/>
      <c r="M1098" t="s">
        <v>15</v>
      </c>
      <c r="N1098" t="str">
        <f>IFERROR(VLOOKUP(B1098,'[1]All Player'!$B$2:$C$1992,2,0),"")</f>
        <v/>
      </c>
      <c r="O1098" s="2" t="s">
        <v>484</v>
      </c>
      <c r="P1098" s="16" t="s">
        <v>891</v>
      </c>
      <c r="Q1098" s="1">
        <f t="shared" si="40"/>
        <v>1</v>
      </c>
      <c r="R1098" s="1">
        <v>177</v>
      </c>
      <c r="U1098" s="8">
        <f t="shared" si="39"/>
        <v>42675</v>
      </c>
    </row>
    <row r="1099" spans="1:21" x14ac:dyDescent="0.25">
      <c r="A1099" s="2">
        <v>18</v>
      </c>
      <c r="B1099" t="s">
        <v>132</v>
      </c>
      <c r="C1099" s="2">
        <v>8</v>
      </c>
      <c r="D1099" s="2">
        <v>87</v>
      </c>
      <c r="E1099" s="2">
        <v>9</v>
      </c>
      <c r="F1099" s="2">
        <v>10</v>
      </c>
      <c r="G1099" s="2">
        <v>2</v>
      </c>
      <c r="H1099" s="2">
        <v>8</v>
      </c>
      <c r="I1099" s="2">
        <v>4</v>
      </c>
      <c r="J1099" s="1">
        <v>1</v>
      </c>
      <c r="M1099" t="s">
        <v>15</v>
      </c>
      <c r="N1099" t="str">
        <f>IFERROR(VLOOKUP(B1099,'[1]All Player'!$B$2:$C$1992,2,0),"")</f>
        <v>ShiShir Hossain</v>
      </c>
      <c r="O1099" s="2" t="s">
        <v>484</v>
      </c>
      <c r="P1099" s="16" t="s">
        <v>891</v>
      </c>
      <c r="Q1099" s="1">
        <f t="shared" si="40"/>
        <v>1</v>
      </c>
      <c r="R1099" s="1">
        <v>177</v>
      </c>
      <c r="U1099" s="8">
        <f t="shared" si="39"/>
        <v>42675</v>
      </c>
    </row>
    <row r="1100" spans="1:21" x14ac:dyDescent="0.25">
      <c r="A1100" s="2">
        <v>18</v>
      </c>
      <c r="B1100" t="s">
        <v>78</v>
      </c>
      <c r="C1100" s="2">
        <v>8</v>
      </c>
      <c r="D1100" s="2">
        <v>103</v>
      </c>
      <c r="E1100" s="2">
        <v>9</v>
      </c>
      <c r="F1100" s="2">
        <v>8</v>
      </c>
      <c r="G1100" s="2">
        <v>0</v>
      </c>
      <c r="H1100" s="2">
        <v>3</v>
      </c>
      <c r="I1100" s="2">
        <v>9</v>
      </c>
      <c r="J1100" s="1"/>
      <c r="M1100" t="s">
        <v>15</v>
      </c>
      <c r="N1100" t="str">
        <f>IFERROR(VLOOKUP(B1100,'[1]All Player'!$B$2:$C$1992,2,0),"")</f>
        <v>KM Rashedul Islam Rashed</v>
      </c>
      <c r="O1100" s="2" t="s">
        <v>484</v>
      </c>
      <c r="P1100" s="16" t="s">
        <v>891</v>
      </c>
      <c r="Q1100" s="1">
        <f t="shared" si="40"/>
        <v>1</v>
      </c>
      <c r="R1100" s="1">
        <v>177</v>
      </c>
      <c r="U1100" s="8">
        <f t="shared" si="39"/>
        <v>42675</v>
      </c>
    </row>
    <row r="1101" spans="1:21" x14ac:dyDescent="0.25">
      <c r="A1101" s="2">
        <v>18</v>
      </c>
      <c r="B1101" t="s">
        <v>197</v>
      </c>
      <c r="C1101" s="2">
        <v>8</v>
      </c>
      <c r="D1101" s="2">
        <v>37</v>
      </c>
      <c r="E1101" s="2">
        <v>3</v>
      </c>
      <c r="F1101" s="2">
        <v>7</v>
      </c>
      <c r="G1101" s="2">
        <v>1</v>
      </c>
      <c r="H1101" s="2">
        <v>4</v>
      </c>
      <c r="I1101" s="2">
        <v>1</v>
      </c>
      <c r="J1101" s="1"/>
      <c r="M1101" t="s">
        <v>15</v>
      </c>
      <c r="N1101" t="str">
        <f>IFERROR(VLOOKUP(B1101,'[1]All Player'!$B$2:$C$1992,2,0),"")</f>
        <v>Noushed Mijan</v>
      </c>
      <c r="O1101" s="2" t="s">
        <v>484</v>
      </c>
      <c r="P1101" s="16" t="s">
        <v>891</v>
      </c>
      <c r="Q1101" s="1">
        <f t="shared" si="40"/>
        <v>1</v>
      </c>
      <c r="R1101" s="1">
        <v>177</v>
      </c>
      <c r="U1101" s="8">
        <f t="shared" si="39"/>
        <v>42675</v>
      </c>
    </row>
    <row r="1102" spans="1:21" x14ac:dyDescent="0.25">
      <c r="A1102" s="2">
        <v>18</v>
      </c>
      <c r="B1102" t="s">
        <v>60</v>
      </c>
      <c r="C1102" s="2">
        <v>8</v>
      </c>
      <c r="D1102" s="2">
        <v>106</v>
      </c>
      <c r="E1102" s="2">
        <v>1</v>
      </c>
      <c r="F1102" s="2">
        <v>12</v>
      </c>
      <c r="G1102" s="2">
        <v>6</v>
      </c>
      <c r="H1102" s="2">
        <v>12</v>
      </c>
      <c r="I1102" s="2">
        <v>6</v>
      </c>
      <c r="J1102" s="1">
        <v>1</v>
      </c>
      <c r="M1102" t="s">
        <v>15</v>
      </c>
      <c r="N1102" t="str">
        <f>IFERROR(VLOOKUP(B1102,'[1]All Player'!$B$2:$C$1992,2,0),"")</f>
        <v>Jahin Shahriar Chowdhury</v>
      </c>
      <c r="O1102" s="2" t="s">
        <v>484</v>
      </c>
      <c r="P1102" s="16" t="s">
        <v>891</v>
      </c>
      <c r="Q1102" s="1">
        <f t="shared" si="40"/>
        <v>1</v>
      </c>
      <c r="R1102" s="1">
        <v>177</v>
      </c>
      <c r="U1102" s="8">
        <f t="shared" si="39"/>
        <v>42675</v>
      </c>
    </row>
    <row r="1103" spans="1:21" x14ac:dyDescent="0.25">
      <c r="A1103" s="2">
        <v>18</v>
      </c>
      <c r="B1103" t="s">
        <v>33</v>
      </c>
      <c r="C1103" s="2">
        <v>8</v>
      </c>
      <c r="D1103" s="2">
        <v>98</v>
      </c>
      <c r="E1103" s="2">
        <v>9</v>
      </c>
      <c r="F1103" s="2">
        <v>8</v>
      </c>
      <c r="G1103" s="2">
        <v>0</v>
      </c>
      <c r="H1103" s="2">
        <v>10</v>
      </c>
      <c r="I1103" s="2">
        <v>7</v>
      </c>
      <c r="J1103" s="1"/>
      <c r="M1103" t="s">
        <v>15</v>
      </c>
      <c r="N1103" t="str">
        <f>IFERROR(VLOOKUP(B1103,'[1]All Player'!$B$2:$C$1992,2,0),"")</f>
        <v>Rakib Hasan</v>
      </c>
      <c r="O1103" s="2" t="s">
        <v>484</v>
      </c>
      <c r="P1103" s="16" t="s">
        <v>891</v>
      </c>
      <c r="Q1103" s="1">
        <f t="shared" si="40"/>
        <v>1</v>
      </c>
      <c r="R1103" s="1">
        <v>177</v>
      </c>
      <c r="U1103" s="8">
        <f t="shared" si="39"/>
        <v>42675</v>
      </c>
    </row>
    <row r="1104" spans="1:21" x14ac:dyDescent="0.25">
      <c r="A1104" s="2">
        <v>19</v>
      </c>
      <c r="B1104" s="17" t="s">
        <v>892</v>
      </c>
      <c r="J1104" s="1"/>
      <c r="M1104" t="s">
        <v>15</v>
      </c>
      <c r="N1104" t="str">
        <f>IFERROR(VLOOKUP(B1104,'[1]All Player'!$B$2:$C$1992,2,0),"")</f>
        <v/>
      </c>
      <c r="O1104" s="2" t="s">
        <v>551</v>
      </c>
      <c r="P1104" s="16" t="s">
        <v>892</v>
      </c>
      <c r="Q1104" s="1">
        <f t="shared" si="40"/>
        <v>1</v>
      </c>
      <c r="R1104" s="1">
        <v>178</v>
      </c>
      <c r="U1104" s="8">
        <v>42795</v>
      </c>
    </row>
    <row r="1105" spans="1:22" x14ac:dyDescent="0.25">
      <c r="A1105" s="2">
        <v>19</v>
      </c>
      <c r="B1105" t="s">
        <v>171</v>
      </c>
      <c r="C1105" s="2">
        <v>8</v>
      </c>
      <c r="D1105" s="2">
        <v>61</v>
      </c>
      <c r="E1105" s="2">
        <v>2</v>
      </c>
      <c r="F1105" s="2">
        <v>7</v>
      </c>
      <c r="G1105" s="2">
        <v>1</v>
      </c>
      <c r="H1105" s="2">
        <v>7</v>
      </c>
      <c r="I1105" s="2">
        <v>1</v>
      </c>
      <c r="J1105" s="1">
        <v>0</v>
      </c>
      <c r="M1105" t="s">
        <v>15</v>
      </c>
      <c r="N1105" t="str">
        <f>IFERROR(VLOOKUP(B1105,'[1]All Player'!$B$2:$C$1992,2,0),"")</f>
        <v>Md. Ruhin</v>
      </c>
      <c r="O1105" s="2" t="s">
        <v>551</v>
      </c>
      <c r="P1105" s="16" t="s">
        <v>892</v>
      </c>
      <c r="Q1105" s="1">
        <f t="shared" si="40"/>
        <v>1</v>
      </c>
      <c r="R1105" s="1">
        <v>178</v>
      </c>
      <c r="U1105" s="8">
        <f t="shared" ref="U1105:U1168" si="41">U1104</f>
        <v>42795</v>
      </c>
    </row>
    <row r="1106" spans="1:22" x14ac:dyDescent="0.25">
      <c r="A1106" s="2">
        <v>19</v>
      </c>
      <c r="B1106" t="s">
        <v>148</v>
      </c>
      <c r="C1106" s="2">
        <v>8</v>
      </c>
      <c r="D1106" s="2">
        <v>117</v>
      </c>
      <c r="E1106" s="2">
        <v>15</v>
      </c>
      <c r="F1106" s="2">
        <v>13</v>
      </c>
      <c r="G1106" s="2">
        <v>2</v>
      </c>
      <c r="H1106" s="2">
        <v>11</v>
      </c>
      <c r="I1106" s="2">
        <v>8</v>
      </c>
      <c r="J1106" s="1">
        <v>0</v>
      </c>
      <c r="M1106" t="s">
        <v>15</v>
      </c>
      <c r="N1106" t="str">
        <f>IFERROR(VLOOKUP(B1106,'[1]All Player'!$B$2:$C$1992,2,0),"")</f>
        <v>AB Saaj</v>
      </c>
      <c r="O1106" s="2" t="s">
        <v>551</v>
      </c>
      <c r="P1106" s="16" t="s">
        <v>892</v>
      </c>
      <c r="Q1106" s="1">
        <f t="shared" si="40"/>
        <v>1</v>
      </c>
      <c r="R1106" s="1">
        <v>178</v>
      </c>
      <c r="U1106" s="8">
        <f t="shared" si="41"/>
        <v>42795</v>
      </c>
    </row>
    <row r="1107" spans="1:22" x14ac:dyDescent="0.25">
      <c r="A1107" s="2">
        <v>19</v>
      </c>
      <c r="B1107" t="s">
        <v>130</v>
      </c>
      <c r="C1107" s="2">
        <v>8</v>
      </c>
      <c r="D1107" s="2">
        <v>196</v>
      </c>
      <c r="E1107" s="2">
        <v>9</v>
      </c>
      <c r="F1107" s="2">
        <v>14</v>
      </c>
      <c r="G1107" s="2">
        <v>2</v>
      </c>
      <c r="H1107" s="2">
        <v>21</v>
      </c>
      <c r="I1107" s="2">
        <v>12</v>
      </c>
      <c r="J1107" s="1">
        <v>0</v>
      </c>
      <c r="M1107" t="s">
        <v>15</v>
      </c>
      <c r="N1107" t="str">
        <f>IFERROR(VLOOKUP(B1107,'[1]All Player'!$B$2:$C$1992,2,0),"")</f>
        <v>Shahriar Khokon</v>
      </c>
      <c r="O1107" s="2" t="s">
        <v>551</v>
      </c>
      <c r="P1107" s="16" t="s">
        <v>892</v>
      </c>
      <c r="Q1107" s="1">
        <f t="shared" si="40"/>
        <v>1</v>
      </c>
      <c r="R1107" s="1">
        <v>178</v>
      </c>
      <c r="S1107" s="2" t="s">
        <v>660</v>
      </c>
      <c r="U1107" s="8">
        <f t="shared" si="41"/>
        <v>42795</v>
      </c>
      <c r="V1107" s="1">
        <v>1</v>
      </c>
    </row>
    <row r="1108" spans="1:22" x14ac:dyDescent="0.25">
      <c r="A1108" s="2">
        <v>19</v>
      </c>
      <c r="B1108" s="17" t="s">
        <v>893</v>
      </c>
      <c r="J1108" s="1"/>
      <c r="M1108" t="s">
        <v>15</v>
      </c>
      <c r="N1108" t="str">
        <f>IFERROR(VLOOKUP(B1108,'[1]All Player'!$B$2:$C$1992,2,0),"")</f>
        <v/>
      </c>
      <c r="O1108" s="2" t="s">
        <v>551</v>
      </c>
      <c r="P1108" s="16" t="s">
        <v>893</v>
      </c>
      <c r="Q1108" s="1">
        <f t="shared" si="40"/>
        <v>1</v>
      </c>
      <c r="R1108" s="1">
        <v>179</v>
      </c>
      <c r="U1108" s="8">
        <f t="shared" si="41"/>
        <v>42795</v>
      </c>
    </row>
    <row r="1109" spans="1:22" x14ac:dyDescent="0.25">
      <c r="A1109" s="2">
        <v>19</v>
      </c>
      <c r="B1109" t="s">
        <v>152</v>
      </c>
      <c r="C1109" s="2">
        <v>5</v>
      </c>
      <c r="D1109" s="2">
        <v>63</v>
      </c>
      <c r="E1109" s="2">
        <v>9</v>
      </c>
      <c r="F1109" s="2">
        <v>8</v>
      </c>
      <c r="G1109" s="2">
        <v>1</v>
      </c>
      <c r="H1109" s="2">
        <v>5</v>
      </c>
      <c r="I1109" s="2">
        <v>6</v>
      </c>
      <c r="J1109" s="1">
        <v>0</v>
      </c>
      <c r="M1109" t="s">
        <v>15</v>
      </c>
      <c r="N1109" t="str">
        <f>IFERROR(VLOOKUP(B1109,'[1]All Player'!$B$2:$C$1992,2,0),"")</f>
        <v>Niamul Habib Setu</v>
      </c>
      <c r="O1109" s="2" t="s">
        <v>551</v>
      </c>
      <c r="P1109" s="16" t="s">
        <v>893</v>
      </c>
      <c r="Q1109" s="1">
        <f t="shared" si="40"/>
        <v>1</v>
      </c>
      <c r="R1109" s="1">
        <v>179</v>
      </c>
      <c r="U1109" s="8">
        <f t="shared" si="41"/>
        <v>42795</v>
      </c>
    </row>
    <row r="1110" spans="1:22" x14ac:dyDescent="0.25">
      <c r="A1110" s="2">
        <v>19</v>
      </c>
      <c r="B1110" t="s">
        <v>72</v>
      </c>
      <c r="C1110" s="2">
        <v>5</v>
      </c>
      <c r="D1110" s="2">
        <v>133</v>
      </c>
      <c r="E1110" s="2">
        <v>9</v>
      </c>
      <c r="F1110" s="2">
        <v>10</v>
      </c>
      <c r="G1110" s="2">
        <v>0</v>
      </c>
      <c r="H1110" s="2">
        <v>12</v>
      </c>
      <c r="I1110" s="2">
        <v>11</v>
      </c>
      <c r="J1110" s="1">
        <v>0</v>
      </c>
      <c r="M1110" t="s">
        <v>15</v>
      </c>
      <c r="N1110" t="str">
        <f>IFERROR(VLOOKUP(B1110,'[1]All Player'!$B$2:$C$1992,2,0),"")</f>
        <v>Akram Husan (Washim)</v>
      </c>
      <c r="O1110" s="2" t="s">
        <v>551</v>
      </c>
      <c r="P1110" s="16" t="s">
        <v>893</v>
      </c>
      <c r="Q1110" s="1">
        <f t="shared" si="40"/>
        <v>1</v>
      </c>
      <c r="R1110" s="1">
        <v>179</v>
      </c>
      <c r="U1110" s="8">
        <f t="shared" si="41"/>
        <v>42795</v>
      </c>
    </row>
    <row r="1111" spans="1:22" x14ac:dyDescent="0.25">
      <c r="A1111" s="2">
        <v>19</v>
      </c>
      <c r="B1111" t="s">
        <v>173</v>
      </c>
      <c r="C1111" s="2">
        <v>3</v>
      </c>
      <c r="D1111" s="2">
        <v>28</v>
      </c>
      <c r="E1111" s="2">
        <v>3</v>
      </c>
      <c r="F1111" s="2">
        <v>3</v>
      </c>
      <c r="G1111" s="2">
        <v>1</v>
      </c>
      <c r="H1111" s="2">
        <v>2</v>
      </c>
      <c r="I1111" s="2">
        <v>1</v>
      </c>
      <c r="J1111" s="1">
        <v>0</v>
      </c>
      <c r="M1111" t="s">
        <v>15</v>
      </c>
      <c r="N1111" t="str">
        <f>IFERROR(VLOOKUP(B1111,'[1]All Player'!$B$2:$C$1992,2,0),"")</f>
        <v>Sajjadul Haque Sagar</v>
      </c>
      <c r="O1111" s="2" t="s">
        <v>551</v>
      </c>
      <c r="P1111" s="16" t="s">
        <v>893</v>
      </c>
      <c r="Q1111" s="1">
        <f t="shared" si="40"/>
        <v>1</v>
      </c>
      <c r="R1111" s="1">
        <v>179</v>
      </c>
      <c r="U1111" s="8">
        <f t="shared" si="41"/>
        <v>42795</v>
      </c>
    </row>
    <row r="1112" spans="1:22" x14ac:dyDescent="0.25">
      <c r="A1112" s="2">
        <v>19</v>
      </c>
      <c r="B1112" s="17" t="s">
        <v>894</v>
      </c>
      <c r="J1112" s="1"/>
      <c r="M1112" t="s">
        <v>15</v>
      </c>
      <c r="N1112" t="str">
        <f>IFERROR(VLOOKUP(B1112,'[1]All Player'!$B$2:$C$1992,2,0),"")</f>
        <v/>
      </c>
      <c r="O1112" s="2" t="s">
        <v>551</v>
      </c>
      <c r="P1112" s="16" t="s">
        <v>894</v>
      </c>
      <c r="Q1112" s="1">
        <f t="shared" si="40"/>
        <v>1</v>
      </c>
      <c r="R1112" s="1">
        <v>180</v>
      </c>
      <c r="U1112" s="8">
        <f t="shared" si="41"/>
        <v>42795</v>
      </c>
    </row>
    <row r="1113" spans="1:22" x14ac:dyDescent="0.25">
      <c r="A1113" s="2">
        <v>19</v>
      </c>
      <c r="B1113" t="s">
        <v>52</v>
      </c>
      <c r="C1113" s="2">
        <v>8</v>
      </c>
      <c r="D1113" s="2">
        <v>52</v>
      </c>
      <c r="E1113" s="2">
        <v>10</v>
      </c>
      <c r="F1113" s="2">
        <v>12</v>
      </c>
      <c r="G1113" s="2">
        <v>3</v>
      </c>
      <c r="H1113" s="2">
        <v>1</v>
      </c>
      <c r="I1113" s="2">
        <v>3</v>
      </c>
      <c r="J1113" s="1">
        <v>0</v>
      </c>
      <c r="M1113" t="s">
        <v>15</v>
      </c>
      <c r="N1113" t="str">
        <f>IFERROR(VLOOKUP(B1113,'[1]All Player'!$B$2:$C$1992,2,0),"")</f>
        <v>Mohammed Al Mamun</v>
      </c>
      <c r="O1113" s="2" t="s">
        <v>551</v>
      </c>
      <c r="P1113" s="16" t="s">
        <v>894</v>
      </c>
      <c r="Q1113" s="1">
        <f t="shared" si="40"/>
        <v>1</v>
      </c>
      <c r="R1113" s="1">
        <v>180</v>
      </c>
      <c r="U1113" s="8">
        <f t="shared" si="41"/>
        <v>42795</v>
      </c>
    </row>
    <row r="1114" spans="1:22" x14ac:dyDescent="0.25">
      <c r="A1114" s="2">
        <v>19</v>
      </c>
      <c r="B1114" t="s">
        <v>138</v>
      </c>
      <c r="C1114" s="2">
        <v>7</v>
      </c>
      <c r="D1114" s="2">
        <v>75</v>
      </c>
      <c r="E1114" s="2">
        <v>8</v>
      </c>
      <c r="F1114" s="2">
        <v>9</v>
      </c>
      <c r="G1114" s="2">
        <v>0</v>
      </c>
      <c r="H1114" s="2">
        <v>9</v>
      </c>
      <c r="I1114" s="2">
        <v>5</v>
      </c>
      <c r="J1114" s="1">
        <v>0</v>
      </c>
      <c r="M1114" t="s">
        <v>15</v>
      </c>
      <c r="N1114" t="str">
        <f>IFERROR(VLOOKUP(B1114,'[1]All Player'!$B$2:$C$1992,2,0),"")</f>
        <v>Asif Iqbal Khan</v>
      </c>
      <c r="O1114" s="2" t="s">
        <v>551</v>
      </c>
      <c r="P1114" s="16" t="s">
        <v>894</v>
      </c>
      <c r="Q1114" s="1">
        <f t="shared" si="40"/>
        <v>1</v>
      </c>
      <c r="R1114" s="1">
        <v>180</v>
      </c>
      <c r="U1114" s="8">
        <f t="shared" si="41"/>
        <v>42795</v>
      </c>
    </row>
    <row r="1115" spans="1:22" x14ac:dyDescent="0.25">
      <c r="A1115" s="2">
        <v>19</v>
      </c>
      <c r="B1115" t="s">
        <v>29</v>
      </c>
      <c r="C1115" s="2">
        <v>8</v>
      </c>
      <c r="D1115" s="2">
        <v>128</v>
      </c>
      <c r="E1115" s="2">
        <v>11</v>
      </c>
      <c r="F1115" s="2">
        <v>8</v>
      </c>
      <c r="G1115" s="2">
        <v>2</v>
      </c>
      <c r="H1115" s="2">
        <v>14</v>
      </c>
      <c r="I1115" s="2">
        <v>6</v>
      </c>
      <c r="J1115" s="1">
        <v>0</v>
      </c>
      <c r="M1115" t="s">
        <v>15</v>
      </c>
      <c r="N1115" t="str">
        <f>IFERROR(VLOOKUP(B1115,'[1]All Player'!$B$2:$C$1992,2,0),"")</f>
        <v>Foysal Ahmed Jumon</v>
      </c>
      <c r="O1115" s="2" t="s">
        <v>551</v>
      </c>
      <c r="P1115" s="16" t="s">
        <v>894</v>
      </c>
      <c r="Q1115" s="1">
        <f t="shared" si="40"/>
        <v>1</v>
      </c>
      <c r="R1115" s="1">
        <v>180</v>
      </c>
      <c r="U1115" s="8">
        <f t="shared" si="41"/>
        <v>42795</v>
      </c>
    </row>
    <row r="1116" spans="1:22" x14ac:dyDescent="0.25">
      <c r="A1116" s="2">
        <v>19</v>
      </c>
      <c r="B1116" s="17" t="s">
        <v>895</v>
      </c>
      <c r="J1116" s="1"/>
      <c r="M1116" t="s">
        <v>15</v>
      </c>
      <c r="N1116" t="str">
        <f>IFERROR(VLOOKUP(B1116,'[1]All Player'!$B$2:$C$1992,2,0),"")</f>
        <v/>
      </c>
      <c r="O1116" s="2" t="s">
        <v>551</v>
      </c>
      <c r="P1116" s="16" t="s">
        <v>895</v>
      </c>
      <c r="Q1116" s="1">
        <f t="shared" si="40"/>
        <v>1</v>
      </c>
      <c r="R1116" s="1">
        <v>181</v>
      </c>
      <c r="U1116" s="8">
        <f t="shared" si="41"/>
        <v>42795</v>
      </c>
    </row>
    <row r="1117" spans="1:22" x14ac:dyDescent="0.25">
      <c r="A1117" s="2">
        <v>19</v>
      </c>
      <c r="B1117" t="s">
        <v>661</v>
      </c>
      <c r="C1117" s="2">
        <v>8</v>
      </c>
      <c r="D1117" s="2">
        <v>168</v>
      </c>
      <c r="E1117" s="2">
        <v>9</v>
      </c>
      <c r="F1117" s="2">
        <v>13</v>
      </c>
      <c r="G1117" s="2">
        <v>4</v>
      </c>
      <c r="H1117" s="2">
        <v>12</v>
      </c>
      <c r="I1117" s="2">
        <v>10</v>
      </c>
      <c r="J1117" s="1">
        <v>0</v>
      </c>
      <c r="M1117" t="s">
        <v>15</v>
      </c>
      <c r="N1117" t="str">
        <f>IFERROR(VLOOKUP(B1117,'[1]All Player'!$B$2:$C$1992,2,0),"")</f>
        <v>Sakhawat Hossain Shanto</v>
      </c>
      <c r="O1117" s="2" t="s">
        <v>551</v>
      </c>
      <c r="P1117" s="16" t="s">
        <v>895</v>
      </c>
      <c r="Q1117" s="1">
        <f t="shared" si="40"/>
        <v>1</v>
      </c>
      <c r="R1117" s="1">
        <v>181</v>
      </c>
      <c r="U1117" s="8">
        <f t="shared" si="41"/>
        <v>42795</v>
      </c>
    </row>
    <row r="1118" spans="1:22" x14ac:dyDescent="0.25">
      <c r="A1118" s="2">
        <v>19</v>
      </c>
      <c r="B1118" t="s">
        <v>80</v>
      </c>
      <c r="C1118" s="2">
        <v>4</v>
      </c>
      <c r="D1118" s="2">
        <v>61</v>
      </c>
      <c r="E1118" s="2">
        <v>6</v>
      </c>
      <c r="F1118" s="2">
        <v>5</v>
      </c>
      <c r="G1118" s="2">
        <v>0</v>
      </c>
      <c r="H1118" s="2">
        <v>7</v>
      </c>
      <c r="I1118" s="2">
        <v>4</v>
      </c>
      <c r="J1118" s="1">
        <v>0</v>
      </c>
      <c r="M1118" t="s">
        <v>15</v>
      </c>
      <c r="N1118" t="str">
        <f>IFERROR(VLOOKUP(B1118,'[1]All Player'!$B$2:$C$1992,2,0),"")</f>
        <v>Kamrul Hasan Tutul</v>
      </c>
      <c r="O1118" s="2" t="s">
        <v>551</v>
      </c>
      <c r="P1118" s="16" t="s">
        <v>895</v>
      </c>
      <c r="Q1118" s="1">
        <f t="shared" si="40"/>
        <v>1</v>
      </c>
      <c r="R1118" s="1">
        <v>181</v>
      </c>
      <c r="U1118" s="8">
        <f t="shared" si="41"/>
        <v>42795</v>
      </c>
    </row>
    <row r="1119" spans="1:22" x14ac:dyDescent="0.25">
      <c r="A1119" s="2">
        <v>19</v>
      </c>
      <c r="B1119" t="s">
        <v>74</v>
      </c>
      <c r="C1119" s="2">
        <v>7</v>
      </c>
      <c r="D1119" s="2">
        <v>82</v>
      </c>
      <c r="E1119" s="2">
        <v>8</v>
      </c>
      <c r="F1119" s="2">
        <v>11</v>
      </c>
      <c r="G1119" s="2">
        <v>0</v>
      </c>
      <c r="H1119" s="2">
        <v>11</v>
      </c>
      <c r="I1119" s="2">
        <v>2</v>
      </c>
      <c r="J1119" s="1">
        <v>0</v>
      </c>
      <c r="M1119" t="s">
        <v>15</v>
      </c>
      <c r="N1119" t="str">
        <f>IFERROR(VLOOKUP(B1119,'[1]All Player'!$B$2:$C$1992,2,0),"")</f>
        <v>Sakib Arafat</v>
      </c>
      <c r="O1119" s="2" t="s">
        <v>551</v>
      </c>
      <c r="P1119" s="16" t="s">
        <v>895</v>
      </c>
      <c r="Q1119" s="1">
        <f t="shared" si="40"/>
        <v>1</v>
      </c>
      <c r="R1119" s="1">
        <v>181</v>
      </c>
      <c r="U1119" s="8">
        <f t="shared" si="41"/>
        <v>42795</v>
      </c>
    </row>
    <row r="1120" spans="1:22" x14ac:dyDescent="0.25">
      <c r="A1120" s="2">
        <v>19</v>
      </c>
      <c r="B1120" s="17" t="s">
        <v>552</v>
      </c>
      <c r="J1120" s="1"/>
      <c r="M1120" t="s">
        <v>15</v>
      </c>
      <c r="N1120" t="str">
        <f>IFERROR(VLOOKUP(B1120,'[1]All Player'!$B$2:$C$1992,2,0),"")</f>
        <v/>
      </c>
      <c r="O1120" s="2" t="s">
        <v>551</v>
      </c>
      <c r="P1120" s="16" t="s">
        <v>552</v>
      </c>
      <c r="Q1120" s="1">
        <f t="shared" si="40"/>
        <v>1</v>
      </c>
      <c r="R1120" s="1">
        <v>182</v>
      </c>
      <c r="U1120" s="8">
        <f t="shared" si="41"/>
        <v>42795</v>
      </c>
    </row>
    <row r="1121" spans="1:23" x14ac:dyDescent="0.25">
      <c r="A1121" s="2">
        <v>19</v>
      </c>
      <c r="B1121" t="s">
        <v>95</v>
      </c>
      <c r="C1121" s="2">
        <v>9</v>
      </c>
      <c r="D1121" s="2">
        <v>162</v>
      </c>
      <c r="E1121" s="2">
        <v>6</v>
      </c>
      <c r="F1121" s="2">
        <v>11</v>
      </c>
      <c r="G1121" s="2">
        <v>0</v>
      </c>
      <c r="H1121" s="2">
        <v>14</v>
      </c>
      <c r="I1121" s="2">
        <v>10</v>
      </c>
      <c r="J1121" s="1">
        <v>0</v>
      </c>
      <c r="M1121" t="s">
        <v>15</v>
      </c>
      <c r="N1121" t="str">
        <f>IFERROR(VLOOKUP(B1121,'[1]All Player'!$B$2:$C$1992,2,0),"")</f>
        <v>Sadrul Anam</v>
      </c>
      <c r="O1121" s="26" t="s">
        <v>551</v>
      </c>
      <c r="P1121" s="16" t="s">
        <v>552</v>
      </c>
      <c r="Q1121" s="1">
        <f t="shared" si="40"/>
        <v>1</v>
      </c>
      <c r="R1121" s="1">
        <v>182</v>
      </c>
      <c r="U1121" s="8">
        <f t="shared" si="41"/>
        <v>42795</v>
      </c>
    </row>
    <row r="1122" spans="1:23" x14ac:dyDescent="0.25">
      <c r="A1122" s="2">
        <v>19</v>
      </c>
      <c r="B1122" t="s">
        <v>175</v>
      </c>
      <c r="C1122" s="2">
        <v>8</v>
      </c>
      <c r="D1122" s="2">
        <v>73</v>
      </c>
      <c r="E1122" s="2">
        <v>13</v>
      </c>
      <c r="F1122" s="2">
        <v>12</v>
      </c>
      <c r="G1122" s="2">
        <v>3</v>
      </c>
      <c r="H1122" s="2">
        <v>8</v>
      </c>
      <c r="I1122" s="2">
        <v>2</v>
      </c>
      <c r="J1122" s="1">
        <v>1</v>
      </c>
      <c r="M1122" t="s">
        <v>15</v>
      </c>
      <c r="N1122" t="str">
        <f>IFERROR(VLOOKUP(B1122,'[1]All Player'!$B$2:$C$1992,2,0),"")</f>
        <v>Wasiq Rahman</v>
      </c>
      <c r="O1122" s="2" t="s">
        <v>551</v>
      </c>
      <c r="P1122" s="16" t="s">
        <v>552</v>
      </c>
      <c r="Q1122" s="1">
        <f t="shared" si="40"/>
        <v>1</v>
      </c>
      <c r="R1122" s="1">
        <v>182</v>
      </c>
      <c r="U1122" s="8">
        <f t="shared" si="41"/>
        <v>42795</v>
      </c>
    </row>
    <row r="1123" spans="1:23" x14ac:dyDescent="0.25">
      <c r="A1123" s="2">
        <v>19</v>
      </c>
      <c r="B1123" t="s">
        <v>106</v>
      </c>
      <c r="C1123" s="2">
        <v>9</v>
      </c>
      <c r="D1123" s="2">
        <v>148</v>
      </c>
      <c r="E1123" s="2">
        <v>13</v>
      </c>
      <c r="F1123" s="2">
        <v>12</v>
      </c>
      <c r="G1123" s="2">
        <v>1</v>
      </c>
      <c r="H1123" s="2">
        <v>8</v>
      </c>
      <c r="I1123" s="2">
        <v>12</v>
      </c>
      <c r="J1123" s="1">
        <v>0</v>
      </c>
      <c r="M1123" t="s">
        <v>15</v>
      </c>
      <c r="N1123" t="str">
        <f>IFERROR(VLOOKUP(B1123,'[1]All Player'!$B$2:$C$1992,2,0),"")</f>
        <v>Sayed Anowar Shanto</v>
      </c>
      <c r="O1123" s="2" t="s">
        <v>551</v>
      </c>
      <c r="P1123" s="16" t="s">
        <v>552</v>
      </c>
      <c r="Q1123" s="1">
        <f t="shared" si="40"/>
        <v>1</v>
      </c>
      <c r="R1123" s="1">
        <v>182</v>
      </c>
      <c r="U1123" s="8">
        <f t="shared" si="41"/>
        <v>42795</v>
      </c>
    </row>
    <row r="1124" spans="1:23" x14ac:dyDescent="0.25">
      <c r="A1124" s="2">
        <v>19</v>
      </c>
      <c r="B1124" s="17" t="s">
        <v>896</v>
      </c>
      <c r="J1124" s="1"/>
      <c r="M1124" t="s">
        <v>15</v>
      </c>
      <c r="N1124" t="str">
        <f>IFERROR(VLOOKUP(B1124,'[1]All Player'!$B$2:$C$1992,2,0),"")</f>
        <v/>
      </c>
      <c r="O1124" s="2" t="s">
        <v>551</v>
      </c>
      <c r="P1124" s="16" t="s">
        <v>896</v>
      </c>
      <c r="Q1124" s="1">
        <f t="shared" si="40"/>
        <v>1</v>
      </c>
      <c r="R1124" s="1">
        <v>183</v>
      </c>
      <c r="U1124" s="8">
        <f t="shared" si="41"/>
        <v>42795</v>
      </c>
    </row>
    <row r="1125" spans="1:23" x14ac:dyDescent="0.25">
      <c r="A1125" s="2">
        <v>19</v>
      </c>
      <c r="B1125" t="s">
        <v>70</v>
      </c>
      <c r="C1125" s="2">
        <v>8</v>
      </c>
      <c r="D1125" s="2">
        <v>155</v>
      </c>
      <c r="E1125" s="2">
        <v>10</v>
      </c>
      <c r="F1125" s="2">
        <v>13</v>
      </c>
      <c r="G1125" s="2">
        <v>0</v>
      </c>
      <c r="H1125" s="2">
        <v>9</v>
      </c>
      <c r="I1125" s="2">
        <v>10</v>
      </c>
      <c r="J1125" s="1">
        <v>0</v>
      </c>
      <c r="M1125" t="s">
        <v>15</v>
      </c>
      <c r="N1125" t="str">
        <f>IFERROR(VLOOKUP(B1125,'[1]All Player'!$B$2:$C$1992,2,0),"")</f>
        <v>Sheik Helal Ahmed</v>
      </c>
      <c r="O1125" s="2" t="s">
        <v>551</v>
      </c>
      <c r="P1125" s="16" t="s">
        <v>896</v>
      </c>
      <c r="Q1125" s="1">
        <f t="shared" si="40"/>
        <v>1</v>
      </c>
      <c r="R1125" s="1">
        <v>183</v>
      </c>
      <c r="U1125" s="8">
        <f t="shared" si="41"/>
        <v>42795</v>
      </c>
    </row>
    <row r="1126" spans="1:23" x14ac:dyDescent="0.25">
      <c r="A1126" s="2">
        <v>19</v>
      </c>
      <c r="B1126" t="s">
        <v>76</v>
      </c>
      <c r="C1126" s="2">
        <v>5</v>
      </c>
      <c r="D1126" s="2">
        <v>70</v>
      </c>
      <c r="E1126" s="2">
        <v>10</v>
      </c>
      <c r="F1126" s="2">
        <v>7</v>
      </c>
      <c r="G1126" s="2">
        <v>1</v>
      </c>
      <c r="H1126" s="2">
        <v>8</v>
      </c>
      <c r="I1126" s="2">
        <v>5</v>
      </c>
      <c r="J1126" s="1">
        <v>0</v>
      </c>
      <c r="M1126" t="s">
        <v>15</v>
      </c>
      <c r="N1126" t="str">
        <f>IFERROR(VLOOKUP(B1126,'[1]All Player'!$B$2:$C$1992,2,0),"")</f>
        <v>Kamil Ahmed</v>
      </c>
      <c r="O1126" s="2" t="s">
        <v>551</v>
      </c>
      <c r="P1126" s="16" t="s">
        <v>896</v>
      </c>
      <c r="Q1126" s="1">
        <f t="shared" si="40"/>
        <v>1</v>
      </c>
      <c r="R1126" s="1">
        <v>183</v>
      </c>
      <c r="U1126" s="8">
        <f t="shared" si="41"/>
        <v>42795</v>
      </c>
    </row>
    <row r="1127" spans="1:23" x14ac:dyDescent="0.25">
      <c r="A1127" s="2">
        <v>19</v>
      </c>
      <c r="B1127" t="s">
        <v>116</v>
      </c>
      <c r="C1127" s="2">
        <v>8</v>
      </c>
      <c r="D1127" s="2">
        <v>107</v>
      </c>
      <c r="E1127" s="2">
        <v>9</v>
      </c>
      <c r="F1127" s="2">
        <v>11</v>
      </c>
      <c r="G1127" s="2">
        <v>2</v>
      </c>
      <c r="H1127" s="2">
        <v>9</v>
      </c>
      <c r="I1127" s="2">
        <v>7</v>
      </c>
      <c r="J1127" s="1">
        <v>0</v>
      </c>
      <c r="M1127" t="s">
        <v>15</v>
      </c>
      <c r="N1127" t="str">
        <f>IFERROR(VLOOKUP(B1127,'[1]All Player'!$B$2:$C$1992,2,0),"")</f>
        <v>Ahammed Ariful Haq</v>
      </c>
      <c r="O1127" s="2" t="s">
        <v>551</v>
      </c>
      <c r="P1127" s="16" t="s">
        <v>896</v>
      </c>
      <c r="Q1127" s="1">
        <f t="shared" si="40"/>
        <v>1</v>
      </c>
      <c r="R1127" s="1">
        <v>183</v>
      </c>
      <c r="U1127" s="8">
        <f t="shared" si="41"/>
        <v>42795</v>
      </c>
    </row>
    <row r="1128" spans="1:23" x14ac:dyDescent="0.25">
      <c r="A1128" s="2">
        <v>19</v>
      </c>
      <c r="B1128" t="s">
        <v>897</v>
      </c>
      <c r="J1128" s="1"/>
      <c r="M1128" t="s">
        <v>15</v>
      </c>
      <c r="N1128" t="str">
        <f>IFERROR(VLOOKUP(B1128,'[1]All Player'!$B$2:$C$1992,2,0),"")</f>
        <v/>
      </c>
      <c r="O1128" s="2" t="s">
        <v>551</v>
      </c>
      <c r="P1128" s="16" t="s">
        <v>897</v>
      </c>
      <c r="Q1128" s="1">
        <f t="shared" si="40"/>
        <v>1</v>
      </c>
      <c r="R1128" s="1">
        <v>184</v>
      </c>
      <c r="U1128" s="8">
        <f t="shared" si="41"/>
        <v>42795</v>
      </c>
    </row>
    <row r="1129" spans="1:23" x14ac:dyDescent="0.25">
      <c r="A1129" s="2">
        <v>19</v>
      </c>
      <c r="B1129" t="s">
        <v>85</v>
      </c>
      <c r="C1129" s="2">
        <v>8</v>
      </c>
      <c r="D1129" s="2">
        <v>146</v>
      </c>
      <c r="E1129" s="2">
        <v>19</v>
      </c>
      <c r="F1129" s="2">
        <v>11</v>
      </c>
      <c r="G1129" s="2">
        <v>2</v>
      </c>
      <c r="H1129" s="2">
        <v>14</v>
      </c>
      <c r="I1129" s="2">
        <v>9</v>
      </c>
      <c r="J1129" s="1">
        <v>0</v>
      </c>
      <c r="M1129" t="s">
        <v>15</v>
      </c>
      <c r="N1129" t="str">
        <f>IFERROR(VLOOKUP(B1129,'[1]All Player'!$B$2:$C$1992,2,0),"")</f>
        <v>Asik Hassan Tonmoy</v>
      </c>
      <c r="O1129" s="2" t="s">
        <v>551</v>
      </c>
      <c r="P1129" s="16" t="s">
        <v>897</v>
      </c>
      <c r="Q1129" s="1">
        <f t="shared" si="40"/>
        <v>1</v>
      </c>
      <c r="R1129" s="1">
        <v>184</v>
      </c>
      <c r="U1129" s="8">
        <f t="shared" si="41"/>
        <v>42795</v>
      </c>
      <c r="W1129" s="1">
        <v>1</v>
      </c>
    </row>
    <row r="1130" spans="1:23" x14ac:dyDescent="0.25">
      <c r="A1130" s="2">
        <v>19</v>
      </c>
      <c r="B1130" t="s">
        <v>156</v>
      </c>
      <c r="C1130" s="2">
        <v>7</v>
      </c>
      <c r="D1130" s="2">
        <v>61</v>
      </c>
      <c r="E1130" s="2">
        <v>8</v>
      </c>
      <c r="F1130" s="2">
        <v>9</v>
      </c>
      <c r="G1130" s="2">
        <v>0</v>
      </c>
      <c r="H1130" s="2">
        <v>3</v>
      </c>
      <c r="I1130" s="2">
        <v>3</v>
      </c>
      <c r="J1130" s="1">
        <v>0</v>
      </c>
      <c r="M1130" t="s">
        <v>15</v>
      </c>
      <c r="N1130" t="str">
        <f>IFERROR(VLOOKUP(B1130,'[1]All Player'!$B$2:$C$1992,2,0),"")</f>
        <v>Prince Tarek</v>
      </c>
      <c r="O1130" s="2" t="s">
        <v>551</v>
      </c>
      <c r="P1130" s="16" t="s">
        <v>897</v>
      </c>
      <c r="Q1130" s="1">
        <f t="shared" si="40"/>
        <v>1</v>
      </c>
      <c r="R1130" s="1">
        <v>184</v>
      </c>
      <c r="U1130" s="8">
        <f t="shared" si="41"/>
        <v>42795</v>
      </c>
    </row>
    <row r="1131" spans="1:23" x14ac:dyDescent="0.25">
      <c r="A1131" s="2">
        <v>19</v>
      </c>
      <c r="B1131" t="s">
        <v>124</v>
      </c>
      <c r="C1131" s="2">
        <v>3</v>
      </c>
      <c r="D1131" s="2">
        <v>47</v>
      </c>
      <c r="E1131" s="2">
        <v>2</v>
      </c>
      <c r="F1131" s="2">
        <v>4</v>
      </c>
      <c r="G1131" s="2">
        <v>1</v>
      </c>
      <c r="H1131" s="2">
        <v>5</v>
      </c>
      <c r="I1131" s="2">
        <v>4</v>
      </c>
      <c r="J1131" s="1">
        <v>0</v>
      </c>
      <c r="M1131" t="s">
        <v>15</v>
      </c>
      <c r="N1131" t="str">
        <f>IFERROR(VLOOKUP(B1131,'[1]All Player'!$B$2:$C$1992,2,0),"")</f>
        <v>Mahbubur Rahman Akash</v>
      </c>
      <c r="O1131" s="2" t="s">
        <v>551</v>
      </c>
      <c r="P1131" s="16" t="s">
        <v>897</v>
      </c>
      <c r="Q1131" s="1">
        <f t="shared" si="40"/>
        <v>1</v>
      </c>
      <c r="R1131" s="1">
        <v>184</v>
      </c>
      <c r="U1131" s="8">
        <f t="shared" si="41"/>
        <v>42795</v>
      </c>
    </row>
    <row r="1132" spans="1:23" x14ac:dyDescent="0.25">
      <c r="A1132" s="2">
        <v>19</v>
      </c>
      <c r="B1132" t="s">
        <v>203</v>
      </c>
      <c r="C1132" s="2">
        <v>2</v>
      </c>
      <c r="D1132" s="2">
        <v>51</v>
      </c>
      <c r="E1132" s="2">
        <v>2</v>
      </c>
      <c r="F1132" s="2">
        <v>2</v>
      </c>
      <c r="G1132" s="2">
        <v>1</v>
      </c>
      <c r="H1132" s="2">
        <v>3</v>
      </c>
      <c r="I1132" s="2">
        <v>5</v>
      </c>
      <c r="J1132" s="1">
        <v>0</v>
      </c>
      <c r="M1132" t="s">
        <v>15</v>
      </c>
      <c r="N1132" t="str">
        <f>IFERROR(VLOOKUP(B1132,'[1]All Player'!$B$2:$C$1992,2,0),"")</f>
        <v>Rifat Ullah</v>
      </c>
      <c r="O1132" s="2" t="s">
        <v>551</v>
      </c>
      <c r="P1132" s="16" t="s">
        <v>897</v>
      </c>
      <c r="Q1132" s="1">
        <f t="shared" si="40"/>
        <v>1</v>
      </c>
      <c r="R1132" s="1">
        <v>184</v>
      </c>
      <c r="U1132" s="8">
        <f t="shared" si="41"/>
        <v>42795</v>
      </c>
    </row>
    <row r="1133" spans="1:23" x14ac:dyDescent="0.25">
      <c r="A1133" s="2">
        <v>19</v>
      </c>
      <c r="B1133" t="s">
        <v>898</v>
      </c>
      <c r="J1133" s="1"/>
      <c r="M1133" t="s">
        <v>15</v>
      </c>
      <c r="N1133" t="str">
        <f>IFERROR(VLOOKUP(B1133,'[1]All Player'!$B$2:$C$1992,2,0),"")</f>
        <v/>
      </c>
      <c r="O1133" s="2" t="s">
        <v>551</v>
      </c>
      <c r="P1133" s="16" t="s">
        <v>898</v>
      </c>
      <c r="Q1133" s="1">
        <f t="shared" si="40"/>
        <v>1</v>
      </c>
      <c r="R1133" s="1">
        <v>185</v>
      </c>
      <c r="U1133" s="8">
        <f t="shared" si="41"/>
        <v>42795</v>
      </c>
    </row>
    <row r="1134" spans="1:23" x14ac:dyDescent="0.25">
      <c r="A1134" s="2">
        <v>19</v>
      </c>
      <c r="B1134" t="s">
        <v>62</v>
      </c>
      <c r="C1134" s="2">
        <v>8</v>
      </c>
      <c r="D1134" s="2">
        <v>76</v>
      </c>
      <c r="E1134" s="2">
        <v>17</v>
      </c>
      <c r="F1134" s="2">
        <v>10</v>
      </c>
      <c r="G1134" s="2">
        <v>0</v>
      </c>
      <c r="H1134" s="2">
        <v>7</v>
      </c>
      <c r="I1134" s="2">
        <v>4</v>
      </c>
      <c r="J1134" s="1">
        <v>2</v>
      </c>
      <c r="M1134" t="s">
        <v>15</v>
      </c>
      <c r="N1134" t="str">
        <f>IFERROR(VLOOKUP(B1134,'[1]All Player'!$B$2:$C$1992,2,0),"")</f>
        <v>MD Tofayel Ahmed</v>
      </c>
      <c r="O1134" s="2" t="s">
        <v>551</v>
      </c>
      <c r="P1134" s="16" t="s">
        <v>898</v>
      </c>
      <c r="Q1134" s="1">
        <f t="shared" si="40"/>
        <v>1</v>
      </c>
      <c r="R1134" s="1">
        <v>185</v>
      </c>
      <c r="U1134" s="8">
        <f t="shared" si="41"/>
        <v>42795</v>
      </c>
    </row>
    <row r="1135" spans="1:23" x14ac:dyDescent="0.25">
      <c r="A1135" s="2">
        <v>19</v>
      </c>
      <c r="B1135" t="s">
        <v>66</v>
      </c>
      <c r="C1135" s="2">
        <v>7</v>
      </c>
      <c r="D1135" s="2">
        <v>134</v>
      </c>
      <c r="E1135" s="2">
        <v>6</v>
      </c>
      <c r="F1135" s="2">
        <v>14</v>
      </c>
      <c r="G1135" s="2">
        <v>2</v>
      </c>
      <c r="H1135" s="2">
        <v>10</v>
      </c>
      <c r="I1135" s="2">
        <v>10</v>
      </c>
      <c r="J1135" s="1">
        <v>0</v>
      </c>
      <c r="M1135" t="s">
        <v>15</v>
      </c>
      <c r="N1135" t="str">
        <f>IFERROR(VLOOKUP(B1135,'[1]All Player'!$B$2:$C$1992,2,0),"")</f>
        <v>Ahmad Sakib Abdullah</v>
      </c>
      <c r="O1135" s="2" t="s">
        <v>551</v>
      </c>
      <c r="P1135" s="16" t="s">
        <v>898</v>
      </c>
      <c r="Q1135" s="1">
        <f t="shared" si="40"/>
        <v>1</v>
      </c>
      <c r="R1135" s="1">
        <v>185</v>
      </c>
      <c r="U1135" s="8">
        <f t="shared" si="41"/>
        <v>42795</v>
      </c>
    </row>
    <row r="1136" spans="1:23" x14ac:dyDescent="0.25">
      <c r="A1136" s="2">
        <v>19</v>
      </c>
      <c r="B1136" t="s">
        <v>177</v>
      </c>
      <c r="C1136" s="2">
        <v>8</v>
      </c>
      <c r="D1136" s="2">
        <v>129</v>
      </c>
      <c r="E1136" s="2">
        <v>4</v>
      </c>
      <c r="F1136" s="2">
        <v>13</v>
      </c>
      <c r="G1136" s="2">
        <v>2</v>
      </c>
      <c r="H1136" s="2">
        <v>11</v>
      </c>
      <c r="I1136" s="2">
        <v>8</v>
      </c>
      <c r="J1136" s="1">
        <v>0</v>
      </c>
      <c r="M1136" t="s">
        <v>15</v>
      </c>
      <c r="N1136" t="str">
        <f>IFERROR(VLOOKUP(B1136,'[1]All Player'!$B$2:$C$1992,2,0),"")</f>
        <v>Tanjir Rahman</v>
      </c>
      <c r="O1136" s="2" t="s">
        <v>551</v>
      </c>
      <c r="P1136" s="16" t="s">
        <v>898</v>
      </c>
      <c r="Q1136" s="1">
        <f t="shared" si="40"/>
        <v>1</v>
      </c>
      <c r="R1136" s="1">
        <v>185</v>
      </c>
      <c r="U1136" s="8">
        <f t="shared" si="41"/>
        <v>42795</v>
      </c>
    </row>
    <row r="1137" spans="1:21" x14ac:dyDescent="0.25">
      <c r="A1137" s="2">
        <v>19</v>
      </c>
      <c r="B1137" t="s">
        <v>899</v>
      </c>
      <c r="J1137" s="1"/>
      <c r="M1137" t="s">
        <v>15</v>
      </c>
      <c r="N1137" t="str">
        <f>IFERROR(VLOOKUP(B1137,'[1]All Player'!$B$2:$C$1992,2,0),"")</f>
        <v/>
      </c>
      <c r="O1137" s="2" t="s">
        <v>551</v>
      </c>
      <c r="P1137" s="16" t="s">
        <v>899</v>
      </c>
      <c r="Q1137" s="1">
        <f t="shared" si="40"/>
        <v>1</v>
      </c>
      <c r="R1137" s="1">
        <v>186</v>
      </c>
      <c r="U1137" s="8">
        <f t="shared" si="41"/>
        <v>42795</v>
      </c>
    </row>
    <row r="1138" spans="1:21" x14ac:dyDescent="0.25">
      <c r="A1138" s="2">
        <v>19</v>
      </c>
      <c r="B1138" t="s">
        <v>46</v>
      </c>
      <c r="C1138" s="2">
        <v>4</v>
      </c>
      <c r="D1138" s="2">
        <v>54</v>
      </c>
      <c r="E1138" s="2">
        <v>11</v>
      </c>
      <c r="F1138" s="2">
        <v>7</v>
      </c>
      <c r="G1138" s="2">
        <v>1</v>
      </c>
      <c r="H1138" s="2">
        <v>6</v>
      </c>
      <c r="I1138" s="2">
        <v>3</v>
      </c>
      <c r="J1138" s="1">
        <v>0</v>
      </c>
      <c r="M1138" t="s">
        <v>15</v>
      </c>
      <c r="N1138" t="str">
        <f>IFERROR(VLOOKUP(B1138,'[1]All Player'!$B$2:$C$1992,2,0),"")</f>
        <v>Roman mahamud Arko</v>
      </c>
      <c r="O1138" s="2" t="s">
        <v>551</v>
      </c>
      <c r="P1138" s="16" t="s">
        <v>899</v>
      </c>
      <c r="Q1138" s="1">
        <f t="shared" si="40"/>
        <v>1</v>
      </c>
      <c r="R1138" s="1">
        <v>186</v>
      </c>
      <c r="U1138" s="8">
        <f t="shared" si="41"/>
        <v>42795</v>
      </c>
    </row>
    <row r="1139" spans="1:21" x14ac:dyDescent="0.25">
      <c r="A1139" s="2">
        <v>19</v>
      </c>
      <c r="B1139" t="s">
        <v>181</v>
      </c>
      <c r="C1139" s="2">
        <v>4</v>
      </c>
      <c r="D1139" s="2">
        <v>61</v>
      </c>
      <c r="E1139" s="2">
        <v>4</v>
      </c>
      <c r="F1139" s="2">
        <v>7</v>
      </c>
      <c r="G1139" s="2">
        <v>1</v>
      </c>
      <c r="H1139" s="2">
        <v>4</v>
      </c>
      <c r="I1139" s="2">
        <v>3</v>
      </c>
      <c r="J1139" s="1">
        <v>0</v>
      </c>
      <c r="M1139" t="s">
        <v>15</v>
      </c>
      <c r="N1139" t="str">
        <f>IFERROR(VLOOKUP(B1139,'[1]All Player'!$B$2:$C$1992,2,0),"")</f>
        <v>SH Shamim</v>
      </c>
      <c r="O1139" s="2" t="s">
        <v>551</v>
      </c>
      <c r="P1139" s="16" t="s">
        <v>899</v>
      </c>
      <c r="Q1139" s="1">
        <f t="shared" si="40"/>
        <v>1</v>
      </c>
      <c r="R1139" s="1">
        <v>186</v>
      </c>
      <c r="U1139" s="8">
        <f t="shared" si="41"/>
        <v>42795</v>
      </c>
    </row>
    <row r="1140" spans="1:21" x14ac:dyDescent="0.25">
      <c r="A1140" s="2">
        <v>19</v>
      </c>
      <c r="B1140" t="s">
        <v>183</v>
      </c>
      <c r="C1140" s="2">
        <v>1</v>
      </c>
      <c r="D1140" s="2">
        <v>0</v>
      </c>
      <c r="E1140" s="2">
        <v>0</v>
      </c>
      <c r="F1140" s="2">
        <v>2</v>
      </c>
      <c r="G1140" s="2">
        <v>0</v>
      </c>
      <c r="H1140" s="2">
        <v>0</v>
      </c>
      <c r="I1140" s="2">
        <v>0</v>
      </c>
      <c r="J1140" s="1">
        <v>0</v>
      </c>
      <c r="M1140" t="s">
        <v>15</v>
      </c>
      <c r="N1140" t="str">
        <f>IFERROR(VLOOKUP(B1140,'[1]All Player'!$B$2:$C$1992,2,0),"")</f>
        <v>Red Heart Faisal (Fayze Ahamed)</v>
      </c>
      <c r="O1140" s="2" t="s">
        <v>551</v>
      </c>
      <c r="P1140" s="16" t="s">
        <v>899</v>
      </c>
      <c r="Q1140" s="1">
        <f t="shared" si="40"/>
        <v>1</v>
      </c>
      <c r="R1140" s="1">
        <v>186</v>
      </c>
      <c r="U1140" s="8">
        <f t="shared" si="41"/>
        <v>42795</v>
      </c>
    </row>
    <row r="1141" spans="1:21" x14ac:dyDescent="0.25">
      <c r="A1141" s="2">
        <v>19</v>
      </c>
      <c r="B1141" t="s">
        <v>900</v>
      </c>
      <c r="J1141" s="1"/>
      <c r="M1141" t="s">
        <v>15</v>
      </c>
      <c r="N1141" t="str">
        <f>IFERROR(VLOOKUP(B1141,'[1]All Player'!$B$2:$C$1992,2,0),"")</f>
        <v/>
      </c>
      <c r="O1141" s="2" t="s">
        <v>551</v>
      </c>
      <c r="P1141" s="16" t="s">
        <v>900</v>
      </c>
      <c r="Q1141" s="1">
        <f t="shared" si="40"/>
        <v>1</v>
      </c>
      <c r="R1141" s="1">
        <v>187</v>
      </c>
      <c r="U1141" s="8">
        <f t="shared" si="41"/>
        <v>42795</v>
      </c>
    </row>
    <row r="1142" spans="1:21" x14ac:dyDescent="0.25">
      <c r="A1142" s="2">
        <v>19</v>
      </c>
      <c r="B1142" t="s">
        <v>21</v>
      </c>
      <c r="C1142" s="2">
        <v>6</v>
      </c>
      <c r="D1142" s="2">
        <v>80</v>
      </c>
      <c r="E1142" s="2">
        <v>8</v>
      </c>
      <c r="F1142" s="2">
        <v>11</v>
      </c>
      <c r="G1142" s="2">
        <v>2</v>
      </c>
      <c r="H1142" s="2">
        <v>8</v>
      </c>
      <c r="I1142" s="2">
        <v>6</v>
      </c>
      <c r="J1142" s="1">
        <v>0</v>
      </c>
      <c r="M1142" t="s">
        <v>15</v>
      </c>
      <c r="N1142" t="str">
        <f>IFERROR(VLOOKUP(B1142,'[1]All Player'!$B$2:$C$1992,2,0),"")</f>
        <v>Faisal Ahmed Jhony</v>
      </c>
      <c r="O1142" s="2" t="s">
        <v>551</v>
      </c>
      <c r="P1142" s="16" t="s">
        <v>900</v>
      </c>
      <c r="Q1142" s="1">
        <f t="shared" si="40"/>
        <v>1</v>
      </c>
      <c r="R1142" s="1">
        <v>187</v>
      </c>
      <c r="U1142" s="8">
        <f t="shared" si="41"/>
        <v>42795</v>
      </c>
    </row>
    <row r="1143" spans="1:21" x14ac:dyDescent="0.25">
      <c r="A1143" s="2">
        <v>19</v>
      </c>
      <c r="B1143" t="s">
        <v>24</v>
      </c>
      <c r="C1143" s="2">
        <v>5</v>
      </c>
      <c r="D1143" s="2">
        <v>167</v>
      </c>
      <c r="E1143" s="2">
        <v>9</v>
      </c>
      <c r="F1143" s="2">
        <v>10</v>
      </c>
      <c r="G1143" s="2">
        <v>1</v>
      </c>
      <c r="H1143" s="2">
        <v>14</v>
      </c>
      <c r="I1143" s="2">
        <v>13</v>
      </c>
      <c r="J1143" s="1">
        <v>0</v>
      </c>
      <c r="M1143" t="s">
        <v>15</v>
      </c>
      <c r="N1143" t="str">
        <f>IFERROR(VLOOKUP(B1143,'[1]All Player'!$B$2:$C$1992,2,0),"")</f>
        <v>Nur Muhammad</v>
      </c>
      <c r="O1143" s="2" t="s">
        <v>551</v>
      </c>
      <c r="P1143" s="16" t="s">
        <v>900</v>
      </c>
      <c r="Q1143" s="1">
        <f t="shared" si="40"/>
        <v>1</v>
      </c>
      <c r="R1143" s="1">
        <v>187</v>
      </c>
      <c r="U1143" s="8">
        <f t="shared" si="41"/>
        <v>42795</v>
      </c>
    </row>
    <row r="1144" spans="1:21" x14ac:dyDescent="0.25">
      <c r="A1144" s="2">
        <v>19</v>
      </c>
      <c r="B1144" t="s">
        <v>186</v>
      </c>
      <c r="C1144" s="2">
        <v>4</v>
      </c>
      <c r="D1144" s="2">
        <v>42</v>
      </c>
      <c r="E1144" s="2">
        <v>4</v>
      </c>
      <c r="F1144" s="2">
        <v>6</v>
      </c>
      <c r="G1144" s="2">
        <v>0</v>
      </c>
      <c r="H1144" s="2">
        <v>6</v>
      </c>
      <c r="I1144" s="2">
        <v>2</v>
      </c>
      <c r="J1144" s="1">
        <v>0</v>
      </c>
      <c r="M1144" t="s">
        <v>15</v>
      </c>
      <c r="N1144" t="str">
        <f>IFERROR(VLOOKUP(B1144,'[1]All Player'!$B$2:$C$1992,2,0),"")</f>
        <v>Galaxsy Prince Tahmid (Tahmid Rahman)</v>
      </c>
      <c r="O1144" s="2" t="s">
        <v>551</v>
      </c>
      <c r="P1144" s="16" t="s">
        <v>900</v>
      </c>
      <c r="Q1144" s="1">
        <f t="shared" si="40"/>
        <v>1</v>
      </c>
      <c r="R1144" s="1">
        <v>187</v>
      </c>
      <c r="U1144" s="8">
        <f t="shared" si="41"/>
        <v>42795</v>
      </c>
    </row>
    <row r="1145" spans="1:21" x14ac:dyDescent="0.25">
      <c r="A1145" s="2">
        <v>19</v>
      </c>
      <c r="B1145" t="s">
        <v>555</v>
      </c>
      <c r="J1145" s="1"/>
      <c r="M1145" t="s">
        <v>15</v>
      </c>
      <c r="N1145" t="str">
        <f>IFERROR(VLOOKUP(B1145,'[1]All Player'!$B$2:$C$1992,2,0),"")</f>
        <v/>
      </c>
      <c r="O1145" s="2" t="s">
        <v>551</v>
      </c>
      <c r="P1145" s="16" t="s">
        <v>555</v>
      </c>
      <c r="Q1145" s="1">
        <f t="shared" si="40"/>
        <v>1</v>
      </c>
      <c r="R1145" s="1">
        <v>188</v>
      </c>
      <c r="U1145" s="8">
        <f t="shared" si="41"/>
        <v>42795</v>
      </c>
    </row>
    <row r="1146" spans="1:21" x14ac:dyDescent="0.25">
      <c r="A1146" s="2">
        <v>19</v>
      </c>
      <c r="B1146" t="s">
        <v>132</v>
      </c>
      <c r="C1146" s="2">
        <v>7</v>
      </c>
      <c r="D1146" s="2">
        <v>125</v>
      </c>
      <c r="E1146" s="2">
        <v>5</v>
      </c>
      <c r="F1146" s="2">
        <v>12</v>
      </c>
      <c r="G1146" s="2">
        <v>0</v>
      </c>
      <c r="H1146" s="2">
        <v>12</v>
      </c>
      <c r="I1146" s="2">
        <v>7</v>
      </c>
      <c r="J1146" s="1">
        <v>0</v>
      </c>
      <c r="M1146" t="s">
        <v>15</v>
      </c>
      <c r="N1146" t="str">
        <f>IFERROR(VLOOKUP(B1146,'[1]All Player'!$B$2:$C$1992,2,0),"")</f>
        <v>ShiShir Hossain</v>
      </c>
      <c r="O1146" s="2" t="s">
        <v>551</v>
      </c>
      <c r="P1146" s="16" t="s">
        <v>555</v>
      </c>
      <c r="Q1146" s="1">
        <f t="shared" si="40"/>
        <v>1</v>
      </c>
      <c r="R1146" s="1">
        <v>188</v>
      </c>
      <c r="U1146" s="8">
        <f t="shared" si="41"/>
        <v>42795</v>
      </c>
    </row>
    <row r="1147" spans="1:21" x14ac:dyDescent="0.25">
      <c r="A1147" s="2">
        <v>19</v>
      </c>
      <c r="B1147" t="s">
        <v>190</v>
      </c>
      <c r="C1147" s="2">
        <v>7</v>
      </c>
      <c r="D1147" s="2">
        <v>80</v>
      </c>
      <c r="E1147" s="2">
        <v>7</v>
      </c>
      <c r="F1147" s="2">
        <v>9</v>
      </c>
      <c r="G1147" s="2">
        <v>2</v>
      </c>
      <c r="H1147" s="2">
        <v>7</v>
      </c>
      <c r="I1147" s="2">
        <v>7</v>
      </c>
      <c r="J1147" s="1">
        <v>0</v>
      </c>
      <c r="M1147" t="s">
        <v>15</v>
      </c>
      <c r="N1147" t="str">
        <f>IFERROR(VLOOKUP(B1147,'[1]All Player'!$B$2:$C$1992,2,0),"")</f>
        <v>CR Siyam</v>
      </c>
      <c r="O1147" s="2" t="s">
        <v>551</v>
      </c>
      <c r="P1147" s="16" t="s">
        <v>555</v>
      </c>
      <c r="Q1147" s="1">
        <f t="shared" si="40"/>
        <v>1</v>
      </c>
      <c r="R1147" s="1">
        <v>188</v>
      </c>
      <c r="U1147" s="8">
        <f t="shared" si="41"/>
        <v>42795</v>
      </c>
    </row>
    <row r="1148" spans="1:21" x14ac:dyDescent="0.25">
      <c r="A1148" s="2">
        <v>19</v>
      </c>
      <c r="B1148" t="s">
        <v>64</v>
      </c>
      <c r="C1148" s="2">
        <v>6</v>
      </c>
      <c r="D1148" s="2">
        <v>71</v>
      </c>
      <c r="E1148" s="2">
        <v>11</v>
      </c>
      <c r="F1148" s="2">
        <v>8</v>
      </c>
      <c r="G1148" s="2">
        <v>1</v>
      </c>
      <c r="H1148" s="2">
        <v>7</v>
      </c>
      <c r="I1148" s="2">
        <v>5</v>
      </c>
      <c r="J1148" s="1">
        <v>0</v>
      </c>
      <c r="M1148" t="s">
        <v>15</v>
      </c>
      <c r="N1148" t="str">
        <f>IFERROR(VLOOKUP(B1148,'[1]All Player'!$B$2:$C$1992,2,0),"")</f>
        <v>Sumon Ab</v>
      </c>
      <c r="O1148" s="2" t="s">
        <v>551</v>
      </c>
      <c r="P1148" s="16" t="s">
        <v>555</v>
      </c>
      <c r="Q1148" s="1">
        <f t="shared" si="40"/>
        <v>1</v>
      </c>
      <c r="R1148" s="1">
        <v>188</v>
      </c>
      <c r="U1148" s="8">
        <f t="shared" si="41"/>
        <v>42795</v>
      </c>
    </row>
    <row r="1149" spans="1:21" x14ac:dyDescent="0.25">
      <c r="A1149" s="2">
        <v>19</v>
      </c>
      <c r="B1149" t="s">
        <v>901</v>
      </c>
      <c r="J1149" s="1"/>
      <c r="M1149" t="s">
        <v>15</v>
      </c>
      <c r="N1149" t="str">
        <f>IFERROR(VLOOKUP(B1149,'[1]All Player'!$B$2:$C$1992,2,0),"")</f>
        <v/>
      </c>
      <c r="O1149" s="2" t="s">
        <v>551</v>
      </c>
      <c r="P1149" s="16" t="s">
        <v>901</v>
      </c>
      <c r="Q1149" s="1">
        <f t="shared" si="40"/>
        <v>1</v>
      </c>
      <c r="R1149" s="1">
        <v>189</v>
      </c>
      <c r="U1149" s="8">
        <f t="shared" si="41"/>
        <v>42795</v>
      </c>
    </row>
    <row r="1150" spans="1:21" x14ac:dyDescent="0.25">
      <c r="A1150" s="2">
        <v>19</v>
      </c>
      <c r="B1150" t="s">
        <v>136</v>
      </c>
      <c r="C1150" s="2">
        <v>6</v>
      </c>
      <c r="D1150" s="2">
        <v>131</v>
      </c>
      <c r="E1150" s="2">
        <v>11</v>
      </c>
      <c r="F1150" s="2">
        <v>11</v>
      </c>
      <c r="G1150" s="2">
        <v>3</v>
      </c>
      <c r="H1150" s="2">
        <v>11</v>
      </c>
      <c r="I1150" s="2">
        <v>10</v>
      </c>
      <c r="J1150" s="1">
        <v>0</v>
      </c>
      <c r="M1150" t="s">
        <v>15</v>
      </c>
      <c r="N1150" t="str">
        <f>IFERROR(VLOOKUP(B1150,'[1]All Player'!$B$2:$C$1992,2,0),"")</f>
        <v>MD Kamal Hossain Kamal</v>
      </c>
      <c r="O1150" s="2" t="s">
        <v>551</v>
      </c>
      <c r="P1150" s="16" t="s">
        <v>901</v>
      </c>
      <c r="Q1150" s="1">
        <f t="shared" si="40"/>
        <v>1</v>
      </c>
      <c r="R1150" s="1">
        <v>189</v>
      </c>
      <c r="U1150" s="8">
        <f t="shared" si="41"/>
        <v>42795</v>
      </c>
    </row>
    <row r="1151" spans="1:21" x14ac:dyDescent="0.25">
      <c r="A1151" s="2">
        <v>19</v>
      </c>
      <c r="B1151" t="s">
        <v>191</v>
      </c>
      <c r="C1151" s="2">
        <v>6</v>
      </c>
      <c r="D1151" s="2">
        <v>88</v>
      </c>
      <c r="E1151" s="2">
        <v>8</v>
      </c>
      <c r="F1151" s="2">
        <v>10</v>
      </c>
      <c r="G1151" s="2">
        <v>0</v>
      </c>
      <c r="H1151" s="2">
        <v>14</v>
      </c>
      <c r="I1151" s="2">
        <v>3</v>
      </c>
      <c r="J1151" s="1">
        <v>0</v>
      </c>
      <c r="M1151" t="s">
        <v>15</v>
      </c>
      <c r="N1151" t="str">
        <f>IFERROR(VLOOKUP(B1151,'[1]All Player'!$B$2:$C$1992,2,0),"")</f>
        <v>Mohammad Haris Mullah</v>
      </c>
      <c r="O1151" s="2" t="s">
        <v>551</v>
      </c>
      <c r="P1151" s="16" t="s">
        <v>901</v>
      </c>
      <c r="Q1151" s="1">
        <f t="shared" si="40"/>
        <v>1</v>
      </c>
      <c r="R1151" s="1">
        <v>189</v>
      </c>
      <c r="U1151" s="8">
        <f t="shared" si="41"/>
        <v>42795</v>
      </c>
    </row>
    <row r="1152" spans="1:21" x14ac:dyDescent="0.25">
      <c r="A1152" s="2">
        <v>19</v>
      </c>
      <c r="B1152" t="s">
        <v>193</v>
      </c>
      <c r="C1152" s="2">
        <v>4</v>
      </c>
      <c r="D1152" s="2">
        <v>11</v>
      </c>
      <c r="E1152" s="2">
        <v>3</v>
      </c>
      <c r="F1152" s="2">
        <v>5</v>
      </c>
      <c r="G1152" s="2">
        <v>0</v>
      </c>
      <c r="H1152" s="2">
        <v>2</v>
      </c>
      <c r="I1152" s="2">
        <v>0</v>
      </c>
      <c r="J1152" s="1">
        <v>0</v>
      </c>
      <c r="M1152" t="s">
        <v>15</v>
      </c>
      <c r="N1152" t="str">
        <f>IFERROR(VLOOKUP(B1152,'[1]All Player'!$B$2:$C$1992,2,0),"")</f>
        <v>Mostafizur Rahman Mithu</v>
      </c>
      <c r="O1152" s="2" t="s">
        <v>551</v>
      </c>
      <c r="P1152" s="16" t="s">
        <v>901</v>
      </c>
      <c r="Q1152" s="1">
        <f t="shared" si="40"/>
        <v>1</v>
      </c>
      <c r="R1152" s="1">
        <v>189</v>
      </c>
      <c r="U1152" s="8">
        <f t="shared" si="41"/>
        <v>42795</v>
      </c>
    </row>
    <row r="1153" spans="1:21" x14ac:dyDescent="0.25">
      <c r="A1153" s="2">
        <v>19</v>
      </c>
      <c r="B1153" t="s">
        <v>902</v>
      </c>
      <c r="J1153" s="1"/>
      <c r="M1153" t="s">
        <v>15</v>
      </c>
      <c r="N1153" t="str">
        <f>IFERROR(VLOOKUP(B1153,'[1]All Player'!$B$2:$C$1992,2,0),"")</f>
        <v/>
      </c>
      <c r="O1153" s="2" t="s">
        <v>551</v>
      </c>
      <c r="P1153" s="16" t="s">
        <v>902</v>
      </c>
      <c r="Q1153" s="1">
        <f t="shared" si="40"/>
        <v>1</v>
      </c>
      <c r="R1153" s="1">
        <v>190</v>
      </c>
      <c r="U1153" s="8">
        <f t="shared" si="41"/>
        <v>42795</v>
      </c>
    </row>
    <row r="1154" spans="1:21" x14ac:dyDescent="0.25">
      <c r="A1154" s="2">
        <v>19</v>
      </c>
      <c r="B1154" t="s">
        <v>99</v>
      </c>
      <c r="C1154" s="2">
        <v>3</v>
      </c>
      <c r="D1154" s="2">
        <v>13</v>
      </c>
      <c r="E1154" s="2">
        <v>2</v>
      </c>
      <c r="F1154" s="2">
        <v>3</v>
      </c>
      <c r="G1154" s="2">
        <v>0</v>
      </c>
      <c r="H1154" s="2">
        <v>1</v>
      </c>
      <c r="I1154" s="2">
        <v>1</v>
      </c>
      <c r="J1154" s="1">
        <v>0</v>
      </c>
      <c r="M1154" t="s">
        <v>15</v>
      </c>
      <c r="N1154" t="str">
        <f>IFERROR(VLOOKUP(B1154,'[1]All Player'!$B$2:$C$1992,2,0),"")</f>
        <v>Bishwajit Sarkar</v>
      </c>
      <c r="O1154" s="2" t="s">
        <v>551</v>
      </c>
      <c r="P1154" s="16" t="s">
        <v>902</v>
      </c>
      <c r="Q1154" s="1">
        <f t="shared" ref="Q1154:Q1217" si="42">IF(B1154="","",1)</f>
        <v>1</v>
      </c>
      <c r="R1154" s="1">
        <v>190</v>
      </c>
      <c r="U1154" s="8">
        <f t="shared" si="41"/>
        <v>42795</v>
      </c>
    </row>
    <row r="1155" spans="1:21" x14ac:dyDescent="0.25">
      <c r="A1155" s="2">
        <v>19</v>
      </c>
      <c r="B1155" t="s">
        <v>188</v>
      </c>
      <c r="C1155" s="2">
        <v>2</v>
      </c>
      <c r="D1155" s="2">
        <v>30</v>
      </c>
      <c r="E1155" s="2">
        <v>2</v>
      </c>
      <c r="F1155" s="2">
        <v>4</v>
      </c>
      <c r="G1155" s="2">
        <v>1</v>
      </c>
      <c r="H1155" s="2">
        <v>6</v>
      </c>
      <c r="I1155" s="2">
        <v>0</v>
      </c>
      <c r="J1155" s="1">
        <v>0</v>
      </c>
      <c r="M1155" t="s">
        <v>15</v>
      </c>
      <c r="N1155" t="str">
        <f>IFERROR(VLOOKUP(B1155,'[1]All Player'!$B$2:$C$1992,2,0),"")</f>
        <v>Kafi Mazharul Islam</v>
      </c>
      <c r="O1155" s="2" t="s">
        <v>551</v>
      </c>
      <c r="P1155" s="16" t="s">
        <v>902</v>
      </c>
      <c r="Q1155" s="1">
        <f t="shared" si="42"/>
        <v>1</v>
      </c>
      <c r="R1155" s="1">
        <v>190</v>
      </c>
      <c r="U1155" s="8">
        <f t="shared" si="41"/>
        <v>42795</v>
      </c>
    </row>
    <row r="1156" spans="1:21" x14ac:dyDescent="0.25">
      <c r="A1156" s="2">
        <v>19</v>
      </c>
      <c r="B1156" t="s">
        <v>41</v>
      </c>
      <c r="C1156" s="2">
        <v>5</v>
      </c>
      <c r="D1156" s="2">
        <v>145</v>
      </c>
      <c r="E1156" s="2">
        <v>3</v>
      </c>
      <c r="F1156" s="2">
        <v>9</v>
      </c>
      <c r="G1156" s="2">
        <v>2</v>
      </c>
      <c r="H1156" s="2">
        <v>12</v>
      </c>
      <c r="I1156" s="2">
        <v>11</v>
      </c>
      <c r="J1156" s="1">
        <v>0</v>
      </c>
      <c r="M1156" t="s">
        <v>15</v>
      </c>
      <c r="N1156" t="str">
        <f>IFERROR(VLOOKUP(B1156,'[1]All Player'!$B$2:$C$1992,2,0),"")</f>
        <v>Firoj alam</v>
      </c>
      <c r="O1156" s="2" t="s">
        <v>551</v>
      </c>
      <c r="P1156" s="16" t="s">
        <v>902</v>
      </c>
      <c r="Q1156" s="1">
        <f t="shared" si="42"/>
        <v>1</v>
      </c>
      <c r="R1156" s="1">
        <v>190</v>
      </c>
      <c r="U1156" s="8">
        <f t="shared" si="41"/>
        <v>42795</v>
      </c>
    </row>
    <row r="1157" spans="1:21" x14ac:dyDescent="0.25">
      <c r="A1157" s="2">
        <v>19</v>
      </c>
      <c r="B1157" t="s">
        <v>140</v>
      </c>
      <c r="C1157" s="2">
        <v>4</v>
      </c>
      <c r="D1157" s="2">
        <v>54</v>
      </c>
      <c r="E1157" s="2">
        <v>10</v>
      </c>
      <c r="F1157" s="2">
        <v>4</v>
      </c>
      <c r="G1157" s="2">
        <v>0</v>
      </c>
      <c r="H1157" s="2">
        <v>3</v>
      </c>
      <c r="I1157" s="2">
        <v>3</v>
      </c>
      <c r="J1157" s="1">
        <v>0</v>
      </c>
      <c r="M1157" t="s">
        <v>15</v>
      </c>
      <c r="N1157" t="str">
        <f>IFERROR(VLOOKUP(B1157,'[1]All Player'!$B$2:$C$1992,2,0),"")</f>
        <v>Monowar Hossain Munna</v>
      </c>
      <c r="O1157" s="2" t="s">
        <v>551</v>
      </c>
      <c r="P1157" s="16" t="s">
        <v>902</v>
      </c>
      <c r="Q1157" s="1">
        <f t="shared" si="42"/>
        <v>1</v>
      </c>
      <c r="R1157" s="1">
        <v>190</v>
      </c>
      <c r="U1157" s="8">
        <f t="shared" si="41"/>
        <v>42795</v>
      </c>
    </row>
    <row r="1158" spans="1:21" x14ac:dyDescent="0.25">
      <c r="A1158" s="2">
        <v>19</v>
      </c>
      <c r="B1158" t="s">
        <v>169</v>
      </c>
      <c r="C1158" s="2">
        <v>2</v>
      </c>
      <c r="D1158" s="2">
        <v>24</v>
      </c>
      <c r="E1158" s="2">
        <v>3</v>
      </c>
      <c r="F1158" s="2">
        <v>3</v>
      </c>
      <c r="G1158" s="2">
        <v>1</v>
      </c>
      <c r="H1158" s="2">
        <v>0</v>
      </c>
      <c r="I1158" s="2">
        <v>4</v>
      </c>
      <c r="J1158" s="1">
        <v>0</v>
      </c>
      <c r="M1158" t="s">
        <v>15</v>
      </c>
      <c r="N1158" t="str">
        <f>IFERROR(VLOOKUP(B1158,'[1]All Player'!$B$2:$C$1992,2,0),"")</f>
        <v>Saiful Islam</v>
      </c>
      <c r="O1158" s="2" t="s">
        <v>551</v>
      </c>
      <c r="P1158" s="16" t="s">
        <v>902</v>
      </c>
      <c r="Q1158" s="1">
        <f t="shared" si="42"/>
        <v>1</v>
      </c>
      <c r="R1158" s="1">
        <v>190</v>
      </c>
      <c r="U1158" s="8">
        <f t="shared" si="41"/>
        <v>42795</v>
      </c>
    </row>
    <row r="1159" spans="1:21" x14ac:dyDescent="0.25">
      <c r="A1159" s="2">
        <v>19</v>
      </c>
      <c r="B1159" t="s">
        <v>903</v>
      </c>
      <c r="J1159" s="1"/>
      <c r="M1159" t="s">
        <v>15</v>
      </c>
      <c r="N1159" t="str">
        <f>IFERROR(VLOOKUP(B1159,'[1]All Player'!$B$2:$C$1992,2,0),"")</f>
        <v/>
      </c>
      <c r="O1159" s="2" t="s">
        <v>551</v>
      </c>
      <c r="P1159" s="16" t="s">
        <v>903</v>
      </c>
      <c r="Q1159" s="1">
        <f t="shared" si="42"/>
        <v>1</v>
      </c>
      <c r="R1159" s="1">
        <v>191</v>
      </c>
      <c r="U1159" s="8">
        <f t="shared" si="41"/>
        <v>42795</v>
      </c>
    </row>
    <row r="1160" spans="1:21" x14ac:dyDescent="0.25">
      <c r="A1160" s="2">
        <v>19</v>
      </c>
      <c r="B1160" t="s">
        <v>228</v>
      </c>
      <c r="C1160" s="2">
        <v>8</v>
      </c>
      <c r="D1160" s="2">
        <v>141</v>
      </c>
      <c r="E1160" s="24">
        <v>16</v>
      </c>
      <c r="F1160" s="2">
        <v>14</v>
      </c>
      <c r="G1160" s="2">
        <v>2</v>
      </c>
      <c r="H1160" s="2">
        <v>12</v>
      </c>
      <c r="I1160" s="2">
        <v>11</v>
      </c>
      <c r="J1160" s="1">
        <v>0</v>
      </c>
      <c r="M1160" t="s">
        <v>15</v>
      </c>
      <c r="N1160" t="str">
        <f>IFERROR(VLOOKUP(B1160,'[1]All Player'!$B$2:$C$1992,2,0),"")</f>
        <v>Arif Ziad</v>
      </c>
      <c r="O1160" s="2" t="s">
        <v>551</v>
      </c>
      <c r="P1160" s="16" t="s">
        <v>903</v>
      </c>
      <c r="Q1160" s="1">
        <f t="shared" si="42"/>
        <v>1</v>
      </c>
      <c r="R1160" s="1">
        <v>191</v>
      </c>
      <c r="U1160" s="8">
        <f t="shared" si="41"/>
        <v>42795</v>
      </c>
    </row>
    <row r="1161" spans="1:21" x14ac:dyDescent="0.25">
      <c r="A1161" s="2">
        <v>19</v>
      </c>
      <c r="B1161" t="s">
        <v>122</v>
      </c>
      <c r="C1161" s="2">
        <v>8</v>
      </c>
      <c r="D1161" s="2">
        <v>127</v>
      </c>
      <c r="E1161" s="2">
        <v>6</v>
      </c>
      <c r="F1161" s="2">
        <v>13</v>
      </c>
      <c r="G1161" s="2">
        <v>1</v>
      </c>
      <c r="H1161" s="2">
        <v>10</v>
      </c>
      <c r="I1161" s="2">
        <v>11</v>
      </c>
      <c r="J1161" s="1">
        <v>0</v>
      </c>
      <c r="M1161" t="s">
        <v>15</v>
      </c>
      <c r="N1161" t="str">
        <f>IFERROR(VLOOKUP(B1161,'[1]All Player'!$B$2:$C$1992,2,0),"")</f>
        <v>Towkir Ahmed Siddique</v>
      </c>
      <c r="O1161" s="2" t="s">
        <v>551</v>
      </c>
      <c r="P1161" s="16" t="s">
        <v>903</v>
      </c>
      <c r="Q1161" s="1">
        <f t="shared" si="42"/>
        <v>1</v>
      </c>
      <c r="R1161" s="1">
        <v>191</v>
      </c>
      <c r="U1161" s="8">
        <f t="shared" si="41"/>
        <v>42795</v>
      </c>
    </row>
    <row r="1162" spans="1:21" x14ac:dyDescent="0.25">
      <c r="A1162" s="2">
        <v>19</v>
      </c>
      <c r="B1162" t="s">
        <v>195</v>
      </c>
      <c r="C1162" s="2">
        <v>8</v>
      </c>
      <c r="D1162" s="2">
        <v>100</v>
      </c>
      <c r="E1162" s="2">
        <v>7</v>
      </c>
      <c r="F1162" s="2">
        <v>11</v>
      </c>
      <c r="G1162" s="2">
        <v>1</v>
      </c>
      <c r="H1162" s="2">
        <v>10</v>
      </c>
      <c r="I1162" s="2">
        <v>5</v>
      </c>
      <c r="J1162" s="1">
        <v>0</v>
      </c>
      <c r="M1162" t="s">
        <v>15</v>
      </c>
      <c r="N1162" t="str">
        <f>IFERROR(VLOOKUP(B1162,'[1]All Player'!$B$2:$C$1992,2,0),"")</f>
        <v>Hj Himel</v>
      </c>
      <c r="O1162" s="2" t="s">
        <v>551</v>
      </c>
      <c r="P1162" s="16" t="s">
        <v>903</v>
      </c>
      <c r="Q1162" s="1">
        <f t="shared" si="42"/>
        <v>1</v>
      </c>
      <c r="R1162" s="1">
        <v>191</v>
      </c>
      <c r="U1162" s="8">
        <f t="shared" si="41"/>
        <v>42795</v>
      </c>
    </row>
    <row r="1163" spans="1:21" x14ac:dyDescent="0.25">
      <c r="A1163" s="2">
        <v>19</v>
      </c>
      <c r="B1163" t="s">
        <v>904</v>
      </c>
      <c r="J1163" s="1"/>
      <c r="M1163" t="s">
        <v>15</v>
      </c>
      <c r="N1163" t="str">
        <f>IFERROR(VLOOKUP(B1163,'[1]All Player'!$B$2:$C$1992,2,0),"")</f>
        <v/>
      </c>
      <c r="O1163" s="2" t="s">
        <v>551</v>
      </c>
      <c r="P1163" s="16" t="s">
        <v>904</v>
      </c>
      <c r="Q1163" s="1">
        <f t="shared" si="42"/>
        <v>1</v>
      </c>
      <c r="R1163" s="1">
        <v>192</v>
      </c>
      <c r="U1163" s="8">
        <f t="shared" si="41"/>
        <v>42795</v>
      </c>
    </row>
    <row r="1164" spans="1:21" x14ac:dyDescent="0.25">
      <c r="A1164" s="2">
        <v>19</v>
      </c>
      <c r="B1164" t="s">
        <v>201</v>
      </c>
      <c r="C1164" s="2">
        <v>4</v>
      </c>
      <c r="D1164" s="2">
        <v>79</v>
      </c>
      <c r="E1164" s="2">
        <v>5</v>
      </c>
      <c r="F1164" s="2">
        <v>7</v>
      </c>
      <c r="G1164" s="2">
        <v>1</v>
      </c>
      <c r="H1164" s="2">
        <v>10</v>
      </c>
      <c r="I1164" s="2">
        <v>4</v>
      </c>
      <c r="J1164" s="1">
        <v>0</v>
      </c>
      <c r="M1164" t="s">
        <v>15</v>
      </c>
      <c r="N1164" t="str">
        <f>IFERROR(VLOOKUP(B1164,'[1]All Player'!$B$2:$C$1992,2,0),"")</f>
        <v>A.R. Shohag</v>
      </c>
      <c r="O1164" s="2" t="s">
        <v>551</v>
      </c>
      <c r="P1164" s="16" t="s">
        <v>904</v>
      </c>
      <c r="Q1164" s="1">
        <f t="shared" si="42"/>
        <v>1</v>
      </c>
      <c r="R1164" s="1">
        <v>192</v>
      </c>
      <c r="U1164" s="8">
        <f t="shared" si="41"/>
        <v>42795</v>
      </c>
    </row>
    <row r="1165" spans="1:21" x14ac:dyDescent="0.25">
      <c r="A1165" s="2">
        <v>19</v>
      </c>
      <c r="B1165" t="s">
        <v>126</v>
      </c>
      <c r="C1165" s="2">
        <v>6</v>
      </c>
      <c r="D1165" s="2">
        <v>81</v>
      </c>
      <c r="E1165" s="2">
        <v>5</v>
      </c>
      <c r="F1165" s="2">
        <v>11</v>
      </c>
      <c r="G1165" s="2">
        <v>0</v>
      </c>
      <c r="H1165" s="2">
        <v>9</v>
      </c>
      <c r="I1165" s="2">
        <v>7</v>
      </c>
      <c r="J1165" s="1">
        <v>0</v>
      </c>
      <c r="M1165" t="s">
        <v>15</v>
      </c>
      <c r="N1165" t="str">
        <f>IFERROR(VLOOKUP(B1165,'[1]All Player'!$B$2:$C$1992,2,0),"")</f>
        <v>M R Shakil</v>
      </c>
      <c r="O1165" s="2" t="s">
        <v>551</v>
      </c>
      <c r="P1165" s="16" t="s">
        <v>904</v>
      </c>
      <c r="Q1165" s="1">
        <f t="shared" si="42"/>
        <v>1</v>
      </c>
      <c r="R1165" s="1">
        <v>192</v>
      </c>
      <c r="U1165" s="8">
        <f t="shared" si="41"/>
        <v>42795</v>
      </c>
    </row>
    <row r="1166" spans="1:21" x14ac:dyDescent="0.25">
      <c r="A1166" s="2">
        <v>19</v>
      </c>
      <c r="B1166" t="s">
        <v>33</v>
      </c>
      <c r="C1166" s="2">
        <v>5</v>
      </c>
      <c r="D1166" s="2">
        <v>60</v>
      </c>
      <c r="E1166" s="2">
        <v>3</v>
      </c>
      <c r="F1166" s="2">
        <v>7</v>
      </c>
      <c r="G1166" s="2">
        <v>1</v>
      </c>
      <c r="H1166" s="2">
        <v>7</v>
      </c>
      <c r="I1166" s="2">
        <v>3</v>
      </c>
      <c r="J1166" s="1">
        <v>0</v>
      </c>
      <c r="M1166" t="s">
        <v>15</v>
      </c>
      <c r="N1166" t="str">
        <f>IFERROR(VLOOKUP(B1166,'[1]All Player'!$B$2:$C$1992,2,0),"")</f>
        <v>Rakib Hasan</v>
      </c>
      <c r="O1166" s="2" t="s">
        <v>551</v>
      </c>
      <c r="P1166" s="16" t="s">
        <v>904</v>
      </c>
      <c r="Q1166" s="1">
        <f t="shared" si="42"/>
        <v>1</v>
      </c>
      <c r="R1166" s="1">
        <v>192</v>
      </c>
      <c r="U1166" s="8">
        <f t="shared" si="41"/>
        <v>42795</v>
      </c>
    </row>
    <row r="1167" spans="1:21" x14ac:dyDescent="0.25">
      <c r="A1167" s="2">
        <v>19</v>
      </c>
      <c r="B1167" t="s">
        <v>905</v>
      </c>
      <c r="J1167" s="1"/>
      <c r="M1167" t="s">
        <v>15</v>
      </c>
      <c r="N1167" t="str">
        <f>IFERROR(VLOOKUP(B1167,'[1]All Player'!$B$2:$C$1992,2,0),"")</f>
        <v/>
      </c>
      <c r="O1167" s="2" t="s">
        <v>551</v>
      </c>
      <c r="P1167" s="16" t="s">
        <v>905</v>
      </c>
      <c r="Q1167" s="1">
        <f t="shared" si="42"/>
        <v>1</v>
      </c>
      <c r="R1167" s="1">
        <v>193</v>
      </c>
      <c r="T1167" s="1" t="s">
        <v>659</v>
      </c>
      <c r="U1167" s="8">
        <f t="shared" si="41"/>
        <v>42795</v>
      </c>
    </row>
    <row r="1168" spans="1:21" x14ac:dyDescent="0.25">
      <c r="A1168" s="2">
        <v>19</v>
      </c>
      <c r="B1168" t="s">
        <v>60</v>
      </c>
      <c r="C1168" s="2">
        <v>8</v>
      </c>
      <c r="D1168" s="2">
        <v>93</v>
      </c>
      <c r="E1168" s="2">
        <v>8</v>
      </c>
      <c r="F1168" s="2">
        <v>10</v>
      </c>
      <c r="G1168" s="2">
        <v>1</v>
      </c>
      <c r="H1168" s="2">
        <v>10</v>
      </c>
      <c r="I1168" s="2">
        <v>7</v>
      </c>
      <c r="J1168" s="1">
        <v>1</v>
      </c>
      <c r="M1168" t="s">
        <v>15</v>
      </c>
      <c r="N1168" t="str">
        <f>IFERROR(VLOOKUP(B1168,'[1]All Player'!$B$2:$C$1992,2,0),"")</f>
        <v>Jahin Shahriar Chowdhury</v>
      </c>
      <c r="O1168" s="2" t="s">
        <v>551</v>
      </c>
      <c r="P1168" s="16" t="s">
        <v>905</v>
      </c>
      <c r="Q1168" s="1">
        <f t="shared" si="42"/>
        <v>1</v>
      </c>
      <c r="R1168" s="1">
        <v>193</v>
      </c>
      <c r="T1168" s="1" t="s">
        <v>659</v>
      </c>
      <c r="U1168" s="8">
        <f t="shared" si="41"/>
        <v>42795</v>
      </c>
    </row>
    <row r="1169" spans="1:21" x14ac:dyDescent="0.25">
      <c r="A1169" s="2">
        <v>19</v>
      </c>
      <c r="B1169" t="s">
        <v>179</v>
      </c>
      <c r="C1169" s="2">
        <v>8</v>
      </c>
      <c r="D1169" s="2">
        <v>82</v>
      </c>
      <c r="E1169" s="2">
        <v>12</v>
      </c>
      <c r="F1169" s="2">
        <v>11</v>
      </c>
      <c r="G1169" s="2">
        <v>2</v>
      </c>
      <c r="H1169" s="2">
        <v>8</v>
      </c>
      <c r="I1169" s="2">
        <v>7</v>
      </c>
      <c r="J1169" s="1">
        <v>1</v>
      </c>
      <c r="M1169" t="s">
        <v>15</v>
      </c>
      <c r="N1169" t="str">
        <f>IFERROR(VLOOKUP(B1169,'[1]All Player'!$B$2:$C$1992,2,0),"")</f>
        <v>Shuvayan Saha Brinto</v>
      </c>
      <c r="O1169" s="2" t="s">
        <v>551</v>
      </c>
      <c r="P1169" s="16" t="s">
        <v>905</v>
      </c>
      <c r="Q1169" s="1">
        <f t="shared" si="42"/>
        <v>1</v>
      </c>
      <c r="R1169" s="1">
        <v>193</v>
      </c>
      <c r="T1169" s="1" t="s">
        <v>659</v>
      </c>
      <c r="U1169" s="8">
        <f t="shared" ref="U1169:U1178" si="43">U1168</f>
        <v>42795</v>
      </c>
    </row>
    <row r="1170" spans="1:21" x14ac:dyDescent="0.25">
      <c r="A1170" s="2">
        <v>19</v>
      </c>
      <c r="B1170" t="s">
        <v>197</v>
      </c>
      <c r="C1170" s="2">
        <v>6</v>
      </c>
      <c r="D1170" s="2">
        <v>158</v>
      </c>
      <c r="E1170" s="2">
        <v>5</v>
      </c>
      <c r="F1170" s="2">
        <v>8</v>
      </c>
      <c r="G1170" s="2">
        <v>1</v>
      </c>
      <c r="H1170" s="2">
        <v>18</v>
      </c>
      <c r="I1170" s="2">
        <v>8</v>
      </c>
      <c r="J1170" s="1">
        <v>0</v>
      </c>
      <c r="M1170" t="s">
        <v>15</v>
      </c>
      <c r="N1170" t="str">
        <f>IFERROR(VLOOKUP(B1170,'[1]All Player'!$B$2:$C$1992,2,0),"")</f>
        <v>Noushed Mijan</v>
      </c>
      <c r="O1170" s="2" t="s">
        <v>551</v>
      </c>
      <c r="P1170" s="16" t="s">
        <v>905</v>
      </c>
      <c r="Q1170" s="1">
        <f t="shared" si="42"/>
        <v>1</v>
      </c>
      <c r="R1170" s="1">
        <v>193</v>
      </c>
      <c r="T1170" s="1" t="s">
        <v>659</v>
      </c>
      <c r="U1170" s="8">
        <f t="shared" si="43"/>
        <v>42795</v>
      </c>
    </row>
    <row r="1171" spans="1:21" x14ac:dyDescent="0.25">
      <c r="A1171" s="2">
        <v>19</v>
      </c>
      <c r="B1171" t="s">
        <v>906</v>
      </c>
      <c r="J1171" s="1"/>
      <c r="M1171" t="s">
        <v>15</v>
      </c>
      <c r="N1171" t="str">
        <f>IFERROR(VLOOKUP(B1171,'[1]All Player'!$B$2:$C$1992,2,0),"")</f>
        <v/>
      </c>
      <c r="O1171" s="2" t="s">
        <v>551</v>
      </c>
      <c r="P1171" s="16" t="s">
        <v>906</v>
      </c>
      <c r="Q1171" s="1">
        <f t="shared" si="42"/>
        <v>1</v>
      </c>
      <c r="R1171" s="1">
        <v>194</v>
      </c>
      <c r="T1171" s="1" t="s">
        <v>657</v>
      </c>
      <c r="U1171" s="8">
        <f t="shared" si="43"/>
        <v>42795</v>
      </c>
    </row>
    <row r="1172" spans="1:21" x14ac:dyDescent="0.25">
      <c r="A1172" s="2">
        <v>19</v>
      </c>
      <c r="B1172" t="s">
        <v>114</v>
      </c>
      <c r="C1172" s="2">
        <v>9</v>
      </c>
      <c r="D1172" s="2">
        <v>160</v>
      </c>
      <c r="E1172" s="2">
        <v>8</v>
      </c>
      <c r="F1172" s="2">
        <v>14</v>
      </c>
      <c r="G1172" s="2">
        <v>1</v>
      </c>
      <c r="H1172" s="2">
        <v>14</v>
      </c>
      <c r="I1172" s="2">
        <v>11</v>
      </c>
      <c r="J1172" s="1">
        <v>0</v>
      </c>
      <c r="M1172" t="s">
        <v>15</v>
      </c>
      <c r="N1172" t="str">
        <f>IFERROR(VLOOKUP(B1172,'[1]All Player'!$B$2:$C$1992,2,0),"")</f>
        <v>Tanvir Shakib</v>
      </c>
      <c r="O1172" s="2" t="s">
        <v>551</v>
      </c>
      <c r="P1172" s="16" t="s">
        <v>906</v>
      </c>
      <c r="Q1172" s="1">
        <f t="shared" si="42"/>
        <v>1</v>
      </c>
      <c r="R1172" s="1">
        <v>194</v>
      </c>
      <c r="S1172" s="2" t="s">
        <v>658</v>
      </c>
      <c r="T1172" s="1" t="s">
        <v>657</v>
      </c>
      <c r="U1172" s="8">
        <f t="shared" si="43"/>
        <v>42795</v>
      </c>
    </row>
    <row r="1173" spans="1:21" x14ac:dyDescent="0.25">
      <c r="A1173" s="2">
        <v>19</v>
      </c>
      <c r="B1173" t="s">
        <v>78</v>
      </c>
      <c r="C1173" s="2">
        <v>7</v>
      </c>
      <c r="D1173" s="2">
        <v>145</v>
      </c>
      <c r="E1173" s="2">
        <v>9</v>
      </c>
      <c r="F1173" s="2">
        <v>10</v>
      </c>
      <c r="G1173" s="2">
        <v>3</v>
      </c>
      <c r="H1173" s="2">
        <v>16</v>
      </c>
      <c r="I1173" s="2">
        <v>10</v>
      </c>
      <c r="J1173" s="1">
        <v>1</v>
      </c>
      <c r="M1173" t="s">
        <v>15</v>
      </c>
      <c r="N1173" t="str">
        <f>IFERROR(VLOOKUP(B1173,'[1]All Player'!$B$2:$C$1992,2,0),"")</f>
        <v>KM Rashedul Islam Rashed</v>
      </c>
      <c r="O1173" s="2" t="s">
        <v>551</v>
      </c>
      <c r="P1173" s="16" t="s">
        <v>906</v>
      </c>
      <c r="Q1173" s="1">
        <f t="shared" si="42"/>
        <v>1</v>
      </c>
      <c r="R1173" s="1">
        <v>194</v>
      </c>
      <c r="T1173" s="1" t="s">
        <v>657</v>
      </c>
      <c r="U1173" s="8">
        <f t="shared" si="43"/>
        <v>42795</v>
      </c>
    </row>
    <row r="1174" spans="1:21" x14ac:dyDescent="0.25">
      <c r="A1174" s="2">
        <v>19</v>
      </c>
      <c r="B1174" t="s">
        <v>38</v>
      </c>
      <c r="C1174" s="2">
        <v>8</v>
      </c>
      <c r="D1174" s="2">
        <v>66</v>
      </c>
      <c r="E1174" s="2">
        <v>18</v>
      </c>
      <c r="F1174" s="2">
        <v>11</v>
      </c>
      <c r="G1174" s="2">
        <v>1</v>
      </c>
      <c r="H1174" s="2">
        <v>8</v>
      </c>
      <c r="I1174" s="2">
        <v>3</v>
      </c>
      <c r="J1174" s="1">
        <v>1</v>
      </c>
      <c r="M1174" t="s">
        <v>15</v>
      </c>
      <c r="N1174" t="str">
        <f>IFERROR(VLOOKUP(B1174,'[1]All Player'!$B$2:$C$1992,2,0),"")</f>
        <v>Rayhan Rahman</v>
      </c>
      <c r="O1174" s="2" t="s">
        <v>551</v>
      </c>
      <c r="P1174" s="16" t="s">
        <v>906</v>
      </c>
      <c r="Q1174" s="1">
        <f t="shared" si="42"/>
        <v>1</v>
      </c>
      <c r="R1174" s="1">
        <v>194</v>
      </c>
      <c r="T1174" s="1" t="s">
        <v>657</v>
      </c>
      <c r="U1174" s="8">
        <f t="shared" si="43"/>
        <v>42795</v>
      </c>
    </row>
    <row r="1175" spans="1:21" x14ac:dyDescent="0.25">
      <c r="A1175" s="2">
        <v>19</v>
      </c>
      <c r="B1175" t="s">
        <v>907</v>
      </c>
      <c r="J1175" s="1"/>
      <c r="M1175" t="s">
        <v>15</v>
      </c>
      <c r="N1175" t="str">
        <f>IFERROR(VLOOKUP(B1175,'[1]All Player'!$B$2:$C$1992,2,0),"")</f>
        <v/>
      </c>
      <c r="O1175" s="2" t="s">
        <v>551</v>
      </c>
      <c r="P1175" s="16" t="s">
        <v>907</v>
      </c>
      <c r="Q1175" s="1">
        <f t="shared" si="42"/>
        <v>1</v>
      </c>
      <c r="R1175" s="1">
        <v>195</v>
      </c>
      <c r="U1175" s="8">
        <f t="shared" si="43"/>
        <v>42795</v>
      </c>
    </row>
    <row r="1176" spans="1:21" x14ac:dyDescent="0.25">
      <c r="A1176" s="2">
        <v>19</v>
      </c>
      <c r="B1176" t="s">
        <v>93</v>
      </c>
      <c r="C1176" s="2">
        <v>7</v>
      </c>
      <c r="D1176" s="2">
        <v>73</v>
      </c>
      <c r="E1176" s="2">
        <v>7</v>
      </c>
      <c r="F1176" s="2">
        <v>8</v>
      </c>
      <c r="G1176" s="2">
        <v>1</v>
      </c>
      <c r="H1176" s="2">
        <v>5</v>
      </c>
      <c r="I1176" s="2">
        <v>4</v>
      </c>
      <c r="J1176" s="2">
        <v>0</v>
      </c>
      <c r="M1176" t="s">
        <v>15</v>
      </c>
      <c r="N1176" t="str">
        <f>IFERROR(VLOOKUP(B1176,'[1]All Player'!$B$2:$C$1992,2,0),"")</f>
        <v>Zaheed Hasan</v>
      </c>
      <c r="O1176" s="2" t="s">
        <v>551</v>
      </c>
      <c r="P1176" s="16" t="s">
        <v>907</v>
      </c>
      <c r="Q1176" s="1">
        <f t="shared" si="42"/>
        <v>1</v>
      </c>
      <c r="R1176" s="1">
        <v>195</v>
      </c>
      <c r="U1176" s="8">
        <f t="shared" si="43"/>
        <v>42795</v>
      </c>
    </row>
    <row r="1177" spans="1:21" x14ac:dyDescent="0.25">
      <c r="A1177" s="2">
        <v>19</v>
      </c>
      <c r="B1177" t="s">
        <v>199</v>
      </c>
      <c r="C1177" s="2">
        <v>7</v>
      </c>
      <c r="D1177" s="2">
        <v>121</v>
      </c>
      <c r="E1177" s="2">
        <v>4</v>
      </c>
      <c r="F1177" s="2">
        <v>10</v>
      </c>
      <c r="G1177" s="2">
        <v>2</v>
      </c>
      <c r="H1177" s="2">
        <v>11</v>
      </c>
      <c r="I1177" s="2">
        <v>9</v>
      </c>
      <c r="J1177" s="1">
        <v>0</v>
      </c>
      <c r="M1177" t="s">
        <v>15</v>
      </c>
      <c r="N1177" t="str">
        <f>IFERROR(VLOOKUP(B1177,'[1]All Player'!$B$2:$C$1992,2,0),"")</f>
        <v>Mohammad Faruque</v>
      </c>
      <c r="O1177" s="2" t="s">
        <v>551</v>
      </c>
      <c r="P1177" s="16" t="s">
        <v>907</v>
      </c>
      <c r="Q1177" s="1">
        <f t="shared" si="42"/>
        <v>1</v>
      </c>
      <c r="R1177" s="1">
        <v>195</v>
      </c>
      <c r="U1177" s="8">
        <f t="shared" si="43"/>
        <v>42795</v>
      </c>
    </row>
    <row r="1178" spans="1:21" x14ac:dyDescent="0.25">
      <c r="A1178" s="2">
        <v>19</v>
      </c>
      <c r="B1178" t="s">
        <v>102</v>
      </c>
      <c r="C1178" s="2">
        <v>6</v>
      </c>
      <c r="D1178" s="2">
        <v>17</v>
      </c>
      <c r="E1178" s="2">
        <v>10</v>
      </c>
      <c r="F1178" s="2">
        <v>4</v>
      </c>
      <c r="G1178" s="2">
        <v>0</v>
      </c>
      <c r="H1178" s="2">
        <v>1</v>
      </c>
      <c r="I1178" s="2">
        <v>1</v>
      </c>
      <c r="J1178" s="1">
        <v>0</v>
      </c>
      <c r="M1178" t="s">
        <v>15</v>
      </c>
      <c r="N1178" t="str">
        <f>IFERROR(VLOOKUP(B1178,'[1]All Player'!$B$2:$C$1992,2,0),"")</f>
        <v>Mustofa Muddassir Mahmud Mashuk</v>
      </c>
      <c r="O1178" s="2" t="s">
        <v>551</v>
      </c>
      <c r="P1178" s="16" t="s">
        <v>907</v>
      </c>
      <c r="Q1178" s="1">
        <f t="shared" si="42"/>
        <v>1</v>
      </c>
      <c r="R1178" s="1">
        <v>195</v>
      </c>
      <c r="U1178" s="8">
        <f t="shared" si="43"/>
        <v>42795</v>
      </c>
    </row>
    <row r="1179" spans="1:21" ht="15.75" x14ac:dyDescent="0.25">
      <c r="A1179" s="2">
        <v>20</v>
      </c>
      <c r="B1179" s="18" t="s">
        <v>908</v>
      </c>
      <c r="J1179" s="1"/>
      <c r="M1179" t="s">
        <v>15</v>
      </c>
      <c r="N1179" t="str">
        <f>IFERROR(VLOOKUP(B1179,'[1]All Player'!$B$2:$C$1992,2,0),"")</f>
        <v/>
      </c>
      <c r="O1179" s="2" t="s">
        <v>513</v>
      </c>
      <c r="P1179" s="16" t="s">
        <v>908</v>
      </c>
      <c r="Q1179" s="1">
        <f t="shared" si="42"/>
        <v>1</v>
      </c>
      <c r="R1179" s="1">
        <v>196</v>
      </c>
      <c r="U1179" s="8">
        <v>43040</v>
      </c>
    </row>
    <row r="1180" spans="1:21" x14ac:dyDescent="0.25">
      <c r="A1180" s="2">
        <v>20</v>
      </c>
      <c r="B1180" t="s">
        <v>44</v>
      </c>
      <c r="C1180" s="2">
        <v>11</v>
      </c>
      <c r="D1180" s="2">
        <v>195</v>
      </c>
      <c r="E1180" s="2">
        <v>14</v>
      </c>
      <c r="F1180" s="2">
        <v>12</v>
      </c>
      <c r="G1180" s="2">
        <v>1</v>
      </c>
      <c r="H1180" s="2">
        <v>16</v>
      </c>
      <c r="I1180" s="2">
        <v>13</v>
      </c>
      <c r="J1180" s="1"/>
      <c r="M1180" t="s">
        <v>15</v>
      </c>
      <c r="N1180" t="str">
        <f>IFERROR(VLOOKUP(B1180,'[1]All Player'!$B$2:$C$1992,2,0),"")</f>
        <v>Sakhawat Hossain Shanto</v>
      </c>
      <c r="O1180" s="2" t="s">
        <v>513</v>
      </c>
      <c r="P1180" s="16" t="s">
        <v>908</v>
      </c>
      <c r="Q1180" s="1">
        <f t="shared" si="42"/>
        <v>1</v>
      </c>
      <c r="R1180" s="1">
        <v>196</v>
      </c>
      <c r="U1180" s="8">
        <f t="shared" ref="U1180:U1219" si="44">U1179</f>
        <v>43040</v>
      </c>
    </row>
    <row r="1181" spans="1:21" x14ac:dyDescent="0.25">
      <c r="A1181" s="2">
        <v>20</v>
      </c>
      <c r="B1181" t="s">
        <v>146</v>
      </c>
      <c r="C1181" s="2">
        <v>11</v>
      </c>
      <c r="D1181" s="2">
        <v>134</v>
      </c>
      <c r="E1181" s="2">
        <v>8</v>
      </c>
      <c r="F1181" s="2">
        <v>10</v>
      </c>
      <c r="G1181" s="2">
        <v>1</v>
      </c>
      <c r="H1181" s="2">
        <v>13</v>
      </c>
      <c r="I1181" s="2">
        <v>9</v>
      </c>
      <c r="J1181" s="1"/>
      <c r="M1181" t="s">
        <v>15</v>
      </c>
      <c r="N1181" t="str">
        <f>IFERROR(VLOOKUP(B1181,'[1]All Player'!$B$2:$C$1992,2,0),"")</f>
        <v>Nahid Saifullah</v>
      </c>
      <c r="O1181" s="2" t="s">
        <v>513</v>
      </c>
      <c r="P1181" s="16" t="s">
        <v>908</v>
      </c>
      <c r="Q1181" s="1">
        <f t="shared" si="42"/>
        <v>1</v>
      </c>
      <c r="R1181" s="1">
        <v>196</v>
      </c>
      <c r="U1181" s="8">
        <f t="shared" si="44"/>
        <v>43040</v>
      </c>
    </row>
    <row r="1182" spans="1:21" x14ac:dyDescent="0.25">
      <c r="A1182" s="2">
        <v>20</v>
      </c>
      <c r="B1182" t="s">
        <v>384</v>
      </c>
      <c r="C1182" s="2">
        <v>6</v>
      </c>
      <c r="D1182" s="2">
        <v>67</v>
      </c>
      <c r="E1182" s="2">
        <v>4</v>
      </c>
      <c r="F1182" s="2">
        <v>5</v>
      </c>
      <c r="G1182" s="2">
        <v>1</v>
      </c>
      <c r="H1182" s="2">
        <v>4</v>
      </c>
      <c r="I1182" s="2">
        <v>7</v>
      </c>
      <c r="J1182" s="1"/>
      <c r="M1182" t="s">
        <v>15</v>
      </c>
      <c r="N1182" t="str">
        <f>IFERROR(VLOOKUP(B1182,'[1]All Player'!$B$2:$C$1992,2,0),"")</f>
        <v>Abdullah Al Mamun Shadhin</v>
      </c>
      <c r="O1182" s="2" t="s">
        <v>513</v>
      </c>
      <c r="P1182" s="16" t="s">
        <v>908</v>
      </c>
      <c r="Q1182" s="1">
        <f t="shared" si="42"/>
        <v>1</v>
      </c>
      <c r="R1182" s="1">
        <v>196</v>
      </c>
      <c r="U1182" s="8">
        <f t="shared" si="44"/>
        <v>43040</v>
      </c>
    </row>
    <row r="1183" spans="1:21" x14ac:dyDescent="0.25">
      <c r="A1183" s="2">
        <v>20</v>
      </c>
      <c r="B1183" t="s">
        <v>99</v>
      </c>
      <c r="C1183" s="2">
        <v>10</v>
      </c>
      <c r="D1183" s="2">
        <v>131</v>
      </c>
      <c r="E1183" s="2">
        <v>10</v>
      </c>
      <c r="F1183" s="2">
        <v>9</v>
      </c>
      <c r="G1183" s="2">
        <v>2</v>
      </c>
      <c r="H1183" s="2">
        <v>10</v>
      </c>
      <c r="I1183" s="2">
        <v>7</v>
      </c>
      <c r="J1183" s="1"/>
      <c r="M1183" t="s">
        <v>15</v>
      </c>
      <c r="N1183" t="str">
        <f>IFERROR(VLOOKUP(B1183,'[1]All Player'!$B$2:$C$1992,2,0),"")</f>
        <v>Bishwajit Sarkar</v>
      </c>
      <c r="O1183" s="2" t="s">
        <v>513</v>
      </c>
      <c r="P1183" s="16" t="s">
        <v>908</v>
      </c>
      <c r="Q1183" s="1">
        <f t="shared" si="42"/>
        <v>1</v>
      </c>
      <c r="R1183" s="1">
        <v>196</v>
      </c>
      <c r="U1183" s="8">
        <f t="shared" si="44"/>
        <v>43040</v>
      </c>
    </row>
    <row r="1184" spans="1:21" x14ac:dyDescent="0.25">
      <c r="A1184" s="2">
        <v>20</v>
      </c>
      <c r="B1184" s="17" t="s">
        <v>514</v>
      </c>
      <c r="J1184" s="1"/>
      <c r="M1184" t="s">
        <v>15</v>
      </c>
      <c r="N1184" t="str">
        <f>IFERROR(VLOOKUP(B1184,'[1]All Player'!$B$2:$C$1992,2,0),"")</f>
        <v/>
      </c>
      <c r="O1184" s="2" t="s">
        <v>513</v>
      </c>
      <c r="P1184" s="16" t="s">
        <v>514</v>
      </c>
      <c r="Q1184" s="1">
        <f t="shared" si="42"/>
        <v>1</v>
      </c>
      <c r="R1184" s="1">
        <v>197</v>
      </c>
      <c r="T1184" s="1" t="s">
        <v>657</v>
      </c>
      <c r="U1184" s="8">
        <f t="shared" si="44"/>
        <v>43040</v>
      </c>
    </row>
    <row r="1185" spans="1:23" x14ac:dyDescent="0.25">
      <c r="A1185" s="2">
        <v>20</v>
      </c>
      <c r="B1185" t="s">
        <v>102</v>
      </c>
      <c r="C1185" s="2">
        <v>9</v>
      </c>
      <c r="D1185" s="2">
        <v>203</v>
      </c>
      <c r="E1185" s="2">
        <v>12</v>
      </c>
      <c r="F1185" s="2">
        <v>13</v>
      </c>
      <c r="G1185" s="2">
        <v>1</v>
      </c>
      <c r="H1185" s="2">
        <v>17</v>
      </c>
      <c r="I1185" s="2">
        <v>19</v>
      </c>
      <c r="J1185" s="1"/>
      <c r="M1185" t="s">
        <v>15</v>
      </c>
      <c r="N1185" t="str">
        <f>IFERROR(VLOOKUP(B1185,'[1]All Player'!$B$2:$C$1992,2,0),"")</f>
        <v>Mustofa Muddassir Mahmud Mashuk</v>
      </c>
      <c r="O1185" s="2" t="s">
        <v>513</v>
      </c>
      <c r="P1185" s="16" t="s">
        <v>514</v>
      </c>
      <c r="Q1185" s="1">
        <f t="shared" si="42"/>
        <v>1</v>
      </c>
      <c r="R1185" s="1">
        <v>197</v>
      </c>
      <c r="T1185" s="1" t="s">
        <v>657</v>
      </c>
      <c r="U1185" s="8">
        <f t="shared" si="44"/>
        <v>43040</v>
      </c>
    </row>
    <row r="1186" spans="1:23" x14ac:dyDescent="0.25">
      <c r="A1186" s="2">
        <v>20</v>
      </c>
      <c r="B1186" t="s">
        <v>80</v>
      </c>
      <c r="C1186" s="2">
        <v>11</v>
      </c>
      <c r="D1186" s="2">
        <v>161</v>
      </c>
      <c r="E1186" s="2">
        <v>23</v>
      </c>
      <c r="F1186" s="2">
        <v>15</v>
      </c>
      <c r="G1186" s="2">
        <v>5</v>
      </c>
      <c r="H1186" s="2">
        <v>20</v>
      </c>
      <c r="I1186" s="2">
        <v>9</v>
      </c>
      <c r="J1186" s="1"/>
      <c r="M1186" t="s">
        <v>15</v>
      </c>
      <c r="N1186" t="str">
        <f>IFERROR(VLOOKUP(B1186,'[1]All Player'!$B$2:$C$1992,2,0),"")</f>
        <v>Kamrul Hasan Tutul</v>
      </c>
      <c r="O1186" s="2" t="s">
        <v>513</v>
      </c>
      <c r="P1186" s="16" t="s">
        <v>514</v>
      </c>
      <c r="Q1186" s="1">
        <f t="shared" si="42"/>
        <v>1</v>
      </c>
      <c r="R1186" s="1">
        <v>197</v>
      </c>
      <c r="T1186" s="1" t="s">
        <v>657</v>
      </c>
      <c r="U1186" s="8">
        <f t="shared" si="44"/>
        <v>43040</v>
      </c>
      <c r="W1186" s="1">
        <v>1</v>
      </c>
    </row>
    <row r="1187" spans="1:23" x14ac:dyDescent="0.25">
      <c r="A1187" s="2">
        <v>20</v>
      </c>
      <c r="B1187" s="4" t="s">
        <v>82</v>
      </c>
      <c r="C1187" s="2">
        <v>11</v>
      </c>
      <c r="D1187" s="2">
        <v>47</v>
      </c>
      <c r="E1187" s="2">
        <v>12</v>
      </c>
      <c r="F1187" s="2">
        <v>11</v>
      </c>
      <c r="G1187" s="2">
        <v>0</v>
      </c>
      <c r="H1187" s="2">
        <v>4</v>
      </c>
      <c r="I1187" s="2">
        <v>1</v>
      </c>
      <c r="J1187" s="1"/>
      <c r="M1187" t="s">
        <v>15</v>
      </c>
      <c r="N1187" t="str">
        <f>IFERROR(VLOOKUP(B1187,'[1]All Player'!$B$2:$C$1992,2,0),"")</f>
        <v>Radoyan Raju</v>
      </c>
      <c r="O1187" s="2" t="s">
        <v>513</v>
      </c>
      <c r="P1187" s="16" t="s">
        <v>514</v>
      </c>
      <c r="Q1187" s="1">
        <f t="shared" si="42"/>
        <v>1</v>
      </c>
      <c r="R1187" s="1">
        <v>197</v>
      </c>
      <c r="T1187" s="1" t="s">
        <v>657</v>
      </c>
      <c r="U1187" s="8">
        <f t="shared" si="44"/>
        <v>43040</v>
      </c>
    </row>
    <row r="1188" spans="1:23" x14ac:dyDescent="0.25">
      <c r="A1188" s="2">
        <v>20</v>
      </c>
      <c r="B1188" t="s">
        <v>52</v>
      </c>
      <c r="C1188" s="2">
        <v>10</v>
      </c>
      <c r="D1188" s="2">
        <v>187</v>
      </c>
      <c r="E1188" s="2">
        <v>7</v>
      </c>
      <c r="F1188" s="2">
        <v>15</v>
      </c>
      <c r="G1188" s="2">
        <v>0</v>
      </c>
      <c r="H1188" s="2">
        <v>12</v>
      </c>
      <c r="I1188" s="2">
        <v>14</v>
      </c>
      <c r="J1188" s="1"/>
      <c r="M1188" t="s">
        <v>15</v>
      </c>
      <c r="N1188" t="str">
        <f>IFERROR(VLOOKUP(B1188,'[1]All Player'!$B$2:$C$1992,2,0),"")</f>
        <v>Mohammed Al Mamun</v>
      </c>
      <c r="O1188" s="2" t="s">
        <v>513</v>
      </c>
      <c r="P1188" s="16" t="s">
        <v>514</v>
      </c>
      <c r="Q1188" s="1">
        <f t="shared" si="42"/>
        <v>1</v>
      </c>
      <c r="R1188" s="1">
        <v>197</v>
      </c>
      <c r="T1188" s="1" t="s">
        <v>657</v>
      </c>
      <c r="U1188" s="8">
        <f t="shared" si="44"/>
        <v>43040</v>
      </c>
    </row>
    <row r="1189" spans="1:23" x14ac:dyDescent="0.25">
      <c r="A1189" s="2">
        <v>20</v>
      </c>
      <c r="B1189" s="17" t="s">
        <v>909</v>
      </c>
      <c r="J1189" s="1"/>
      <c r="M1189" t="s">
        <v>15</v>
      </c>
      <c r="N1189" t="str">
        <f>IFERROR(VLOOKUP(B1189,'[1]All Player'!$B$2:$C$1992,2,0),"")</f>
        <v/>
      </c>
      <c r="O1189" s="2" t="s">
        <v>513</v>
      </c>
      <c r="P1189" s="16" t="s">
        <v>909</v>
      </c>
      <c r="Q1189" s="1">
        <f t="shared" si="42"/>
        <v>1</v>
      </c>
      <c r="R1189" s="1">
        <v>198</v>
      </c>
      <c r="T1189" s="1" t="s">
        <v>659</v>
      </c>
      <c r="U1189" s="8">
        <f t="shared" si="44"/>
        <v>43040</v>
      </c>
    </row>
    <row r="1190" spans="1:23" x14ac:dyDescent="0.25">
      <c r="A1190" s="2">
        <v>20</v>
      </c>
      <c r="B1190" t="s">
        <v>60</v>
      </c>
      <c r="C1190" s="2">
        <v>13</v>
      </c>
      <c r="D1190" s="2">
        <v>96</v>
      </c>
      <c r="E1190" s="2">
        <v>22</v>
      </c>
      <c r="F1190" s="2">
        <v>12</v>
      </c>
      <c r="G1190" s="2">
        <v>0</v>
      </c>
      <c r="H1190" s="2">
        <v>9</v>
      </c>
      <c r="I1190" s="2">
        <v>5</v>
      </c>
      <c r="J1190" s="1"/>
      <c r="M1190" t="s">
        <v>15</v>
      </c>
      <c r="N1190" t="str">
        <f>IFERROR(VLOOKUP(B1190,'[1]All Player'!$B$2:$C$1992,2,0),"")</f>
        <v>Jahin Shahriar Chowdhury</v>
      </c>
      <c r="O1190" s="2" t="s">
        <v>513</v>
      </c>
      <c r="P1190" s="16" t="s">
        <v>909</v>
      </c>
      <c r="Q1190" s="1">
        <f t="shared" si="42"/>
        <v>1</v>
      </c>
      <c r="R1190" s="1">
        <v>198</v>
      </c>
      <c r="T1190" s="1" t="s">
        <v>659</v>
      </c>
      <c r="U1190" s="8">
        <f t="shared" si="44"/>
        <v>43040</v>
      </c>
    </row>
    <row r="1191" spans="1:23" x14ac:dyDescent="0.25">
      <c r="A1191" s="2">
        <v>20</v>
      </c>
      <c r="B1191" t="s">
        <v>106</v>
      </c>
      <c r="C1191" s="2">
        <v>14</v>
      </c>
      <c r="D1191" s="2">
        <v>267</v>
      </c>
      <c r="E1191" s="2">
        <v>13</v>
      </c>
      <c r="F1191" s="2">
        <v>24</v>
      </c>
      <c r="G1191" s="2">
        <v>4</v>
      </c>
      <c r="H1191" s="2">
        <v>20</v>
      </c>
      <c r="I1191" s="2">
        <v>15</v>
      </c>
      <c r="J1191" s="1"/>
      <c r="M1191" t="s">
        <v>15</v>
      </c>
      <c r="N1191" t="str">
        <f>IFERROR(VLOOKUP(B1191,'[1]All Player'!$B$2:$C$1992,2,0),"")</f>
        <v>Sayed Anowar Shanto</v>
      </c>
      <c r="O1191" s="2" t="s">
        <v>513</v>
      </c>
      <c r="P1191" s="16" t="s">
        <v>909</v>
      </c>
      <c r="Q1191" s="1">
        <f t="shared" si="42"/>
        <v>1</v>
      </c>
      <c r="R1191" s="1">
        <v>198</v>
      </c>
      <c r="S1191" s="2" t="s">
        <v>658</v>
      </c>
      <c r="T1191" s="1" t="s">
        <v>659</v>
      </c>
      <c r="U1191" s="8">
        <f t="shared" si="44"/>
        <v>43040</v>
      </c>
    </row>
    <row r="1192" spans="1:23" x14ac:dyDescent="0.25">
      <c r="A1192" s="2">
        <v>20</v>
      </c>
      <c r="B1192" t="s">
        <v>148</v>
      </c>
      <c r="C1192" s="2">
        <v>14</v>
      </c>
      <c r="D1192" s="2">
        <v>321</v>
      </c>
      <c r="E1192" s="2">
        <v>17</v>
      </c>
      <c r="F1192" s="2">
        <v>23</v>
      </c>
      <c r="G1192" s="2">
        <v>5</v>
      </c>
      <c r="H1192" s="2">
        <v>32</v>
      </c>
      <c r="I1192" s="2">
        <v>22</v>
      </c>
      <c r="J1192" s="1"/>
      <c r="M1192" t="s">
        <v>15</v>
      </c>
      <c r="N1192" t="str">
        <f>IFERROR(VLOOKUP(B1192,'[1]All Player'!$B$2:$C$1992,2,0),"")</f>
        <v>AB Saaj</v>
      </c>
      <c r="O1192" s="2" t="s">
        <v>513</v>
      </c>
      <c r="P1192" s="16" t="s">
        <v>909</v>
      </c>
      <c r="Q1192" s="1">
        <f t="shared" si="42"/>
        <v>1</v>
      </c>
      <c r="R1192" s="1">
        <v>198</v>
      </c>
      <c r="S1192" s="2" t="s">
        <v>660</v>
      </c>
      <c r="T1192" s="1" t="s">
        <v>659</v>
      </c>
      <c r="U1192" s="8">
        <f t="shared" si="44"/>
        <v>43040</v>
      </c>
      <c r="V1192" s="1">
        <v>1</v>
      </c>
    </row>
    <row r="1193" spans="1:23" x14ac:dyDescent="0.25">
      <c r="A1193" s="2">
        <v>20</v>
      </c>
      <c r="B1193" t="s">
        <v>259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1"/>
      <c r="M1193" t="s">
        <v>15</v>
      </c>
      <c r="N1193" t="str">
        <f>IFERROR(VLOOKUP(B1193,'[1]All Player'!$B$2:$C$1992,2,0),"")</f>
        <v>Afzal Hussain Shuhag</v>
      </c>
      <c r="O1193" s="2" t="s">
        <v>513</v>
      </c>
      <c r="P1193" s="16" t="s">
        <v>909</v>
      </c>
      <c r="Q1193" s="1">
        <f t="shared" si="42"/>
        <v>1</v>
      </c>
      <c r="R1193" s="1">
        <v>198</v>
      </c>
      <c r="T1193" s="1" t="s">
        <v>659</v>
      </c>
      <c r="U1193" s="8">
        <f t="shared" si="44"/>
        <v>43040</v>
      </c>
    </row>
    <row r="1194" spans="1:23" x14ac:dyDescent="0.25">
      <c r="A1194" s="2">
        <v>20</v>
      </c>
      <c r="B1194" s="17" t="s">
        <v>910</v>
      </c>
      <c r="J1194" s="1"/>
      <c r="M1194" t="s">
        <v>15</v>
      </c>
      <c r="N1194" t="str">
        <f>IFERROR(VLOOKUP(B1194,'[1]All Player'!$B$2:$C$1992,2,0),"")</f>
        <v/>
      </c>
      <c r="O1194" s="2" t="s">
        <v>513</v>
      </c>
      <c r="P1194" s="16" t="s">
        <v>910</v>
      </c>
      <c r="Q1194" s="1">
        <f t="shared" si="42"/>
        <v>1</v>
      </c>
      <c r="R1194" s="1">
        <v>199</v>
      </c>
      <c r="U1194" s="8">
        <f t="shared" si="44"/>
        <v>43040</v>
      </c>
    </row>
    <row r="1195" spans="1:23" x14ac:dyDescent="0.25">
      <c r="A1195" s="2">
        <v>20</v>
      </c>
      <c r="B1195" t="s">
        <v>138</v>
      </c>
      <c r="C1195" s="2">
        <v>10</v>
      </c>
      <c r="D1195" s="2">
        <v>109</v>
      </c>
      <c r="E1195" s="2">
        <v>13</v>
      </c>
      <c r="F1195" s="2">
        <v>13</v>
      </c>
      <c r="G1195" s="2">
        <v>0</v>
      </c>
      <c r="H1195" s="2">
        <v>11</v>
      </c>
      <c r="I1195" s="2">
        <v>7</v>
      </c>
      <c r="J1195" s="1"/>
      <c r="M1195" t="s">
        <v>15</v>
      </c>
      <c r="N1195" t="str">
        <f>IFERROR(VLOOKUP(B1195,'[1]All Player'!$B$2:$C$1992,2,0),"")</f>
        <v>Asif Iqbal Khan</v>
      </c>
      <c r="O1195" s="2" t="s">
        <v>513</v>
      </c>
      <c r="P1195" s="16" t="s">
        <v>910</v>
      </c>
      <c r="Q1195" s="1">
        <f t="shared" si="42"/>
        <v>1</v>
      </c>
      <c r="R1195" s="1">
        <v>199</v>
      </c>
      <c r="U1195" s="8">
        <f t="shared" si="44"/>
        <v>43040</v>
      </c>
    </row>
    <row r="1196" spans="1:23" x14ac:dyDescent="0.25">
      <c r="A1196" s="2">
        <v>20</v>
      </c>
      <c r="B1196" t="s">
        <v>21</v>
      </c>
      <c r="C1196" s="2">
        <v>10</v>
      </c>
      <c r="D1196" s="2">
        <v>92</v>
      </c>
      <c r="E1196" s="2">
        <v>13</v>
      </c>
      <c r="F1196" s="2">
        <v>12</v>
      </c>
      <c r="G1196" s="2">
        <v>1</v>
      </c>
      <c r="H1196" s="2">
        <v>11</v>
      </c>
      <c r="I1196" s="2">
        <v>4</v>
      </c>
      <c r="J1196" s="1"/>
      <c r="M1196" t="s">
        <v>15</v>
      </c>
      <c r="N1196" t="str">
        <f>IFERROR(VLOOKUP(B1196,'[1]All Player'!$B$2:$C$1992,2,0),"")</f>
        <v>Faisal Ahmed Jhony</v>
      </c>
      <c r="O1196" s="2" t="s">
        <v>513</v>
      </c>
      <c r="P1196" s="16" t="s">
        <v>910</v>
      </c>
      <c r="Q1196" s="1">
        <f t="shared" si="42"/>
        <v>1</v>
      </c>
      <c r="R1196" s="1">
        <v>199</v>
      </c>
      <c r="U1196" s="8">
        <f t="shared" si="44"/>
        <v>43040</v>
      </c>
    </row>
    <row r="1197" spans="1:23" x14ac:dyDescent="0.25">
      <c r="A1197" s="2">
        <v>20</v>
      </c>
      <c r="B1197" t="s">
        <v>74</v>
      </c>
      <c r="C1197" s="2">
        <v>5</v>
      </c>
      <c r="D1197" s="2">
        <v>38</v>
      </c>
      <c r="E1197" s="2">
        <v>2</v>
      </c>
      <c r="F1197" s="2">
        <v>5</v>
      </c>
      <c r="G1197" s="2">
        <v>0</v>
      </c>
      <c r="H1197" s="2">
        <v>2</v>
      </c>
      <c r="I1197" s="2">
        <v>4</v>
      </c>
      <c r="J1197" s="1"/>
      <c r="M1197" t="s">
        <v>15</v>
      </c>
      <c r="N1197" t="str">
        <f>IFERROR(VLOOKUP(B1197,'[1]All Player'!$B$2:$C$1992,2,0),"")</f>
        <v>Sakib Arafat</v>
      </c>
      <c r="O1197" s="2" t="s">
        <v>513</v>
      </c>
      <c r="P1197" s="16" t="s">
        <v>910</v>
      </c>
      <c r="Q1197" s="1">
        <f t="shared" si="42"/>
        <v>1</v>
      </c>
      <c r="R1197" s="1">
        <v>199</v>
      </c>
      <c r="U1197" s="8">
        <f t="shared" si="44"/>
        <v>43040</v>
      </c>
    </row>
    <row r="1198" spans="1:23" x14ac:dyDescent="0.25">
      <c r="A1198" s="2">
        <v>20</v>
      </c>
      <c r="B1198" t="s">
        <v>24</v>
      </c>
      <c r="C1198" s="2">
        <v>10</v>
      </c>
      <c r="D1198" s="2">
        <v>197</v>
      </c>
      <c r="E1198" s="2">
        <v>8</v>
      </c>
      <c r="F1198" s="2">
        <v>15</v>
      </c>
      <c r="G1198" s="29">
        <v>0</v>
      </c>
      <c r="H1198" s="2">
        <v>14</v>
      </c>
      <c r="I1198" s="2">
        <v>13</v>
      </c>
      <c r="J1198" s="1"/>
      <c r="M1198" t="s">
        <v>15</v>
      </c>
      <c r="N1198" t="str">
        <f>IFERROR(VLOOKUP(B1198,'[1]All Player'!$B$2:$C$1992,2,0),"")</f>
        <v>Nur Muhammad</v>
      </c>
      <c r="O1198" s="2" t="s">
        <v>513</v>
      </c>
      <c r="P1198" s="16" t="s">
        <v>910</v>
      </c>
      <c r="Q1198" s="1">
        <f t="shared" si="42"/>
        <v>1</v>
      </c>
      <c r="R1198" s="1">
        <v>199</v>
      </c>
      <c r="U1198" s="8">
        <f t="shared" si="44"/>
        <v>43040</v>
      </c>
    </row>
    <row r="1199" spans="1:23" x14ac:dyDescent="0.25">
      <c r="A1199" s="2">
        <v>20</v>
      </c>
      <c r="B1199" s="17" t="s">
        <v>613</v>
      </c>
      <c r="J1199" s="1"/>
      <c r="M1199" t="s">
        <v>15</v>
      </c>
      <c r="N1199" t="str">
        <f>IFERROR(VLOOKUP(B1199,'[1]All Player'!$B$2:$C$1992,2,0),"")</f>
        <v/>
      </c>
      <c r="O1199" s="2" t="s">
        <v>513</v>
      </c>
      <c r="P1199" s="16" t="s">
        <v>613</v>
      </c>
      <c r="Q1199" s="1">
        <f t="shared" si="42"/>
        <v>1</v>
      </c>
      <c r="R1199" s="1">
        <v>200</v>
      </c>
      <c r="U1199" s="8">
        <f t="shared" si="44"/>
        <v>43040</v>
      </c>
    </row>
    <row r="1200" spans="1:23" x14ac:dyDescent="0.25">
      <c r="A1200" s="2">
        <v>20</v>
      </c>
      <c r="B1200" t="s">
        <v>76</v>
      </c>
      <c r="C1200" s="2">
        <v>3</v>
      </c>
      <c r="D1200" s="2">
        <v>51</v>
      </c>
      <c r="E1200" s="2">
        <v>4</v>
      </c>
      <c r="F1200" s="2">
        <v>5</v>
      </c>
      <c r="G1200" s="2">
        <v>1</v>
      </c>
      <c r="H1200" s="2">
        <v>4</v>
      </c>
      <c r="I1200" s="2">
        <v>5</v>
      </c>
      <c r="J1200" s="1"/>
      <c r="M1200" t="s">
        <v>15</v>
      </c>
      <c r="N1200" t="str">
        <f>IFERROR(VLOOKUP(B1200,'[1]All Player'!$B$2:$C$1992,2,0),"")</f>
        <v>Kamil Ahmed</v>
      </c>
      <c r="O1200" s="2" t="s">
        <v>513</v>
      </c>
      <c r="P1200" s="16" t="s">
        <v>613</v>
      </c>
      <c r="Q1200" s="1">
        <f t="shared" si="42"/>
        <v>1</v>
      </c>
      <c r="R1200" s="1">
        <v>200</v>
      </c>
      <c r="U1200" s="8">
        <f t="shared" si="44"/>
        <v>43040</v>
      </c>
    </row>
    <row r="1201" spans="1:21" x14ac:dyDescent="0.25">
      <c r="A1201" s="2">
        <v>20</v>
      </c>
      <c r="B1201" t="s">
        <v>156</v>
      </c>
      <c r="C1201" s="2">
        <v>5</v>
      </c>
      <c r="D1201" s="2">
        <v>102</v>
      </c>
      <c r="E1201" s="2">
        <v>7</v>
      </c>
      <c r="F1201" s="2">
        <v>7</v>
      </c>
      <c r="G1201" s="2">
        <v>4</v>
      </c>
      <c r="H1201" s="2">
        <v>6</v>
      </c>
      <c r="I1201" s="2">
        <v>6</v>
      </c>
      <c r="J1201" s="1"/>
      <c r="M1201" t="s">
        <v>15</v>
      </c>
      <c r="N1201" t="str">
        <f>IFERROR(VLOOKUP(B1201,'[1]All Player'!$B$2:$C$1992,2,0),"")</f>
        <v>Prince Tarek</v>
      </c>
      <c r="O1201" s="2" t="s">
        <v>513</v>
      </c>
      <c r="P1201" s="16" t="s">
        <v>613</v>
      </c>
      <c r="Q1201" s="1">
        <f t="shared" si="42"/>
        <v>1</v>
      </c>
      <c r="R1201" s="1">
        <v>200</v>
      </c>
      <c r="U1201" s="8">
        <f t="shared" si="44"/>
        <v>43040</v>
      </c>
    </row>
    <row r="1202" spans="1:21" x14ac:dyDescent="0.25">
      <c r="A1202" s="2">
        <v>20</v>
      </c>
      <c r="B1202" t="s">
        <v>416</v>
      </c>
      <c r="C1202" s="2">
        <v>6</v>
      </c>
      <c r="D1202" s="2">
        <v>48</v>
      </c>
      <c r="E1202" s="2">
        <v>9</v>
      </c>
      <c r="F1202" s="2">
        <v>6</v>
      </c>
      <c r="G1202" s="2">
        <v>0</v>
      </c>
      <c r="H1202" s="2">
        <v>3</v>
      </c>
      <c r="I1202" s="2">
        <v>4</v>
      </c>
      <c r="J1202" s="1"/>
      <c r="M1202" t="s">
        <v>15</v>
      </c>
      <c r="N1202" t="str">
        <f>IFERROR(VLOOKUP(B1202,'[1]All Player'!$B$2:$C$1992,2,0),"")</f>
        <v>Ashraful Islam</v>
      </c>
      <c r="O1202" s="2" t="s">
        <v>513</v>
      </c>
      <c r="P1202" s="16" t="s">
        <v>613</v>
      </c>
      <c r="Q1202" s="1">
        <f t="shared" si="42"/>
        <v>1</v>
      </c>
      <c r="R1202" s="1">
        <v>200</v>
      </c>
      <c r="U1202" s="8">
        <f t="shared" si="44"/>
        <v>43040</v>
      </c>
    </row>
    <row r="1203" spans="1:21" x14ac:dyDescent="0.25">
      <c r="A1203" s="2">
        <v>20</v>
      </c>
      <c r="B1203" t="s">
        <v>169</v>
      </c>
      <c r="C1203" s="2">
        <v>5</v>
      </c>
      <c r="D1203" s="2">
        <v>18</v>
      </c>
      <c r="E1203" s="2">
        <v>8</v>
      </c>
      <c r="F1203" s="2">
        <v>2</v>
      </c>
      <c r="G1203" s="2">
        <v>0</v>
      </c>
      <c r="H1203" s="2">
        <v>0</v>
      </c>
      <c r="I1203" s="2">
        <v>1</v>
      </c>
      <c r="J1203" s="1"/>
      <c r="M1203" t="s">
        <v>15</v>
      </c>
      <c r="N1203" t="str">
        <f>IFERROR(VLOOKUP(B1203,'[1]All Player'!$B$2:$C$1992,2,0),"")</f>
        <v>Saiful Islam</v>
      </c>
      <c r="O1203" s="2" t="s">
        <v>513</v>
      </c>
      <c r="P1203" s="16" t="s">
        <v>613</v>
      </c>
      <c r="Q1203" s="1">
        <f t="shared" si="42"/>
        <v>1</v>
      </c>
      <c r="R1203" s="1">
        <v>200</v>
      </c>
      <c r="U1203" s="8">
        <f t="shared" si="44"/>
        <v>43040</v>
      </c>
    </row>
    <row r="1204" spans="1:21" x14ac:dyDescent="0.25">
      <c r="A1204" s="2">
        <v>20</v>
      </c>
      <c r="B1204" s="17" t="s">
        <v>911</v>
      </c>
      <c r="J1204" s="1"/>
      <c r="M1204" t="s">
        <v>15</v>
      </c>
      <c r="N1204" t="str">
        <f>IFERROR(VLOOKUP(B1204,'[1]All Player'!$B$2:$C$1992,2,0),"")</f>
        <v/>
      </c>
      <c r="O1204" s="2" t="s">
        <v>513</v>
      </c>
      <c r="P1204" s="16" t="s">
        <v>911</v>
      </c>
      <c r="Q1204" s="1">
        <f t="shared" si="42"/>
        <v>1</v>
      </c>
      <c r="R1204" s="1">
        <v>201</v>
      </c>
      <c r="U1204" s="8">
        <f t="shared" si="44"/>
        <v>43040</v>
      </c>
    </row>
    <row r="1205" spans="1:21" x14ac:dyDescent="0.25">
      <c r="A1205" s="2">
        <v>20</v>
      </c>
      <c r="B1205" t="s">
        <v>62</v>
      </c>
      <c r="C1205" s="2">
        <v>10</v>
      </c>
      <c r="D1205" s="2">
        <v>81</v>
      </c>
      <c r="E1205" s="2">
        <v>10</v>
      </c>
      <c r="F1205" s="2">
        <v>12</v>
      </c>
      <c r="G1205" s="2">
        <v>3</v>
      </c>
      <c r="H1205" s="2">
        <v>7</v>
      </c>
      <c r="I1205" s="2">
        <v>6</v>
      </c>
      <c r="J1205" s="1"/>
      <c r="M1205" t="s">
        <v>15</v>
      </c>
      <c r="N1205" t="str">
        <f>IFERROR(VLOOKUP(B1205,'[1]All Player'!$B$2:$C$1992,2,0),"")</f>
        <v>MD Tofayel Ahmed</v>
      </c>
      <c r="O1205" s="2" t="s">
        <v>513</v>
      </c>
      <c r="P1205" s="16" t="s">
        <v>911</v>
      </c>
      <c r="Q1205" s="1">
        <f t="shared" si="42"/>
        <v>1</v>
      </c>
      <c r="R1205" s="1">
        <v>201</v>
      </c>
      <c r="U1205" s="8">
        <f t="shared" si="44"/>
        <v>43040</v>
      </c>
    </row>
    <row r="1206" spans="1:21" x14ac:dyDescent="0.25">
      <c r="A1206" s="2">
        <v>20</v>
      </c>
      <c r="B1206" t="s">
        <v>199</v>
      </c>
      <c r="C1206" s="2">
        <v>5</v>
      </c>
      <c r="D1206" s="2">
        <v>110</v>
      </c>
      <c r="E1206" s="2">
        <v>9</v>
      </c>
      <c r="F1206" s="2">
        <v>7</v>
      </c>
      <c r="G1206" s="2">
        <v>0</v>
      </c>
      <c r="H1206" s="2">
        <v>9</v>
      </c>
      <c r="I1206" s="2">
        <v>8</v>
      </c>
      <c r="J1206" s="1"/>
      <c r="M1206" t="s">
        <v>15</v>
      </c>
      <c r="N1206" t="str">
        <f>IFERROR(VLOOKUP(B1206,'[1]All Player'!$B$2:$C$1992,2,0),"")</f>
        <v>Mohammad Faruque</v>
      </c>
      <c r="O1206" s="2" t="s">
        <v>513</v>
      </c>
      <c r="P1206" s="16" t="s">
        <v>911</v>
      </c>
      <c r="Q1206" s="1">
        <f t="shared" si="42"/>
        <v>1</v>
      </c>
      <c r="R1206" s="1">
        <v>201</v>
      </c>
      <c r="U1206" s="8">
        <f t="shared" si="44"/>
        <v>43040</v>
      </c>
    </row>
    <row r="1207" spans="1:21" x14ac:dyDescent="0.25">
      <c r="A1207" s="2">
        <v>20</v>
      </c>
      <c r="B1207" t="s">
        <v>175</v>
      </c>
      <c r="C1207" s="2">
        <v>9</v>
      </c>
      <c r="D1207" s="2">
        <v>79</v>
      </c>
      <c r="E1207" s="2">
        <v>6</v>
      </c>
      <c r="F1207" s="2">
        <v>12</v>
      </c>
      <c r="G1207" s="2">
        <v>0</v>
      </c>
      <c r="H1207" s="2">
        <v>5</v>
      </c>
      <c r="I1207" s="2">
        <v>5</v>
      </c>
      <c r="J1207" s="1"/>
      <c r="M1207" t="s">
        <v>15</v>
      </c>
      <c r="N1207" t="str">
        <f>IFERROR(VLOOKUP(B1207,'[1]All Player'!$B$2:$C$1992,2,0),"")</f>
        <v>Wasiq Rahman</v>
      </c>
      <c r="O1207" s="2" t="s">
        <v>513</v>
      </c>
      <c r="P1207" s="16" t="s">
        <v>911</v>
      </c>
      <c r="Q1207" s="1">
        <f t="shared" si="42"/>
        <v>1</v>
      </c>
      <c r="R1207" s="1">
        <v>201</v>
      </c>
      <c r="U1207" s="8">
        <f t="shared" si="44"/>
        <v>43040</v>
      </c>
    </row>
    <row r="1208" spans="1:21" x14ac:dyDescent="0.25">
      <c r="A1208" s="2">
        <v>20</v>
      </c>
      <c r="B1208" t="s">
        <v>186</v>
      </c>
      <c r="C1208" s="2">
        <v>10</v>
      </c>
      <c r="D1208" s="2">
        <v>150</v>
      </c>
      <c r="E1208" s="2">
        <v>12</v>
      </c>
      <c r="F1208" s="2">
        <v>12</v>
      </c>
      <c r="G1208" s="2">
        <v>1</v>
      </c>
      <c r="H1208" s="2">
        <v>11</v>
      </c>
      <c r="I1208" s="2">
        <v>12</v>
      </c>
      <c r="J1208" s="1"/>
      <c r="M1208" t="s">
        <v>15</v>
      </c>
      <c r="N1208" t="str">
        <f>IFERROR(VLOOKUP(B1208,'[1]All Player'!$B$2:$C$1992,2,0),"")</f>
        <v>Galaxsy Prince Tahmid (Tahmid Rahman)</v>
      </c>
      <c r="O1208" s="2" t="s">
        <v>513</v>
      </c>
      <c r="P1208" s="16" t="s">
        <v>911</v>
      </c>
      <c r="Q1208" s="1">
        <f t="shared" si="42"/>
        <v>1</v>
      </c>
      <c r="R1208" s="1">
        <v>201</v>
      </c>
      <c r="U1208" s="8">
        <f t="shared" si="44"/>
        <v>43040</v>
      </c>
    </row>
    <row r="1209" spans="1:21" x14ac:dyDescent="0.25">
      <c r="A1209" s="2">
        <v>20</v>
      </c>
      <c r="B1209" s="17" t="s">
        <v>912</v>
      </c>
      <c r="J1209" s="1"/>
      <c r="M1209" t="s">
        <v>15</v>
      </c>
      <c r="N1209" t="str">
        <f>IFERROR(VLOOKUP(B1209,'[1]All Player'!$B$2:$C$1992,2,0),"")</f>
        <v/>
      </c>
      <c r="O1209" s="2" t="s">
        <v>513</v>
      </c>
      <c r="P1209" s="16" t="s">
        <v>912</v>
      </c>
      <c r="Q1209" s="1">
        <f t="shared" si="42"/>
        <v>1</v>
      </c>
      <c r="R1209" s="1">
        <v>202</v>
      </c>
      <c r="U1209" s="8">
        <f t="shared" si="44"/>
        <v>43040</v>
      </c>
    </row>
    <row r="1210" spans="1:21" x14ac:dyDescent="0.25">
      <c r="A1210" s="2">
        <v>20</v>
      </c>
      <c r="B1210" t="s">
        <v>140</v>
      </c>
      <c r="C1210" s="2">
        <v>12</v>
      </c>
      <c r="D1210" s="2">
        <v>188</v>
      </c>
      <c r="E1210" s="2">
        <v>8</v>
      </c>
      <c r="F1210" s="2">
        <v>16</v>
      </c>
      <c r="G1210" s="2">
        <v>4</v>
      </c>
      <c r="H1210" s="2">
        <v>17</v>
      </c>
      <c r="I1210" s="2">
        <v>13</v>
      </c>
      <c r="J1210" s="1"/>
      <c r="M1210" t="s">
        <v>15</v>
      </c>
      <c r="N1210" t="str">
        <f>IFERROR(VLOOKUP(B1210,'[1]All Player'!$B$2:$C$1992,2,0),"")</f>
        <v>Monowar Hossain Munna</v>
      </c>
      <c r="O1210" s="2" t="s">
        <v>513</v>
      </c>
      <c r="P1210" s="16" t="s">
        <v>912</v>
      </c>
      <c r="Q1210" s="1">
        <f t="shared" si="42"/>
        <v>1</v>
      </c>
      <c r="R1210" s="1">
        <v>202</v>
      </c>
      <c r="U1210" s="8">
        <f t="shared" si="44"/>
        <v>43040</v>
      </c>
    </row>
    <row r="1211" spans="1:21" x14ac:dyDescent="0.25">
      <c r="A1211" s="2">
        <v>20</v>
      </c>
      <c r="B1211" t="s">
        <v>411</v>
      </c>
      <c r="C1211" s="2">
        <v>9</v>
      </c>
      <c r="D1211" s="2">
        <v>93</v>
      </c>
      <c r="E1211" s="2">
        <v>8</v>
      </c>
      <c r="F1211" s="2">
        <v>8</v>
      </c>
      <c r="G1211" s="2">
        <v>1</v>
      </c>
      <c r="H1211" s="2">
        <v>8</v>
      </c>
      <c r="I1211" s="2">
        <v>7</v>
      </c>
      <c r="J1211" s="1"/>
      <c r="M1211" t="s">
        <v>15</v>
      </c>
      <c r="N1211" t="str">
        <f>IFERROR(VLOOKUP(B1211,'[1]All Player'!$B$2:$C$1992,2,0),"")</f>
        <v>Al Amin Apon</v>
      </c>
      <c r="O1211" s="2" t="s">
        <v>513</v>
      </c>
      <c r="P1211" s="16" t="s">
        <v>912</v>
      </c>
      <c r="Q1211" s="1">
        <f t="shared" si="42"/>
        <v>1</v>
      </c>
      <c r="R1211" s="1">
        <v>202</v>
      </c>
      <c r="U1211" s="8">
        <f t="shared" si="44"/>
        <v>43040</v>
      </c>
    </row>
    <row r="1212" spans="1:21" x14ac:dyDescent="0.25">
      <c r="A1212" s="2">
        <v>20</v>
      </c>
      <c r="B1212" t="s">
        <v>124</v>
      </c>
      <c r="C1212" s="2">
        <v>9</v>
      </c>
      <c r="D1212" s="2">
        <v>88</v>
      </c>
      <c r="E1212" s="2">
        <v>7</v>
      </c>
      <c r="F1212" s="2">
        <v>10</v>
      </c>
      <c r="G1212" s="2">
        <v>1</v>
      </c>
      <c r="H1212" s="2">
        <v>10</v>
      </c>
      <c r="I1212" s="2">
        <v>7</v>
      </c>
      <c r="J1212" s="1"/>
      <c r="M1212" t="s">
        <v>15</v>
      </c>
      <c r="N1212" t="str">
        <f>IFERROR(VLOOKUP(B1212,'[1]All Player'!$B$2:$C$1992,2,0),"")</f>
        <v>Mahbubur Rahman Akash</v>
      </c>
      <c r="O1212" s="2" t="s">
        <v>513</v>
      </c>
      <c r="P1212" s="16" t="s">
        <v>912</v>
      </c>
      <c r="Q1212" s="1">
        <f t="shared" si="42"/>
        <v>1</v>
      </c>
      <c r="R1212" s="1">
        <v>202</v>
      </c>
      <c r="U1212" s="8">
        <f t="shared" si="44"/>
        <v>43040</v>
      </c>
    </row>
    <row r="1213" spans="1:21" x14ac:dyDescent="0.25">
      <c r="A1213" s="2">
        <v>20</v>
      </c>
      <c r="B1213" t="s">
        <v>85</v>
      </c>
      <c r="C1213" s="2">
        <v>12</v>
      </c>
      <c r="D1213" s="2">
        <v>149</v>
      </c>
      <c r="E1213" s="2">
        <v>12</v>
      </c>
      <c r="F1213" s="2">
        <v>17</v>
      </c>
      <c r="G1213" s="2">
        <v>1</v>
      </c>
      <c r="H1213" s="2">
        <v>10</v>
      </c>
      <c r="I1213" s="2">
        <v>7</v>
      </c>
      <c r="J1213" s="1"/>
      <c r="M1213" t="s">
        <v>15</v>
      </c>
      <c r="N1213" t="str">
        <f>IFERROR(VLOOKUP(B1213,'[1]All Player'!$B$2:$C$1992,2,0),"")</f>
        <v>Asik Hassan Tonmoy</v>
      </c>
      <c r="O1213" s="2" t="s">
        <v>513</v>
      </c>
      <c r="P1213" s="16" t="s">
        <v>912</v>
      </c>
      <c r="Q1213" s="1">
        <f t="shared" si="42"/>
        <v>1</v>
      </c>
      <c r="R1213" s="1">
        <v>202</v>
      </c>
      <c r="U1213" s="8">
        <f t="shared" si="44"/>
        <v>43040</v>
      </c>
    </row>
    <row r="1214" spans="1:21" x14ac:dyDescent="0.25">
      <c r="A1214" s="2">
        <v>20</v>
      </c>
      <c r="B1214" s="17" t="s">
        <v>913</v>
      </c>
      <c r="J1214" s="1"/>
      <c r="M1214" t="s">
        <v>15</v>
      </c>
      <c r="N1214" t="str">
        <f>IFERROR(VLOOKUP(B1214,'[1]All Player'!$B$2:$C$1992,2,0),"")</f>
        <v/>
      </c>
      <c r="O1214" s="2" t="s">
        <v>513</v>
      </c>
      <c r="P1214" s="16" t="s">
        <v>913</v>
      </c>
      <c r="Q1214" s="1">
        <f t="shared" si="42"/>
        <v>1</v>
      </c>
      <c r="R1214" s="1">
        <v>203</v>
      </c>
      <c r="U1214" s="8">
        <f t="shared" si="44"/>
        <v>43040</v>
      </c>
    </row>
    <row r="1215" spans="1:21" x14ac:dyDescent="0.25">
      <c r="A1215" s="2">
        <v>20</v>
      </c>
      <c r="B1215" t="s">
        <v>132</v>
      </c>
      <c r="C1215" s="2">
        <v>9</v>
      </c>
      <c r="D1215" s="2">
        <v>85</v>
      </c>
      <c r="E1215" s="2">
        <v>8</v>
      </c>
      <c r="F1215" s="2">
        <v>10</v>
      </c>
      <c r="G1215" s="2">
        <v>2</v>
      </c>
      <c r="H1215" s="2">
        <v>10</v>
      </c>
      <c r="I1215" s="2">
        <v>4</v>
      </c>
      <c r="J1215" s="1"/>
      <c r="M1215" t="s">
        <v>15</v>
      </c>
      <c r="N1215" t="str">
        <f>IFERROR(VLOOKUP(B1215,'[1]All Player'!$B$2:$C$1992,2,0),"")</f>
        <v>ShiShir Hossain</v>
      </c>
      <c r="O1215" s="2" t="s">
        <v>513</v>
      </c>
      <c r="P1215" s="16" t="s">
        <v>913</v>
      </c>
      <c r="Q1215" s="1">
        <f t="shared" si="42"/>
        <v>1</v>
      </c>
      <c r="R1215" s="1">
        <v>203</v>
      </c>
      <c r="U1215" s="8">
        <f t="shared" si="44"/>
        <v>43040</v>
      </c>
    </row>
    <row r="1216" spans="1:21" x14ac:dyDescent="0.25">
      <c r="A1216" s="2">
        <v>20</v>
      </c>
      <c r="B1216" t="s">
        <v>93</v>
      </c>
      <c r="C1216" s="2">
        <v>10</v>
      </c>
      <c r="D1216" s="2">
        <v>113</v>
      </c>
      <c r="E1216" s="2">
        <v>16</v>
      </c>
      <c r="F1216" s="2">
        <v>10</v>
      </c>
      <c r="G1216" s="2">
        <v>2</v>
      </c>
      <c r="H1216" s="2">
        <v>14</v>
      </c>
      <c r="I1216" s="2">
        <v>6</v>
      </c>
      <c r="J1216" s="2">
        <v>1</v>
      </c>
      <c r="M1216" t="s">
        <v>15</v>
      </c>
      <c r="N1216" t="str">
        <f>IFERROR(VLOOKUP(B1216,'[1]All Player'!$B$2:$C$1992,2,0),"")</f>
        <v>Zaheed Hasan</v>
      </c>
      <c r="O1216" s="2" t="s">
        <v>513</v>
      </c>
      <c r="P1216" s="16" t="s">
        <v>913</v>
      </c>
      <c r="Q1216" s="1">
        <f t="shared" si="42"/>
        <v>1</v>
      </c>
      <c r="R1216" s="1">
        <v>203</v>
      </c>
      <c r="U1216" s="8">
        <f t="shared" si="44"/>
        <v>43040</v>
      </c>
    </row>
    <row r="1217" spans="1:21" x14ac:dyDescent="0.25">
      <c r="A1217" s="2">
        <v>20</v>
      </c>
      <c r="B1217" t="s">
        <v>197</v>
      </c>
      <c r="C1217" s="2">
        <v>6</v>
      </c>
      <c r="D1217" s="2">
        <v>181</v>
      </c>
      <c r="E1217" s="2">
        <v>7</v>
      </c>
      <c r="F1217" s="2">
        <v>12</v>
      </c>
      <c r="G1217" s="2">
        <v>5</v>
      </c>
      <c r="H1217" s="2">
        <v>17</v>
      </c>
      <c r="I1217" s="2">
        <v>11</v>
      </c>
      <c r="J1217" s="1"/>
      <c r="M1217" t="s">
        <v>15</v>
      </c>
      <c r="N1217" t="str">
        <f>IFERROR(VLOOKUP(B1217,'[1]All Player'!$B$2:$C$1992,2,0),"")</f>
        <v>Noushed Mijan</v>
      </c>
      <c r="O1217" s="2" t="s">
        <v>513</v>
      </c>
      <c r="P1217" s="16" t="s">
        <v>913</v>
      </c>
      <c r="Q1217" s="1">
        <f t="shared" si="42"/>
        <v>1</v>
      </c>
      <c r="R1217" s="1">
        <v>203</v>
      </c>
      <c r="U1217" s="8">
        <f t="shared" si="44"/>
        <v>43040</v>
      </c>
    </row>
    <row r="1218" spans="1:21" x14ac:dyDescent="0.25">
      <c r="A1218" s="2">
        <v>20</v>
      </c>
      <c r="B1218" t="s">
        <v>130</v>
      </c>
      <c r="C1218" s="2">
        <v>6</v>
      </c>
      <c r="D1218" s="2">
        <v>81</v>
      </c>
      <c r="E1218" s="2">
        <v>7</v>
      </c>
      <c r="F1218" s="2">
        <v>7</v>
      </c>
      <c r="G1218" s="2">
        <v>0</v>
      </c>
      <c r="H1218" s="2">
        <v>7</v>
      </c>
      <c r="I1218" s="2">
        <v>5</v>
      </c>
      <c r="J1218" s="1"/>
      <c r="M1218" t="s">
        <v>15</v>
      </c>
      <c r="N1218" t="str">
        <f>IFERROR(VLOOKUP(B1218,'[1]All Player'!$B$2:$C$1992,2,0),"")</f>
        <v>Shahriar Khokon</v>
      </c>
      <c r="O1218" s="2" t="s">
        <v>513</v>
      </c>
      <c r="P1218" s="16" t="s">
        <v>913</v>
      </c>
      <c r="Q1218" s="1">
        <f t="shared" ref="Q1218:Q1281" si="45">IF(B1218="","",1)</f>
        <v>1</v>
      </c>
      <c r="R1218" s="1">
        <v>203</v>
      </c>
      <c r="U1218" s="8">
        <f t="shared" si="44"/>
        <v>43040</v>
      </c>
    </row>
    <row r="1219" spans="1:21" x14ac:dyDescent="0.25">
      <c r="A1219" s="2">
        <v>20</v>
      </c>
      <c r="B1219" t="s">
        <v>183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J1219" s="1"/>
      <c r="M1219" t="s">
        <v>15</v>
      </c>
      <c r="N1219" t="str">
        <f>IFERROR(VLOOKUP(B1219,'[1]All Player'!$B$2:$C$1992,2,0),"")</f>
        <v>Red Heart Faisal (Fayze Ahamed)</v>
      </c>
      <c r="O1219" s="2" t="s">
        <v>513</v>
      </c>
      <c r="P1219" s="16" t="s">
        <v>913</v>
      </c>
      <c r="Q1219" s="1">
        <f t="shared" si="45"/>
        <v>1</v>
      </c>
      <c r="R1219" s="1">
        <v>203</v>
      </c>
      <c r="U1219" s="8">
        <f t="shared" si="44"/>
        <v>43040</v>
      </c>
    </row>
    <row r="1220" spans="1:21" x14ac:dyDescent="0.25">
      <c r="A1220" s="2">
        <v>21</v>
      </c>
      <c r="B1220" s="17" t="s">
        <v>914</v>
      </c>
      <c r="J1220" s="1"/>
      <c r="M1220" t="s">
        <v>15</v>
      </c>
      <c r="N1220" t="str">
        <f>IFERROR(VLOOKUP(B1220,'[1]All Player'!$B$2:$C$1992,2,0),"")</f>
        <v/>
      </c>
      <c r="O1220" s="2" t="s">
        <v>607</v>
      </c>
      <c r="P1220" s="16" t="s">
        <v>914</v>
      </c>
      <c r="Q1220" s="1">
        <f t="shared" si="45"/>
        <v>1</v>
      </c>
      <c r="R1220" s="1">
        <v>204</v>
      </c>
      <c r="U1220" s="8">
        <v>43435</v>
      </c>
    </row>
    <row r="1221" spans="1:21" x14ac:dyDescent="0.25">
      <c r="A1221" s="2">
        <v>21</v>
      </c>
      <c r="B1221" t="s">
        <v>62</v>
      </c>
      <c r="C1221" s="2">
        <v>5</v>
      </c>
      <c r="D1221" s="2">
        <v>30</v>
      </c>
      <c r="E1221" s="2">
        <v>9</v>
      </c>
      <c r="F1221" s="2">
        <v>7</v>
      </c>
      <c r="G1221" s="2">
        <v>14</v>
      </c>
      <c r="H1221" s="2">
        <v>1</v>
      </c>
      <c r="I1221" s="2">
        <v>1</v>
      </c>
      <c r="J1221" s="1">
        <v>1</v>
      </c>
      <c r="M1221" t="s">
        <v>15</v>
      </c>
      <c r="N1221" t="str">
        <f>IFERROR(VLOOKUP(B1221,'[1]All Player'!$B$2:$C$1992,2,0),"")</f>
        <v>MD Tofayel Ahmed</v>
      </c>
      <c r="O1221" s="2" t="s">
        <v>607</v>
      </c>
      <c r="P1221" s="16" t="s">
        <v>914</v>
      </c>
      <c r="Q1221" s="1">
        <f t="shared" si="45"/>
        <v>1</v>
      </c>
      <c r="R1221" s="1">
        <v>204</v>
      </c>
      <c r="U1221" s="8">
        <f t="shared" ref="U1221:U1274" si="46">U1220</f>
        <v>43435</v>
      </c>
    </row>
    <row r="1222" spans="1:21" x14ac:dyDescent="0.25">
      <c r="A1222" s="2">
        <v>21</v>
      </c>
      <c r="B1222" t="s">
        <v>29</v>
      </c>
      <c r="C1222" s="2">
        <v>5</v>
      </c>
      <c r="D1222" s="2">
        <v>48</v>
      </c>
      <c r="E1222" s="2">
        <v>7</v>
      </c>
      <c r="F1222" s="2">
        <v>8</v>
      </c>
      <c r="G1222" s="2">
        <v>0</v>
      </c>
      <c r="H1222" s="2">
        <v>4</v>
      </c>
      <c r="I1222" s="2">
        <v>1</v>
      </c>
      <c r="J1222" s="1" t="s">
        <v>915</v>
      </c>
      <c r="M1222" t="s">
        <v>15</v>
      </c>
      <c r="N1222" t="str">
        <f>IFERROR(VLOOKUP(B1222,'[1]All Player'!$B$2:$C$1992,2,0),"")</f>
        <v>Foysal Ahmed Jumon</v>
      </c>
      <c r="O1222" s="2" t="s">
        <v>607</v>
      </c>
      <c r="P1222" s="16" t="s">
        <v>914</v>
      </c>
      <c r="Q1222" s="1">
        <f t="shared" si="45"/>
        <v>1</v>
      </c>
      <c r="R1222" s="1">
        <v>204</v>
      </c>
      <c r="U1222" s="8">
        <f t="shared" si="46"/>
        <v>43435</v>
      </c>
    </row>
    <row r="1223" spans="1:21" x14ac:dyDescent="0.25">
      <c r="A1223" s="2">
        <v>21</v>
      </c>
      <c r="B1223" t="s">
        <v>116</v>
      </c>
      <c r="C1223" s="2">
        <v>4</v>
      </c>
      <c r="D1223" s="2">
        <v>57</v>
      </c>
      <c r="E1223" s="2">
        <v>3</v>
      </c>
      <c r="F1223" s="2">
        <v>8</v>
      </c>
      <c r="G1223" s="2">
        <v>0</v>
      </c>
      <c r="H1223" s="2">
        <v>7</v>
      </c>
      <c r="I1223" s="2">
        <v>3</v>
      </c>
      <c r="J1223" s="1" t="s">
        <v>915</v>
      </c>
      <c r="M1223" t="s">
        <v>15</v>
      </c>
      <c r="N1223" t="str">
        <f>IFERROR(VLOOKUP(B1223,'[1]All Player'!$B$2:$C$1992,2,0),"")</f>
        <v>Ahammed Ariful Haq</v>
      </c>
      <c r="O1223" s="2" t="s">
        <v>607</v>
      </c>
      <c r="P1223" s="16" t="s">
        <v>914</v>
      </c>
      <c r="Q1223" s="1">
        <f t="shared" si="45"/>
        <v>1</v>
      </c>
      <c r="R1223" s="1">
        <v>204</v>
      </c>
      <c r="U1223" s="8">
        <f t="shared" si="46"/>
        <v>43435</v>
      </c>
    </row>
    <row r="1224" spans="1:21" x14ac:dyDescent="0.25">
      <c r="A1224" s="2">
        <v>21</v>
      </c>
      <c r="B1224" t="s">
        <v>175</v>
      </c>
      <c r="C1224" s="2">
        <v>3</v>
      </c>
      <c r="D1224" s="2">
        <v>83</v>
      </c>
      <c r="E1224" s="2">
        <v>2</v>
      </c>
      <c r="F1224" s="2">
        <v>6</v>
      </c>
      <c r="G1224" s="2">
        <v>1</v>
      </c>
      <c r="H1224" s="2">
        <v>11</v>
      </c>
      <c r="I1224" s="2">
        <v>3</v>
      </c>
      <c r="J1224" s="1" t="s">
        <v>915</v>
      </c>
      <c r="M1224" t="s">
        <v>15</v>
      </c>
      <c r="N1224" t="str">
        <f>IFERROR(VLOOKUP(B1224,'[1]All Player'!$B$2:$C$1992,2,0),"")</f>
        <v>Wasiq Rahman</v>
      </c>
      <c r="O1224" s="2" t="s">
        <v>607</v>
      </c>
      <c r="P1224" s="16" t="s">
        <v>914</v>
      </c>
      <c r="Q1224" s="1">
        <f t="shared" si="45"/>
        <v>1</v>
      </c>
      <c r="R1224" s="1">
        <v>204</v>
      </c>
      <c r="U1224" s="8">
        <f t="shared" si="46"/>
        <v>43435</v>
      </c>
    </row>
    <row r="1225" spans="1:21" x14ac:dyDescent="0.25">
      <c r="A1225" s="2">
        <v>21</v>
      </c>
      <c r="B1225" s="17" t="s">
        <v>916</v>
      </c>
      <c r="J1225" s="1"/>
      <c r="M1225" t="s">
        <v>15</v>
      </c>
      <c r="N1225" t="str">
        <f>IFERROR(VLOOKUP(B1225,'[1]All Player'!$B$2:$C$1992,2,0),"")</f>
        <v/>
      </c>
      <c r="O1225" s="2" t="s">
        <v>607</v>
      </c>
      <c r="P1225" s="16" t="s">
        <v>916</v>
      </c>
      <c r="Q1225" s="1">
        <f t="shared" si="45"/>
        <v>1</v>
      </c>
      <c r="R1225" s="1">
        <v>205</v>
      </c>
      <c r="U1225" s="8">
        <f t="shared" si="46"/>
        <v>43435</v>
      </c>
    </row>
    <row r="1226" spans="1:21" x14ac:dyDescent="0.25">
      <c r="A1226" s="2">
        <v>21</v>
      </c>
      <c r="B1226" t="s">
        <v>106</v>
      </c>
      <c r="C1226" s="2">
        <v>2</v>
      </c>
      <c r="D1226" s="2">
        <v>22</v>
      </c>
      <c r="E1226" s="2">
        <v>4</v>
      </c>
      <c r="F1226" s="2">
        <v>4</v>
      </c>
      <c r="G1226" s="2">
        <v>0</v>
      </c>
      <c r="H1226" s="2">
        <v>2</v>
      </c>
      <c r="I1226" s="2">
        <v>1</v>
      </c>
      <c r="J1226" s="1" t="s">
        <v>915</v>
      </c>
      <c r="M1226" t="s">
        <v>15</v>
      </c>
      <c r="N1226" t="str">
        <f>IFERROR(VLOOKUP(B1226,'[1]All Player'!$B$2:$C$1992,2,0),"")</f>
        <v>Sayed Anowar Shanto</v>
      </c>
      <c r="O1226" s="2" t="s">
        <v>607</v>
      </c>
      <c r="P1226" s="16" t="s">
        <v>916</v>
      </c>
      <c r="Q1226" s="1">
        <f t="shared" si="45"/>
        <v>1</v>
      </c>
      <c r="R1226" s="1">
        <v>205</v>
      </c>
      <c r="U1226" s="8">
        <f t="shared" si="46"/>
        <v>43435</v>
      </c>
    </row>
    <row r="1227" spans="1:21" x14ac:dyDescent="0.25">
      <c r="A1227" s="2">
        <v>21</v>
      </c>
      <c r="B1227" t="s">
        <v>78</v>
      </c>
      <c r="C1227" s="2">
        <v>1</v>
      </c>
      <c r="D1227" s="2">
        <v>0</v>
      </c>
      <c r="E1227" s="2">
        <v>1</v>
      </c>
      <c r="F1227" s="2">
        <v>2</v>
      </c>
      <c r="G1227" s="2">
        <v>0</v>
      </c>
      <c r="H1227" s="2">
        <v>0</v>
      </c>
      <c r="I1227" s="2">
        <v>0</v>
      </c>
      <c r="J1227" s="1" t="s">
        <v>915</v>
      </c>
      <c r="M1227" t="s">
        <v>15</v>
      </c>
      <c r="N1227" t="str">
        <f>IFERROR(VLOOKUP(B1227,'[1]All Player'!$B$2:$C$1992,2,0),"")</f>
        <v>KM Rashedul Islam Rashed</v>
      </c>
      <c r="O1227" s="2" t="s">
        <v>607</v>
      </c>
      <c r="P1227" s="16" t="s">
        <v>916</v>
      </c>
      <c r="Q1227" s="1">
        <f t="shared" si="45"/>
        <v>1</v>
      </c>
      <c r="R1227" s="1">
        <v>205</v>
      </c>
      <c r="U1227" s="8">
        <f t="shared" si="46"/>
        <v>43435</v>
      </c>
    </row>
    <row r="1228" spans="1:21" x14ac:dyDescent="0.25">
      <c r="A1228" s="2">
        <v>21</v>
      </c>
      <c r="B1228" t="s">
        <v>221</v>
      </c>
      <c r="C1228" s="2">
        <v>3</v>
      </c>
      <c r="D1228" s="2">
        <v>55</v>
      </c>
      <c r="E1228" s="2">
        <v>2</v>
      </c>
      <c r="F1228" s="2">
        <v>5</v>
      </c>
      <c r="G1228" s="2" t="s">
        <v>917</v>
      </c>
      <c r="H1228" s="2">
        <v>4</v>
      </c>
      <c r="I1228" s="2">
        <v>5</v>
      </c>
      <c r="J1228" s="1" t="s">
        <v>915</v>
      </c>
      <c r="M1228" t="s">
        <v>15</v>
      </c>
      <c r="N1228" t="str">
        <f>IFERROR(VLOOKUP(B1228,'[1]All Player'!$B$2:$C$1992,2,0),"")</f>
        <v>Yahya Riyad</v>
      </c>
      <c r="O1228" s="2" t="s">
        <v>607</v>
      </c>
      <c r="P1228" s="16" t="s">
        <v>916</v>
      </c>
      <c r="Q1228" s="1">
        <f t="shared" si="45"/>
        <v>1</v>
      </c>
      <c r="R1228" s="1">
        <v>205</v>
      </c>
      <c r="U1228" s="8">
        <f t="shared" si="46"/>
        <v>43435</v>
      </c>
    </row>
    <row r="1229" spans="1:21" x14ac:dyDescent="0.25">
      <c r="A1229" s="2">
        <v>21</v>
      </c>
      <c r="B1229" t="s">
        <v>52</v>
      </c>
      <c r="C1229" s="2">
        <v>1</v>
      </c>
      <c r="D1229" s="2">
        <v>0</v>
      </c>
      <c r="E1229" s="2">
        <v>2</v>
      </c>
      <c r="F1229" s="2">
        <v>2</v>
      </c>
      <c r="G1229" s="2">
        <v>0</v>
      </c>
      <c r="H1229" s="2">
        <v>0</v>
      </c>
      <c r="I1229" s="2">
        <v>0</v>
      </c>
      <c r="J1229" s="1" t="s">
        <v>915</v>
      </c>
      <c r="M1229" t="s">
        <v>15</v>
      </c>
      <c r="N1229" t="str">
        <f>IFERROR(VLOOKUP(B1229,'[1]All Player'!$B$2:$C$1992,2,0),"")</f>
        <v>Mohammed Al Mamun</v>
      </c>
      <c r="O1229" s="2" t="s">
        <v>607</v>
      </c>
      <c r="P1229" s="16" t="s">
        <v>916</v>
      </c>
      <c r="Q1229" s="1">
        <f t="shared" si="45"/>
        <v>1</v>
      </c>
      <c r="R1229" s="1">
        <v>205</v>
      </c>
      <c r="U1229" s="8">
        <f t="shared" si="46"/>
        <v>43435</v>
      </c>
    </row>
    <row r="1230" spans="1:21" x14ac:dyDescent="0.25">
      <c r="A1230" s="2">
        <v>21</v>
      </c>
      <c r="B1230" s="17" t="s">
        <v>608</v>
      </c>
      <c r="J1230" s="1"/>
      <c r="M1230" t="s">
        <v>15</v>
      </c>
      <c r="N1230" t="str">
        <f>IFERROR(VLOOKUP(B1230,'[1]All Player'!$B$2:$C$1992,2,0),"")</f>
        <v/>
      </c>
      <c r="O1230" s="2" t="s">
        <v>607</v>
      </c>
      <c r="P1230" s="16" t="s">
        <v>608</v>
      </c>
      <c r="Q1230" s="1">
        <f t="shared" si="45"/>
        <v>1</v>
      </c>
      <c r="R1230" s="1">
        <v>206</v>
      </c>
      <c r="T1230" s="1" t="s">
        <v>659</v>
      </c>
      <c r="U1230" s="8">
        <f t="shared" si="46"/>
        <v>43435</v>
      </c>
    </row>
    <row r="1231" spans="1:21" x14ac:dyDescent="0.25">
      <c r="A1231" s="2">
        <v>21</v>
      </c>
      <c r="B1231" t="s">
        <v>148</v>
      </c>
      <c r="C1231" s="2">
        <v>7</v>
      </c>
      <c r="D1231" s="2">
        <v>93</v>
      </c>
      <c r="E1231" s="2">
        <v>13</v>
      </c>
      <c r="F1231" s="2">
        <v>9</v>
      </c>
      <c r="G1231" s="2">
        <v>0</v>
      </c>
      <c r="H1231" s="2">
        <v>9</v>
      </c>
      <c r="I1231" s="2">
        <v>7</v>
      </c>
      <c r="J1231" s="1">
        <v>1</v>
      </c>
      <c r="M1231" t="s">
        <v>15</v>
      </c>
      <c r="N1231" t="str">
        <f>IFERROR(VLOOKUP(B1231,'[1]All Player'!$B$2:$C$1992,2,0),"")</f>
        <v>AB Saaj</v>
      </c>
      <c r="O1231" s="2" t="s">
        <v>607</v>
      </c>
      <c r="P1231" s="16" t="s">
        <v>608</v>
      </c>
      <c r="Q1231" s="1">
        <f t="shared" si="45"/>
        <v>1</v>
      </c>
      <c r="R1231" s="1">
        <v>206</v>
      </c>
      <c r="T1231" s="1" t="s">
        <v>659</v>
      </c>
      <c r="U1231" s="8">
        <f t="shared" si="46"/>
        <v>43435</v>
      </c>
    </row>
    <row r="1232" spans="1:21" x14ac:dyDescent="0.25">
      <c r="A1232" s="2">
        <v>21</v>
      </c>
      <c r="B1232" t="s">
        <v>146</v>
      </c>
      <c r="C1232" s="2">
        <v>5</v>
      </c>
      <c r="D1232" s="2">
        <v>70</v>
      </c>
      <c r="E1232" s="2">
        <v>2</v>
      </c>
      <c r="F1232" s="2">
        <v>6</v>
      </c>
      <c r="G1232" s="2">
        <v>0</v>
      </c>
      <c r="H1232" s="2">
        <v>8</v>
      </c>
      <c r="I1232" s="2">
        <v>3</v>
      </c>
      <c r="J1232" s="1" t="s">
        <v>915</v>
      </c>
      <c r="M1232" t="s">
        <v>15</v>
      </c>
      <c r="N1232" t="str">
        <f>IFERROR(VLOOKUP(B1232,'[1]All Player'!$B$2:$C$1992,2,0),"")</f>
        <v>Nahid Saifullah</v>
      </c>
      <c r="O1232" s="2" t="s">
        <v>607</v>
      </c>
      <c r="P1232" s="16" t="s">
        <v>608</v>
      </c>
      <c r="Q1232" s="1">
        <f t="shared" si="45"/>
        <v>1</v>
      </c>
      <c r="R1232" s="1">
        <v>206</v>
      </c>
      <c r="T1232" s="1" t="s">
        <v>659</v>
      </c>
      <c r="U1232" s="8">
        <f t="shared" si="46"/>
        <v>43435</v>
      </c>
    </row>
    <row r="1233" spans="1:23" x14ac:dyDescent="0.25">
      <c r="A1233" s="2">
        <v>21</v>
      </c>
      <c r="B1233" t="s">
        <v>661</v>
      </c>
      <c r="C1233" s="2">
        <v>8</v>
      </c>
      <c r="D1233" s="2">
        <v>126</v>
      </c>
      <c r="E1233" s="2">
        <v>15</v>
      </c>
      <c r="F1233" s="2">
        <v>10</v>
      </c>
      <c r="G1233" s="2">
        <v>2</v>
      </c>
      <c r="H1233" s="2">
        <v>6</v>
      </c>
      <c r="I1233" s="2">
        <v>8</v>
      </c>
      <c r="J1233" s="1">
        <v>1</v>
      </c>
      <c r="M1233" t="s">
        <v>15</v>
      </c>
      <c r="N1233" t="str">
        <f>IFERROR(VLOOKUP(B1233,'[1]All Player'!$B$2:$C$1992,2,0),"")</f>
        <v>Sakhawat Hossain Shanto</v>
      </c>
      <c r="O1233" s="2" t="s">
        <v>607</v>
      </c>
      <c r="P1233" s="16" t="s">
        <v>608</v>
      </c>
      <c r="Q1233" s="1">
        <f t="shared" si="45"/>
        <v>1</v>
      </c>
      <c r="R1233" s="1">
        <v>206</v>
      </c>
      <c r="T1233" s="1" t="s">
        <v>659</v>
      </c>
      <c r="U1233" s="8">
        <f t="shared" si="46"/>
        <v>43435</v>
      </c>
      <c r="W1233" s="1">
        <v>1</v>
      </c>
    </row>
    <row r="1234" spans="1:23" x14ac:dyDescent="0.25">
      <c r="A1234" s="2">
        <v>21</v>
      </c>
      <c r="B1234" t="s">
        <v>403</v>
      </c>
      <c r="C1234" s="2">
        <v>8</v>
      </c>
      <c r="D1234" s="2">
        <v>214</v>
      </c>
      <c r="E1234" s="2">
        <v>9</v>
      </c>
      <c r="F1234" s="2">
        <v>14</v>
      </c>
      <c r="G1234" s="2">
        <v>4</v>
      </c>
      <c r="H1234" s="2">
        <v>12</v>
      </c>
      <c r="I1234" s="2">
        <v>14</v>
      </c>
      <c r="J1234" s="1" t="s">
        <v>915</v>
      </c>
      <c r="M1234" t="s">
        <v>15</v>
      </c>
      <c r="N1234" t="str">
        <f>IFERROR(VLOOKUP(B1234,'[1]All Player'!$B$2:$C$1992,2,0),"")</f>
        <v>Md Siyam Islam</v>
      </c>
      <c r="O1234" s="2" t="s">
        <v>607</v>
      </c>
      <c r="P1234" s="16" t="s">
        <v>608</v>
      </c>
      <c r="Q1234" s="1">
        <f t="shared" si="45"/>
        <v>1</v>
      </c>
      <c r="R1234" s="1">
        <v>206</v>
      </c>
      <c r="S1234" s="2" t="s">
        <v>658</v>
      </c>
      <c r="T1234" s="1" t="s">
        <v>659</v>
      </c>
      <c r="U1234" s="8">
        <f t="shared" si="46"/>
        <v>43435</v>
      </c>
    </row>
    <row r="1235" spans="1:23" x14ac:dyDescent="0.25">
      <c r="A1235" s="2">
        <v>21</v>
      </c>
      <c r="B1235" s="17" t="s">
        <v>918</v>
      </c>
      <c r="J1235" s="1"/>
      <c r="M1235" t="s">
        <v>15</v>
      </c>
      <c r="N1235" t="str">
        <f>IFERROR(VLOOKUP(B1235,'[1]All Player'!$B$2:$C$1992,2,0),"")</f>
        <v/>
      </c>
      <c r="O1235" s="2" t="s">
        <v>607</v>
      </c>
      <c r="P1235" s="16" t="s">
        <v>918</v>
      </c>
      <c r="Q1235" s="1">
        <f t="shared" si="45"/>
        <v>1</v>
      </c>
      <c r="R1235" s="1">
        <v>207</v>
      </c>
      <c r="U1235" s="8">
        <f t="shared" si="46"/>
        <v>43435</v>
      </c>
    </row>
    <row r="1236" spans="1:23" x14ac:dyDescent="0.25">
      <c r="A1236" s="2">
        <v>21</v>
      </c>
      <c r="B1236" t="s">
        <v>144</v>
      </c>
      <c r="C1236" s="2">
        <v>7</v>
      </c>
      <c r="D1236" s="2">
        <v>148</v>
      </c>
      <c r="E1236" s="2">
        <v>10</v>
      </c>
      <c r="F1236" s="2">
        <v>10</v>
      </c>
      <c r="G1236" s="2">
        <v>4</v>
      </c>
      <c r="H1236" s="2">
        <v>10</v>
      </c>
      <c r="I1236" s="2">
        <v>10</v>
      </c>
      <c r="J1236" s="1" t="s">
        <v>915</v>
      </c>
      <c r="M1236" t="s">
        <v>15</v>
      </c>
      <c r="N1236" t="str">
        <f>IFERROR(VLOOKUP(B1236,'[1]All Player'!$B$2:$C$1992,2,0),"")</f>
        <v>Toufiq Ahmed Ovi</v>
      </c>
      <c r="O1236" s="2" t="s">
        <v>607</v>
      </c>
      <c r="P1236" s="16" t="s">
        <v>918</v>
      </c>
      <c r="Q1236" s="1">
        <f t="shared" si="45"/>
        <v>1</v>
      </c>
      <c r="R1236" s="1">
        <v>207</v>
      </c>
      <c r="U1236" s="8">
        <f t="shared" si="46"/>
        <v>43435</v>
      </c>
    </row>
    <row r="1237" spans="1:23" x14ac:dyDescent="0.25">
      <c r="A1237" s="2">
        <v>21</v>
      </c>
      <c r="B1237" t="s">
        <v>64</v>
      </c>
      <c r="C1237" s="2">
        <v>6</v>
      </c>
      <c r="D1237" s="2">
        <v>74</v>
      </c>
      <c r="E1237" s="2">
        <v>12</v>
      </c>
      <c r="F1237" s="2">
        <v>10</v>
      </c>
      <c r="G1237" s="2">
        <v>1</v>
      </c>
      <c r="H1237" s="2">
        <v>4</v>
      </c>
      <c r="I1237" s="2">
        <v>6</v>
      </c>
      <c r="J1237" s="1" t="s">
        <v>915</v>
      </c>
      <c r="M1237" t="s">
        <v>15</v>
      </c>
      <c r="N1237" t="str">
        <f>IFERROR(VLOOKUP(B1237,'[1]All Player'!$B$2:$C$1992,2,0),"")</f>
        <v>Sumon Ab</v>
      </c>
      <c r="O1237" s="2" t="s">
        <v>607</v>
      </c>
      <c r="P1237" s="16" t="s">
        <v>918</v>
      </c>
      <c r="Q1237" s="1">
        <f t="shared" si="45"/>
        <v>1</v>
      </c>
      <c r="R1237" s="1">
        <v>207</v>
      </c>
      <c r="U1237" s="8">
        <f t="shared" si="46"/>
        <v>43435</v>
      </c>
    </row>
    <row r="1238" spans="1:23" x14ac:dyDescent="0.25">
      <c r="A1238" s="2">
        <v>21</v>
      </c>
      <c r="B1238" t="s">
        <v>76</v>
      </c>
      <c r="C1238" s="2">
        <v>3</v>
      </c>
      <c r="D1238" s="2">
        <v>33</v>
      </c>
      <c r="E1238" s="2">
        <v>2</v>
      </c>
      <c r="F1238" s="2">
        <v>3</v>
      </c>
      <c r="G1238" s="2">
        <v>1</v>
      </c>
      <c r="H1238" s="2">
        <v>3</v>
      </c>
      <c r="I1238" s="2">
        <v>2</v>
      </c>
      <c r="J1238" s="1" t="s">
        <v>915</v>
      </c>
      <c r="M1238" t="s">
        <v>15</v>
      </c>
      <c r="N1238" t="str">
        <f>IFERROR(VLOOKUP(B1238,'[1]All Player'!$B$2:$C$1992,2,0),"")</f>
        <v>Kamil Ahmed</v>
      </c>
      <c r="O1238" s="2" t="s">
        <v>607</v>
      </c>
      <c r="P1238" s="16" t="s">
        <v>918</v>
      </c>
      <c r="Q1238" s="1">
        <f t="shared" si="45"/>
        <v>1</v>
      </c>
      <c r="R1238" s="1">
        <v>207</v>
      </c>
      <c r="U1238" s="8">
        <f t="shared" si="46"/>
        <v>43435</v>
      </c>
    </row>
    <row r="1239" spans="1:23" x14ac:dyDescent="0.25">
      <c r="A1239" s="2">
        <v>21</v>
      </c>
      <c r="B1239" t="s">
        <v>126</v>
      </c>
      <c r="C1239" s="2">
        <v>6</v>
      </c>
      <c r="D1239" s="2">
        <v>104</v>
      </c>
      <c r="E1239" s="2">
        <v>9</v>
      </c>
      <c r="F1239" s="2">
        <v>8</v>
      </c>
      <c r="G1239" s="2">
        <v>0</v>
      </c>
      <c r="H1239" s="2">
        <v>14</v>
      </c>
      <c r="I1239" s="2">
        <v>6</v>
      </c>
      <c r="J1239" s="1" t="s">
        <v>915</v>
      </c>
      <c r="M1239" t="s">
        <v>15</v>
      </c>
      <c r="N1239" t="str">
        <f>IFERROR(VLOOKUP(B1239,'[1]All Player'!$B$2:$C$1992,2,0),"")</f>
        <v>M R Shakil</v>
      </c>
      <c r="O1239" s="2" t="s">
        <v>607</v>
      </c>
      <c r="P1239" s="16" t="s">
        <v>918</v>
      </c>
      <c r="Q1239" s="1">
        <f t="shared" si="45"/>
        <v>1</v>
      </c>
      <c r="R1239" s="1">
        <v>207</v>
      </c>
      <c r="U1239" s="8">
        <f t="shared" si="46"/>
        <v>43435</v>
      </c>
    </row>
    <row r="1240" spans="1:23" x14ac:dyDescent="0.25">
      <c r="A1240" s="2">
        <v>21</v>
      </c>
      <c r="B1240" s="17" t="s">
        <v>919</v>
      </c>
      <c r="J1240" s="1"/>
      <c r="M1240" t="s">
        <v>15</v>
      </c>
      <c r="N1240" t="str">
        <f>IFERROR(VLOOKUP(B1240,'[1]All Player'!$B$2:$C$1992,2,0),"")</f>
        <v/>
      </c>
      <c r="O1240" s="2" t="s">
        <v>607</v>
      </c>
      <c r="P1240" s="16" t="s">
        <v>919</v>
      </c>
      <c r="Q1240" s="1">
        <f t="shared" si="45"/>
        <v>1</v>
      </c>
      <c r="R1240" s="1">
        <v>208</v>
      </c>
      <c r="U1240" s="8">
        <f t="shared" si="46"/>
        <v>43435</v>
      </c>
    </row>
    <row r="1241" spans="1:23" x14ac:dyDescent="0.25">
      <c r="A1241" s="2">
        <v>21</v>
      </c>
      <c r="B1241" t="s">
        <v>85</v>
      </c>
      <c r="C1241" s="2">
        <v>5</v>
      </c>
      <c r="D1241" s="2">
        <v>132</v>
      </c>
      <c r="E1241" s="2">
        <v>12</v>
      </c>
      <c r="F1241" s="2">
        <v>11</v>
      </c>
      <c r="G1241" s="2">
        <v>0</v>
      </c>
      <c r="H1241" s="2">
        <v>8</v>
      </c>
      <c r="I1241" s="2">
        <v>7</v>
      </c>
      <c r="J1241" s="1">
        <v>1</v>
      </c>
      <c r="M1241" t="s">
        <v>15</v>
      </c>
      <c r="N1241" t="str">
        <f>IFERROR(VLOOKUP(B1241,'[1]All Player'!$B$2:$C$1992,2,0),"")</f>
        <v>Asik Hassan Tonmoy</v>
      </c>
      <c r="O1241" s="2" t="s">
        <v>607</v>
      </c>
      <c r="P1241" s="16" t="s">
        <v>919</v>
      </c>
      <c r="Q1241" s="1">
        <f t="shared" si="45"/>
        <v>1</v>
      </c>
      <c r="R1241" s="1">
        <v>208</v>
      </c>
      <c r="U1241" s="8">
        <f t="shared" si="46"/>
        <v>43435</v>
      </c>
    </row>
    <row r="1242" spans="1:23" x14ac:dyDescent="0.25">
      <c r="A1242" s="2">
        <v>21</v>
      </c>
      <c r="B1242" t="s">
        <v>132</v>
      </c>
      <c r="C1242" s="2">
        <v>4</v>
      </c>
      <c r="D1242" s="2">
        <v>17</v>
      </c>
      <c r="E1242" s="2">
        <v>5</v>
      </c>
      <c r="F1242" s="2">
        <v>7</v>
      </c>
      <c r="G1242" s="2">
        <v>1</v>
      </c>
      <c r="H1242" s="2">
        <v>1</v>
      </c>
      <c r="I1242" s="2">
        <v>1</v>
      </c>
      <c r="J1242" s="1" t="s">
        <v>915</v>
      </c>
      <c r="M1242" t="s">
        <v>15</v>
      </c>
      <c r="N1242" t="str">
        <f>IFERROR(VLOOKUP(B1242,'[1]All Player'!$B$2:$C$1992,2,0),"")</f>
        <v>ShiShir Hossain</v>
      </c>
      <c r="O1242" s="2" t="s">
        <v>607</v>
      </c>
      <c r="P1242" s="16" t="s">
        <v>919</v>
      </c>
      <c r="Q1242" s="1">
        <f t="shared" si="45"/>
        <v>1</v>
      </c>
      <c r="R1242" s="1">
        <v>208</v>
      </c>
      <c r="U1242" s="8">
        <f t="shared" si="46"/>
        <v>43435</v>
      </c>
    </row>
    <row r="1243" spans="1:23" x14ac:dyDescent="0.25">
      <c r="A1243" s="2">
        <v>21</v>
      </c>
      <c r="B1243" t="s">
        <v>124</v>
      </c>
      <c r="C1243" s="2">
        <v>4</v>
      </c>
      <c r="D1243" s="2">
        <v>30</v>
      </c>
      <c r="E1243" s="2">
        <v>2</v>
      </c>
      <c r="F1243" s="2">
        <v>5</v>
      </c>
      <c r="G1243" s="2">
        <v>1</v>
      </c>
      <c r="H1243" s="2">
        <v>0</v>
      </c>
      <c r="I1243" s="2">
        <v>4</v>
      </c>
      <c r="J1243" s="1" t="s">
        <v>915</v>
      </c>
      <c r="M1243" t="s">
        <v>15</v>
      </c>
      <c r="N1243" t="str">
        <f>IFERROR(VLOOKUP(B1243,'[1]All Player'!$B$2:$C$1992,2,0),"")</f>
        <v>Mahbubur Rahman Akash</v>
      </c>
      <c r="O1243" s="2" t="s">
        <v>607</v>
      </c>
      <c r="P1243" s="16" t="s">
        <v>919</v>
      </c>
      <c r="Q1243" s="1">
        <f t="shared" si="45"/>
        <v>1</v>
      </c>
      <c r="R1243" s="1">
        <v>208</v>
      </c>
      <c r="U1243" s="8">
        <f t="shared" si="46"/>
        <v>43435</v>
      </c>
    </row>
    <row r="1244" spans="1:23" x14ac:dyDescent="0.25">
      <c r="A1244" s="2">
        <v>21</v>
      </c>
      <c r="B1244" t="s">
        <v>140</v>
      </c>
      <c r="C1244" s="2">
        <v>5</v>
      </c>
      <c r="D1244" s="2">
        <v>61</v>
      </c>
      <c r="E1244" s="2">
        <v>4</v>
      </c>
      <c r="F1244" s="2">
        <v>7</v>
      </c>
      <c r="G1244" s="2">
        <v>0</v>
      </c>
      <c r="H1244" s="2">
        <v>2</v>
      </c>
      <c r="I1244" s="2">
        <v>5</v>
      </c>
      <c r="J1244" s="1" t="s">
        <v>915</v>
      </c>
      <c r="M1244" t="s">
        <v>15</v>
      </c>
      <c r="N1244" t="str">
        <f>IFERROR(VLOOKUP(B1244,'[1]All Player'!$B$2:$C$1992,2,0),"")</f>
        <v>Monowar Hossain Munna</v>
      </c>
      <c r="O1244" s="2" t="s">
        <v>607</v>
      </c>
      <c r="P1244" s="16" t="s">
        <v>919</v>
      </c>
      <c r="Q1244" s="1">
        <f t="shared" si="45"/>
        <v>1</v>
      </c>
      <c r="R1244" s="1">
        <v>208</v>
      </c>
      <c r="U1244" s="8">
        <f t="shared" si="46"/>
        <v>43435</v>
      </c>
    </row>
    <row r="1245" spans="1:23" x14ac:dyDescent="0.25">
      <c r="A1245" s="2">
        <v>21</v>
      </c>
      <c r="B1245" s="17" t="s">
        <v>920</v>
      </c>
      <c r="J1245" s="1"/>
      <c r="M1245" t="s">
        <v>15</v>
      </c>
      <c r="N1245" t="str">
        <f>IFERROR(VLOOKUP(B1245,'[1]All Player'!$B$2:$C$1992,2,0),"")</f>
        <v/>
      </c>
      <c r="O1245" s="2" t="s">
        <v>607</v>
      </c>
      <c r="P1245" s="16" t="s">
        <v>920</v>
      </c>
      <c r="Q1245" s="1">
        <f t="shared" si="45"/>
        <v>1</v>
      </c>
      <c r="R1245" s="1">
        <v>209</v>
      </c>
      <c r="T1245" s="1" t="s">
        <v>657</v>
      </c>
      <c r="U1245" s="8">
        <f t="shared" si="46"/>
        <v>43435</v>
      </c>
    </row>
    <row r="1246" spans="1:23" x14ac:dyDescent="0.25">
      <c r="A1246" s="2">
        <v>21</v>
      </c>
      <c r="B1246" t="s">
        <v>114</v>
      </c>
      <c r="C1246" s="2">
        <v>7</v>
      </c>
      <c r="D1246" s="2">
        <v>112</v>
      </c>
      <c r="E1246" s="2">
        <v>8</v>
      </c>
      <c r="F1246" s="2">
        <v>12</v>
      </c>
      <c r="G1246" s="2">
        <v>2</v>
      </c>
      <c r="H1246" s="2">
        <v>7</v>
      </c>
      <c r="I1246" s="2">
        <v>7</v>
      </c>
      <c r="J1246" s="1" t="s">
        <v>915</v>
      </c>
      <c r="M1246" t="s">
        <v>15</v>
      </c>
      <c r="N1246" t="str">
        <f>IFERROR(VLOOKUP(B1246,'[1]All Player'!$B$2:$C$1992,2,0),"")</f>
        <v>Tanvir Shakib</v>
      </c>
      <c r="O1246" s="2" t="s">
        <v>607</v>
      </c>
      <c r="P1246" s="16" t="s">
        <v>920</v>
      </c>
      <c r="Q1246" s="1">
        <f t="shared" si="45"/>
        <v>1</v>
      </c>
      <c r="R1246" s="1">
        <v>209</v>
      </c>
      <c r="T1246" s="1" t="s">
        <v>657</v>
      </c>
      <c r="U1246" s="8">
        <f t="shared" si="46"/>
        <v>43435</v>
      </c>
    </row>
    <row r="1247" spans="1:23" x14ac:dyDescent="0.25">
      <c r="A1247" s="2">
        <v>21</v>
      </c>
      <c r="B1247" t="s">
        <v>138</v>
      </c>
      <c r="C1247" s="2">
        <v>8</v>
      </c>
      <c r="D1247" s="2">
        <v>51</v>
      </c>
      <c r="E1247" s="2">
        <v>7</v>
      </c>
      <c r="F1247" s="2">
        <v>9</v>
      </c>
      <c r="G1247" s="2">
        <v>2</v>
      </c>
      <c r="H1247" s="2">
        <v>6</v>
      </c>
      <c r="I1247" s="2">
        <v>2</v>
      </c>
      <c r="J1247" s="1" t="s">
        <v>915</v>
      </c>
      <c r="M1247" t="s">
        <v>15</v>
      </c>
      <c r="N1247" t="str">
        <f>IFERROR(VLOOKUP(B1247,'[1]All Player'!$B$2:$C$1992,2,0),"")</f>
        <v>Asif Iqbal Khan</v>
      </c>
      <c r="O1247" s="2" t="s">
        <v>607</v>
      </c>
      <c r="P1247" s="16" t="s">
        <v>920</v>
      </c>
      <c r="Q1247" s="1">
        <f t="shared" si="45"/>
        <v>1</v>
      </c>
      <c r="R1247" s="1">
        <v>209</v>
      </c>
      <c r="T1247" s="1" t="s">
        <v>657</v>
      </c>
      <c r="U1247" s="8">
        <f t="shared" si="46"/>
        <v>43435</v>
      </c>
    </row>
    <row r="1248" spans="1:23" x14ac:dyDescent="0.25">
      <c r="A1248" s="2">
        <v>21</v>
      </c>
      <c r="B1248" t="s">
        <v>136</v>
      </c>
      <c r="C1248" s="2">
        <v>8</v>
      </c>
      <c r="D1248" s="2">
        <v>111</v>
      </c>
      <c r="E1248" s="2">
        <v>15</v>
      </c>
      <c r="F1248" s="2">
        <v>11</v>
      </c>
      <c r="G1248" s="2">
        <v>1</v>
      </c>
      <c r="H1248" s="2">
        <v>10</v>
      </c>
      <c r="I1248" s="2">
        <v>7</v>
      </c>
      <c r="J1248" s="1" t="s">
        <v>915</v>
      </c>
      <c r="M1248" t="s">
        <v>15</v>
      </c>
      <c r="N1248" t="str">
        <f>IFERROR(VLOOKUP(B1248,'[1]All Player'!$B$2:$C$1992,2,0),"")</f>
        <v>MD Kamal Hossain Kamal</v>
      </c>
      <c r="O1248" s="2" t="s">
        <v>607</v>
      </c>
      <c r="P1248" s="16" t="s">
        <v>920</v>
      </c>
      <c r="Q1248" s="1">
        <f t="shared" si="45"/>
        <v>1</v>
      </c>
      <c r="R1248" s="1">
        <v>209</v>
      </c>
      <c r="T1248" s="1" t="s">
        <v>657</v>
      </c>
      <c r="U1248" s="8">
        <f t="shared" si="46"/>
        <v>43435</v>
      </c>
      <c r="W1248" s="1">
        <v>1</v>
      </c>
    </row>
    <row r="1249" spans="1:22" x14ac:dyDescent="0.25">
      <c r="A1249" s="2">
        <v>21</v>
      </c>
      <c r="B1249" t="s">
        <v>195</v>
      </c>
      <c r="C1249" s="2">
        <v>8</v>
      </c>
      <c r="D1249" s="2">
        <v>217</v>
      </c>
      <c r="E1249" s="2">
        <v>12</v>
      </c>
      <c r="F1249" s="2">
        <v>11</v>
      </c>
      <c r="G1249" s="2">
        <v>1</v>
      </c>
      <c r="H1249" s="2">
        <v>22</v>
      </c>
      <c r="I1249" s="2">
        <v>12</v>
      </c>
      <c r="J1249" s="1" t="s">
        <v>915</v>
      </c>
      <c r="M1249" t="s">
        <v>15</v>
      </c>
      <c r="N1249" t="str">
        <f>IFERROR(VLOOKUP(B1249,'[1]All Player'!$B$2:$C$1992,2,0),"")</f>
        <v>Hj Himel</v>
      </c>
      <c r="O1249" s="2" t="s">
        <v>607</v>
      </c>
      <c r="P1249" s="16" t="s">
        <v>920</v>
      </c>
      <c r="Q1249" s="1">
        <f t="shared" si="45"/>
        <v>1</v>
      </c>
      <c r="R1249" s="1">
        <v>209</v>
      </c>
      <c r="S1249" s="2" t="s">
        <v>660</v>
      </c>
      <c r="T1249" s="1" t="s">
        <v>657</v>
      </c>
      <c r="U1249" s="8">
        <f t="shared" si="46"/>
        <v>43435</v>
      </c>
      <c r="V1249" s="1">
        <v>1</v>
      </c>
    </row>
    <row r="1250" spans="1:22" x14ac:dyDescent="0.25">
      <c r="A1250" s="2">
        <v>21</v>
      </c>
      <c r="B1250" s="17" t="s">
        <v>921</v>
      </c>
      <c r="J1250" s="1"/>
      <c r="M1250" t="s">
        <v>15</v>
      </c>
      <c r="N1250" t="str">
        <f>IFERROR(VLOOKUP(B1250,'[1]All Player'!$B$2:$C$1992,2,0),"")</f>
        <v/>
      </c>
      <c r="O1250" s="2" t="s">
        <v>607</v>
      </c>
      <c r="P1250" s="16" t="s">
        <v>921</v>
      </c>
      <c r="Q1250" s="1">
        <f t="shared" si="45"/>
        <v>1</v>
      </c>
      <c r="R1250" s="1">
        <v>210</v>
      </c>
      <c r="U1250" s="8">
        <f t="shared" si="46"/>
        <v>43435</v>
      </c>
    </row>
    <row r="1251" spans="1:22" x14ac:dyDescent="0.25">
      <c r="A1251" s="2">
        <v>21</v>
      </c>
      <c r="B1251" t="s">
        <v>95</v>
      </c>
      <c r="C1251" s="2">
        <v>6</v>
      </c>
      <c r="D1251" s="2">
        <v>86</v>
      </c>
      <c r="E1251" s="2">
        <v>11</v>
      </c>
      <c r="F1251" s="2">
        <v>11</v>
      </c>
      <c r="G1251" s="2">
        <v>0</v>
      </c>
      <c r="H1251" s="2">
        <v>9</v>
      </c>
      <c r="I1251" s="2">
        <v>5</v>
      </c>
      <c r="J1251" s="1" t="s">
        <v>915</v>
      </c>
      <c r="M1251" t="s">
        <v>15</v>
      </c>
      <c r="N1251" t="str">
        <f>IFERROR(VLOOKUP(B1251,'[1]All Player'!$B$2:$C$1992,2,0),"")</f>
        <v>Sadrul Anam</v>
      </c>
      <c r="O1251" s="26" t="s">
        <v>607</v>
      </c>
      <c r="P1251" s="16" t="s">
        <v>921</v>
      </c>
      <c r="Q1251" s="1">
        <f t="shared" si="45"/>
        <v>1</v>
      </c>
      <c r="R1251" s="1">
        <v>210</v>
      </c>
      <c r="U1251" s="8">
        <f t="shared" si="46"/>
        <v>43435</v>
      </c>
    </row>
    <row r="1252" spans="1:22" x14ac:dyDescent="0.25">
      <c r="A1252" s="2">
        <v>21</v>
      </c>
      <c r="B1252" t="s">
        <v>171</v>
      </c>
      <c r="C1252" s="2">
        <v>6</v>
      </c>
      <c r="D1252" s="2">
        <v>54</v>
      </c>
      <c r="E1252" s="2">
        <v>5</v>
      </c>
      <c r="F1252" s="2">
        <v>6</v>
      </c>
      <c r="G1252" s="2">
        <v>21</v>
      </c>
      <c r="H1252" s="2">
        <v>4</v>
      </c>
      <c r="I1252" s="2">
        <v>4</v>
      </c>
      <c r="J1252" s="1" t="s">
        <v>915</v>
      </c>
      <c r="M1252" t="s">
        <v>15</v>
      </c>
      <c r="N1252" t="str">
        <f>IFERROR(VLOOKUP(B1252,'[1]All Player'!$B$2:$C$1992,2,0),"")</f>
        <v>Md. Ruhin</v>
      </c>
      <c r="O1252" s="2" t="s">
        <v>607</v>
      </c>
      <c r="P1252" s="16" t="s">
        <v>921</v>
      </c>
      <c r="Q1252" s="1">
        <f t="shared" si="45"/>
        <v>1</v>
      </c>
      <c r="R1252" s="1">
        <v>210</v>
      </c>
      <c r="U1252" s="8">
        <f t="shared" si="46"/>
        <v>43435</v>
      </c>
    </row>
    <row r="1253" spans="1:22" x14ac:dyDescent="0.25">
      <c r="A1253" s="2">
        <v>21</v>
      </c>
      <c r="B1253" t="s">
        <v>400</v>
      </c>
      <c r="C1253" s="2">
        <v>7</v>
      </c>
      <c r="D1253" s="2">
        <v>101</v>
      </c>
      <c r="E1253" s="2">
        <v>9</v>
      </c>
      <c r="F1253" s="2">
        <v>12</v>
      </c>
      <c r="G1253" s="2">
        <v>0</v>
      </c>
      <c r="H1253" s="2">
        <v>4</v>
      </c>
      <c r="I1253" s="2">
        <v>5</v>
      </c>
      <c r="J1253" s="1" t="s">
        <v>915</v>
      </c>
      <c r="M1253" t="s">
        <v>15</v>
      </c>
      <c r="N1253" t="str">
        <f>IFERROR(VLOOKUP(B1253,'[1]All Player'!$B$2:$C$1992,2,0),"")</f>
        <v>Obak Roxy</v>
      </c>
      <c r="O1253" s="2" t="s">
        <v>607</v>
      </c>
      <c r="P1253" s="16" t="s">
        <v>921</v>
      </c>
      <c r="Q1253" s="1">
        <f t="shared" si="45"/>
        <v>1</v>
      </c>
      <c r="R1253" s="1">
        <v>210</v>
      </c>
      <c r="U1253" s="8">
        <f t="shared" si="46"/>
        <v>43435</v>
      </c>
    </row>
    <row r="1254" spans="1:22" x14ac:dyDescent="0.25">
      <c r="A1254" s="2">
        <v>21</v>
      </c>
      <c r="B1254" t="s">
        <v>398</v>
      </c>
      <c r="C1254" s="2">
        <v>7</v>
      </c>
      <c r="D1254" s="2">
        <v>111</v>
      </c>
      <c r="E1254" s="2">
        <v>9</v>
      </c>
      <c r="F1254" s="2">
        <v>9</v>
      </c>
      <c r="G1254" s="2">
        <v>1</v>
      </c>
      <c r="H1254" s="2">
        <v>8</v>
      </c>
      <c r="I1254" s="2">
        <v>9</v>
      </c>
      <c r="J1254" s="1" t="s">
        <v>915</v>
      </c>
      <c r="M1254" t="s">
        <v>15</v>
      </c>
      <c r="N1254" t="str">
        <f>IFERROR(VLOOKUP(B1254,'[1]All Player'!$B$2:$C$1992,2,0),"")</f>
        <v>Ahmad Saykat (Mohammad Sheikh Farid Uddin)</v>
      </c>
      <c r="O1254" s="2" t="s">
        <v>607</v>
      </c>
      <c r="P1254" s="16" t="s">
        <v>921</v>
      </c>
      <c r="Q1254" s="1">
        <f t="shared" si="45"/>
        <v>1</v>
      </c>
      <c r="R1254" s="1">
        <v>210</v>
      </c>
      <c r="U1254" s="8">
        <f t="shared" si="46"/>
        <v>43435</v>
      </c>
    </row>
    <row r="1255" spans="1:22" x14ac:dyDescent="0.25">
      <c r="A1255" s="2">
        <v>20</v>
      </c>
      <c r="B1255" s="17" t="s">
        <v>614</v>
      </c>
      <c r="J1255" s="1"/>
      <c r="M1255" t="s">
        <v>15</v>
      </c>
      <c r="N1255" t="str">
        <f>IFERROR(VLOOKUP(B1255,'[1]All Player'!$B$2:$C$1992,2,0),"")</f>
        <v/>
      </c>
      <c r="O1255" s="2" t="s">
        <v>513</v>
      </c>
      <c r="P1255" s="16" t="s">
        <v>614</v>
      </c>
      <c r="Q1255" s="1">
        <f t="shared" si="45"/>
        <v>1</v>
      </c>
      <c r="R1255" s="1">
        <v>211</v>
      </c>
      <c r="U1255" s="8">
        <f t="shared" si="46"/>
        <v>43435</v>
      </c>
    </row>
    <row r="1256" spans="1:22" x14ac:dyDescent="0.25">
      <c r="A1256" s="2">
        <v>20</v>
      </c>
      <c r="B1256" t="s">
        <v>136</v>
      </c>
      <c r="C1256" s="2">
        <v>3</v>
      </c>
      <c r="D1256" s="2">
        <v>49</v>
      </c>
      <c r="E1256" s="2">
        <v>4</v>
      </c>
      <c r="F1256" s="2">
        <v>6</v>
      </c>
      <c r="G1256" s="2">
        <v>0</v>
      </c>
      <c r="H1256" s="2">
        <v>2</v>
      </c>
      <c r="I1256" s="2">
        <v>4</v>
      </c>
      <c r="J1256" s="1"/>
      <c r="M1256" t="s">
        <v>15</v>
      </c>
      <c r="N1256" t="str">
        <f>IFERROR(VLOOKUP(B1256,'[1]All Player'!$B$2:$C$1992,2,0),"")</f>
        <v>MD Kamal Hossain Kamal</v>
      </c>
      <c r="O1256" s="2" t="s">
        <v>513</v>
      </c>
      <c r="P1256" s="16" t="s">
        <v>614</v>
      </c>
      <c r="Q1256" s="1">
        <f t="shared" si="45"/>
        <v>1</v>
      </c>
      <c r="R1256" s="1">
        <v>211</v>
      </c>
      <c r="U1256" s="8">
        <f t="shared" si="46"/>
        <v>43435</v>
      </c>
    </row>
    <row r="1257" spans="1:22" x14ac:dyDescent="0.25">
      <c r="A1257" s="2">
        <v>20</v>
      </c>
      <c r="B1257" t="s">
        <v>122</v>
      </c>
      <c r="C1257" s="2">
        <v>2</v>
      </c>
      <c r="D1257" s="2">
        <v>41</v>
      </c>
      <c r="E1257" s="2">
        <v>2</v>
      </c>
      <c r="F1257" s="2">
        <v>3</v>
      </c>
      <c r="G1257" s="2">
        <v>0</v>
      </c>
      <c r="H1257" s="2">
        <v>4</v>
      </c>
      <c r="I1257" s="2">
        <v>2</v>
      </c>
      <c r="J1257" s="1"/>
      <c r="M1257" t="s">
        <v>15</v>
      </c>
      <c r="N1257" t="str">
        <f>IFERROR(VLOOKUP(B1257,'[1]All Player'!$B$2:$C$1992,2,0),"")</f>
        <v>Towkir Ahmed Siddique</v>
      </c>
      <c r="O1257" s="2" t="s">
        <v>513</v>
      </c>
      <c r="P1257" s="16" t="s">
        <v>614</v>
      </c>
      <c r="Q1257" s="1">
        <f t="shared" si="45"/>
        <v>1</v>
      </c>
      <c r="R1257" s="1">
        <v>211</v>
      </c>
      <c r="U1257" s="8">
        <f t="shared" si="46"/>
        <v>43435</v>
      </c>
    </row>
    <row r="1258" spans="1:22" x14ac:dyDescent="0.25">
      <c r="A1258" s="2">
        <v>20</v>
      </c>
      <c r="B1258" t="s">
        <v>66</v>
      </c>
      <c r="C1258" s="2">
        <v>3</v>
      </c>
      <c r="D1258" s="2">
        <v>5</v>
      </c>
      <c r="E1258" s="2">
        <v>2</v>
      </c>
      <c r="F1258" s="2">
        <v>6</v>
      </c>
      <c r="G1258" s="2">
        <v>0</v>
      </c>
      <c r="H1258" s="2">
        <v>1</v>
      </c>
      <c r="I1258" s="2">
        <v>0</v>
      </c>
      <c r="J1258" s="1"/>
      <c r="M1258" t="s">
        <v>15</v>
      </c>
      <c r="N1258" t="str">
        <f>IFERROR(VLOOKUP(B1258,'[1]All Player'!$B$2:$C$1992,2,0),"")</f>
        <v>Ahmad Sakib Abdullah</v>
      </c>
      <c r="O1258" s="2" t="s">
        <v>513</v>
      </c>
      <c r="P1258" s="16" t="s">
        <v>614</v>
      </c>
      <c r="Q1258" s="1">
        <f t="shared" si="45"/>
        <v>1</v>
      </c>
      <c r="R1258" s="1">
        <v>211</v>
      </c>
      <c r="U1258" s="8">
        <f t="shared" si="46"/>
        <v>43435</v>
      </c>
    </row>
    <row r="1259" spans="1:22" x14ac:dyDescent="0.25">
      <c r="A1259" s="2">
        <v>20</v>
      </c>
      <c r="B1259" t="s">
        <v>418</v>
      </c>
      <c r="C1259" s="2">
        <v>3</v>
      </c>
      <c r="D1259" s="2">
        <v>13</v>
      </c>
      <c r="E1259" s="2">
        <v>1</v>
      </c>
      <c r="F1259" s="2">
        <v>4</v>
      </c>
      <c r="G1259" s="2">
        <v>0</v>
      </c>
      <c r="H1259" s="2">
        <v>1</v>
      </c>
      <c r="I1259" s="2">
        <v>0</v>
      </c>
      <c r="J1259" s="1"/>
      <c r="M1259" t="s">
        <v>15</v>
      </c>
      <c r="N1259" t="str">
        <f>IFERROR(VLOOKUP(B1259,'[1]All Player'!$B$2:$C$1992,2,0),"")</f>
        <v>Rifat Al Hasan</v>
      </c>
      <c r="O1259" s="2" t="s">
        <v>513</v>
      </c>
      <c r="P1259" s="16" t="s">
        <v>614</v>
      </c>
      <c r="Q1259" s="1">
        <f t="shared" si="45"/>
        <v>1</v>
      </c>
      <c r="R1259" s="1">
        <v>211</v>
      </c>
      <c r="U1259" s="8">
        <f t="shared" si="46"/>
        <v>43435</v>
      </c>
    </row>
    <row r="1260" spans="1:22" x14ac:dyDescent="0.25">
      <c r="A1260" s="2">
        <v>20</v>
      </c>
      <c r="B1260" s="17" t="s">
        <v>922</v>
      </c>
      <c r="J1260" s="1"/>
      <c r="M1260" t="s">
        <v>15</v>
      </c>
      <c r="N1260" t="str">
        <f>IFERROR(VLOOKUP(B1260,'[1]All Player'!$B$2:$C$1992,2,0),"")</f>
        <v/>
      </c>
      <c r="O1260" s="2" t="s">
        <v>513</v>
      </c>
      <c r="P1260" s="16" t="s">
        <v>922</v>
      </c>
      <c r="Q1260" s="1">
        <f t="shared" si="45"/>
        <v>1</v>
      </c>
      <c r="R1260" s="1">
        <v>212</v>
      </c>
      <c r="U1260" s="8">
        <f t="shared" si="46"/>
        <v>43435</v>
      </c>
    </row>
    <row r="1261" spans="1:22" x14ac:dyDescent="0.25">
      <c r="A1261" s="2">
        <v>20</v>
      </c>
      <c r="B1261" t="s">
        <v>173</v>
      </c>
      <c r="C1261" s="2">
        <v>4</v>
      </c>
      <c r="D1261" s="2">
        <v>44</v>
      </c>
      <c r="E1261" s="2">
        <v>7</v>
      </c>
      <c r="F1261" s="2">
        <v>6</v>
      </c>
      <c r="G1261" s="2">
        <v>0</v>
      </c>
      <c r="H1261" s="2">
        <v>2</v>
      </c>
      <c r="I1261" s="2">
        <v>2</v>
      </c>
      <c r="J1261" s="1"/>
      <c r="M1261" t="s">
        <v>15</v>
      </c>
      <c r="N1261" t="str">
        <f>IFERROR(VLOOKUP(B1261,'[1]All Player'!$B$2:$C$1992,2,0),"")</f>
        <v>Sajjadul Haque Sagar</v>
      </c>
      <c r="O1261" s="2" t="s">
        <v>513</v>
      </c>
      <c r="P1261" s="16" t="s">
        <v>922</v>
      </c>
      <c r="Q1261" s="1">
        <f t="shared" si="45"/>
        <v>1</v>
      </c>
      <c r="R1261" s="1">
        <v>212</v>
      </c>
      <c r="U1261" s="8">
        <f t="shared" si="46"/>
        <v>43435</v>
      </c>
    </row>
    <row r="1262" spans="1:22" x14ac:dyDescent="0.25">
      <c r="A1262" s="2">
        <v>20</v>
      </c>
      <c r="B1262" t="s">
        <v>38</v>
      </c>
      <c r="C1262" s="2">
        <v>1</v>
      </c>
      <c r="D1262" s="2">
        <v>6</v>
      </c>
      <c r="E1262" s="2">
        <v>0</v>
      </c>
      <c r="F1262" s="2">
        <v>1</v>
      </c>
      <c r="G1262" s="2">
        <v>0</v>
      </c>
      <c r="H1262" s="2">
        <v>0</v>
      </c>
      <c r="I1262" s="2">
        <v>1</v>
      </c>
      <c r="J1262" s="1"/>
      <c r="M1262" t="s">
        <v>15</v>
      </c>
      <c r="N1262" t="str">
        <f>IFERROR(VLOOKUP(B1262,'[1]All Player'!$B$2:$C$1992,2,0),"")</f>
        <v>Rayhan Rahman</v>
      </c>
      <c r="O1262" s="2" t="s">
        <v>513</v>
      </c>
      <c r="P1262" s="16" t="s">
        <v>922</v>
      </c>
      <c r="Q1262" s="1">
        <f t="shared" si="45"/>
        <v>1</v>
      </c>
      <c r="R1262" s="1">
        <v>212</v>
      </c>
      <c r="U1262" s="8">
        <f t="shared" si="46"/>
        <v>43435</v>
      </c>
    </row>
    <row r="1263" spans="1:22" x14ac:dyDescent="0.25">
      <c r="A1263" s="2">
        <v>20</v>
      </c>
      <c r="B1263" t="s">
        <v>33</v>
      </c>
      <c r="C1263" s="2">
        <v>4</v>
      </c>
      <c r="D1263" s="2">
        <v>49</v>
      </c>
      <c r="E1263" s="2">
        <v>7</v>
      </c>
      <c r="F1263" s="2">
        <v>5</v>
      </c>
      <c r="G1263" s="2">
        <v>0</v>
      </c>
      <c r="H1263" s="2">
        <v>4</v>
      </c>
      <c r="I1263" s="2">
        <v>2</v>
      </c>
      <c r="J1263" s="1"/>
      <c r="M1263" t="s">
        <v>15</v>
      </c>
      <c r="N1263" t="str">
        <f>IFERROR(VLOOKUP(B1263,'[1]All Player'!$B$2:$C$1992,2,0),"")</f>
        <v>Rakib Hasan</v>
      </c>
      <c r="O1263" s="2" t="s">
        <v>513</v>
      </c>
      <c r="P1263" s="16" t="s">
        <v>922</v>
      </c>
      <c r="Q1263" s="1">
        <f t="shared" si="45"/>
        <v>1</v>
      </c>
      <c r="R1263" s="1">
        <v>212</v>
      </c>
      <c r="U1263" s="8">
        <f t="shared" si="46"/>
        <v>43435</v>
      </c>
    </row>
    <row r="1264" spans="1:22" x14ac:dyDescent="0.25">
      <c r="A1264" s="2">
        <v>20</v>
      </c>
      <c r="B1264" t="s">
        <v>364</v>
      </c>
      <c r="C1264" s="2">
        <v>3</v>
      </c>
      <c r="D1264" s="2">
        <v>12</v>
      </c>
      <c r="E1264" s="2">
        <v>2</v>
      </c>
      <c r="F1264" s="2">
        <v>5</v>
      </c>
      <c r="G1264" s="2">
        <v>0</v>
      </c>
      <c r="H1264" s="2">
        <v>0</v>
      </c>
      <c r="I1264" s="2">
        <v>1</v>
      </c>
      <c r="J1264" s="1"/>
      <c r="M1264" t="s">
        <v>15</v>
      </c>
      <c r="N1264" t="str">
        <f>IFERROR(VLOOKUP(B1264,'[1]All Player'!$B$2:$C$1992,2,0),"")</f>
        <v>Sz Sabab</v>
      </c>
      <c r="O1264" s="2" t="s">
        <v>513</v>
      </c>
      <c r="P1264" s="16" t="s">
        <v>922</v>
      </c>
      <c r="Q1264" s="1">
        <f t="shared" si="45"/>
        <v>1</v>
      </c>
      <c r="R1264" s="1">
        <v>212</v>
      </c>
      <c r="U1264" s="8">
        <f t="shared" si="46"/>
        <v>43435</v>
      </c>
    </row>
    <row r="1265" spans="1:21" x14ac:dyDescent="0.25">
      <c r="A1265" s="2">
        <v>20</v>
      </c>
      <c r="B1265" s="17" t="s">
        <v>923</v>
      </c>
      <c r="J1265" s="1"/>
      <c r="M1265" t="s">
        <v>15</v>
      </c>
      <c r="N1265" t="str">
        <f>IFERROR(VLOOKUP(B1265,'[1]All Player'!$B$2:$C$1992,2,0),"")</f>
        <v/>
      </c>
      <c r="O1265" s="2" t="s">
        <v>513</v>
      </c>
      <c r="P1265" s="16" t="s">
        <v>923</v>
      </c>
      <c r="Q1265" s="1">
        <f t="shared" si="45"/>
        <v>1</v>
      </c>
      <c r="R1265" s="1">
        <v>213</v>
      </c>
      <c r="U1265" s="8">
        <f t="shared" si="46"/>
        <v>43435</v>
      </c>
    </row>
    <row r="1266" spans="1:21" x14ac:dyDescent="0.25">
      <c r="A1266" s="2">
        <v>20</v>
      </c>
      <c r="B1266" t="s">
        <v>126</v>
      </c>
      <c r="C1266" s="2">
        <v>3</v>
      </c>
      <c r="D1266" s="2">
        <v>39</v>
      </c>
      <c r="E1266" s="2">
        <v>1</v>
      </c>
      <c r="F1266" s="2">
        <v>4</v>
      </c>
      <c r="G1266" s="2">
        <v>0</v>
      </c>
      <c r="H1266" s="2">
        <v>3</v>
      </c>
      <c r="I1266" s="2">
        <v>4</v>
      </c>
      <c r="J1266" s="1"/>
      <c r="M1266" t="s">
        <v>15</v>
      </c>
      <c r="N1266" t="str">
        <f>IFERROR(VLOOKUP(B1266,'[1]All Player'!$B$2:$C$1992,2,0),"")</f>
        <v>M R Shakil</v>
      </c>
      <c r="O1266" s="2" t="s">
        <v>513</v>
      </c>
      <c r="P1266" s="16" t="s">
        <v>923</v>
      </c>
      <c r="Q1266" s="1">
        <f t="shared" si="45"/>
        <v>1</v>
      </c>
      <c r="R1266" s="1">
        <v>213</v>
      </c>
      <c r="U1266" s="8">
        <f t="shared" si="46"/>
        <v>43435</v>
      </c>
    </row>
    <row r="1267" spans="1:21" x14ac:dyDescent="0.25">
      <c r="A1267" s="2">
        <v>20</v>
      </c>
      <c r="B1267" t="s">
        <v>70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J1267" s="1"/>
      <c r="M1267" t="s">
        <v>15</v>
      </c>
      <c r="N1267" t="str">
        <f>IFERROR(VLOOKUP(B1267,'[1]All Player'!$B$2:$C$1992,2,0),"")</f>
        <v>Sheik Helal Ahmed</v>
      </c>
      <c r="O1267" s="2" t="s">
        <v>513</v>
      </c>
      <c r="P1267" s="16" t="s">
        <v>923</v>
      </c>
      <c r="Q1267" s="1">
        <f t="shared" si="45"/>
        <v>1</v>
      </c>
      <c r="R1267" s="1">
        <v>213</v>
      </c>
      <c r="U1267" s="8">
        <f t="shared" si="46"/>
        <v>43435</v>
      </c>
    </row>
    <row r="1268" spans="1:21" x14ac:dyDescent="0.25">
      <c r="A1268" s="2">
        <v>20</v>
      </c>
      <c r="B1268" t="s">
        <v>398</v>
      </c>
      <c r="C1268" s="2">
        <v>4</v>
      </c>
      <c r="D1268" s="2">
        <v>75</v>
      </c>
      <c r="E1268" s="2">
        <v>6</v>
      </c>
      <c r="F1268" s="2">
        <v>6</v>
      </c>
      <c r="G1268" s="2">
        <v>1</v>
      </c>
      <c r="H1268" s="2">
        <v>4</v>
      </c>
      <c r="I1268" s="2">
        <v>7</v>
      </c>
      <c r="J1268" s="1"/>
      <c r="M1268" t="s">
        <v>15</v>
      </c>
      <c r="N1268" t="str">
        <f>IFERROR(VLOOKUP(B1268,'[1]All Player'!$B$2:$C$1992,2,0),"")</f>
        <v>Ahmad Saykat (Mohammad Sheikh Farid Uddin)</v>
      </c>
      <c r="O1268" s="2" t="s">
        <v>513</v>
      </c>
      <c r="P1268" s="16" t="s">
        <v>923</v>
      </c>
      <c r="Q1268" s="1">
        <f t="shared" si="45"/>
        <v>1</v>
      </c>
      <c r="R1268" s="1">
        <v>213</v>
      </c>
      <c r="U1268" s="8">
        <f t="shared" si="46"/>
        <v>43435</v>
      </c>
    </row>
    <row r="1269" spans="1:21" x14ac:dyDescent="0.25">
      <c r="A1269" s="2">
        <v>20</v>
      </c>
      <c r="B1269" t="s">
        <v>72</v>
      </c>
      <c r="C1269" s="2">
        <v>4</v>
      </c>
      <c r="D1269" s="2">
        <v>55</v>
      </c>
      <c r="E1269" s="2">
        <v>2</v>
      </c>
      <c r="F1269" s="2">
        <v>8</v>
      </c>
      <c r="G1269" s="2">
        <v>0</v>
      </c>
      <c r="H1269" s="2">
        <v>1</v>
      </c>
      <c r="I1269" s="2">
        <v>3</v>
      </c>
      <c r="J1269" s="1"/>
      <c r="M1269" t="s">
        <v>15</v>
      </c>
      <c r="N1269" t="str">
        <f>IFERROR(VLOOKUP(B1269,'[1]All Player'!$B$2:$C$1992,2,0),"")</f>
        <v>Akram Husan (Washim)</v>
      </c>
      <c r="O1269" s="2" t="s">
        <v>513</v>
      </c>
      <c r="P1269" s="16" t="s">
        <v>923</v>
      </c>
      <c r="Q1269" s="1">
        <f t="shared" si="45"/>
        <v>1</v>
      </c>
      <c r="R1269" s="1">
        <v>213</v>
      </c>
      <c r="U1269" s="8">
        <f t="shared" si="46"/>
        <v>43435</v>
      </c>
    </row>
    <row r="1270" spans="1:21" x14ac:dyDescent="0.25">
      <c r="A1270" s="2">
        <v>20</v>
      </c>
      <c r="B1270" t="s">
        <v>615</v>
      </c>
      <c r="J1270" s="1"/>
      <c r="M1270" t="s">
        <v>15</v>
      </c>
      <c r="N1270" t="str">
        <f>IFERROR(VLOOKUP(B1270,'[1]All Player'!$B$2:$C$1992,2,0),"")</f>
        <v/>
      </c>
      <c r="O1270" s="2" t="s">
        <v>513</v>
      </c>
      <c r="P1270" s="16" t="s">
        <v>615</v>
      </c>
      <c r="Q1270" s="1">
        <f t="shared" si="45"/>
        <v>1</v>
      </c>
      <c r="R1270" s="1">
        <v>214</v>
      </c>
      <c r="U1270" s="8">
        <f t="shared" si="46"/>
        <v>43435</v>
      </c>
    </row>
    <row r="1271" spans="1:21" x14ac:dyDescent="0.25">
      <c r="A1271" s="2">
        <v>20</v>
      </c>
      <c r="B1271" t="s">
        <v>228</v>
      </c>
      <c r="C1271" s="2">
        <v>2</v>
      </c>
      <c r="D1271" s="2">
        <v>65</v>
      </c>
      <c r="E1271" s="2">
        <v>3</v>
      </c>
      <c r="F1271" s="2">
        <v>3</v>
      </c>
      <c r="G1271" s="2">
        <v>1</v>
      </c>
      <c r="H1271" s="2">
        <v>3</v>
      </c>
      <c r="I1271" s="2">
        <v>5</v>
      </c>
      <c r="J1271" s="1"/>
      <c r="M1271" t="s">
        <v>15</v>
      </c>
      <c r="N1271" t="str">
        <f>IFERROR(VLOOKUP(B1271,'[1]All Player'!$B$2:$C$1992,2,0),"")</f>
        <v>Arif Ziad</v>
      </c>
      <c r="O1271" s="2" t="s">
        <v>513</v>
      </c>
      <c r="P1271" s="16" t="s">
        <v>615</v>
      </c>
      <c r="Q1271" s="1">
        <f t="shared" si="45"/>
        <v>1</v>
      </c>
      <c r="R1271" s="1">
        <v>214</v>
      </c>
      <c r="U1271" s="8">
        <f t="shared" si="46"/>
        <v>43435</v>
      </c>
    </row>
    <row r="1272" spans="1:21" x14ac:dyDescent="0.25">
      <c r="A1272" s="2">
        <v>20</v>
      </c>
      <c r="B1272" t="s">
        <v>95</v>
      </c>
      <c r="C1272" s="2">
        <v>4</v>
      </c>
      <c r="D1272" s="2">
        <v>82</v>
      </c>
      <c r="E1272" s="2">
        <v>8</v>
      </c>
      <c r="F1272" s="2">
        <v>6</v>
      </c>
      <c r="G1272" s="2">
        <v>0</v>
      </c>
      <c r="H1272" s="2">
        <v>9</v>
      </c>
      <c r="I1272" s="2">
        <v>5</v>
      </c>
      <c r="J1272" s="1"/>
      <c r="M1272" t="s">
        <v>15</v>
      </c>
      <c r="N1272" t="str">
        <f>IFERROR(VLOOKUP(B1272,'[1]All Player'!$B$2:$C$1992,2,0),"")</f>
        <v>Sadrul Anam</v>
      </c>
      <c r="O1272" s="2" t="s">
        <v>513</v>
      </c>
      <c r="P1272" s="16" t="s">
        <v>615</v>
      </c>
      <c r="Q1272" s="1">
        <f t="shared" si="45"/>
        <v>1</v>
      </c>
      <c r="R1272" s="1">
        <v>214</v>
      </c>
      <c r="U1272" s="8">
        <f t="shared" si="46"/>
        <v>43435</v>
      </c>
    </row>
    <row r="1273" spans="1:21" x14ac:dyDescent="0.25">
      <c r="A1273" s="2">
        <v>20</v>
      </c>
      <c r="B1273" t="s">
        <v>78</v>
      </c>
      <c r="C1273" s="2">
        <v>4</v>
      </c>
      <c r="D1273" s="2">
        <v>15</v>
      </c>
      <c r="E1273" s="2">
        <v>3</v>
      </c>
      <c r="F1273" s="2">
        <v>3</v>
      </c>
      <c r="G1273" s="2">
        <v>0</v>
      </c>
      <c r="H1273" s="2">
        <v>2</v>
      </c>
      <c r="I1273" s="2">
        <v>0</v>
      </c>
      <c r="J1273" s="1"/>
      <c r="M1273" t="s">
        <v>15</v>
      </c>
      <c r="N1273" t="str">
        <f>IFERROR(VLOOKUP(B1273,'[1]All Player'!$B$2:$C$1992,2,0),"")</f>
        <v>KM Rashedul Islam Rashed</v>
      </c>
      <c r="O1273" s="2" t="s">
        <v>513</v>
      </c>
      <c r="P1273" s="16" t="s">
        <v>615</v>
      </c>
      <c r="Q1273" s="1">
        <f t="shared" si="45"/>
        <v>1</v>
      </c>
      <c r="R1273" s="1">
        <v>214</v>
      </c>
      <c r="U1273" s="8">
        <f t="shared" si="46"/>
        <v>43435</v>
      </c>
    </row>
    <row r="1274" spans="1:21" x14ac:dyDescent="0.25">
      <c r="A1274" s="2">
        <v>20</v>
      </c>
      <c r="B1274" t="s">
        <v>420</v>
      </c>
      <c r="C1274" s="2">
        <v>3</v>
      </c>
      <c r="D1274" s="2">
        <v>54</v>
      </c>
      <c r="E1274" s="2">
        <v>3</v>
      </c>
      <c r="F1274" s="2">
        <v>4</v>
      </c>
      <c r="G1274" s="2">
        <v>0</v>
      </c>
      <c r="H1274" s="2">
        <v>6</v>
      </c>
      <c r="I1274" s="2">
        <v>4</v>
      </c>
      <c r="J1274" s="1"/>
      <c r="M1274" t="s">
        <v>15</v>
      </c>
      <c r="N1274" t="str">
        <f>IFERROR(VLOOKUP(B1274,'[1]All Player'!$B$2:$C$1992,2,0),"")</f>
        <v>Saeed Ahmed</v>
      </c>
      <c r="O1274" s="2" t="s">
        <v>513</v>
      </c>
      <c r="P1274" s="16" t="s">
        <v>615</v>
      </c>
      <c r="Q1274" s="1">
        <f t="shared" si="45"/>
        <v>1</v>
      </c>
      <c r="R1274" s="1">
        <v>214</v>
      </c>
      <c r="U1274" s="8">
        <f t="shared" si="46"/>
        <v>43435</v>
      </c>
    </row>
    <row r="1275" spans="1:21" x14ac:dyDescent="0.25">
      <c r="A1275" s="2">
        <v>22</v>
      </c>
      <c r="B1275" s="17" t="s">
        <v>924</v>
      </c>
      <c r="J1275" s="1"/>
      <c r="M1275" t="s">
        <v>15</v>
      </c>
      <c r="N1275" t="str">
        <f>IFERROR(VLOOKUP(B1275,'[1]All Player'!$B$2:$C$1992,2,0),"")</f>
        <v/>
      </c>
      <c r="O1275" s="2" t="s">
        <v>925</v>
      </c>
      <c r="P1275" s="16" t="s">
        <v>924</v>
      </c>
      <c r="Q1275" s="1">
        <f t="shared" si="45"/>
        <v>1</v>
      </c>
      <c r="R1275" s="1">
        <v>215</v>
      </c>
      <c r="U1275" s="8">
        <v>43891</v>
      </c>
    </row>
    <row r="1276" spans="1:21" x14ac:dyDescent="0.25">
      <c r="A1276" s="2">
        <v>22</v>
      </c>
      <c r="B1276" t="s">
        <v>134</v>
      </c>
      <c r="C1276" s="2">
        <v>3</v>
      </c>
      <c r="D1276" s="2">
        <v>60</v>
      </c>
      <c r="E1276" s="2">
        <v>3</v>
      </c>
      <c r="F1276" s="2">
        <v>3</v>
      </c>
      <c r="G1276" s="2">
        <v>0</v>
      </c>
      <c r="H1276" s="2">
        <v>5</v>
      </c>
      <c r="I1276" s="2">
        <v>5</v>
      </c>
      <c r="J1276" s="1"/>
      <c r="M1276" t="s">
        <v>15</v>
      </c>
      <c r="N1276" t="str">
        <f>IFERROR(VLOOKUP(B1276,'[1]All Player'!$B$2:$C$1992,2,0),"")</f>
        <v>Md Dulal Miah</v>
      </c>
      <c r="O1276" s="2" t="s">
        <v>925</v>
      </c>
      <c r="P1276" s="16" t="s">
        <v>924</v>
      </c>
      <c r="Q1276" s="1">
        <f t="shared" si="45"/>
        <v>1</v>
      </c>
      <c r="R1276" s="1">
        <v>215</v>
      </c>
      <c r="U1276" s="8">
        <f t="shared" ref="U1276:U1302" si="47">U1275</f>
        <v>43891</v>
      </c>
    </row>
    <row r="1277" spans="1:21" x14ac:dyDescent="0.25">
      <c r="A1277" s="2">
        <v>22</v>
      </c>
      <c r="B1277" t="s">
        <v>102</v>
      </c>
      <c r="C1277" s="2">
        <v>3</v>
      </c>
      <c r="D1277" s="2">
        <v>0</v>
      </c>
      <c r="E1277" s="2">
        <v>2</v>
      </c>
      <c r="F1277" s="2">
        <v>2</v>
      </c>
      <c r="G1277" s="2">
        <v>0</v>
      </c>
      <c r="H1277" s="2">
        <v>0</v>
      </c>
      <c r="I1277" s="2">
        <v>0</v>
      </c>
      <c r="J1277" s="1"/>
      <c r="M1277" t="s">
        <v>15</v>
      </c>
      <c r="N1277" t="str">
        <f>IFERROR(VLOOKUP(B1277,'[1]All Player'!$B$2:$C$1992,2,0),"")</f>
        <v>Mustofa Muddassir Mahmud Mashuk</v>
      </c>
      <c r="O1277" s="2" t="s">
        <v>925</v>
      </c>
      <c r="P1277" s="16" t="s">
        <v>924</v>
      </c>
      <c r="Q1277" s="1">
        <f t="shared" si="45"/>
        <v>1</v>
      </c>
      <c r="R1277" s="1">
        <v>215</v>
      </c>
      <c r="U1277" s="8">
        <f t="shared" si="47"/>
        <v>43891</v>
      </c>
    </row>
    <row r="1278" spans="1:21" x14ac:dyDescent="0.25">
      <c r="A1278" s="2">
        <v>22</v>
      </c>
      <c r="B1278" t="s">
        <v>114</v>
      </c>
      <c r="C1278" s="2">
        <v>3</v>
      </c>
      <c r="D1278" s="2">
        <v>49</v>
      </c>
      <c r="E1278" s="2">
        <v>3</v>
      </c>
      <c r="F1278" s="2">
        <v>3</v>
      </c>
      <c r="G1278" s="2">
        <v>1</v>
      </c>
      <c r="H1278" s="2">
        <v>4</v>
      </c>
      <c r="I1278" s="2">
        <v>4</v>
      </c>
      <c r="J1278" s="1"/>
      <c r="M1278" t="s">
        <v>15</v>
      </c>
      <c r="N1278" t="str">
        <f>IFERROR(VLOOKUP(B1278,'[1]All Player'!$B$2:$C$1992,2,0),"")</f>
        <v>Tanvir Shakib</v>
      </c>
      <c r="O1278" s="2" t="s">
        <v>925</v>
      </c>
      <c r="P1278" s="16" t="s">
        <v>924</v>
      </c>
      <c r="Q1278" s="1">
        <f t="shared" si="45"/>
        <v>1</v>
      </c>
      <c r="R1278" s="1">
        <v>215</v>
      </c>
      <c r="U1278" s="8">
        <f t="shared" si="47"/>
        <v>43891</v>
      </c>
    </row>
    <row r="1279" spans="1:21" x14ac:dyDescent="0.25">
      <c r="A1279" s="2">
        <v>22</v>
      </c>
      <c r="B1279" t="s">
        <v>152</v>
      </c>
      <c r="C1279" s="2">
        <v>3</v>
      </c>
      <c r="D1279" s="2">
        <v>18</v>
      </c>
      <c r="E1279" s="2">
        <v>0</v>
      </c>
      <c r="F1279" s="2">
        <v>3</v>
      </c>
      <c r="G1279" s="2">
        <v>0</v>
      </c>
      <c r="H1279" s="2">
        <v>2</v>
      </c>
      <c r="I1279" s="2">
        <v>0</v>
      </c>
      <c r="J1279" s="1"/>
      <c r="M1279" t="s">
        <v>15</v>
      </c>
      <c r="N1279" t="str">
        <f>IFERROR(VLOOKUP(B1279,'[1]All Player'!$B$2:$C$1992,2,0),"")</f>
        <v>Niamul Habib Setu</v>
      </c>
      <c r="O1279" s="2" t="s">
        <v>925</v>
      </c>
      <c r="P1279" s="16" t="s">
        <v>924</v>
      </c>
      <c r="Q1279" s="1">
        <f t="shared" si="45"/>
        <v>1</v>
      </c>
      <c r="R1279" s="1">
        <v>215</v>
      </c>
      <c r="U1279" s="8">
        <f t="shared" si="47"/>
        <v>43891</v>
      </c>
    </row>
    <row r="1280" spans="1:21" x14ac:dyDescent="0.25">
      <c r="A1280" s="2">
        <v>22</v>
      </c>
      <c r="B1280" t="s">
        <v>116</v>
      </c>
      <c r="C1280" s="2">
        <v>3</v>
      </c>
      <c r="D1280" s="2">
        <v>46</v>
      </c>
      <c r="E1280" s="2">
        <v>1</v>
      </c>
      <c r="F1280" s="2">
        <v>3</v>
      </c>
      <c r="G1280" s="2">
        <v>1</v>
      </c>
      <c r="H1280" s="2">
        <v>4</v>
      </c>
      <c r="I1280" s="2">
        <v>3</v>
      </c>
      <c r="J1280" s="1"/>
      <c r="M1280" t="s">
        <v>15</v>
      </c>
      <c r="N1280" t="str">
        <f>IFERROR(VLOOKUP(B1280,'[1]All Player'!$B$2:$C$1992,2,0),"")</f>
        <v>Ahammed Ariful Haq</v>
      </c>
      <c r="O1280" s="2" t="s">
        <v>925</v>
      </c>
      <c r="P1280" s="16" t="s">
        <v>924</v>
      </c>
      <c r="Q1280" s="1">
        <f t="shared" si="45"/>
        <v>1</v>
      </c>
      <c r="R1280" s="1">
        <v>215</v>
      </c>
      <c r="U1280" s="8">
        <f t="shared" si="47"/>
        <v>43891</v>
      </c>
    </row>
    <row r="1281" spans="1:23" x14ac:dyDescent="0.25">
      <c r="A1281" s="2">
        <v>22</v>
      </c>
      <c r="B1281" t="s">
        <v>130</v>
      </c>
      <c r="C1281" s="2">
        <v>3</v>
      </c>
      <c r="D1281" s="2">
        <v>28</v>
      </c>
      <c r="E1281" s="2">
        <v>3</v>
      </c>
      <c r="F1281" s="2">
        <v>3</v>
      </c>
      <c r="G1281" s="2">
        <v>0</v>
      </c>
      <c r="H1281" s="2">
        <v>3</v>
      </c>
      <c r="I1281" s="2">
        <v>2</v>
      </c>
      <c r="J1281" s="1"/>
      <c r="M1281" t="s">
        <v>15</v>
      </c>
      <c r="N1281" t="str">
        <f>IFERROR(VLOOKUP(B1281,'[1]All Player'!$B$2:$C$1992,2,0),"")</f>
        <v>Shahriar Khokon</v>
      </c>
      <c r="O1281" s="2" t="s">
        <v>925</v>
      </c>
      <c r="P1281" s="16" t="s">
        <v>924</v>
      </c>
      <c r="Q1281" s="1">
        <f t="shared" si="45"/>
        <v>1</v>
      </c>
      <c r="R1281" s="1">
        <v>215</v>
      </c>
      <c r="U1281" s="8">
        <f t="shared" si="47"/>
        <v>43891</v>
      </c>
    </row>
    <row r="1282" spans="1:23" x14ac:dyDescent="0.25">
      <c r="A1282" s="2">
        <v>22</v>
      </c>
      <c r="B1282" s="17" t="s">
        <v>926</v>
      </c>
      <c r="J1282" s="1"/>
      <c r="M1282" t="s">
        <v>15</v>
      </c>
      <c r="N1282" t="str">
        <f>IFERROR(VLOOKUP(B1282,'[1]All Player'!$B$2:$C$1992,2,0),"")</f>
        <v/>
      </c>
      <c r="O1282" s="2" t="s">
        <v>925</v>
      </c>
      <c r="P1282" s="16" t="s">
        <v>926</v>
      </c>
      <c r="Q1282" s="1">
        <f t="shared" ref="Q1282:Q1345" si="48">IF(B1282="","",1)</f>
        <v>1</v>
      </c>
      <c r="R1282" s="1">
        <v>216</v>
      </c>
      <c r="U1282" s="8">
        <f t="shared" si="47"/>
        <v>43891</v>
      </c>
    </row>
    <row r="1283" spans="1:23" x14ac:dyDescent="0.25">
      <c r="A1283" s="2">
        <v>22</v>
      </c>
      <c r="B1283" t="s">
        <v>95</v>
      </c>
      <c r="C1283" s="2">
        <v>3</v>
      </c>
      <c r="D1283" s="2">
        <v>16</v>
      </c>
      <c r="E1283" s="2">
        <v>7</v>
      </c>
      <c r="F1283" s="2">
        <v>2</v>
      </c>
      <c r="G1283" s="2">
        <v>0</v>
      </c>
      <c r="H1283" s="2">
        <v>1</v>
      </c>
      <c r="I1283" s="2">
        <v>1</v>
      </c>
      <c r="J1283" s="1"/>
      <c r="M1283" t="s">
        <v>15</v>
      </c>
      <c r="N1283" t="str">
        <f>IFERROR(VLOOKUP(B1283,'[1]All Player'!$B$2:$C$1992,2,0),"")</f>
        <v>Sadrul Anam</v>
      </c>
      <c r="O1283" s="2" t="s">
        <v>925</v>
      </c>
      <c r="P1283" s="16" t="s">
        <v>926</v>
      </c>
      <c r="Q1283" s="1">
        <f t="shared" si="48"/>
        <v>1</v>
      </c>
      <c r="R1283" s="1">
        <v>216</v>
      </c>
      <c r="U1283" s="8">
        <f t="shared" si="47"/>
        <v>43891</v>
      </c>
      <c r="W1283" s="1">
        <v>1</v>
      </c>
    </row>
    <row r="1284" spans="1:23" x14ac:dyDescent="0.25">
      <c r="A1284" s="2">
        <v>22</v>
      </c>
      <c r="B1284" t="s">
        <v>64</v>
      </c>
      <c r="C1284" s="2">
        <v>2</v>
      </c>
      <c r="D1284" s="2">
        <v>42</v>
      </c>
      <c r="E1284" s="2">
        <v>2</v>
      </c>
      <c r="F1284" s="2">
        <v>3</v>
      </c>
      <c r="G1284" s="2">
        <v>1</v>
      </c>
      <c r="H1284" s="2">
        <v>4</v>
      </c>
      <c r="I1284" s="2">
        <v>2</v>
      </c>
      <c r="J1284" s="1"/>
      <c r="M1284" t="s">
        <v>15</v>
      </c>
      <c r="N1284" t="str">
        <f>IFERROR(VLOOKUP(B1284,'[1]All Player'!$B$2:$C$1992,2,0),"")</f>
        <v>Sumon Ab</v>
      </c>
      <c r="O1284" s="2" t="s">
        <v>925</v>
      </c>
      <c r="P1284" s="16" t="s">
        <v>926</v>
      </c>
      <c r="Q1284" s="1">
        <f t="shared" si="48"/>
        <v>1</v>
      </c>
      <c r="R1284" s="1">
        <v>216</v>
      </c>
      <c r="U1284" s="8">
        <f t="shared" si="47"/>
        <v>43891</v>
      </c>
    </row>
    <row r="1285" spans="1:23" x14ac:dyDescent="0.25">
      <c r="A1285" s="2">
        <v>22</v>
      </c>
      <c r="B1285" t="s">
        <v>52</v>
      </c>
      <c r="C1285" s="2">
        <v>3</v>
      </c>
      <c r="D1285" s="2">
        <v>26</v>
      </c>
      <c r="E1285" s="2">
        <v>2</v>
      </c>
      <c r="F1285" s="2">
        <v>3</v>
      </c>
      <c r="G1285" s="2">
        <v>0</v>
      </c>
      <c r="H1285" s="2">
        <v>2</v>
      </c>
      <c r="I1285" s="2">
        <v>2</v>
      </c>
      <c r="J1285" s="1"/>
      <c r="M1285" t="s">
        <v>15</v>
      </c>
      <c r="N1285" t="str">
        <f>IFERROR(VLOOKUP(B1285,'[1]All Player'!$B$2:$C$1992,2,0),"")</f>
        <v>Mohammed Al Mamun</v>
      </c>
      <c r="O1285" s="2" t="s">
        <v>925</v>
      </c>
      <c r="P1285" s="16" t="s">
        <v>926</v>
      </c>
      <c r="Q1285" s="1">
        <f t="shared" si="48"/>
        <v>1</v>
      </c>
      <c r="R1285" s="1">
        <v>216</v>
      </c>
      <c r="U1285" s="8">
        <f t="shared" si="47"/>
        <v>43891</v>
      </c>
    </row>
    <row r="1286" spans="1:23" x14ac:dyDescent="0.25">
      <c r="A1286" s="2">
        <v>22</v>
      </c>
      <c r="B1286" t="s">
        <v>156</v>
      </c>
      <c r="C1286" s="2">
        <v>1</v>
      </c>
      <c r="D1286" s="2">
        <v>3</v>
      </c>
      <c r="E1286" s="2">
        <v>0</v>
      </c>
      <c r="F1286" s="2">
        <v>1</v>
      </c>
      <c r="G1286" s="2">
        <v>0</v>
      </c>
      <c r="H1286" s="2">
        <v>0</v>
      </c>
      <c r="I1286" s="2">
        <v>0</v>
      </c>
      <c r="J1286" s="1"/>
      <c r="M1286" t="s">
        <v>15</v>
      </c>
      <c r="N1286" t="str">
        <f>IFERROR(VLOOKUP(B1286,'[1]All Player'!$B$2:$C$1992,2,0),"")</f>
        <v>Prince Tarek</v>
      </c>
      <c r="O1286" s="2" t="s">
        <v>925</v>
      </c>
      <c r="P1286" s="16" t="s">
        <v>926</v>
      </c>
      <c r="Q1286" s="1">
        <f t="shared" si="48"/>
        <v>1</v>
      </c>
      <c r="R1286" s="1">
        <v>216</v>
      </c>
      <c r="U1286" s="8">
        <f t="shared" si="47"/>
        <v>43891</v>
      </c>
    </row>
    <row r="1287" spans="1:23" x14ac:dyDescent="0.25">
      <c r="A1287" s="2">
        <v>22</v>
      </c>
      <c r="B1287" t="s">
        <v>104</v>
      </c>
      <c r="C1287" s="2">
        <v>3</v>
      </c>
      <c r="D1287" s="2">
        <v>45</v>
      </c>
      <c r="E1287" s="2">
        <v>1</v>
      </c>
      <c r="F1287" s="2">
        <v>5</v>
      </c>
      <c r="G1287" s="2">
        <v>0</v>
      </c>
      <c r="H1287" s="2">
        <v>2</v>
      </c>
      <c r="I1287" s="2">
        <v>3</v>
      </c>
      <c r="J1287" s="1"/>
      <c r="M1287" t="s">
        <v>15</v>
      </c>
      <c r="N1287" t="str">
        <f>IFERROR(VLOOKUP(B1287,'[1]All Player'!$B$2:$C$1992,2,0),"")</f>
        <v>Bandhon Podder Pranto</v>
      </c>
      <c r="O1287" s="2" t="s">
        <v>925</v>
      </c>
      <c r="P1287" s="16" t="s">
        <v>926</v>
      </c>
      <c r="Q1287" s="1">
        <f t="shared" si="48"/>
        <v>1</v>
      </c>
      <c r="R1287" s="1">
        <v>216</v>
      </c>
      <c r="U1287" s="8">
        <f t="shared" si="47"/>
        <v>43891</v>
      </c>
    </row>
    <row r="1288" spans="1:23" x14ac:dyDescent="0.25">
      <c r="A1288" s="2">
        <v>22</v>
      </c>
      <c r="B1288" t="s">
        <v>80</v>
      </c>
      <c r="C1288" s="2">
        <v>3</v>
      </c>
      <c r="D1288" s="2">
        <v>44</v>
      </c>
      <c r="E1288" s="2">
        <v>1</v>
      </c>
      <c r="F1288" s="2">
        <v>3</v>
      </c>
      <c r="G1288" s="2">
        <v>0</v>
      </c>
      <c r="H1288" s="2">
        <v>5</v>
      </c>
      <c r="I1288" s="2">
        <v>3</v>
      </c>
      <c r="J1288" s="1"/>
      <c r="M1288" t="s">
        <v>15</v>
      </c>
      <c r="N1288" t="str">
        <f>IFERROR(VLOOKUP(B1288,'[1]All Player'!$B$2:$C$1992,2,0),"")</f>
        <v>Kamrul Hasan Tutul</v>
      </c>
      <c r="O1288" s="2" t="s">
        <v>925</v>
      </c>
      <c r="P1288" s="16" t="s">
        <v>926</v>
      </c>
      <c r="Q1288" s="1">
        <f t="shared" si="48"/>
        <v>1</v>
      </c>
      <c r="R1288" s="1">
        <v>216</v>
      </c>
      <c r="U1288" s="8">
        <f t="shared" si="47"/>
        <v>43891</v>
      </c>
    </row>
    <row r="1289" spans="1:23" x14ac:dyDescent="0.25">
      <c r="A1289" s="2">
        <v>22</v>
      </c>
      <c r="B1289" s="17" t="s">
        <v>927</v>
      </c>
      <c r="J1289" s="1"/>
      <c r="M1289" t="s">
        <v>15</v>
      </c>
      <c r="N1289" t="str">
        <f>IFERROR(VLOOKUP(B1289,'[1]All Player'!$B$2:$C$1992,2,0),"")</f>
        <v/>
      </c>
      <c r="O1289" s="2" t="s">
        <v>925</v>
      </c>
      <c r="P1289" s="16" t="s">
        <v>927</v>
      </c>
      <c r="Q1289" s="1">
        <f t="shared" si="48"/>
        <v>1</v>
      </c>
      <c r="R1289" s="1">
        <v>217</v>
      </c>
      <c r="T1289" s="1" t="s">
        <v>657</v>
      </c>
      <c r="U1289" s="8">
        <f t="shared" si="47"/>
        <v>43891</v>
      </c>
    </row>
    <row r="1290" spans="1:23" x14ac:dyDescent="0.25">
      <c r="A1290" s="2">
        <v>22</v>
      </c>
      <c r="B1290" t="s">
        <v>62</v>
      </c>
      <c r="C1290" s="2">
        <v>4</v>
      </c>
      <c r="D1290" s="2">
        <v>66</v>
      </c>
      <c r="E1290" s="2">
        <v>4</v>
      </c>
      <c r="F1290" s="2">
        <v>2</v>
      </c>
      <c r="G1290" s="2">
        <v>0</v>
      </c>
      <c r="H1290" s="2">
        <v>7</v>
      </c>
      <c r="I1290" s="2">
        <v>4</v>
      </c>
      <c r="J1290" s="1"/>
      <c r="M1290" t="s">
        <v>15</v>
      </c>
      <c r="N1290" t="str">
        <f>IFERROR(VLOOKUP(B1290,'[1]All Player'!$B$2:$C$1992,2,0),"")</f>
        <v>MD Tofayel Ahmed</v>
      </c>
      <c r="O1290" s="2" t="s">
        <v>925</v>
      </c>
      <c r="P1290" s="16" t="s">
        <v>927</v>
      </c>
      <c r="Q1290" s="1">
        <f t="shared" si="48"/>
        <v>1</v>
      </c>
      <c r="R1290" s="1">
        <v>217</v>
      </c>
      <c r="T1290" s="1" t="s">
        <v>657</v>
      </c>
      <c r="U1290" s="8">
        <f t="shared" si="47"/>
        <v>43891</v>
      </c>
    </row>
    <row r="1291" spans="1:23" x14ac:dyDescent="0.25">
      <c r="A1291" s="2">
        <v>22</v>
      </c>
      <c r="B1291" t="s">
        <v>78</v>
      </c>
      <c r="C1291" s="2">
        <v>4</v>
      </c>
      <c r="D1291" s="2">
        <v>49</v>
      </c>
      <c r="E1291" s="2">
        <v>5</v>
      </c>
      <c r="F1291" s="2">
        <v>3</v>
      </c>
      <c r="G1291" s="2">
        <v>0</v>
      </c>
      <c r="H1291" s="2">
        <v>1</v>
      </c>
      <c r="I1291" s="2">
        <v>5</v>
      </c>
      <c r="J1291" s="1"/>
      <c r="M1291" t="s">
        <v>15</v>
      </c>
      <c r="N1291" t="str">
        <f>IFERROR(VLOOKUP(B1291,'[1]All Player'!$B$2:$C$1992,2,0),"")</f>
        <v>KM Rashedul Islam Rashed</v>
      </c>
      <c r="O1291" s="2" t="s">
        <v>925</v>
      </c>
      <c r="P1291" s="16" t="s">
        <v>927</v>
      </c>
      <c r="Q1291" s="1">
        <f t="shared" si="48"/>
        <v>1</v>
      </c>
      <c r="R1291" s="1">
        <v>217</v>
      </c>
      <c r="T1291" s="1" t="s">
        <v>657</v>
      </c>
      <c r="U1291" s="8">
        <f t="shared" si="47"/>
        <v>43891</v>
      </c>
    </row>
    <row r="1292" spans="1:23" x14ac:dyDescent="0.25">
      <c r="A1292" s="2">
        <v>22</v>
      </c>
      <c r="B1292" t="s">
        <v>183</v>
      </c>
      <c r="C1292" s="2">
        <v>4</v>
      </c>
      <c r="D1292" s="2">
        <v>6</v>
      </c>
      <c r="E1292" s="2">
        <v>4</v>
      </c>
      <c r="F1292" s="2">
        <v>3</v>
      </c>
      <c r="G1292" s="2">
        <v>0</v>
      </c>
      <c r="H1292" s="2">
        <v>0</v>
      </c>
      <c r="I1292" s="2">
        <v>1</v>
      </c>
      <c r="J1292" s="1"/>
      <c r="M1292" t="s">
        <v>15</v>
      </c>
      <c r="N1292" t="str">
        <f>IFERROR(VLOOKUP(B1292,'[1]All Player'!$B$2:$C$1992,2,0),"")</f>
        <v>Red Heart Faisal (Fayze Ahamed)</v>
      </c>
      <c r="O1292" s="2" t="s">
        <v>925</v>
      </c>
      <c r="P1292" s="16" t="s">
        <v>927</v>
      </c>
      <c r="Q1292" s="1">
        <f t="shared" si="48"/>
        <v>1</v>
      </c>
      <c r="R1292" s="1">
        <v>217</v>
      </c>
      <c r="T1292" s="1" t="s">
        <v>657</v>
      </c>
      <c r="U1292" s="8">
        <f t="shared" si="47"/>
        <v>43891</v>
      </c>
    </row>
    <row r="1293" spans="1:23" x14ac:dyDescent="0.25">
      <c r="A1293" s="2">
        <v>22</v>
      </c>
      <c r="B1293" t="s">
        <v>138</v>
      </c>
      <c r="C1293" s="2">
        <v>4</v>
      </c>
      <c r="D1293" s="2">
        <v>73</v>
      </c>
      <c r="E1293" s="2">
        <v>2</v>
      </c>
      <c r="F1293" s="2">
        <v>4</v>
      </c>
      <c r="G1293" s="2">
        <v>1</v>
      </c>
      <c r="H1293" s="2">
        <v>5</v>
      </c>
      <c r="I1293" s="2">
        <v>6</v>
      </c>
      <c r="J1293" s="1"/>
      <c r="M1293" t="s">
        <v>15</v>
      </c>
      <c r="N1293" t="str">
        <f>IFERROR(VLOOKUP(B1293,'[1]All Player'!$B$2:$C$1992,2,0),"")</f>
        <v>Asif Iqbal Khan</v>
      </c>
      <c r="O1293" s="2" t="s">
        <v>925</v>
      </c>
      <c r="P1293" s="16" t="s">
        <v>927</v>
      </c>
      <c r="Q1293" s="1">
        <f t="shared" si="48"/>
        <v>1</v>
      </c>
      <c r="R1293" s="1">
        <v>217</v>
      </c>
      <c r="T1293" s="1" t="s">
        <v>657</v>
      </c>
      <c r="U1293" s="8">
        <f t="shared" si="47"/>
        <v>43891</v>
      </c>
    </row>
    <row r="1294" spans="1:23" x14ac:dyDescent="0.25">
      <c r="A1294" s="2">
        <v>22</v>
      </c>
      <c r="B1294" t="s">
        <v>661</v>
      </c>
      <c r="C1294" s="2">
        <v>4</v>
      </c>
      <c r="D1294" s="2">
        <v>14</v>
      </c>
      <c r="E1294" s="2">
        <v>4</v>
      </c>
      <c r="F1294" s="2">
        <v>4</v>
      </c>
      <c r="G1294" s="2">
        <v>2</v>
      </c>
      <c r="H1294" s="2">
        <v>1</v>
      </c>
      <c r="I1294" s="2">
        <v>1</v>
      </c>
      <c r="J1294" s="1"/>
      <c r="M1294" t="s">
        <v>15</v>
      </c>
      <c r="N1294" t="str">
        <f>IFERROR(VLOOKUP(B1294,'[1]All Player'!$B$2:$C$1992,2,0),"")</f>
        <v>Sakhawat Hossain Shanto</v>
      </c>
      <c r="O1294" s="2" t="s">
        <v>925</v>
      </c>
      <c r="P1294" s="16" t="s">
        <v>927</v>
      </c>
      <c r="Q1294" s="1">
        <f t="shared" si="48"/>
        <v>1</v>
      </c>
      <c r="R1294" s="1">
        <v>217</v>
      </c>
      <c r="T1294" s="1" t="s">
        <v>657</v>
      </c>
      <c r="U1294" s="8">
        <f t="shared" si="47"/>
        <v>43891</v>
      </c>
    </row>
    <row r="1295" spans="1:23" x14ac:dyDescent="0.25">
      <c r="A1295" s="2">
        <v>22</v>
      </c>
      <c r="B1295" t="s">
        <v>140</v>
      </c>
      <c r="C1295" s="2">
        <v>4</v>
      </c>
      <c r="D1295" s="2">
        <v>11</v>
      </c>
      <c r="E1295" s="2">
        <v>2</v>
      </c>
      <c r="F1295" s="2">
        <v>3</v>
      </c>
      <c r="G1295" s="2">
        <v>0</v>
      </c>
      <c r="H1295" s="2">
        <v>2</v>
      </c>
      <c r="I1295" s="2">
        <v>0</v>
      </c>
      <c r="J1295" s="1"/>
      <c r="M1295" t="s">
        <v>15</v>
      </c>
      <c r="N1295" t="str">
        <f>IFERROR(VLOOKUP(B1295,'[1]All Player'!$B$2:$C$1992,2,0),"")</f>
        <v>Monowar Hossain Munna</v>
      </c>
      <c r="O1295" s="2" t="s">
        <v>925</v>
      </c>
      <c r="P1295" s="16" t="s">
        <v>927</v>
      </c>
      <c r="Q1295" s="1">
        <f t="shared" si="48"/>
        <v>1</v>
      </c>
      <c r="R1295" s="1">
        <v>217</v>
      </c>
      <c r="T1295" s="1" t="s">
        <v>657</v>
      </c>
      <c r="U1295" s="8">
        <f t="shared" si="47"/>
        <v>43891</v>
      </c>
    </row>
    <row r="1296" spans="1:23" x14ac:dyDescent="0.25">
      <c r="A1296" s="2">
        <v>22</v>
      </c>
      <c r="B1296" s="17" t="s">
        <v>928</v>
      </c>
      <c r="J1296" s="1"/>
      <c r="M1296" t="s">
        <v>15</v>
      </c>
      <c r="N1296" t="str">
        <f>IFERROR(VLOOKUP(B1296,'[1]All Player'!$B$2:$C$1992,2,0),"")</f>
        <v/>
      </c>
      <c r="O1296" s="2" t="s">
        <v>925</v>
      </c>
      <c r="P1296" s="16" t="s">
        <v>928</v>
      </c>
      <c r="Q1296" s="1">
        <f t="shared" si="48"/>
        <v>1</v>
      </c>
      <c r="R1296" s="1">
        <v>218</v>
      </c>
      <c r="T1296" s="1" t="s">
        <v>659</v>
      </c>
      <c r="U1296" s="8">
        <f t="shared" si="47"/>
        <v>43891</v>
      </c>
    </row>
    <row r="1297" spans="1:23" x14ac:dyDescent="0.25">
      <c r="A1297" s="2">
        <v>22</v>
      </c>
      <c r="B1297" t="s">
        <v>148</v>
      </c>
      <c r="C1297" s="2">
        <v>4</v>
      </c>
      <c r="D1297" s="2">
        <v>37</v>
      </c>
      <c r="E1297" s="2">
        <v>5</v>
      </c>
      <c r="F1297" s="2">
        <v>3</v>
      </c>
      <c r="G1297" s="2">
        <v>0</v>
      </c>
      <c r="H1297" s="2">
        <v>4</v>
      </c>
      <c r="I1297" s="2">
        <v>3</v>
      </c>
      <c r="J1297" s="1"/>
      <c r="M1297" t="s">
        <v>15</v>
      </c>
      <c r="N1297" t="str">
        <f>IFERROR(VLOOKUP(B1297,'[1]All Player'!$B$2:$C$1992,2,0),"")</f>
        <v>AB Saaj</v>
      </c>
      <c r="O1297" s="2" t="s">
        <v>925</v>
      </c>
      <c r="P1297" s="16" t="s">
        <v>928</v>
      </c>
      <c r="Q1297" s="1">
        <f t="shared" si="48"/>
        <v>1</v>
      </c>
      <c r="R1297" s="1">
        <v>218</v>
      </c>
      <c r="T1297" s="1" t="s">
        <v>659</v>
      </c>
      <c r="U1297" s="8">
        <f t="shared" si="47"/>
        <v>43891</v>
      </c>
    </row>
    <row r="1298" spans="1:23" x14ac:dyDescent="0.25">
      <c r="A1298" s="2">
        <v>22</v>
      </c>
      <c r="B1298" t="s">
        <v>31</v>
      </c>
      <c r="C1298" s="2">
        <v>2</v>
      </c>
      <c r="D1298" s="2">
        <v>0</v>
      </c>
      <c r="E1298" s="2">
        <v>3</v>
      </c>
      <c r="F1298" s="2">
        <v>2</v>
      </c>
      <c r="G1298" s="2">
        <v>0</v>
      </c>
      <c r="H1298" s="2">
        <v>0</v>
      </c>
      <c r="I1298" s="2">
        <v>0</v>
      </c>
      <c r="J1298" s="1"/>
      <c r="M1298" t="s">
        <v>15</v>
      </c>
      <c r="N1298" t="str">
        <f>IFERROR(VLOOKUP(B1298,'[1]All Player'!$B$2:$C$1992,2,0),"")</f>
        <v>Hetlar Shohag</v>
      </c>
      <c r="O1298" s="2" t="s">
        <v>925</v>
      </c>
      <c r="P1298" s="16" t="s">
        <v>928</v>
      </c>
      <c r="Q1298" s="1">
        <f t="shared" si="48"/>
        <v>1</v>
      </c>
      <c r="R1298" s="1">
        <v>218</v>
      </c>
      <c r="T1298" s="1" t="s">
        <v>659</v>
      </c>
      <c r="U1298" s="8">
        <f t="shared" si="47"/>
        <v>43891</v>
      </c>
    </row>
    <row r="1299" spans="1:23" x14ac:dyDescent="0.25">
      <c r="A1299" s="2">
        <v>22</v>
      </c>
      <c r="B1299" t="s">
        <v>136</v>
      </c>
      <c r="C1299" s="2">
        <v>4</v>
      </c>
      <c r="D1299" s="2">
        <v>107</v>
      </c>
      <c r="E1299" s="2">
        <v>7</v>
      </c>
      <c r="F1299" s="2">
        <v>6</v>
      </c>
      <c r="G1299" s="2">
        <v>2</v>
      </c>
      <c r="H1299" s="2">
        <v>7</v>
      </c>
      <c r="I1299" s="2">
        <v>8</v>
      </c>
      <c r="J1299" s="1"/>
      <c r="M1299" t="s">
        <v>15</v>
      </c>
      <c r="N1299" t="str">
        <f>IFERROR(VLOOKUP(B1299,'[1]All Player'!$B$2:$C$1992,2,0),"")</f>
        <v>MD Kamal Hossain Kamal</v>
      </c>
      <c r="O1299" s="2" t="s">
        <v>925</v>
      </c>
      <c r="P1299" s="16" t="s">
        <v>928</v>
      </c>
      <c r="Q1299" s="1">
        <f t="shared" si="48"/>
        <v>1</v>
      </c>
      <c r="R1299" s="1">
        <v>218</v>
      </c>
      <c r="S1299" s="2" t="s">
        <v>660</v>
      </c>
      <c r="T1299" s="1" t="s">
        <v>659</v>
      </c>
      <c r="U1299" s="8">
        <f t="shared" si="47"/>
        <v>43891</v>
      </c>
      <c r="V1299" s="1">
        <v>1</v>
      </c>
      <c r="W1299" s="1">
        <v>1</v>
      </c>
    </row>
    <row r="1300" spans="1:23" x14ac:dyDescent="0.25">
      <c r="A1300" s="2">
        <v>22</v>
      </c>
      <c r="B1300" t="s">
        <v>142</v>
      </c>
      <c r="C1300" s="2">
        <v>2</v>
      </c>
      <c r="D1300" s="2">
        <v>14</v>
      </c>
      <c r="E1300" s="2">
        <v>0</v>
      </c>
      <c r="F1300" s="2">
        <v>2</v>
      </c>
      <c r="G1300" s="2">
        <v>0</v>
      </c>
      <c r="H1300" s="2">
        <v>2</v>
      </c>
      <c r="I1300" s="2">
        <v>0</v>
      </c>
      <c r="J1300" s="1"/>
      <c r="M1300" t="s">
        <v>15</v>
      </c>
      <c r="N1300" t="str">
        <f>IFERROR(VLOOKUP(B1300,'[1]All Player'!$B$2:$C$1992,2,0),"")</f>
        <v>Mehedi Hasan Joy</v>
      </c>
      <c r="O1300" s="2" t="s">
        <v>925</v>
      </c>
      <c r="P1300" s="16" t="s">
        <v>928</v>
      </c>
      <c r="Q1300" s="1">
        <f t="shared" si="48"/>
        <v>1</v>
      </c>
      <c r="R1300" s="1">
        <v>218</v>
      </c>
      <c r="T1300" s="1" t="s">
        <v>659</v>
      </c>
      <c r="U1300" s="8">
        <f t="shared" si="47"/>
        <v>43891</v>
      </c>
    </row>
    <row r="1301" spans="1:23" x14ac:dyDescent="0.25">
      <c r="A1301" s="2">
        <v>22</v>
      </c>
      <c r="B1301" t="s">
        <v>126</v>
      </c>
      <c r="C1301" s="2">
        <v>4</v>
      </c>
      <c r="D1301" s="2">
        <v>18</v>
      </c>
      <c r="E1301" s="2">
        <v>4</v>
      </c>
      <c r="F1301" s="2">
        <v>4</v>
      </c>
      <c r="G1301" s="2">
        <v>0</v>
      </c>
      <c r="H1301" s="2">
        <v>3</v>
      </c>
      <c r="I1301" s="2">
        <v>1</v>
      </c>
      <c r="J1301" s="1"/>
      <c r="M1301" t="s">
        <v>15</v>
      </c>
      <c r="N1301" t="str">
        <f>IFERROR(VLOOKUP(B1301,'[1]All Player'!$B$2:$C$1992,2,0),"")</f>
        <v>M R Shakil</v>
      </c>
      <c r="O1301" s="2" t="s">
        <v>925</v>
      </c>
      <c r="P1301" s="16" t="s">
        <v>928</v>
      </c>
      <c r="Q1301" s="1">
        <f t="shared" si="48"/>
        <v>1</v>
      </c>
      <c r="R1301" s="1">
        <v>218</v>
      </c>
      <c r="T1301" s="1" t="s">
        <v>659</v>
      </c>
      <c r="U1301" s="8">
        <f t="shared" si="47"/>
        <v>43891</v>
      </c>
    </row>
    <row r="1302" spans="1:23" x14ac:dyDescent="0.25">
      <c r="A1302" s="2">
        <v>22</v>
      </c>
      <c r="B1302" t="s">
        <v>70</v>
      </c>
      <c r="C1302" s="2">
        <v>4</v>
      </c>
      <c r="D1302" s="2">
        <v>94</v>
      </c>
      <c r="E1302" s="2">
        <v>2</v>
      </c>
      <c r="F1302" s="2">
        <v>5</v>
      </c>
      <c r="G1302" s="2">
        <v>1</v>
      </c>
      <c r="H1302" s="2">
        <v>4</v>
      </c>
      <c r="I1302" s="2">
        <v>8</v>
      </c>
      <c r="J1302" s="1"/>
      <c r="M1302" t="s">
        <v>15</v>
      </c>
      <c r="N1302" t="str">
        <f>IFERROR(VLOOKUP(B1302,'[1]All Player'!$B$2:$C$1992,2,0),"")</f>
        <v>Sheik Helal Ahmed</v>
      </c>
      <c r="O1302" s="2" t="s">
        <v>925</v>
      </c>
      <c r="P1302" s="16" t="s">
        <v>928</v>
      </c>
      <c r="Q1302" s="1">
        <f t="shared" si="48"/>
        <v>1</v>
      </c>
      <c r="R1302" s="1">
        <v>218</v>
      </c>
      <c r="S1302" s="2" t="s">
        <v>658</v>
      </c>
      <c r="T1302" s="1" t="s">
        <v>659</v>
      </c>
      <c r="U1302" s="8">
        <f t="shared" si="47"/>
        <v>43891</v>
      </c>
    </row>
    <row r="1303" spans="1:23" x14ac:dyDescent="0.25">
      <c r="A1303" s="2">
        <v>23</v>
      </c>
      <c r="B1303" s="17" t="s">
        <v>929</v>
      </c>
      <c r="J1303" s="1"/>
      <c r="M1303" t="s">
        <v>15</v>
      </c>
      <c r="N1303" t="str">
        <f>IFERROR(VLOOKUP(B1303,'[1]All Player'!$B$2:$C$1992,2,0),"")</f>
        <v/>
      </c>
      <c r="O1303" s="2" t="s">
        <v>930</v>
      </c>
      <c r="P1303" s="16" t="s">
        <v>929</v>
      </c>
      <c r="Q1303" s="1">
        <f t="shared" si="48"/>
        <v>1</v>
      </c>
      <c r="R1303" s="1">
        <v>219</v>
      </c>
      <c r="T1303" s="1" t="s">
        <v>657</v>
      </c>
      <c r="U1303" s="8">
        <v>43922</v>
      </c>
    </row>
    <row r="1304" spans="1:23" x14ac:dyDescent="0.25">
      <c r="A1304" s="2">
        <v>23</v>
      </c>
      <c r="B1304" t="s">
        <v>21</v>
      </c>
      <c r="C1304" s="2">
        <v>10</v>
      </c>
      <c r="D1304" s="2">
        <v>86</v>
      </c>
      <c r="E1304" s="2">
        <v>12</v>
      </c>
      <c r="F1304" s="2">
        <v>10</v>
      </c>
      <c r="G1304" s="2">
        <v>1</v>
      </c>
      <c r="H1304" s="2">
        <v>9</v>
      </c>
      <c r="I1304" s="2">
        <v>6</v>
      </c>
      <c r="J1304" s="1">
        <v>1</v>
      </c>
      <c r="M1304" t="s">
        <v>15</v>
      </c>
      <c r="N1304" t="str">
        <f>IFERROR(VLOOKUP(B1304,'[1]All Player'!$B$2:$C$1992,2,0),"")</f>
        <v>Faisal Ahmed Jhony</v>
      </c>
      <c r="O1304" s="2" t="s">
        <v>930</v>
      </c>
      <c r="P1304" s="14" t="s">
        <v>929</v>
      </c>
      <c r="Q1304" s="1">
        <f t="shared" si="48"/>
        <v>1</v>
      </c>
      <c r="R1304" s="1">
        <v>219</v>
      </c>
      <c r="T1304" s="1" t="s">
        <v>657</v>
      </c>
      <c r="U1304" s="8">
        <f t="shared" ref="U1304:U1350" si="49">U1303</f>
        <v>43922</v>
      </c>
    </row>
    <row r="1305" spans="1:23" x14ac:dyDescent="0.25">
      <c r="A1305" s="2">
        <v>23</v>
      </c>
      <c r="B1305" t="s">
        <v>661</v>
      </c>
      <c r="C1305" s="2">
        <v>10</v>
      </c>
      <c r="D1305" s="2">
        <v>99</v>
      </c>
      <c r="E1305" s="2">
        <v>16</v>
      </c>
      <c r="F1305" s="2">
        <v>8</v>
      </c>
      <c r="G1305" s="2">
        <v>3</v>
      </c>
      <c r="H1305" s="2">
        <v>7</v>
      </c>
      <c r="I1305" s="2">
        <v>7</v>
      </c>
      <c r="J1305" s="1">
        <v>1</v>
      </c>
      <c r="M1305" t="s">
        <v>15</v>
      </c>
      <c r="N1305" t="str">
        <f>IFERROR(VLOOKUP(B1305,'[1]All Player'!$B$2:$C$1992,2,0),"")</f>
        <v>Sakhawat Hossain Shanto</v>
      </c>
      <c r="O1305" s="2" t="s">
        <v>930</v>
      </c>
      <c r="P1305" s="14" t="s">
        <v>929</v>
      </c>
      <c r="Q1305" s="1">
        <f t="shared" si="48"/>
        <v>1</v>
      </c>
      <c r="R1305" s="1">
        <v>219</v>
      </c>
      <c r="T1305" s="1" t="s">
        <v>657</v>
      </c>
      <c r="U1305" s="8">
        <f t="shared" si="49"/>
        <v>43922</v>
      </c>
    </row>
    <row r="1306" spans="1:23" x14ac:dyDescent="0.25">
      <c r="A1306" s="2">
        <v>23</v>
      </c>
      <c r="B1306" t="s">
        <v>29</v>
      </c>
      <c r="C1306" s="2">
        <v>10</v>
      </c>
      <c r="D1306" s="2">
        <v>123</v>
      </c>
      <c r="E1306" s="2">
        <v>19</v>
      </c>
      <c r="F1306" s="2">
        <v>10</v>
      </c>
      <c r="G1306" s="2">
        <v>2</v>
      </c>
      <c r="H1306" s="2">
        <v>16</v>
      </c>
      <c r="I1306" s="2">
        <v>5</v>
      </c>
      <c r="J1306" s="1"/>
      <c r="M1306" t="s">
        <v>15</v>
      </c>
      <c r="N1306" t="str">
        <f>IFERROR(VLOOKUP(B1306,'[1]All Player'!$B$2:$C$1992,2,0),"")</f>
        <v>Foysal Ahmed Jumon</v>
      </c>
      <c r="O1306" s="2" t="s">
        <v>930</v>
      </c>
      <c r="P1306" s="14" t="s">
        <v>929</v>
      </c>
      <c r="Q1306" s="1">
        <f t="shared" si="48"/>
        <v>1</v>
      </c>
      <c r="R1306" s="1">
        <v>219</v>
      </c>
      <c r="S1306" s="2" t="s">
        <v>660</v>
      </c>
      <c r="T1306" s="1" t="s">
        <v>657</v>
      </c>
      <c r="U1306" s="8">
        <f t="shared" si="49"/>
        <v>43922</v>
      </c>
      <c r="W1306" s="1">
        <v>1</v>
      </c>
    </row>
    <row r="1307" spans="1:23" x14ac:dyDescent="0.25">
      <c r="A1307" s="2">
        <v>23</v>
      </c>
      <c r="B1307" t="s">
        <v>78</v>
      </c>
      <c r="C1307" s="2">
        <v>10</v>
      </c>
      <c r="D1307" s="2">
        <v>101</v>
      </c>
      <c r="E1307" s="2">
        <v>4</v>
      </c>
      <c r="F1307" s="2">
        <v>10</v>
      </c>
      <c r="G1307" s="2">
        <v>3</v>
      </c>
      <c r="H1307" s="2">
        <v>6</v>
      </c>
      <c r="I1307" s="2">
        <v>7</v>
      </c>
      <c r="J1307" s="1"/>
      <c r="M1307" t="s">
        <v>15</v>
      </c>
      <c r="N1307" t="str">
        <f>IFERROR(VLOOKUP(B1307,'[1]All Player'!$B$2:$C$1992,2,0),"")</f>
        <v>KM Rashedul Islam Rashed</v>
      </c>
      <c r="O1307" s="2" t="s">
        <v>930</v>
      </c>
      <c r="P1307" s="14" t="s">
        <v>929</v>
      </c>
      <c r="Q1307" s="1">
        <f t="shared" si="48"/>
        <v>1</v>
      </c>
      <c r="R1307" s="1">
        <v>219</v>
      </c>
      <c r="T1307" s="1" t="s">
        <v>657</v>
      </c>
      <c r="U1307" s="8">
        <f t="shared" si="49"/>
        <v>43922</v>
      </c>
    </row>
    <row r="1308" spans="1:23" x14ac:dyDescent="0.25">
      <c r="A1308" s="2">
        <v>23</v>
      </c>
      <c r="B1308" t="s">
        <v>31</v>
      </c>
      <c r="C1308" s="2">
        <v>10</v>
      </c>
      <c r="D1308" s="2">
        <v>90</v>
      </c>
      <c r="E1308" s="2">
        <v>3</v>
      </c>
      <c r="F1308" s="2">
        <v>8</v>
      </c>
      <c r="G1308" s="2">
        <v>0</v>
      </c>
      <c r="H1308" s="2">
        <v>6</v>
      </c>
      <c r="I1308" s="2">
        <v>7</v>
      </c>
      <c r="J1308" s="1"/>
      <c r="M1308" t="s">
        <v>15</v>
      </c>
      <c r="N1308" t="str">
        <f>IFERROR(VLOOKUP(B1308,'[1]All Player'!$B$2:$C$1992,2,0),"")</f>
        <v>Hetlar Shohag</v>
      </c>
      <c r="O1308" s="2" t="s">
        <v>930</v>
      </c>
      <c r="P1308" s="14" t="s">
        <v>929</v>
      </c>
      <c r="Q1308" s="1">
        <f t="shared" si="48"/>
        <v>1</v>
      </c>
      <c r="R1308" s="1">
        <v>219</v>
      </c>
      <c r="T1308" s="1" t="s">
        <v>657</v>
      </c>
      <c r="U1308" s="8">
        <f t="shared" si="49"/>
        <v>43922</v>
      </c>
    </row>
    <row r="1309" spans="1:23" x14ac:dyDescent="0.25">
      <c r="A1309" s="2">
        <v>23</v>
      </c>
      <c r="B1309" s="17" t="s">
        <v>931</v>
      </c>
      <c r="J1309" s="1"/>
      <c r="M1309" t="s">
        <v>15</v>
      </c>
      <c r="N1309" t="str">
        <f>IFERROR(VLOOKUP(B1309,'[1]All Player'!$B$2:$C$1992,2,0),"")</f>
        <v/>
      </c>
      <c r="O1309" s="2" t="s">
        <v>930</v>
      </c>
      <c r="P1309" s="14" t="s">
        <v>931</v>
      </c>
      <c r="Q1309" s="1">
        <f t="shared" si="48"/>
        <v>1</v>
      </c>
      <c r="R1309" s="1">
        <v>220</v>
      </c>
      <c r="T1309" s="1" t="s">
        <v>659</v>
      </c>
      <c r="U1309" s="8">
        <f t="shared" si="49"/>
        <v>43922</v>
      </c>
    </row>
    <row r="1310" spans="1:23" x14ac:dyDescent="0.25">
      <c r="A1310" s="2">
        <v>23</v>
      </c>
      <c r="B1310" t="s">
        <v>102</v>
      </c>
      <c r="C1310" s="2">
        <v>9</v>
      </c>
      <c r="D1310" s="2">
        <v>63</v>
      </c>
      <c r="E1310" s="2">
        <v>9</v>
      </c>
      <c r="F1310" s="2">
        <v>9</v>
      </c>
      <c r="G1310" s="2">
        <v>2</v>
      </c>
      <c r="H1310" s="2">
        <v>5</v>
      </c>
      <c r="I1310" s="2">
        <v>3</v>
      </c>
      <c r="J1310" s="1"/>
      <c r="M1310" t="s">
        <v>15</v>
      </c>
      <c r="N1310" t="str">
        <f>IFERROR(VLOOKUP(B1310,'[1]All Player'!$B$2:$C$1992,2,0),"")</f>
        <v>Mustofa Muddassir Mahmud Mashuk</v>
      </c>
      <c r="O1310" s="2" t="s">
        <v>930</v>
      </c>
      <c r="P1310" s="14" t="s">
        <v>931</v>
      </c>
      <c r="Q1310" s="1">
        <f t="shared" si="48"/>
        <v>1</v>
      </c>
      <c r="R1310" s="1">
        <v>220</v>
      </c>
      <c r="T1310" s="1" t="s">
        <v>659</v>
      </c>
      <c r="U1310" s="8">
        <f t="shared" si="49"/>
        <v>43922</v>
      </c>
    </row>
    <row r="1311" spans="1:23" x14ac:dyDescent="0.25">
      <c r="A1311" s="2">
        <v>23</v>
      </c>
      <c r="B1311" t="s">
        <v>134</v>
      </c>
      <c r="C1311" s="2">
        <v>9</v>
      </c>
      <c r="D1311" s="2">
        <v>181</v>
      </c>
      <c r="E1311" s="2">
        <v>7</v>
      </c>
      <c r="F1311" s="2">
        <v>12</v>
      </c>
      <c r="G1311" s="2">
        <v>3</v>
      </c>
      <c r="H1311" s="2">
        <v>16</v>
      </c>
      <c r="I1311" s="2">
        <v>15</v>
      </c>
      <c r="J1311" s="1"/>
      <c r="M1311" t="s">
        <v>15</v>
      </c>
      <c r="N1311" t="str">
        <f>IFERROR(VLOOKUP(B1311,'[1]All Player'!$B$2:$C$1992,2,0),"")</f>
        <v>Md Dulal Miah</v>
      </c>
      <c r="O1311" s="2" t="s">
        <v>930</v>
      </c>
      <c r="P1311" s="14" t="s">
        <v>931</v>
      </c>
      <c r="Q1311" s="1">
        <f t="shared" si="48"/>
        <v>1</v>
      </c>
      <c r="R1311" s="1">
        <v>220</v>
      </c>
      <c r="T1311" s="1" t="s">
        <v>659</v>
      </c>
      <c r="U1311" s="8">
        <f t="shared" si="49"/>
        <v>43922</v>
      </c>
    </row>
    <row r="1312" spans="1:23" x14ac:dyDescent="0.25">
      <c r="A1312" s="2">
        <v>23</v>
      </c>
      <c r="B1312" t="s">
        <v>114</v>
      </c>
      <c r="C1312" s="2">
        <v>9</v>
      </c>
      <c r="D1312" s="2">
        <v>169</v>
      </c>
      <c r="E1312" s="2">
        <v>15</v>
      </c>
      <c r="F1312" s="2">
        <v>11</v>
      </c>
      <c r="G1312" s="2">
        <v>2</v>
      </c>
      <c r="H1312" s="2">
        <v>14</v>
      </c>
      <c r="I1312" s="2">
        <v>12</v>
      </c>
      <c r="J1312" s="1">
        <v>2</v>
      </c>
      <c r="M1312" t="s">
        <v>15</v>
      </c>
      <c r="N1312" t="str">
        <f>IFERROR(VLOOKUP(B1312,'[1]All Player'!$B$2:$C$1992,2,0),"")</f>
        <v>Tanvir Shakib</v>
      </c>
      <c r="O1312" s="2" t="s">
        <v>930</v>
      </c>
      <c r="P1312" s="14" t="s">
        <v>931</v>
      </c>
      <c r="Q1312" s="1">
        <f t="shared" si="48"/>
        <v>1</v>
      </c>
      <c r="R1312" s="1">
        <v>220</v>
      </c>
      <c r="S1312" s="2" t="s">
        <v>658</v>
      </c>
      <c r="T1312" s="1" t="s">
        <v>659</v>
      </c>
      <c r="U1312" s="8">
        <f t="shared" si="49"/>
        <v>43922</v>
      </c>
    </row>
    <row r="1313" spans="1:22" x14ac:dyDescent="0.25">
      <c r="A1313" s="2">
        <v>23</v>
      </c>
      <c r="B1313" t="s">
        <v>138</v>
      </c>
      <c r="C1313" s="2">
        <v>9</v>
      </c>
      <c r="D1313" s="2">
        <v>91</v>
      </c>
      <c r="E1313" s="2">
        <v>9</v>
      </c>
      <c r="F1313" s="2">
        <v>9</v>
      </c>
      <c r="G1313" s="2">
        <v>0</v>
      </c>
      <c r="H1313" s="2">
        <v>7</v>
      </c>
      <c r="I1313" s="2">
        <v>6</v>
      </c>
      <c r="J1313" s="1"/>
      <c r="M1313" t="s">
        <v>15</v>
      </c>
      <c r="N1313" t="str">
        <f>IFERROR(VLOOKUP(B1313,'[1]All Player'!$B$2:$C$1992,2,0),"")</f>
        <v>Asif Iqbal Khan</v>
      </c>
      <c r="O1313" s="2" t="s">
        <v>930</v>
      </c>
      <c r="P1313" s="14" t="s">
        <v>931</v>
      </c>
      <c r="Q1313" s="1">
        <f t="shared" si="48"/>
        <v>1</v>
      </c>
      <c r="R1313" s="1">
        <v>220</v>
      </c>
      <c r="T1313" s="1" t="s">
        <v>659</v>
      </c>
      <c r="U1313" s="8">
        <f t="shared" si="49"/>
        <v>43922</v>
      </c>
    </row>
    <row r="1314" spans="1:22" x14ac:dyDescent="0.25">
      <c r="A1314" s="2">
        <v>23</v>
      </c>
      <c r="B1314" t="s">
        <v>106</v>
      </c>
      <c r="C1314" s="2">
        <v>6</v>
      </c>
      <c r="D1314" s="2">
        <v>21</v>
      </c>
      <c r="E1314" s="2">
        <v>8</v>
      </c>
      <c r="F1314" s="2">
        <v>3</v>
      </c>
      <c r="G1314" s="2">
        <v>0</v>
      </c>
      <c r="H1314" s="2">
        <v>1</v>
      </c>
      <c r="I1314" s="2">
        <v>1</v>
      </c>
      <c r="J1314" s="1">
        <v>1</v>
      </c>
      <c r="M1314" t="s">
        <v>15</v>
      </c>
      <c r="N1314" t="str">
        <f>IFERROR(VLOOKUP(B1314,'[1]All Player'!$B$2:$C$1992,2,0),"")</f>
        <v>Sayed Anowar Shanto</v>
      </c>
      <c r="O1314" s="2" t="s">
        <v>930</v>
      </c>
      <c r="P1314" s="14" t="s">
        <v>931</v>
      </c>
      <c r="Q1314" s="1">
        <f t="shared" si="48"/>
        <v>1</v>
      </c>
      <c r="R1314" s="1">
        <v>220</v>
      </c>
      <c r="T1314" s="1" t="s">
        <v>659</v>
      </c>
      <c r="U1314" s="8">
        <f t="shared" si="49"/>
        <v>43922</v>
      </c>
    </row>
    <row r="1315" spans="1:22" x14ac:dyDescent="0.25">
      <c r="A1315" s="2">
        <v>23</v>
      </c>
      <c r="B1315" s="17" t="s">
        <v>932</v>
      </c>
      <c r="J1315" s="1"/>
      <c r="M1315" t="s">
        <v>15</v>
      </c>
      <c r="N1315" t="str">
        <f>IFERROR(VLOOKUP(B1315,'[1]All Player'!$B$2:$C$1992,2,0),"")</f>
        <v/>
      </c>
      <c r="O1315" s="2" t="s">
        <v>930</v>
      </c>
      <c r="P1315" s="14" t="s">
        <v>932</v>
      </c>
      <c r="Q1315" s="1">
        <f t="shared" si="48"/>
        <v>1</v>
      </c>
      <c r="R1315" s="1">
        <v>221</v>
      </c>
      <c r="U1315" s="8">
        <f t="shared" si="49"/>
        <v>43922</v>
      </c>
    </row>
    <row r="1316" spans="1:22" x14ac:dyDescent="0.25">
      <c r="A1316" s="2">
        <v>23</v>
      </c>
      <c r="B1316" t="s">
        <v>95</v>
      </c>
      <c r="C1316" s="2">
        <v>8</v>
      </c>
      <c r="D1316" s="2">
        <v>61</v>
      </c>
      <c r="E1316" s="2">
        <v>9</v>
      </c>
      <c r="F1316" s="2">
        <v>8</v>
      </c>
      <c r="G1316" s="2">
        <v>1</v>
      </c>
      <c r="H1316" s="2">
        <v>5</v>
      </c>
      <c r="I1316" s="2">
        <v>5</v>
      </c>
      <c r="J1316" s="1">
        <v>1</v>
      </c>
      <c r="M1316" t="s">
        <v>15</v>
      </c>
      <c r="N1316" t="str">
        <f>IFERROR(VLOOKUP(B1316,'[1]All Player'!$B$2:$C$1992,2,0),"")</f>
        <v>Sadrul Anam</v>
      </c>
      <c r="O1316" s="2" t="s">
        <v>930</v>
      </c>
      <c r="P1316" s="14" t="s">
        <v>932</v>
      </c>
      <c r="Q1316" s="1">
        <f t="shared" si="48"/>
        <v>1</v>
      </c>
      <c r="R1316" s="1">
        <v>221</v>
      </c>
      <c r="U1316" s="8">
        <f t="shared" si="49"/>
        <v>43922</v>
      </c>
    </row>
    <row r="1317" spans="1:22" x14ac:dyDescent="0.25">
      <c r="A1317" s="2">
        <v>23</v>
      </c>
      <c r="B1317" t="s">
        <v>130</v>
      </c>
      <c r="C1317" s="2">
        <v>8</v>
      </c>
      <c r="D1317" s="2">
        <v>62</v>
      </c>
      <c r="E1317" s="2">
        <v>11</v>
      </c>
      <c r="F1317" s="2">
        <v>10</v>
      </c>
      <c r="G1317" s="2">
        <v>0</v>
      </c>
      <c r="H1317" s="2">
        <v>5</v>
      </c>
      <c r="I1317" s="2">
        <v>4</v>
      </c>
      <c r="J1317" s="1"/>
      <c r="M1317" t="s">
        <v>15</v>
      </c>
      <c r="N1317" t="str">
        <f>IFERROR(VLOOKUP(B1317,'[1]All Player'!$B$2:$C$1992,2,0),"")</f>
        <v>Shahriar Khokon</v>
      </c>
      <c r="O1317" s="2" t="s">
        <v>930</v>
      </c>
      <c r="P1317" s="14" t="s">
        <v>932</v>
      </c>
      <c r="Q1317" s="1">
        <f t="shared" si="48"/>
        <v>1</v>
      </c>
      <c r="R1317" s="1">
        <v>221</v>
      </c>
      <c r="U1317" s="8">
        <f t="shared" si="49"/>
        <v>43922</v>
      </c>
    </row>
    <row r="1318" spans="1:22" x14ac:dyDescent="0.25">
      <c r="A1318" s="2">
        <v>23</v>
      </c>
      <c r="B1318" t="s">
        <v>136</v>
      </c>
      <c r="C1318" s="2">
        <v>8</v>
      </c>
      <c r="D1318" s="2">
        <v>167</v>
      </c>
      <c r="E1318" s="2">
        <v>10</v>
      </c>
      <c r="F1318" s="2">
        <v>13</v>
      </c>
      <c r="G1318" s="2">
        <v>2</v>
      </c>
      <c r="H1318" s="2">
        <v>12</v>
      </c>
      <c r="I1318" s="2">
        <v>12</v>
      </c>
      <c r="J1318" s="1"/>
      <c r="M1318" t="s">
        <v>15</v>
      </c>
      <c r="N1318" t="str">
        <f>IFERROR(VLOOKUP(B1318,'[1]All Player'!$B$2:$C$1992,2,0),"")</f>
        <v>MD Kamal Hossain Kamal</v>
      </c>
      <c r="O1318" s="2" t="s">
        <v>930</v>
      </c>
      <c r="P1318" s="14" t="s">
        <v>932</v>
      </c>
      <c r="Q1318" s="1">
        <f t="shared" si="48"/>
        <v>1</v>
      </c>
      <c r="R1318" s="1">
        <v>221</v>
      </c>
      <c r="U1318" s="8">
        <f t="shared" si="49"/>
        <v>43922</v>
      </c>
    </row>
    <row r="1319" spans="1:22" x14ac:dyDescent="0.25">
      <c r="A1319" s="2">
        <v>23</v>
      </c>
      <c r="B1319" t="s">
        <v>140</v>
      </c>
      <c r="C1319" s="2">
        <v>8</v>
      </c>
      <c r="D1319" s="2">
        <v>144</v>
      </c>
      <c r="E1319" s="2">
        <v>5</v>
      </c>
      <c r="F1319" s="2">
        <v>8</v>
      </c>
      <c r="G1319" s="2">
        <v>0</v>
      </c>
      <c r="H1319" s="2">
        <v>11</v>
      </c>
      <c r="I1319" s="2">
        <v>11</v>
      </c>
      <c r="J1319" s="1"/>
      <c r="M1319" t="s">
        <v>15</v>
      </c>
      <c r="N1319" t="str">
        <f>IFERROR(VLOOKUP(B1319,'[1]All Player'!$B$2:$C$1992,2,0),"")</f>
        <v>Monowar Hossain Munna</v>
      </c>
      <c r="O1319" s="2" t="s">
        <v>930</v>
      </c>
      <c r="P1319" s="14" t="s">
        <v>932</v>
      </c>
      <c r="Q1319" s="1">
        <f t="shared" si="48"/>
        <v>1</v>
      </c>
      <c r="R1319" s="1">
        <v>221</v>
      </c>
      <c r="U1319" s="8">
        <f t="shared" si="49"/>
        <v>43922</v>
      </c>
    </row>
    <row r="1320" spans="1:22" x14ac:dyDescent="0.25">
      <c r="A1320" s="2">
        <v>23</v>
      </c>
      <c r="B1320" t="s">
        <v>175</v>
      </c>
      <c r="C1320" s="2">
        <v>5</v>
      </c>
      <c r="D1320" s="2">
        <v>64</v>
      </c>
      <c r="E1320" s="2">
        <v>3</v>
      </c>
      <c r="F1320" s="2">
        <v>5</v>
      </c>
      <c r="G1320" s="2">
        <v>1</v>
      </c>
      <c r="H1320" s="2">
        <v>7</v>
      </c>
      <c r="I1320" s="2">
        <v>3</v>
      </c>
      <c r="J1320" s="1">
        <v>1</v>
      </c>
      <c r="M1320" t="s">
        <v>15</v>
      </c>
      <c r="N1320" t="str">
        <f>IFERROR(VLOOKUP(B1320,'[1]All Player'!$B$2:$C$1992,2,0),"")</f>
        <v>Wasiq Rahman</v>
      </c>
      <c r="O1320" s="2" t="s">
        <v>930</v>
      </c>
      <c r="P1320" s="14" t="s">
        <v>932</v>
      </c>
      <c r="Q1320" s="1">
        <f t="shared" si="48"/>
        <v>1</v>
      </c>
      <c r="R1320" s="1">
        <v>221</v>
      </c>
      <c r="U1320" s="8">
        <f t="shared" si="49"/>
        <v>43922</v>
      </c>
    </row>
    <row r="1321" spans="1:22" x14ac:dyDescent="0.25">
      <c r="A1321" s="2">
        <v>23</v>
      </c>
      <c r="B1321" s="17" t="s">
        <v>933</v>
      </c>
      <c r="J1321" s="1"/>
      <c r="M1321" t="s">
        <v>15</v>
      </c>
      <c r="N1321" t="str">
        <f>IFERROR(VLOOKUP(B1321,'[1]All Player'!$B$2:$C$1992,2,0),"")</f>
        <v/>
      </c>
      <c r="O1321" s="2" t="s">
        <v>930</v>
      </c>
      <c r="P1321" s="14" t="s">
        <v>933</v>
      </c>
      <c r="Q1321" s="1">
        <f t="shared" si="48"/>
        <v>1</v>
      </c>
      <c r="R1321" s="1">
        <v>222</v>
      </c>
      <c r="U1321" s="8">
        <f t="shared" si="49"/>
        <v>43922</v>
      </c>
    </row>
    <row r="1322" spans="1:22" x14ac:dyDescent="0.25">
      <c r="A1322" s="2">
        <v>23</v>
      </c>
      <c r="B1322" t="s">
        <v>70</v>
      </c>
      <c r="C1322" s="2">
        <v>7</v>
      </c>
      <c r="D1322" s="2">
        <v>56</v>
      </c>
      <c r="E1322" s="2">
        <v>4</v>
      </c>
      <c r="F1322" s="2">
        <v>8</v>
      </c>
      <c r="G1322" s="2">
        <v>0</v>
      </c>
      <c r="H1322" s="2">
        <v>2</v>
      </c>
      <c r="I1322" s="2">
        <v>5</v>
      </c>
      <c r="J1322" s="1"/>
      <c r="M1322" t="s">
        <v>15</v>
      </c>
      <c r="N1322" t="str">
        <f>IFERROR(VLOOKUP(B1322,'[1]All Player'!$B$2:$C$1992,2,0),"")</f>
        <v>Sheik Helal Ahmed</v>
      </c>
      <c r="O1322" s="2" t="s">
        <v>930</v>
      </c>
      <c r="P1322" s="14" t="s">
        <v>933</v>
      </c>
      <c r="Q1322" s="1">
        <f t="shared" si="48"/>
        <v>1</v>
      </c>
      <c r="R1322" s="1">
        <v>222</v>
      </c>
      <c r="U1322" s="8">
        <f t="shared" si="49"/>
        <v>43922</v>
      </c>
    </row>
    <row r="1323" spans="1:22" x14ac:dyDescent="0.25">
      <c r="A1323" s="2">
        <v>23</v>
      </c>
      <c r="B1323" t="s">
        <v>62</v>
      </c>
      <c r="C1323" s="2">
        <v>7</v>
      </c>
      <c r="D1323" s="2">
        <v>85</v>
      </c>
      <c r="E1323" s="2">
        <v>7</v>
      </c>
      <c r="F1323" s="2">
        <v>6</v>
      </c>
      <c r="G1323" s="2">
        <v>1</v>
      </c>
      <c r="H1323" s="2">
        <v>9</v>
      </c>
      <c r="I1323" s="2">
        <v>6</v>
      </c>
      <c r="J1323" s="1">
        <v>1</v>
      </c>
      <c r="M1323" t="s">
        <v>15</v>
      </c>
      <c r="N1323" t="str">
        <f>IFERROR(VLOOKUP(B1323,'[1]All Player'!$B$2:$C$1992,2,0),"")</f>
        <v>MD Tofayel Ahmed</v>
      </c>
      <c r="O1323" s="2" t="s">
        <v>930</v>
      </c>
      <c r="P1323" s="14" t="s">
        <v>933</v>
      </c>
      <c r="Q1323" s="1">
        <f t="shared" si="48"/>
        <v>1</v>
      </c>
      <c r="R1323" s="1">
        <v>222</v>
      </c>
      <c r="U1323" s="8">
        <f t="shared" si="49"/>
        <v>43922</v>
      </c>
    </row>
    <row r="1324" spans="1:22" x14ac:dyDescent="0.25">
      <c r="A1324" s="2">
        <v>23</v>
      </c>
      <c r="B1324" t="s">
        <v>24</v>
      </c>
      <c r="C1324" s="2">
        <v>7</v>
      </c>
      <c r="D1324" s="2">
        <v>220</v>
      </c>
      <c r="E1324" s="2">
        <v>10</v>
      </c>
      <c r="F1324" s="2">
        <v>9</v>
      </c>
      <c r="G1324" s="24">
        <v>0</v>
      </c>
      <c r="H1324" s="2">
        <v>21</v>
      </c>
      <c r="I1324" s="2">
        <v>9</v>
      </c>
      <c r="J1324" s="1"/>
      <c r="M1324" t="s">
        <v>15</v>
      </c>
      <c r="N1324" t="str">
        <f>IFERROR(VLOOKUP(B1324,'[1]All Player'!$B$2:$C$1992,2,0),"")</f>
        <v>Nur Muhammad</v>
      </c>
      <c r="O1324" s="2" t="s">
        <v>930</v>
      </c>
      <c r="P1324" s="14" t="s">
        <v>933</v>
      </c>
      <c r="Q1324" s="1">
        <f t="shared" si="48"/>
        <v>1</v>
      </c>
      <c r="R1324" s="1">
        <v>222</v>
      </c>
      <c r="U1324" s="8">
        <f t="shared" si="49"/>
        <v>43922</v>
      </c>
      <c r="V1324" s="1">
        <v>1</v>
      </c>
    </row>
    <row r="1325" spans="1:22" x14ac:dyDescent="0.25">
      <c r="A1325" s="2">
        <v>23</v>
      </c>
      <c r="B1325" t="s">
        <v>116</v>
      </c>
      <c r="C1325" s="2">
        <v>7</v>
      </c>
      <c r="D1325" s="2">
        <v>24</v>
      </c>
      <c r="E1325" s="2">
        <v>1</v>
      </c>
      <c r="F1325" s="2">
        <v>8</v>
      </c>
      <c r="G1325" s="2">
        <v>1</v>
      </c>
      <c r="H1325" s="2">
        <v>1</v>
      </c>
      <c r="I1325" s="2">
        <v>3</v>
      </c>
      <c r="J1325" s="1"/>
      <c r="M1325" t="s">
        <v>15</v>
      </c>
      <c r="N1325" t="str">
        <f>IFERROR(VLOOKUP(B1325,'[1]All Player'!$B$2:$C$1992,2,0),"")</f>
        <v>Ahammed Ariful Haq</v>
      </c>
      <c r="O1325" s="2" t="s">
        <v>930</v>
      </c>
      <c r="P1325" s="14" t="s">
        <v>933</v>
      </c>
      <c r="Q1325" s="1">
        <f t="shared" si="48"/>
        <v>1</v>
      </c>
      <c r="R1325" s="1">
        <v>222</v>
      </c>
      <c r="U1325" s="8">
        <f t="shared" si="49"/>
        <v>43922</v>
      </c>
    </row>
    <row r="1326" spans="1:22" x14ac:dyDescent="0.25">
      <c r="A1326" s="2">
        <v>23</v>
      </c>
      <c r="B1326" t="s">
        <v>112</v>
      </c>
      <c r="C1326" s="2">
        <v>7</v>
      </c>
      <c r="D1326" s="2">
        <v>2</v>
      </c>
      <c r="E1326" s="2">
        <v>7</v>
      </c>
      <c r="F1326" s="2">
        <v>5</v>
      </c>
      <c r="G1326" s="2">
        <v>0</v>
      </c>
      <c r="H1326" s="2">
        <v>0</v>
      </c>
      <c r="I1326" s="2">
        <v>0</v>
      </c>
      <c r="J1326" s="1"/>
      <c r="M1326" t="s">
        <v>15</v>
      </c>
      <c r="N1326" t="str">
        <f>IFERROR(VLOOKUP(B1326,'[1]All Player'!$B$2:$C$1992,2,0),"")</f>
        <v>Shahriar Khan Shovon</v>
      </c>
      <c r="O1326" s="2" t="s">
        <v>930</v>
      </c>
      <c r="P1326" s="14" t="s">
        <v>933</v>
      </c>
      <c r="Q1326" s="1">
        <f t="shared" si="48"/>
        <v>1</v>
      </c>
      <c r="R1326" s="1">
        <v>222</v>
      </c>
      <c r="U1326" s="8">
        <f t="shared" si="49"/>
        <v>43922</v>
      </c>
    </row>
    <row r="1327" spans="1:22" x14ac:dyDescent="0.25">
      <c r="A1327" s="2">
        <v>23</v>
      </c>
      <c r="B1327" t="s">
        <v>878</v>
      </c>
      <c r="J1327" s="1"/>
      <c r="M1327" t="s">
        <v>15</v>
      </c>
      <c r="N1327" t="str">
        <f>IFERROR(VLOOKUP(B1327,'[1]All Player'!$B$2:$C$1992,2,0),"")</f>
        <v/>
      </c>
      <c r="O1327" s="2" t="s">
        <v>930</v>
      </c>
      <c r="P1327" s="14" t="s">
        <v>878</v>
      </c>
      <c r="Q1327" s="1">
        <f t="shared" si="48"/>
        <v>1</v>
      </c>
      <c r="R1327" s="1">
        <v>223</v>
      </c>
      <c r="U1327" s="8">
        <f t="shared" si="49"/>
        <v>43922</v>
      </c>
    </row>
    <row r="1328" spans="1:22" x14ac:dyDescent="0.25">
      <c r="A1328" s="2">
        <v>23</v>
      </c>
      <c r="B1328" t="s">
        <v>156</v>
      </c>
      <c r="C1328" s="2">
        <v>6</v>
      </c>
      <c r="D1328" s="2">
        <v>131</v>
      </c>
      <c r="E1328" s="2">
        <v>1</v>
      </c>
      <c r="F1328" s="2">
        <v>7</v>
      </c>
      <c r="G1328" s="2">
        <v>1</v>
      </c>
      <c r="H1328" s="2">
        <v>6</v>
      </c>
      <c r="I1328" s="2">
        <v>12</v>
      </c>
      <c r="J1328" s="1"/>
      <c r="M1328" t="s">
        <v>15</v>
      </c>
      <c r="N1328" t="str">
        <f>IFERROR(VLOOKUP(B1328,'[1]All Player'!$B$2:$C$1992,2,0),"")</f>
        <v>Prince Tarek</v>
      </c>
      <c r="O1328" s="2" t="s">
        <v>930</v>
      </c>
      <c r="P1328" s="14" t="s">
        <v>878</v>
      </c>
      <c r="Q1328" s="1">
        <f t="shared" si="48"/>
        <v>1</v>
      </c>
      <c r="R1328" s="1">
        <v>223</v>
      </c>
      <c r="U1328" s="8">
        <f t="shared" si="49"/>
        <v>43922</v>
      </c>
    </row>
    <row r="1329" spans="1:21" x14ac:dyDescent="0.25">
      <c r="A1329" s="2">
        <v>23</v>
      </c>
      <c r="B1329" t="s">
        <v>148</v>
      </c>
      <c r="C1329" s="2">
        <v>7</v>
      </c>
      <c r="D1329" s="2">
        <v>182</v>
      </c>
      <c r="E1329" s="2">
        <v>5</v>
      </c>
      <c r="F1329" s="2">
        <v>11</v>
      </c>
      <c r="G1329" s="2">
        <v>1</v>
      </c>
      <c r="H1329" s="2">
        <v>10</v>
      </c>
      <c r="I1329" s="2">
        <v>13</v>
      </c>
      <c r="J1329" s="1"/>
      <c r="M1329" t="s">
        <v>15</v>
      </c>
      <c r="N1329" t="str">
        <f>IFERROR(VLOOKUP(B1329,'[1]All Player'!$B$2:$C$1992,2,0),"")</f>
        <v>AB Saaj</v>
      </c>
      <c r="O1329" s="2" t="s">
        <v>930</v>
      </c>
      <c r="P1329" s="14" t="s">
        <v>878</v>
      </c>
      <c r="Q1329" s="1">
        <f t="shared" si="48"/>
        <v>1</v>
      </c>
      <c r="R1329" s="1">
        <v>223</v>
      </c>
      <c r="U1329" s="8">
        <f t="shared" si="49"/>
        <v>43922</v>
      </c>
    </row>
    <row r="1330" spans="1:21" x14ac:dyDescent="0.25">
      <c r="A1330" s="2">
        <v>23</v>
      </c>
      <c r="B1330" t="s">
        <v>85</v>
      </c>
      <c r="C1330" s="2">
        <v>6</v>
      </c>
      <c r="D1330" s="2">
        <v>9</v>
      </c>
      <c r="E1330" s="2">
        <v>3</v>
      </c>
      <c r="F1330" s="2">
        <v>7</v>
      </c>
      <c r="G1330" s="2">
        <v>0</v>
      </c>
      <c r="H1330" s="2">
        <v>1</v>
      </c>
      <c r="I1330" s="2">
        <v>0</v>
      </c>
      <c r="J1330" s="1"/>
      <c r="M1330" t="s">
        <v>15</v>
      </c>
      <c r="N1330" t="str">
        <f>IFERROR(VLOOKUP(B1330,'[1]All Player'!$B$2:$C$1992,2,0),"")</f>
        <v>Asik Hassan Tonmoy</v>
      </c>
      <c r="O1330" s="2" t="s">
        <v>930</v>
      </c>
      <c r="P1330" s="14" t="s">
        <v>878</v>
      </c>
      <c r="Q1330" s="1">
        <f t="shared" si="48"/>
        <v>1</v>
      </c>
      <c r="R1330" s="1">
        <v>223</v>
      </c>
      <c r="U1330" s="8">
        <f t="shared" si="49"/>
        <v>43922</v>
      </c>
    </row>
    <row r="1331" spans="1:21" x14ac:dyDescent="0.25">
      <c r="A1331" s="2">
        <v>23</v>
      </c>
      <c r="B1331" t="s">
        <v>126</v>
      </c>
      <c r="C1331" s="2">
        <v>7</v>
      </c>
      <c r="D1331" s="2">
        <v>33</v>
      </c>
      <c r="E1331" s="2">
        <v>6</v>
      </c>
      <c r="F1331" s="2">
        <v>10</v>
      </c>
      <c r="G1331" s="2">
        <v>1</v>
      </c>
      <c r="H1331" s="2">
        <v>4</v>
      </c>
      <c r="I1331" s="2">
        <v>2</v>
      </c>
      <c r="J1331" s="1"/>
      <c r="M1331" t="s">
        <v>15</v>
      </c>
      <c r="N1331" t="str">
        <f>IFERROR(VLOOKUP(B1331,'[1]All Player'!$B$2:$C$1992,2,0),"")</f>
        <v>M R Shakil</v>
      </c>
      <c r="O1331" s="2" t="s">
        <v>930</v>
      </c>
      <c r="P1331" s="14" t="s">
        <v>878</v>
      </c>
      <c r="Q1331" s="1">
        <f t="shared" si="48"/>
        <v>1</v>
      </c>
      <c r="R1331" s="1">
        <v>223</v>
      </c>
      <c r="U1331" s="8">
        <f t="shared" si="49"/>
        <v>43922</v>
      </c>
    </row>
    <row r="1332" spans="1:21" x14ac:dyDescent="0.25">
      <c r="A1332" s="2">
        <v>23</v>
      </c>
      <c r="B1332" t="s">
        <v>91</v>
      </c>
      <c r="C1332" s="2">
        <v>5</v>
      </c>
      <c r="D1332" s="2">
        <v>12</v>
      </c>
      <c r="E1332" s="2">
        <v>9</v>
      </c>
      <c r="F1332" s="2">
        <v>4</v>
      </c>
      <c r="G1332" s="2">
        <v>0</v>
      </c>
      <c r="H1332" s="2">
        <v>2</v>
      </c>
      <c r="I1332" s="2">
        <v>0</v>
      </c>
      <c r="J1332" s="1"/>
      <c r="M1332" t="s">
        <v>15</v>
      </c>
      <c r="N1332" t="str">
        <f>IFERROR(VLOOKUP(B1332,'[1]All Player'!$B$2:$C$1992,2,0),"")</f>
        <v>Abdullah Al Mamun</v>
      </c>
      <c r="O1332" s="2" t="s">
        <v>930</v>
      </c>
      <c r="P1332" s="14" t="s">
        <v>878</v>
      </c>
      <c r="Q1332" s="1">
        <f t="shared" si="48"/>
        <v>1</v>
      </c>
      <c r="R1332" s="1">
        <v>223</v>
      </c>
      <c r="U1332" s="8">
        <f t="shared" si="49"/>
        <v>43922</v>
      </c>
    </row>
    <row r="1333" spans="1:21" x14ac:dyDescent="0.25">
      <c r="A1333" s="2">
        <v>23</v>
      </c>
      <c r="B1333" t="s">
        <v>934</v>
      </c>
      <c r="J1333" s="1"/>
      <c r="M1333" t="s">
        <v>15</v>
      </c>
      <c r="N1333" t="str">
        <f>IFERROR(VLOOKUP(B1333,'[1]All Player'!$B$2:$C$1992,2,0),"")</f>
        <v/>
      </c>
      <c r="O1333" s="2" t="s">
        <v>930</v>
      </c>
      <c r="P1333" s="14" t="s">
        <v>934</v>
      </c>
      <c r="Q1333" s="1">
        <f t="shared" si="48"/>
        <v>1</v>
      </c>
      <c r="R1333" s="1">
        <v>224</v>
      </c>
      <c r="U1333" s="8">
        <f t="shared" si="49"/>
        <v>43922</v>
      </c>
    </row>
    <row r="1334" spans="1:21" x14ac:dyDescent="0.25">
      <c r="A1334" s="2">
        <v>23</v>
      </c>
      <c r="B1334" t="s">
        <v>60</v>
      </c>
      <c r="C1334" s="2">
        <v>7</v>
      </c>
      <c r="D1334" s="2">
        <v>150</v>
      </c>
      <c r="E1334" s="2">
        <v>5</v>
      </c>
      <c r="F1334" s="2">
        <v>10</v>
      </c>
      <c r="G1334" s="2">
        <v>2</v>
      </c>
      <c r="H1334" s="2">
        <v>13</v>
      </c>
      <c r="I1334" s="2">
        <v>9</v>
      </c>
      <c r="J1334" s="1"/>
      <c r="M1334" t="s">
        <v>15</v>
      </c>
      <c r="N1334" t="str">
        <f>IFERROR(VLOOKUP(B1334,'[1]All Player'!$B$2:$C$1992,2,0),"")</f>
        <v>Jahin Shahriar Chowdhury</v>
      </c>
      <c r="O1334" s="2" t="s">
        <v>930</v>
      </c>
      <c r="P1334" s="14" t="s">
        <v>934</v>
      </c>
      <c r="Q1334" s="1">
        <f t="shared" si="48"/>
        <v>1</v>
      </c>
      <c r="R1334" s="1">
        <v>224</v>
      </c>
      <c r="U1334" s="8">
        <f t="shared" si="49"/>
        <v>43922</v>
      </c>
    </row>
    <row r="1335" spans="1:21" x14ac:dyDescent="0.25">
      <c r="A1335" s="2">
        <v>23</v>
      </c>
      <c r="B1335" t="s">
        <v>66</v>
      </c>
      <c r="C1335" s="2">
        <v>7</v>
      </c>
      <c r="D1335" s="2">
        <v>49</v>
      </c>
      <c r="E1335" s="2">
        <v>10</v>
      </c>
      <c r="F1335" s="2">
        <v>7</v>
      </c>
      <c r="G1335" s="2">
        <v>1</v>
      </c>
      <c r="H1335" s="2">
        <v>4</v>
      </c>
      <c r="I1335" s="2">
        <v>3</v>
      </c>
      <c r="J1335" s="1"/>
      <c r="M1335" t="s">
        <v>15</v>
      </c>
      <c r="N1335" t="str">
        <f>IFERROR(VLOOKUP(B1335,'[1]All Player'!$B$2:$C$1992,2,0),"")</f>
        <v>Ahmad Sakib Abdullah</v>
      </c>
      <c r="O1335" s="2" t="s">
        <v>930</v>
      </c>
      <c r="P1335" s="14" t="s">
        <v>934</v>
      </c>
      <c r="Q1335" s="1">
        <f t="shared" si="48"/>
        <v>1</v>
      </c>
      <c r="R1335" s="1">
        <v>224</v>
      </c>
      <c r="U1335" s="8">
        <f t="shared" si="49"/>
        <v>43922</v>
      </c>
    </row>
    <row r="1336" spans="1:21" x14ac:dyDescent="0.25">
      <c r="A1336" s="2">
        <v>23</v>
      </c>
      <c r="B1336" t="s">
        <v>146</v>
      </c>
      <c r="C1336" s="2">
        <v>7</v>
      </c>
      <c r="D1336" s="2">
        <v>73</v>
      </c>
      <c r="E1336" s="2">
        <v>1</v>
      </c>
      <c r="F1336" s="2">
        <v>7</v>
      </c>
      <c r="G1336" s="2">
        <v>0</v>
      </c>
      <c r="H1336" s="2">
        <v>10</v>
      </c>
      <c r="I1336" s="2">
        <v>3</v>
      </c>
      <c r="J1336" s="1"/>
      <c r="M1336" t="s">
        <v>15</v>
      </c>
      <c r="N1336" t="str">
        <f>IFERROR(VLOOKUP(B1336,'[1]All Player'!$B$2:$C$1992,2,0),"")</f>
        <v>Nahid Saifullah</v>
      </c>
      <c r="O1336" s="2" t="s">
        <v>930</v>
      </c>
      <c r="P1336" s="14" t="s">
        <v>934</v>
      </c>
      <c r="Q1336" s="1">
        <f t="shared" si="48"/>
        <v>1</v>
      </c>
      <c r="R1336" s="1">
        <v>224</v>
      </c>
      <c r="U1336" s="8">
        <f t="shared" si="49"/>
        <v>43922</v>
      </c>
    </row>
    <row r="1337" spans="1:21" x14ac:dyDescent="0.25">
      <c r="A1337" s="2">
        <v>23</v>
      </c>
      <c r="B1337" t="s">
        <v>104</v>
      </c>
      <c r="C1337" s="2">
        <v>7</v>
      </c>
      <c r="D1337" s="2">
        <v>89</v>
      </c>
      <c r="E1337" s="2">
        <v>12</v>
      </c>
      <c r="F1337" s="2">
        <v>9</v>
      </c>
      <c r="G1337" s="2">
        <v>0</v>
      </c>
      <c r="H1337" s="2">
        <v>8</v>
      </c>
      <c r="I1337" s="2">
        <v>6</v>
      </c>
      <c r="J1337" s="1">
        <v>1</v>
      </c>
      <c r="M1337" t="s">
        <v>15</v>
      </c>
      <c r="N1337" t="str">
        <f>IFERROR(VLOOKUP(B1337,'[1]All Player'!$B$2:$C$1992,2,0),"")</f>
        <v>Bandhon Podder Pranto</v>
      </c>
      <c r="O1337" s="2" t="s">
        <v>930</v>
      </c>
      <c r="P1337" s="14" t="s">
        <v>934</v>
      </c>
      <c r="Q1337" s="1">
        <f t="shared" si="48"/>
        <v>1</v>
      </c>
      <c r="R1337" s="1">
        <v>224</v>
      </c>
      <c r="U1337" s="8">
        <f t="shared" si="49"/>
        <v>43922</v>
      </c>
    </row>
    <row r="1338" spans="1:21" x14ac:dyDescent="0.25">
      <c r="A1338" s="2">
        <v>23</v>
      </c>
      <c r="B1338" t="s">
        <v>173</v>
      </c>
      <c r="C1338" s="2">
        <v>7</v>
      </c>
      <c r="D1338" s="2">
        <v>47</v>
      </c>
      <c r="E1338" s="2">
        <v>7</v>
      </c>
      <c r="F1338" s="2">
        <v>7</v>
      </c>
      <c r="G1338" s="2">
        <v>0</v>
      </c>
      <c r="H1338" s="2">
        <v>4</v>
      </c>
      <c r="I1338" s="2">
        <v>4</v>
      </c>
      <c r="J1338" s="1"/>
      <c r="M1338" t="s">
        <v>15</v>
      </c>
      <c r="N1338" t="str">
        <f>IFERROR(VLOOKUP(B1338,'[1]All Player'!$B$2:$C$1992,2,0),"")</f>
        <v>Sajjadul Haque Sagar</v>
      </c>
      <c r="O1338" s="2" t="s">
        <v>930</v>
      </c>
      <c r="P1338" s="14" t="s">
        <v>934</v>
      </c>
      <c r="Q1338" s="1">
        <f t="shared" si="48"/>
        <v>1</v>
      </c>
      <c r="R1338" s="1">
        <v>224</v>
      </c>
      <c r="U1338" s="8">
        <f t="shared" si="49"/>
        <v>43922</v>
      </c>
    </row>
    <row r="1339" spans="1:21" x14ac:dyDescent="0.25">
      <c r="A1339" s="2">
        <v>23</v>
      </c>
      <c r="B1339" t="s">
        <v>935</v>
      </c>
      <c r="J1339" s="1"/>
      <c r="M1339" t="s">
        <v>15</v>
      </c>
      <c r="N1339" t="str">
        <f>IFERROR(VLOOKUP(B1339,'[1]All Player'!$B$2:$C$1992,2,0),"")</f>
        <v/>
      </c>
      <c r="O1339" s="2" t="s">
        <v>930</v>
      </c>
      <c r="P1339" s="14" t="s">
        <v>935</v>
      </c>
      <c r="Q1339" s="1">
        <f t="shared" si="48"/>
        <v>1</v>
      </c>
      <c r="R1339" s="1">
        <v>225</v>
      </c>
      <c r="U1339" s="8">
        <f t="shared" si="49"/>
        <v>43922</v>
      </c>
    </row>
    <row r="1340" spans="1:21" x14ac:dyDescent="0.25">
      <c r="A1340" s="2">
        <v>23</v>
      </c>
      <c r="B1340" t="s">
        <v>52</v>
      </c>
      <c r="C1340" s="2">
        <v>7</v>
      </c>
      <c r="D1340" s="2">
        <v>82</v>
      </c>
      <c r="E1340" s="2">
        <v>3</v>
      </c>
      <c r="F1340" s="2">
        <v>10</v>
      </c>
      <c r="G1340" s="2">
        <v>0</v>
      </c>
      <c r="H1340" s="2">
        <v>8</v>
      </c>
      <c r="I1340" s="2">
        <v>4</v>
      </c>
      <c r="J1340" s="1"/>
      <c r="M1340" t="s">
        <v>15</v>
      </c>
      <c r="N1340" t="str">
        <f>IFERROR(VLOOKUP(B1340,'[1]All Player'!$B$2:$C$1992,2,0),"")</f>
        <v>Mohammed Al Mamun</v>
      </c>
      <c r="O1340" s="2" t="s">
        <v>930</v>
      </c>
      <c r="P1340" s="14" t="s">
        <v>935</v>
      </c>
      <c r="Q1340" s="1">
        <f t="shared" si="48"/>
        <v>1</v>
      </c>
      <c r="R1340" s="1">
        <v>225</v>
      </c>
      <c r="U1340" s="8">
        <f t="shared" si="49"/>
        <v>43922</v>
      </c>
    </row>
    <row r="1341" spans="1:21" x14ac:dyDescent="0.25">
      <c r="A1341" s="2">
        <v>23</v>
      </c>
      <c r="B1341" t="s">
        <v>93</v>
      </c>
      <c r="C1341" s="2">
        <v>7</v>
      </c>
      <c r="D1341" s="2">
        <v>111</v>
      </c>
      <c r="E1341" s="2">
        <v>7</v>
      </c>
      <c r="F1341" s="2">
        <v>10</v>
      </c>
      <c r="G1341" s="2">
        <v>1</v>
      </c>
      <c r="H1341" s="2">
        <v>12</v>
      </c>
      <c r="I1341" s="2">
        <v>7</v>
      </c>
      <c r="J1341" s="1"/>
      <c r="M1341" t="s">
        <v>15</v>
      </c>
      <c r="N1341" t="str">
        <f>IFERROR(VLOOKUP(B1341,'[1]All Player'!$B$2:$C$1992,2,0),"")</f>
        <v>Zaheed Hasan</v>
      </c>
      <c r="O1341" s="2" t="s">
        <v>930</v>
      </c>
      <c r="P1341" s="14" t="s">
        <v>935</v>
      </c>
      <c r="Q1341" s="1">
        <f t="shared" si="48"/>
        <v>1</v>
      </c>
      <c r="R1341" s="1">
        <v>225</v>
      </c>
      <c r="U1341" s="8">
        <f t="shared" si="49"/>
        <v>43922</v>
      </c>
    </row>
    <row r="1342" spans="1:21" x14ac:dyDescent="0.25">
      <c r="A1342" s="2">
        <v>23</v>
      </c>
      <c r="B1342" t="s">
        <v>152</v>
      </c>
      <c r="C1342" s="2">
        <v>6</v>
      </c>
      <c r="D1342" s="2">
        <v>55</v>
      </c>
      <c r="E1342" s="2">
        <v>6</v>
      </c>
      <c r="F1342" s="2">
        <v>6</v>
      </c>
      <c r="G1342" s="2">
        <v>0</v>
      </c>
      <c r="H1342" s="2">
        <v>6</v>
      </c>
      <c r="I1342" s="2">
        <v>3</v>
      </c>
      <c r="J1342" s="1"/>
      <c r="M1342" t="s">
        <v>15</v>
      </c>
      <c r="N1342" t="str">
        <f>IFERROR(VLOOKUP(B1342,'[1]All Player'!$B$2:$C$1992,2,0),"")</f>
        <v>Niamul Habib Setu</v>
      </c>
      <c r="O1342" s="2" t="s">
        <v>930</v>
      </c>
      <c r="P1342" s="14" t="s">
        <v>935</v>
      </c>
      <c r="Q1342" s="1">
        <f t="shared" si="48"/>
        <v>1</v>
      </c>
      <c r="R1342" s="1">
        <v>225</v>
      </c>
      <c r="U1342" s="8">
        <f t="shared" si="49"/>
        <v>43922</v>
      </c>
    </row>
    <row r="1343" spans="1:21" x14ac:dyDescent="0.25">
      <c r="A1343" s="2">
        <v>23</v>
      </c>
      <c r="B1343" t="s">
        <v>403</v>
      </c>
      <c r="C1343" s="2">
        <v>4</v>
      </c>
      <c r="D1343" s="2">
        <v>6</v>
      </c>
      <c r="E1343" s="2">
        <v>4</v>
      </c>
      <c r="F1343" s="2">
        <v>4</v>
      </c>
      <c r="G1343" s="2">
        <v>0</v>
      </c>
      <c r="H1343" s="2">
        <v>0</v>
      </c>
      <c r="I1343" s="2">
        <v>0</v>
      </c>
      <c r="J1343" s="1"/>
      <c r="M1343" t="s">
        <v>15</v>
      </c>
      <c r="N1343" t="str">
        <f>IFERROR(VLOOKUP(B1343,'[1]All Player'!$B$2:$C$1992,2,0),"")</f>
        <v>Md Siyam Islam</v>
      </c>
      <c r="O1343" s="2" t="s">
        <v>930</v>
      </c>
      <c r="P1343" s="14" t="s">
        <v>935</v>
      </c>
      <c r="Q1343" s="1">
        <f t="shared" si="48"/>
        <v>1</v>
      </c>
      <c r="R1343" s="1">
        <v>225</v>
      </c>
      <c r="U1343" s="8">
        <f t="shared" si="49"/>
        <v>43922</v>
      </c>
    </row>
    <row r="1344" spans="1:21" x14ac:dyDescent="0.25">
      <c r="A1344" s="2">
        <v>23</v>
      </c>
      <c r="B1344" t="s">
        <v>76</v>
      </c>
      <c r="C1344" s="2">
        <v>7</v>
      </c>
      <c r="D1344" s="2">
        <v>165</v>
      </c>
      <c r="E1344" s="2">
        <v>10</v>
      </c>
      <c r="F1344" s="2">
        <v>11</v>
      </c>
      <c r="G1344" s="2">
        <v>1</v>
      </c>
      <c r="H1344" s="2">
        <v>15</v>
      </c>
      <c r="I1344" s="2">
        <v>11</v>
      </c>
      <c r="J1344" s="1"/>
      <c r="M1344" t="s">
        <v>15</v>
      </c>
      <c r="N1344" t="str">
        <f>IFERROR(VLOOKUP(B1344,'[1]All Player'!$B$2:$C$1992,2,0),"")</f>
        <v>Kamil Ahmed</v>
      </c>
      <c r="O1344" s="2" t="s">
        <v>930</v>
      </c>
      <c r="P1344" s="14" t="s">
        <v>935</v>
      </c>
      <c r="Q1344" s="1">
        <f t="shared" si="48"/>
        <v>1</v>
      </c>
      <c r="R1344" s="1">
        <v>225</v>
      </c>
      <c r="U1344" s="8">
        <f t="shared" si="49"/>
        <v>43922</v>
      </c>
    </row>
    <row r="1345" spans="1:21" x14ac:dyDescent="0.25">
      <c r="A1345" s="2">
        <v>23</v>
      </c>
      <c r="B1345" s="17" t="s">
        <v>936</v>
      </c>
      <c r="J1345" s="1"/>
      <c r="M1345" t="s">
        <v>15</v>
      </c>
      <c r="N1345" t="str">
        <f>IFERROR(VLOOKUP(B1345,'[1]All Player'!$B$2:$C$1992,2,0),"")</f>
        <v/>
      </c>
      <c r="O1345" s="2" t="s">
        <v>930</v>
      </c>
      <c r="P1345" s="14" t="s">
        <v>936</v>
      </c>
      <c r="Q1345" s="1">
        <f t="shared" si="48"/>
        <v>1</v>
      </c>
      <c r="R1345" s="1">
        <v>226</v>
      </c>
      <c r="U1345" s="8">
        <f t="shared" si="49"/>
        <v>43922</v>
      </c>
    </row>
    <row r="1346" spans="1:21" x14ac:dyDescent="0.25">
      <c r="A1346" s="2">
        <v>23</v>
      </c>
      <c r="B1346" t="s">
        <v>64</v>
      </c>
      <c r="C1346" s="2">
        <v>9</v>
      </c>
      <c r="D1346" s="2">
        <v>114</v>
      </c>
      <c r="E1346" s="2">
        <v>12</v>
      </c>
      <c r="F1346" s="2">
        <v>13</v>
      </c>
      <c r="G1346" s="2">
        <v>1</v>
      </c>
      <c r="H1346" s="2">
        <v>12</v>
      </c>
      <c r="I1346" s="2">
        <v>7</v>
      </c>
      <c r="J1346" s="1"/>
      <c r="M1346" t="s">
        <v>15</v>
      </c>
      <c r="N1346" t="str">
        <f>IFERROR(VLOOKUP(B1346,'[1]All Player'!$B$2:$C$1992,2,0),"")</f>
        <v>Sumon Ab</v>
      </c>
      <c r="O1346" s="2" t="s">
        <v>930</v>
      </c>
      <c r="P1346" s="14" t="s">
        <v>936</v>
      </c>
      <c r="Q1346" s="1">
        <f t="shared" ref="Q1346:Q1409" si="50">IF(B1346="","",1)</f>
        <v>1</v>
      </c>
      <c r="R1346" s="1">
        <v>226</v>
      </c>
      <c r="U1346" s="8">
        <f t="shared" si="49"/>
        <v>43922</v>
      </c>
    </row>
    <row r="1347" spans="1:21" x14ac:dyDescent="0.25">
      <c r="A1347" s="2">
        <v>23</v>
      </c>
      <c r="B1347" t="s">
        <v>80</v>
      </c>
      <c r="C1347" s="2">
        <v>8</v>
      </c>
      <c r="D1347" s="2">
        <v>115</v>
      </c>
      <c r="E1347" s="2">
        <v>10</v>
      </c>
      <c r="F1347" s="2">
        <v>9</v>
      </c>
      <c r="G1347" s="2">
        <v>1</v>
      </c>
      <c r="H1347" s="2">
        <v>10</v>
      </c>
      <c r="I1347" s="2">
        <v>7</v>
      </c>
      <c r="J1347" s="1"/>
      <c r="M1347" t="s">
        <v>15</v>
      </c>
      <c r="N1347" t="str">
        <f>IFERROR(VLOOKUP(B1347,'[1]All Player'!$B$2:$C$1992,2,0),"")</f>
        <v>Kamrul Hasan Tutul</v>
      </c>
      <c r="O1347" s="2" t="s">
        <v>930</v>
      </c>
      <c r="P1347" s="14" t="s">
        <v>936</v>
      </c>
      <c r="Q1347" s="1">
        <f t="shared" si="50"/>
        <v>1</v>
      </c>
      <c r="R1347" s="1">
        <v>226</v>
      </c>
      <c r="U1347" s="8">
        <f t="shared" si="49"/>
        <v>43922</v>
      </c>
    </row>
    <row r="1348" spans="1:21" x14ac:dyDescent="0.25">
      <c r="A1348" s="2">
        <v>23</v>
      </c>
      <c r="B1348" t="s">
        <v>132</v>
      </c>
      <c r="C1348" s="2">
        <v>9</v>
      </c>
      <c r="D1348" s="2">
        <v>97</v>
      </c>
      <c r="E1348" s="2">
        <v>15</v>
      </c>
      <c r="F1348" s="2">
        <v>10</v>
      </c>
      <c r="G1348" s="2">
        <v>2</v>
      </c>
      <c r="H1348" s="2">
        <v>5</v>
      </c>
      <c r="I1348" s="2">
        <v>9</v>
      </c>
      <c r="J1348" s="1">
        <v>1</v>
      </c>
      <c r="M1348" t="s">
        <v>15</v>
      </c>
      <c r="N1348" t="str">
        <f>IFERROR(VLOOKUP(B1348,'[1]All Player'!$B$2:$C$1992,2,0),"")</f>
        <v>ShiShir Hossain</v>
      </c>
      <c r="O1348" s="2" t="s">
        <v>930</v>
      </c>
      <c r="P1348" s="14" t="s">
        <v>936</v>
      </c>
      <c r="Q1348" s="1">
        <f t="shared" si="50"/>
        <v>1</v>
      </c>
      <c r="R1348" s="1">
        <v>226</v>
      </c>
      <c r="U1348" s="8">
        <f t="shared" si="49"/>
        <v>43922</v>
      </c>
    </row>
    <row r="1349" spans="1:21" x14ac:dyDescent="0.25">
      <c r="A1349" s="2">
        <v>23</v>
      </c>
      <c r="B1349" t="s">
        <v>142</v>
      </c>
      <c r="C1349" s="2">
        <v>6</v>
      </c>
      <c r="D1349" s="2">
        <v>46</v>
      </c>
      <c r="E1349" s="2">
        <v>4</v>
      </c>
      <c r="F1349" s="2">
        <v>6</v>
      </c>
      <c r="G1349" s="2">
        <v>0</v>
      </c>
      <c r="H1349" s="2">
        <v>3</v>
      </c>
      <c r="I1349" s="2">
        <v>3</v>
      </c>
      <c r="J1349" s="1"/>
      <c r="M1349" t="s">
        <v>15</v>
      </c>
      <c r="N1349" t="str">
        <f>IFERROR(VLOOKUP(B1349,'[1]All Player'!$B$2:$C$1992,2,0),"")</f>
        <v>Mehedi Hasan Joy</v>
      </c>
      <c r="O1349" s="2" t="s">
        <v>930</v>
      </c>
      <c r="P1349" s="14" t="s">
        <v>936</v>
      </c>
      <c r="Q1349" s="1">
        <f t="shared" si="50"/>
        <v>1</v>
      </c>
      <c r="R1349" s="1">
        <v>226</v>
      </c>
      <c r="U1349" s="8">
        <f t="shared" si="49"/>
        <v>43922</v>
      </c>
    </row>
    <row r="1350" spans="1:21" x14ac:dyDescent="0.25">
      <c r="A1350" s="2">
        <v>23</v>
      </c>
      <c r="B1350" t="s">
        <v>171</v>
      </c>
      <c r="C1350" s="2">
        <v>9</v>
      </c>
      <c r="D1350" s="2">
        <v>73</v>
      </c>
      <c r="E1350" s="2">
        <v>3</v>
      </c>
      <c r="F1350" s="2">
        <v>9</v>
      </c>
      <c r="G1350" s="2">
        <v>1</v>
      </c>
      <c r="H1350" s="2">
        <v>6</v>
      </c>
      <c r="I1350" s="2">
        <v>1</v>
      </c>
      <c r="J1350" s="1"/>
      <c r="M1350" t="s">
        <v>15</v>
      </c>
      <c r="N1350" t="str">
        <f>IFERROR(VLOOKUP(B1350,'[1]All Player'!$B$2:$C$1992,2,0),"")</f>
        <v>Md. Ruhin</v>
      </c>
      <c r="O1350" s="2" t="s">
        <v>930</v>
      </c>
      <c r="P1350" s="14" t="s">
        <v>936</v>
      </c>
      <c r="Q1350" s="1">
        <f t="shared" si="50"/>
        <v>1</v>
      </c>
      <c r="R1350" s="1">
        <v>226</v>
      </c>
      <c r="U1350" s="8">
        <f t="shared" si="49"/>
        <v>43922</v>
      </c>
    </row>
    <row r="1351" spans="1:21" x14ac:dyDescent="0.25">
      <c r="A1351" s="2">
        <v>24</v>
      </c>
      <c r="B1351" t="s">
        <v>937</v>
      </c>
      <c r="J1351" s="1"/>
      <c r="M1351" t="s">
        <v>15</v>
      </c>
      <c r="N1351" t="str">
        <f>IFERROR(VLOOKUP(B1351,'[1]All Player'!$B$2:$C$1992,2,0),"")</f>
        <v/>
      </c>
      <c r="O1351" s="2" t="s">
        <v>492</v>
      </c>
      <c r="P1351" s="14" t="s">
        <v>937</v>
      </c>
      <c r="Q1351" s="1">
        <f t="shared" si="50"/>
        <v>1</v>
      </c>
      <c r="R1351" s="1">
        <v>227</v>
      </c>
      <c r="U1351" s="8">
        <v>43952</v>
      </c>
    </row>
    <row r="1352" spans="1:21" x14ac:dyDescent="0.25">
      <c r="A1352" s="2">
        <v>24</v>
      </c>
      <c r="B1352" t="s">
        <v>124</v>
      </c>
      <c r="C1352" s="2">
        <v>5</v>
      </c>
      <c r="D1352" s="2">
        <v>126</v>
      </c>
      <c r="E1352" s="2">
        <v>2</v>
      </c>
      <c r="F1352" s="2">
        <v>9</v>
      </c>
      <c r="G1352" s="2">
        <v>2</v>
      </c>
      <c r="H1352" s="2">
        <v>7</v>
      </c>
      <c r="I1352" s="2">
        <v>8</v>
      </c>
      <c r="J1352" s="1"/>
      <c r="M1352" t="s">
        <v>15</v>
      </c>
      <c r="N1352" t="str">
        <f>IFERROR(VLOOKUP(B1352,'[1]All Player'!$B$2:$C$1992,2,0),"")</f>
        <v>Mahbubur Rahman Akash</v>
      </c>
      <c r="O1352" s="2" t="s">
        <v>492</v>
      </c>
      <c r="P1352" s="16" t="s">
        <v>937</v>
      </c>
      <c r="Q1352" s="1">
        <f t="shared" si="50"/>
        <v>1</v>
      </c>
      <c r="R1352" s="1">
        <v>227</v>
      </c>
      <c r="U1352" s="8">
        <f t="shared" ref="U1352:U1415" si="51">U1351</f>
        <v>43952</v>
      </c>
    </row>
    <row r="1353" spans="1:21" x14ac:dyDescent="0.25">
      <c r="A1353" s="2">
        <v>24</v>
      </c>
      <c r="B1353" t="s">
        <v>136</v>
      </c>
      <c r="C1353" s="2">
        <v>5</v>
      </c>
      <c r="D1353" s="2">
        <v>91</v>
      </c>
      <c r="E1353" s="2">
        <v>11</v>
      </c>
      <c r="F1353" s="2">
        <v>9</v>
      </c>
      <c r="G1353" s="2">
        <v>2</v>
      </c>
      <c r="H1353" s="2">
        <v>6</v>
      </c>
      <c r="I1353" s="2">
        <v>3</v>
      </c>
      <c r="J1353" s="1">
        <v>1</v>
      </c>
      <c r="M1353" t="s">
        <v>15</v>
      </c>
      <c r="N1353" t="str">
        <f>IFERROR(VLOOKUP(B1353,'[1]All Player'!$B$2:$C$1992,2,0),"")</f>
        <v>MD Kamal Hossain Kamal</v>
      </c>
      <c r="O1353" s="2" t="s">
        <v>492</v>
      </c>
      <c r="P1353" s="16" t="s">
        <v>937</v>
      </c>
      <c r="Q1353" s="1">
        <f t="shared" si="50"/>
        <v>1</v>
      </c>
      <c r="R1353" s="1">
        <v>227</v>
      </c>
      <c r="U1353" s="8">
        <f t="shared" si="51"/>
        <v>43952</v>
      </c>
    </row>
    <row r="1354" spans="1:21" x14ac:dyDescent="0.25">
      <c r="A1354" s="2">
        <v>24</v>
      </c>
      <c r="B1354" t="s">
        <v>171</v>
      </c>
      <c r="C1354" s="2">
        <v>3</v>
      </c>
      <c r="D1354" s="2">
        <v>4</v>
      </c>
      <c r="E1354" s="2">
        <v>3</v>
      </c>
      <c r="F1354" s="2">
        <v>3</v>
      </c>
      <c r="G1354" s="2">
        <v>0</v>
      </c>
      <c r="H1354" s="2">
        <v>0</v>
      </c>
      <c r="I1354" s="2">
        <v>0</v>
      </c>
      <c r="J1354" s="1"/>
      <c r="M1354" t="s">
        <v>15</v>
      </c>
      <c r="N1354" t="str">
        <f>IFERROR(VLOOKUP(B1354,'[1]All Player'!$B$2:$C$1992,2,0),"")</f>
        <v>Md. Ruhin</v>
      </c>
      <c r="O1354" s="2" t="s">
        <v>492</v>
      </c>
      <c r="P1354" s="16" t="s">
        <v>937</v>
      </c>
      <c r="Q1354" s="1">
        <f t="shared" si="50"/>
        <v>1</v>
      </c>
      <c r="R1354" s="1">
        <v>227</v>
      </c>
      <c r="U1354" s="8">
        <f t="shared" si="51"/>
        <v>43952</v>
      </c>
    </row>
    <row r="1355" spans="1:21" x14ac:dyDescent="0.25">
      <c r="A1355" s="2">
        <v>24</v>
      </c>
      <c r="B1355" t="s">
        <v>106</v>
      </c>
      <c r="C1355" s="2">
        <v>5</v>
      </c>
      <c r="D1355" s="2">
        <v>49</v>
      </c>
      <c r="E1355" s="2">
        <v>8</v>
      </c>
      <c r="F1355" s="2">
        <v>6</v>
      </c>
      <c r="G1355" s="2">
        <v>0</v>
      </c>
      <c r="H1355" s="2">
        <v>2</v>
      </c>
      <c r="I1355" s="2">
        <v>5</v>
      </c>
      <c r="J1355" s="1"/>
      <c r="M1355" t="s">
        <v>15</v>
      </c>
      <c r="N1355" t="str">
        <f>IFERROR(VLOOKUP(B1355,'[1]All Player'!$B$2:$C$1992,2,0),"")</f>
        <v>Sayed Anowar Shanto</v>
      </c>
      <c r="O1355" s="2" t="s">
        <v>492</v>
      </c>
      <c r="P1355" s="16" t="s">
        <v>937</v>
      </c>
      <c r="Q1355" s="1">
        <f t="shared" si="50"/>
        <v>1</v>
      </c>
      <c r="R1355" s="1">
        <v>227</v>
      </c>
      <c r="U1355" s="8">
        <f t="shared" si="51"/>
        <v>43952</v>
      </c>
    </row>
    <row r="1356" spans="1:21" x14ac:dyDescent="0.25">
      <c r="A1356" s="2">
        <v>24</v>
      </c>
      <c r="B1356" t="s">
        <v>195</v>
      </c>
      <c r="C1356" s="2">
        <v>5</v>
      </c>
      <c r="D1356" s="2">
        <v>19</v>
      </c>
      <c r="E1356" s="2">
        <v>4</v>
      </c>
      <c r="F1356" s="2">
        <v>5</v>
      </c>
      <c r="G1356" s="2">
        <v>0</v>
      </c>
      <c r="H1356" s="2">
        <v>4</v>
      </c>
      <c r="I1356" s="2">
        <v>0</v>
      </c>
      <c r="J1356" s="1"/>
      <c r="M1356" t="s">
        <v>15</v>
      </c>
      <c r="N1356" t="str">
        <f>IFERROR(VLOOKUP(B1356,'[1]All Player'!$B$2:$C$1992,2,0),"")</f>
        <v>Hj Himel</v>
      </c>
      <c r="O1356" s="2" t="s">
        <v>492</v>
      </c>
      <c r="P1356" s="16" t="s">
        <v>937</v>
      </c>
      <c r="Q1356" s="1">
        <f t="shared" si="50"/>
        <v>1</v>
      </c>
      <c r="R1356" s="1">
        <v>227</v>
      </c>
      <c r="U1356" s="8">
        <f t="shared" si="51"/>
        <v>43952</v>
      </c>
    </row>
    <row r="1357" spans="1:21" x14ac:dyDescent="0.25">
      <c r="A1357" s="2">
        <v>24</v>
      </c>
      <c r="B1357" t="s">
        <v>504</v>
      </c>
      <c r="J1357" s="1"/>
      <c r="M1357" t="s">
        <v>15</v>
      </c>
      <c r="N1357" t="str">
        <f>IFERROR(VLOOKUP(B1357,'[1]All Player'!$B$2:$C$1992,2,0),"")</f>
        <v/>
      </c>
      <c r="O1357" s="2" t="s">
        <v>492</v>
      </c>
      <c r="P1357" s="16" t="s">
        <v>504</v>
      </c>
      <c r="Q1357" s="1">
        <f t="shared" si="50"/>
        <v>1</v>
      </c>
      <c r="R1357" s="1">
        <v>228</v>
      </c>
      <c r="U1357" s="8">
        <f t="shared" si="51"/>
        <v>43952</v>
      </c>
    </row>
    <row r="1358" spans="1:21" x14ac:dyDescent="0.25">
      <c r="A1358" s="2">
        <v>24</v>
      </c>
      <c r="B1358" t="s">
        <v>60</v>
      </c>
      <c r="C1358" s="2">
        <v>5</v>
      </c>
      <c r="D1358" s="2">
        <v>159</v>
      </c>
      <c r="E1358" s="2">
        <v>6</v>
      </c>
      <c r="F1358" s="2">
        <v>10</v>
      </c>
      <c r="G1358" s="2">
        <v>3</v>
      </c>
      <c r="H1358" s="2">
        <v>13</v>
      </c>
      <c r="I1358" s="2">
        <v>4</v>
      </c>
      <c r="J1358" s="1"/>
      <c r="M1358" t="s">
        <v>15</v>
      </c>
      <c r="N1358" t="str">
        <f>IFERROR(VLOOKUP(B1358,'[1]All Player'!$B$2:$C$1992,2,0),"")</f>
        <v>Jahin Shahriar Chowdhury</v>
      </c>
      <c r="O1358" s="2" t="s">
        <v>492</v>
      </c>
      <c r="P1358" s="16" t="s">
        <v>504</v>
      </c>
      <c r="Q1358" s="1">
        <f t="shared" si="50"/>
        <v>1</v>
      </c>
      <c r="R1358" s="1">
        <v>228</v>
      </c>
      <c r="U1358" s="8">
        <f t="shared" si="51"/>
        <v>43952</v>
      </c>
    </row>
    <row r="1359" spans="1:21" x14ac:dyDescent="0.25">
      <c r="A1359" s="2">
        <v>24</v>
      </c>
      <c r="B1359" t="s">
        <v>138</v>
      </c>
      <c r="C1359" s="2">
        <v>5</v>
      </c>
      <c r="D1359" s="2">
        <v>46</v>
      </c>
      <c r="E1359" s="2">
        <v>5</v>
      </c>
      <c r="F1359" s="2">
        <v>5</v>
      </c>
      <c r="G1359" s="2">
        <v>0</v>
      </c>
      <c r="H1359" s="2">
        <v>4</v>
      </c>
      <c r="I1359" s="2">
        <v>3</v>
      </c>
      <c r="J1359" s="1"/>
      <c r="M1359" t="s">
        <v>15</v>
      </c>
      <c r="N1359" t="str">
        <f>IFERROR(VLOOKUP(B1359,'[1]All Player'!$B$2:$C$1992,2,0),"")</f>
        <v>Asif Iqbal Khan</v>
      </c>
      <c r="O1359" s="2" t="s">
        <v>492</v>
      </c>
      <c r="P1359" s="16" t="s">
        <v>504</v>
      </c>
      <c r="Q1359" s="1">
        <f t="shared" si="50"/>
        <v>1</v>
      </c>
      <c r="R1359" s="1">
        <v>228</v>
      </c>
      <c r="U1359" s="8">
        <f t="shared" si="51"/>
        <v>43952</v>
      </c>
    </row>
    <row r="1360" spans="1:21" x14ac:dyDescent="0.25">
      <c r="A1360" s="2">
        <v>24</v>
      </c>
      <c r="B1360" t="s">
        <v>85</v>
      </c>
      <c r="C1360" s="2">
        <v>5</v>
      </c>
      <c r="D1360" s="2">
        <v>75</v>
      </c>
      <c r="E1360" s="2">
        <v>4</v>
      </c>
      <c r="F1360" s="2">
        <v>6</v>
      </c>
      <c r="G1360" s="2">
        <v>0</v>
      </c>
      <c r="H1360" s="2">
        <v>6</v>
      </c>
      <c r="I1360" s="2">
        <v>7</v>
      </c>
      <c r="J1360" s="1"/>
      <c r="M1360" t="s">
        <v>15</v>
      </c>
      <c r="N1360" t="str">
        <f>IFERROR(VLOOKUP(B1360,'[1]All Player'!$B$2:$C$1992,2,0),"")</f>
        <v>Asik Hassan Tonmoy</v>
      </c>
      <c r="O1360" s="2" t="s">
        <v>492</v>
      </c>
      <c r="P1360" s="16" t="s">
        <v>504</v>
      </c>
      <c r="Q1360" s="1">
        <f t="shared" si="50"/>
        <v>1</v>
      </c>
      <c r="R1360" s="1">
        <v>228</v>
      </c>
      <c r="U1360" s="8">
        <f t="shared" si="51"/>
        <v>43952</v>
      </c>
    </row>
    <row r="1361" spans="1:22" x14ac:dyDescent="0.25">
      <c r="A1361" s="2">
        <v>24</v>
      </c>
      <c r="B1361" t="s">
        <v>68</v>
      </c>
      <c r="C1361" s="2">
        <v>5</v>
      </c>
      <c r="D1361" s="2">
        <v>42</v>
      </c>
      <c r="E1361" s="2">
        <v>6</v>
      </c>
      <c r="F1361" s="2">
        <v>7</v>
      </c>
      <c r="G1361" s="2">
        <v>0</v>
      </c>
      <c r="H1361" s="2">
        <v>3</v>
      </c>
      <c r="I1361" s="2">
        <v>2</v>
      </c>
      <c r="J1361" s="1"/>
      <c r="M1361" t="s">
        <v>15</v>
      </c>
      <c r="N1361" t="str">
        <f>IFERROR(VLOOKUP(B1361,'[1]All Player'!$B$2:$C$1992,2,0),"")</f>
        <v>Ahmad Sajid Abdullah</v>
      </c>
      <c r="O1361" s="2" t="s">
        <v>492</v>
      </c>
      <c r="P1361" s="16" t="s">
        <v>504</v>
      </c>
      <c r="Q1361" s="1">
        <f t="shared" si="50"/>
        <v>1</v>
      </c>
      <c r="R1361" s="1">
        <v>228</v>
      </c>
      <c r="U1361" s="8">
        <f t="shared" si="51"/>
        <v>43952</v>
      </c>
    </row>
    <row r="1362" spans="1:22" x14ac:dyDescent="0.25">
      <c r="A1362" s="2">
        <v>24</v>
      </c>
      <c r="B1362" t="s">
        <v>122</v>
      </c>
      <c r="C1362" s="2">
        <v>5</v>
      </c>
      <c r="D1362" s="2">
        <v>35</v>
      </c>
      <c r="E1362" s="2">
        <v>7</v>
      </c>
      <c r="F1362" s="2">
        <v>5</v>
      </c>
      <c r="G1362" s="2">
        <v>0</v>
      </c>
      <c r="H1362" s="2">
        <v>3</v>
      </c>
      <c r="I1362" s="2">
        <v>3</v>
      </c>
      <c r="J1362" s="1">
        <v>1</v>
      </c>
      <c r="M1362" t="s">
        <v>15</v>
      </c>
      <c r="N1362" t="str">
        <f>IFERROR(VLOOKUP(B1362,'[1]All Player'!$B$2:$C$1992,2,0),"")</f>
        <v>Towkir Ahmed Siddique</v>
      </c>
      <c r="O1362" s="2" t="s">
        <v>492</v>
      </c>
      <c r="P1362" s="16" t="s">
        <v>504</v>
      </c>
      <c r="Q1362" s="1">
        <f t="shared" si="50"/>
        <v>1</v>
      </c>
      <c r="R1362" s="1">
        <v>228</v>
      </c>
      <c r="U1362" s="8">
        <f t="shared" si="51"/>
        <v>43952</v>
      </c>
    </row>
    <row r="1363" spans="1:22" x14ac:dyDescent="0.25">
      <c r="A1363" s="2">
        <v>24</v>
      </c>
      <c r="B1363" t="s">
        <v>493</v>
      </c>
      <c r="J1363" s="1"/>
      <c r="M1363" t="s">
        <v>15</v>
      </c>
      <c r="N1363" t="str">
        <f>IFERROR(VLOOKUP(B1363,'[1]All Player'!$B$2:$C$1992,2,0),"")</f>
        <v/>
      </c>
      <c r="O1363" s="2" t="s">
        <v>492</v>
      </c>
      <c r="P1363" s="16" t="s">
        <v>493</v>
      </c>
      <c r="Q1363" s="1">
        <f t="shared" si="50"/>
        <v>1</v>
      </c>
      <c r="R1363" s="1">
        <v>229</v>
      </c>
      <c r="T1363" s="1" t="s">
        <v>659</v>
      </c>
      <c r="U1363" s="8">
        <f t="shared" si="51"/>
        <v>43952</v>
      </c>
    </row>
    <row r="1364" spans="1:22" x14ac:dyDescent="0.25">
      <c r="A1364" s="2">
        <v>24</v>
      </c>
      <c r="B1364" t="s">
        <v>93</v>
      </c>
      <c r="C1364" s="2">
        <v>8</v>
      </c>
      <c r="D1364" s="2">
        <v>96</v>
      </c>
      <c r="E1364" s="2">
        <v>9</v>
      </c>
      <c r="F1364" s="2">
        <v>10</v>
      </c>
      <c r="G1364" s="2">
        <v>1</v>
      </c>
      <c r="H1364" s="2">
        <v>8</v>
      </c>
      <c r="I1364" s="2">
        <v>6</v>
      </c>
      <c r="J1364" s="1"/>
      <c r="M1364" t="s">
        <v>15</v>
      </c>
      <c r="N1364" t="str">
        <f>IFERROR(VLOOKUP(B1364,'[1]All Player'!$B$2:$C$1992,2,0),"")</f>
        <v>Zaheed Hasan</v>
      </c>
      <c r="O1364" s="2" t="s">
        <v>492</v>
      </c>
      <c r="P1364" s="16" t="s">
        <v>493</v>
      </c>
      <c r="Q1364" s="1">
        <f t="shared" si="50"/>
        <v>1</v>
      </c>
      <c r="R1364" s="1">
        <v>229</v>
      </c>
      <c r="T1364" s="1" t="s">
        <v>659</v>
      </c>
      <c r="U1364" s="8">
        <f t="shared" si="51"/>
        <v>43952</v>
      </c>
    </row>
    <row r="1365" spans="1:22" x14ac:dyDescent="0.25">
      <c r="A1365" s="2">
        <v>24</v>
      </c>
      <c r="B1365" t="s">
        <v>661</v>
      </c>
      <c r="C1365" s="2">
        <v>8</v>
      </c>
      <c r="D1365" s="2">
        <v>139</v>
      </c>
      <c r="E1365" s="2">
        <v>13</v>
      </c>
      <c r="F1365" s="2">
        <v>14</v>
      </c>
      <c r="G1365" s="2">
        <v>1</v>
      </c>
      <c r="H1365" s="2">
        <v>7</v>
      </c>
      <c r="I1365" s="2">
        <v>12</v>
      </c>
      <c r="J1365" s="1">
        <v>1</v>
      </c>
      <c r="M1365" t="s">
        <v>15</v>
      </c>
      <c r="N1365" t="str">
        <f>IFERROR(VLOOKUP(B1365,'[1]All Player'!$B$2:$C$1992,2,0),"")</f>
        <v>Sakhawat Hossain Shanto</v>
      </c>
      <c r="O1365" s="2" t="s">
        <v>492</v>
      </c>
      <c r="P1365" s="16" t="s">
        <v>493</v>
      </c>
      <c r="Q1365" s="1">
        <f t="shared" si="50"/>
        <v>1</v>
      </c>
      <c r="R1365" s="1">
        <v>229</v>
      </c>
      <c r="S1365" s="2" t="s">
        <v>658</v>
      </c>
      <c r="T1365" s="1" t="s">
        <v>659</v>
      </c>
      <c r="U1365" s="8">
        <f t="shared" si="51"/>
        <v>43952</v>
      </c>
    </row>
    <row r="1366" spans="1:22" x14ac:dyDescent="0.25">
      <c r="A1366" s="2">
        <v>24</v>
      </c>
      <c r="B1366" t="s">
        <v>76</v>
      </c>
      <c r="C1366" s="2">
        <v>6</v>
      </c>
      <c r="D1366" s="2">
        <v>84</v>
      </c>
      <c r="E1366" s="2">
        <v>5</v>
      </c>
      <c r="F1366" s="2">
        <v>8</v>
      </c>
      <c r="G1366" s="2">
        <v>1</v>
      </c>
      <c r="H1366" s="2">
        <v>9</v>
      </c>
      <c r="I1366" s="2">
        <v>5</v>
      </c>
      <c r="J1366" s="1"/>
      <c r="M1366" t="s">
        <v>15</v>
      </c>
      <c r="N1366" t="str">
        <f>IFERROR(VLOOKUP(B1366,'[1]All Player'!$B$2:$C$1992,2,0),"")</f>
        <v>Kamil Ahmed</v>
      </c>
      <c r="O1366" s="2" t="s">
        <v>492</v>
      </c>
      <c r="P1366" s="16" t="s">
        <v>493</v>
      </c>
      <c r="Q1366" s="1">
        <f t="shared" si="50"/>
        <v>1</v>
      </c>
      <c r="R1366" s="1">
        <v>229</v>
      </c>
      <c r="T1366" s="1" t="s">
        <v>659</v>
      </c>
      <c r="U1366" s="8">
        <f t="shared" si="51"/>
        <v>43952</v>
      </c>
    </row>
    <row r="1367" spans="1:22" x14ac:dyDescent="0.25">
      <c r="A1367" s="2">
        <v>24</v>
      </c>
      <c r="B1367" t="s">
        <v>99</v>
      </c>
      <c r="C1367" s="2">
        <v>7</v>
      </c>
      <c r="D1367" s="2">
        <v>141</v>
      </c>
      <c r="E1367" s="2">
        <v>8</v>
      </c>
      <c r="F1367" s="2">
        <v>11</v>
      </c>
      <c r="G1367" s="2">
        <v>0</v>
      </c>
      <c r="H1367" s="2">
        <v>12</v>
      </c>
      <c r="I1367" s="2">
        <v>7</v>
      </c>
      <c r="J1367" s="1"/>
      <c r="M1367" t="s">
        <v>15</v>
      </c>
      <c r="N1367" t="str">
        <f>IFERROR(VLOOKUP(B1367,'[1]All Player'!$B$2:$C$1992,2,0),"")</f>
        <v>Bishwajit Sarkar</v>
      </c>
      <c r="O1367" s="2" t="s">
        <v>492</v>
      </c>
      <c r="P1367" s="16" t="s">
        <v>493</v>
      </c>
      <c r="Q1367" s="1">
        <f t="shared" si="50"/>
        <v>1</v>
      </c>
      <c r="R1367" s="1">
        <v>229</v>
      </c>
      <c r="T1367" s="1" t="s">
        <v>659</v>
      </c>
      <c r="U1367" s="8">
        <f t="shared" si="51"/>
        <v>43952</v>
      </c>
    </row>
    <row r="1368" spans="1:22" x14ac:dyDescent="0.25">
      <c r="A1368" s="2">
        <v>24</v>
      </c>
      <c r="B1368" t="s">
        <v>53</v>
      </c>
      <c r="C1368" s="2">
        <v>8</v>
      </c>
      <c r="D1368" s="2">
        <v>78</v>
      </c>
      <c r="E1368" s="2">
        <v>7</v>
      </c>
      <c r="F1368" s="2">
        <v>8</v>
      </c>
      <c r="G1368" s="2">
        <v>0</v>
      </c>
      <c r="H1368" s="2">
        <v>3</v>
      </c>
      <c r="I1368" s="2">
        <v>6</v>
      </c>
      <c r="J1368" s="1"/>
      <c r="M1368" t="s">
        <v>15</v>
      </c>
      <c r="N1368" t="str">
        <f>IFERROR(VLOOKUP(B1368,'[1]All Player'!$B$2:$C$1992,2,0),"")</f>
        <v>Samilul Khan</v>
      </c>
      <c r="O1368" s="2" t="s">
        <v>492</v>
      </c>
      <c r="P1368" s="16" t="s">
        <v>493</v>
      </c>
      <c r="Q1368" s="1">
        <f t="shared" si="50"/>
        <v>1</v>
      </c>
      <c r="R1368" s="1">
        <v>229</v>
      </c>
      <c r="T1368" s="1" t="s">
        <v>659</v>
      </c>
      <c r="U1368" s="8">
        <f t="shared" si="51"/>
        <v>43952</v>
      </c>
    </row>
    <row r="1369" spans="1:22" x14ac:dyDescent="0.25">
      <c r="A1369" s="2">
        <v>24</v>
      </c>
      <c r="B1369" t="s">
        <v>544</v>
      </c>
      <c r="J1369" s="1"/>
      <c r="M1369" t="s">
        <v>15</v>
      </c>
      <c r="N1369" t="str">
        <f>IFERROR(VLOOKUP(B1369,'[1]All Player'!$B$2:$C$1992,2,0),"")</f>
        <v/>
      </c>
      <c r="O1369" s="2" t="s">
        <v>492</v>
      </c>
      <c r="P1369" s="16" t="s">
        <v>544</v>
      </c>
      <c r="Q1369" s="1">
        <f t="shared" si="50"/>
        <v>1</v>
      </c>
      <c r="R1369" s="1">
        <v>230</v>
      </c>
      <c r="T1369" s="1" t="s">
        <v>657</v>
      </c>
      <c r="U1369" s="8">
        <f t="shared" si="51"/>
        <v>43952</v>
      </c>
    </row>
    <row r="1370" spans="1:22" x14ac:dyDescent="0.25">
      <c r="A1370" s="2">
        <v>24</v>
      </c>
      <c r="B1370" t="s">
        <v>95</v>
      </c>
      <c r="C1370" s="2">
        <v>8</v>
      </c>
      <c r="D1370" s="2">
        <v>132</v>
      </c>
      <c r="E1370" s="2">
        <v>9</v>
      </c>
      <c r="F1370" s="2">
        <v>7</v>
      </c>
      <c r="G1370" s="2">
        <v>2</v>
      </c>
      <c r="H1370" s="2">
        <v>13</v>
      </c>
      <c r="I1370" s="2">
        <v>11</v>
      </c>
      <c r="J1370" s="1"/>
      <c r="M1370" t="s">
        <v>15</v>
      </c>
      <c r="N1370" t="str">
        <f>IFERROR(VLOOKUP(B1370,'[1]All Player'!$B$2:$C$1992,2,0),"")</f>
        <v>Sadrul Anam</v>
      </c>
      <c r="O1370" s="2" t="s">
        <v>492</v>
      </c>
      <c r="P1370" s="16" t="s">
        <v>544</v>
      </c>
      <c r="Q1370" s="1">
        <f t="shared" si="50"/>
        <v>1</v>
      </c>
      <c r="R1370" s="21">
        <v>230</v>
      </c>
      <c r="T1370" s="1" t="s">
        <v>657</v>
      </c>
      <c r="U1370" s="8">
        <f t="shared" si="51"/>
        <v>43952</v>
      </c>
    </row>
    <row r="1371" spans="1:22" x14ac:dyDescent="0.25">
      <c r="A1371" s="2">
        <v>24</v>
      </c>
      <c r="B1371" t="s">
        <v>156</v>
      </c>
      <c r="C1371" s="2">
        <v>8</v>
      </c>
      <c r="D1371" s="2">
        <v>133</v>
      </c>
      <c r="E1371" s="2">
        <v>14</v>
      </c>
      <c r="F1371" s="2">
        <v>9</v>
      </c>
      <c r="G1371" s="2">
        <v>2</v>
      </c>
      <c r="H1371" s="2">
        <v>11</v>
      </c>
      <c r="I1371" s="2">
        <v>8</v>
      </c>
      <c r="J1371" s="1">
        <v>1</v>
      </c>
      <c r="M1371" t="s">
        <v>15</v>
      </c>
      <c r="N1371" t="str">
        <f>IFERROR(VLOOKUP(B1371,'[1]All Player'!$B$2:$C$1992,2,0),"")</f>
        <v>Prince Tarek</v>
      </c>
      <c r="O1371" s="2" t="s">
        <v>492</v>
      </c>
      <c r="P1371" s="16" t="s">
        <v>544</v>
      </c>
      <c r="Q1371" s="1">
        <f t="shared" si="50"/>
        <v>1</v>
      </c>
      <c r="R1371" s="1">
        <v>230</v>
      </c>
      <c r="T1371" s="1" t="s">
        <v>657</v>
      </c>
      <c r="U1371" s="8">
        <f t="shared" si="51"/>
        <v>43952</v>
      </c>
    </row>
    <row r="1372" spans="1:22" x14ac:dyDescent="0.25">
      <c r="A1372" s="2">
        <v>24</v>
      </c>
      <c r="B1372" t="s">
        <v>112</v>
      </c>
      <c r="C1372" s="2">
        <v>8</v>
      </c>
      <c r="D1372" s="2">
        <v>119</v>
      </c>
      <c r="E1372" s="2">
        <v>16</v>
      </c>
      <c r="F1372" s="2">
        <v>10</v>
      </c>
      <c r="G1372" s="2">
        <v>2</v>
      </c>
      <c r="H1372" s="2">
        <v>11</v>
      </c>
      <c r="I1372" s="2">
        <v>11</v>
      </c>
      <c r="J1372" s="1">
        <v>1</v>
      </c>
      <c r="M1372" t="s">
        <v>15</v>
      </c>
      <c r="N1372" t="str">
        <f>IFERROR(VLOOKUP(B1372,'[1]All Player'!$B$2:$C$1992,2,0),"")</f>
        <v>Shahriar Khan Shovon</v>
      </c>
      <c r="O1372" s="2" t="s">
        <v>492</v>
      </c>
      <c r="P1372" s="16" t="s">
        <v>544</v>
      </c>
      <c r="Q1372" s="1">
        <f t="shared" si="50"/>
        <v>1</v>
      </c>
      <c r="R1372" s="1">
        <v>230</v>
      </c>
      <c r="S1372" s="2" t="s">
        <v>660</v>
      </c>
      <c r="T1372" s="1" t="s">
        <v>657</v>
      </c>
      <c r="U1372" s="8">
        <f t="shared" si="51"/>
        <v>43952</v>
      </c>
    </row>
    <row r="1373" spans="1:22" x14ac:dyDescent="0.25">
      <c r="A1373" s="2">
        <v>24</v>
      </c>
      <c r="B1373" t="s">
        <v>167</v>
      </c>
      <c r="C1373" s="2">
        <v>8</v>
      </c>
      <c r="D1373" s="2">
        <v>145</v>
      </c>
      <c r="E1373" s="2">
        <v>1</v>
      </c>
      <c r="F1373" s="2">
        <v>9</v>
      </c>
      <c r="G1373" s="2">
        <v>0</v>
      </c>
      <c r="H1373" s="2">
        <v>7</v>
      </c>
      <c r="I1373" s="2">
        <v>9</v>
      </c>
      <c r="J1373" s="1"/>
      <c r="M1373" t="s">
        <v>15</v>
      </c>
      <c r="N1373" t="str">
        <f>IFERROR(VLOOKUP(B1373,'[1]All Player'!$B$2:$C$1992,2,0),"")</f>
        <v>Sakif Rahaman</v>
      </c>
      <c r="O1373" s="2" t="s">
        <v>492</v>
      </c>
      <c r="P1373" s="16" t="s">
        <v>544</v>
      </c>
      <c r="Q1373" s="1">
        <f t="shared" si="50"/>
        <v>1</v>
      </c>
      <c r="R1373" s="1">
        <v>230</v>
      </c>
      <c r="T1373" s="1" t="s">
        <v>657</v>
      </c>
      <c r="U1373" s="8">
        <f t="shared" si="51"/>
        <v>43952</v>
      </c>
    </row>
    <row r="1374" spans="1:22" x14ac:dyDescent="0.25">
      <c r="A1374" s="2">
        <v>24</v>
      </c>
      <c r="B1374" t="s">
        <v>150</v>
      </c>
      <c r="C1374" s="2">
        <v>7</v>
      </c>
      <c r="D1374" s="2">
        <v>61</v>
      </c>
      <c r="E1374" s="2">
        <v>11</v>
      </c>
      <c r="F1374" s="2">
        <v>7</v>
      </c>
      <c r="G1374" s="2">
        <v>0</v>
      </c>
      <c r="H1374" s="2">
        <v>3</v>
      </c>
      <c r="I1374" s="2">
        <v>4</v>
      </c>
      <c r="J1374" s="1"/>
      <c r="M1374" t="s">
        <v>15</v>
      </c>
      <c r="N1374" t="str">
        <f>IFERROR(VLOOKUP(B1374,'[1]All Player'!$B$2:$C$1992,2,0),"")</f>
        <v>Md. Tanveer Mahmud Ayan</v>
      </c>
      <c r="O1374" s="2" t="s">
        <v>492</v>
      </c>
      <c r="P1374" s="16" t="s">
        <v>544</v>
      </c>
      <c r="Q1374" s="1">
        <f t="shared" si="50"/>
        <v>1</v>
      </c>
      <c r="R1374" s="1">
        <v>230</v>
      </c>
      <c r="T1374" s="1" t="s">
        <v>657</v>
      </c>
      <c r="U1374" s="8">
        <f t="shared" si="51"/>
        <v>43952</v>
      </c>
    </row>
    <row r="1375" spans="1:22" x14ac:dyDescent="0.25">
      <c r="A1375" s="2">
        <v>24</v>
      </c>
      <c r="B1375" s="17" t="s">
        <v>938</v>
      </c>
      <c r="J1375" s="1"/>
      <c r="M1375" t="s">
        <v>15</v>
      </c>
      <c r="N1375" t="str">
        <f>IFERROR(VLOOKUP(B1375,'[1]All Player'!$B$2:$C$1992,2,0),"")</f>
        <v/>
      </c>
      <c r="O1375" s="2" t="s">
        <v>492</v>
      </c>
      <c r="P1375" s="16" t="s">
        <v>938</v>
      </c>
      <c r="Q1375" s="1">
        <f t="shared" si="50"/>
        <v>1</v>
      </c>
      <c r="R1375" s="1">
        <v>231</v>
      </c>
      <c r="U1375" s="8">
        <f t="shared" si="51"/>
        <v>43952</v>
      </c>
    </row>
    <row r="1376" spans="1:22" x14ac:dyDescent="0.25">
      <c r="A1376" s="2">
        <v>24</v>
      </c>
      <c r="B1376" t="s">
        <v>24</v>
      </c>
      <c r="C1376" s="2">
        <v>7</v>
      </c>
      <c r="D1376" s="2">
        <v>185</v>
      </c>
      <c r="E1376" s="2">
        <v>13</v>
      </c>
      <c r="F1376" s="2">
        <v>10</v>
      </c>
      <c r="G1376" s="24">
        <v>2</v>
      </c>
      <c r="H1376" s="2">
        <v>17</v>
      </c>
      <c r="I1376" s="2">
        <v>13</v>
      </c>
      <c r="J1376" s="1"/>
      <c r="M1376" t="s">
        <v>15</v>
      </c>
      <c r="N1376" t="str">
        <f>IFERROR(VLOOKUP(B1376,'[1]All Player'!$B$2:$C$1992,2,0),"")</f>
        <v>Nur Muhammad</v>
      </c>
      <c r="O1376" s="2" t="s">
        <v>492</v>
      </c>
      <c r="P1376" s="16" t="s">
        <v>938</v>
      </c>
      <c r="Q1376" s="1">
        <f t="shared" si="50"/>
        <v>1</v>
      </c>
      <c r="R1376" s="1">
        <v>231</v>
      </c>
      <c r="U1376" s="8">
        <f t="shared" si="51"/>
        <v>43952</v>
      </c>
      <c r="V1376" s="1">
        <v>1</v>
      </c>
    </row>
    <row r="1377" spans="1:23" x14ac:dyDescent="0.25">
      <c r="A1377" s="2">
        <v>24</v>
      </c>
      <c r="B1377" t="s">
        <v>148</v>
      </c>
      <c r="C1377" s="2">
        <v>7</v>
      </c>
      <c r="D1377" s="2">
        <v>101</v>
      </c>
      <c r="E1377" s="2">
        <v>11</v>
      </c>
      <c r="F1377" s="2">
        <v>10</v>
      </c>
      <c r="G1377" s="2">
        <v>0</v>
      </c>
      <c r="H1377" s="2">
        <v>9</v>
      </c>
      <c r="I1377" s="2">
        <v>5</v>
      </c>
      <c r="J1377" s="1"/>
      <c r="M1377" t="s">
        <v>15</v>
      </c>
      <c r="N1377" t="str">
        <f>IFERROR(VLOOKUP(B1377,'[1]All Player'!$B$2:$C$1992,2,0),"")</f>
        <v>AB Saaj</v>
      </c>
      <c r="O1377" s="2" t="s">
        <v>492</v>
      </c>
      <c r="P1377" s="16" t="s">
        <v>938</v>
      </c>
      <c r="Q1377" s="1">
        <f t="shared" si="50"/>
        <v>1</v>
      </c>
      <c r="R1377" s="1">
        <v>231</v>
      </c>
      <c r="U1377" s="8">
        <f t="shared" si="51"/>
        <v>43952</v>
      </c>
    </row>
    <row r="1378" spans="1:23" x14ac:dyDescent="0.25">
      <c r="A1378" s="2">
        <v>24</v>
      </c>
      <c r="B1378" t="s">
        <v>152</v>
      </c>
      <c r="C1378" s="2">
        <v>7</v>
      </c>
      <c r="D1378" s="2">
        <v>42</v>
      </c>
      <c r="E1378" s="2">
        <v>9</v>
      </c>
      <c r="F1378" s="2">
        <v>6</v>
      </c>
      <c r="G1378" s="2">
        <v>1</v>
      </c>
      <c r="H1378" s="2">
        <v>6</v>
      </c>
      <c r="I1378" s="2">
        <v>1</v>
      </c>
      <c r="J1378" s="1"/>
      <c r="M1378" t="s">
        <v>15</v>
      </c>
      <c r="N1378" t="str">
        <f>IFERROR(VLOOKUP(B1378,'[1]All Player'!$B$2:$C$1992,2,0),"")</f>
        <v>Niamul Habib Setu</v>
      </c>
      <c r="O1378" s="2" t="s">
        <v>492</v>
      </c>
      <c r="P1378" s="16" t="s">
        <v>938</v>
      </c>
      <c r="Q1378" s="1">
        <f t="shared" si="50"/>
        <v>1</v>
      </c>
      <c r="R1378" s="1">
        <v>231</v>
      </c>
      <c r="U1378" s="8">
        <f t="shared" si="51"/>
        <v>43952</v>
      </c>
    </row>
    <row r="1379" spans="1:23" x14ac:dyDescent="0.25">
      <c r="A1379" s="2">
        <v>24</v>
      </c>
      <c r="B1379" t="s">
        <v>126</v>
      </c>
      <c r="C1379" s="2">
        <v>7</v>
      </c>
      <c r="D1379" s="2">
        <v>11</v>
      </c>
      <c r="E1379" s="2">
        <v>5</v>
      </c>
      <c r="F1379" s="2">
        <v>6</v>
      </c>
      <c r="G1379" s="2">
        <v>0</v>
      </c>
      <c r="H1379" s="2">
        <v>1</v>
      </c>
      <c r="I1379" s="2">
        <v>0</v>
      </c>
      <c r="J1379" s="1"/>
      <c r="M1379" t="s">
        <v>15</v>
      </c>
      <c r="N1379" t="str">
        <f>IFERROR(VLOOKUP(B1379,'[1]All Player'!$B$2:$C$1992,2,0),"")</f>
        <v>M R Shakil</v>
      </c>
      <c r="O1379" s="2" t="s">
        <v>492</v>
      </c>
      <c r="P1379" s="16" t="s">
        <v>938</v>
      </c>
      <c r="Q1379" s="1">
        <f t="shared" si="50"/>
        <v>1</v>
      </c>
      <c r="R1379" s="1">
        <v>231</v>
      </c>
      <c r="U1379" s="8">
        <f t="shared" si="51"/>
        <v>43952</v>
      </c>
    </row>
    <row r="1380" spans="1:23" x14ac:dyDescent="0.25">
      <c r="A1380" s="2">
        <v>24</v>
      </c>
      <c r="B1380" t="s">
        <v>193</v>
      </c>
      <c r="C1380" s="2">
        <v>7</v>
      </c>
      <c r="D1380" s="2">
        <v>83</v>
      </c>
      <c r="E1380" s="2">
        <v>5</v>
      </c>
      <c r="F1380" s="2">
        <v>7</v>
      </c>
      <c r="G1380" s="2">
        <v>1</v>
      </c>
      <c r="H1380" s="2">
        <v>5</v>
      </c>
      <c r="I1380" s="2">
        <v>5</v>
      </c>
      <c r="J1380" s="1"/>
      <c r="M1380" t="s">
        <v>15</v>
      </c>
      <c r="N1380" t="str">
        <f>IFERROR(VLOOKUP(B1380,'[1]All Player'!$B$2:$C$1992,2,0),"")</f>
        <v>Mostafizur Rahman Mithu</v>
      </c>
      <c r="O1380" s="2" t="s">
        <v>492</v>
      </c>
      <c r="P1380" s="16" t="s">
        <v>938</v>
      </c>
      <c r="Q1380" s="1">
        <f t="shared" si="50"/>
        <v>1</v>
      </c>
      <c r="R1380" s="1">
        <v>231</v>
      </c>
      <c r="U1380" s="8">
        <f t="shared" si="51"/>
        <v>43952</v>
      </c>
    </row>
    <row r="1381" spans="1:23" x14ac:dyDescent="0.25">
      <c r="A1381" s="2">
        <v>24</v>
      </c>
      <c r="B1381" s="17" t="s">
        <v>939</v>
      </c>
      <c r="J1381" s="1"/>
      <c r="M1381" t="s">
        <v>15</v>
      </c>
      <c r="N1381" t="str">
        <f>IFERROR(VLOOKUP(B1381,'[1]All Player'!$B$2:$C$1992,2,0),"")</f>
        <v/>
      </c>
      <c r="O1381" s="2" t="s">
        <v>492</v>
      </c>
      <c r="P1381" s="16" t="s">
        <v>939</v>
      </c>
      <c r="Q1381" s="1">
        <f t="shared" si="50"/>
        <v>1</v>
      </c>
      <c r="R1381" s="1">
        <v>232</v>
      </c>
      <c r="U1381" s="8">
        <f t="shared" si="51"/>
        <v>43952</v>
      </c>
    </row>
    <row r="1382" spans="1:23" x14ac:dyDescent="0.25">
      <c r="A1382" s="2">
        <v>24</v>
      </c>
      <c r="B1382" t="s">
        <v>21</v>
      </c>
      <c r="C1382" s="2">
        <v>6</v>
      </c>
      <c r="D1382" s="2">
        <v>109</v>
      </c>
      <c r="E1382" s="2">
        <v>19</v>
      </c>
      <c r="F1382" s="2">
        <v>7</v>
      </c>
      <c r="G1382" s="2">
        <v>1</v>
      </c>
      <c r="H1382" s="2">
        <v>12</v>
      </c>
      <c r="I1382" s="2">
        <v>8</v>
      </c>
      <c r="J1382" s="1"/>
      <c r="M1382" t="s">
        <v>15</v>
      </c>
      <c r="N1382" t="str">
        <f>IFERROR(VLOOKUP(B1382,'[1]All Player'!$B$2:$C$1992,2,0),"")</f>
        <v>Faisal Ahmed Jhony</v>
      </c>
      <c r="O1382" s="2" t="s">
        <v>492</v>
      </c>
      <c r="P1382" s="16" t="s">
        <v>939</v>
      </c>
      <c r="Q1382" s="1">
        <f t="shared" si="50"/>
        <v>1</v>
      </c>
      <c r="R1382" s="1">
        <v>232</v>
      </c>
      <c r="U1382" s="8">
        <f t="shared" si="51"/>
        <v>43952</v>
      </c>
      <c r="W1382" s="1">
        <v>1</v>
      </c>
    </row>
    <row r="1383" spans="1:23" x14ac:dyDescent="0.25">
      <c r="A1383" s="2">
        <v>24</v>
      </c>
      <c r="B1383" t="s">
        <v>62</v>
      </c>
      <c r="C1383" s="2">
        <v>6</v>
      </c>
      <c r="D1383" s="2">
        <v>110</v>
      </c>
      <c r="E1383" s="2">
        <v>6</v>
      </c>
      <c r="F1383" s="2">
        <v>9</v>
      </c>
      <c r="G1383" s="2">
        <v>2</v>
      </c>
      <c r="H1383" s="2">
        <v>14</v>
      </c>
      <c r="I1383" s="2">
        <v>3</v>
      </c>
      <c r="J1383" s="1"/>
      <c r="M1383" t="s">
        <v>15</v>
      </c>
      <c r="N1383" t="str">
        <f>IFERROR(VLOOKUP(B1383,'[1]All Player'!$B$2:$C$1992,2,0),"")</f>
        <v>MD Tofayel Ahmed</v>
      </c>
      <c r="O1383" s="2" t="s">
        <v>492</v>
      </c>
      <c r="P1383" s="16" t="s">
        <v>939</v>
      </c>
      <c r="Q1383" s="1">
        <f t="shared" si="50"/>
        <v>1</v>
      </c>
      <c r="R1383" s="1">
        <v>232</v>
      </c>
      <c r="U1383" s="8">
        <f t="shared" si="51"/>
        <v>43952</v>
      </c>
    </row>
    <row r="1384" spans="1:23" x14ac:dyDescent="0.25">
      <c r="A1384" s="2">
        <v>24</v>
      </c>
      <c r="B1384" t="s">
        <v>31</v>
      </c>
      <c r="C1384" s="2">
        <v>6</v>
      </c>
      <c r="D1384" s="2">
        <v>89</v>
      </c>
      <c r="E1384" s="2">
        <v>3</v>
      </c>
      <c r="F1384" s="2">
        <v>10</v>
      </c>
      <c r="G1384" s="2">
        <v>2</v>
      </c>
      <c r="H1384" s="2">
        <v>9</v>
      </c>
      <c r="I1384" s="2">
        <v>5</v>
      </c>
      <c r="J1384" s="1"/>
      <c r="M1384" t="s">
        <v>15</v>
      </c>
      <c r="N1384" t="str">
        <f>IFERROR(VLOOKUP(B1384,'[1]All Player'!$B$2:$C$1992,2,0),"")</f>
        <v>Hetlar Shohag</v>
      </c>
      <c r="O1384" s="2" t="s">
        <v>492</v>
      </c>
      <c r="P1384" s="16" t="s">
        <v>939</v>
      </c>
      <c r="Q1384" s="1">
        <f t="shared" si="50"/>
        <v>1</v>
      </c>
      <c r="R1384" s="1">
        <v>232</v>
      </c>
      <c r="U1384" s="8">
        <f t="shared" si="51"/>
        <v>43952</v>
      </c>
    </row>
    <row r="1385" spans="1:23" x14ac:dyDescent="0.25">
      <c r="A1385" s="2">
        <v>24</v>
      </c>
      <c r="B1385" t="s">
        <v>403</v>
      </c>
      <c r="C1385" s="2">
        <v>6</v>
      </c>
      <c r="D1385" s="2">
        <v>94</v>
      </c>
      <c r="E1385" s="2">
        <v>0</v>
      </c>
      <c r="F1385" s="2">
        <v>6</v>
      </c>
      <c r="G1385" s="2">
        <v>0</v>
      </c>
      <c r="H1385" s="2">
        <v>8</v>
      </c>
      <c r="I1385" s="2">
        <v>3</v>
      </c>
      <c r="J1385" s="1"/>
      <c r="M1385" t="s">
        <v>15</v>
      </c>
      <c r="N1385" t="str">
        <f>IFERROR(VLOOKUP(B1385,'[1]All Player'!$B$2:$C$1992,2,0),"")</f>
        <v>Md Siyam Islam</v>
      </c>
      <c r="O1385" s="2" t="s">
        <v>492</v>
      </c>
      <c r="P1385" s="16" t="s">
        <v>939</v>
      </c>
      <c r="Q1385" s="1">
        <f t="shared" si="50"/>
        <v>1</v>
      </c>
      <c r="R1385" s="1">
        <v>232</v>
      </c>
      <c r="U1385" s="8">
        <f t="shared" si="51"/>
        <v>43952</v>
      </c>
    </row>
    <row r="1386" spans="1:23" x14ac:dyDescent="0.25">
      <c r="A1386" s="2">
        <v>24</v>
      </c>
      <c r="B1386" t="s">
        <v>128</v>
      </c>
      <c r="C1386" s="2">
        <v>5</v>
      </c>
      <c r="D1386" s="2">
        <v>57</v>
      </c>
      <c r="E1386" s="2">
        <v>2</v>
      </c>
      <c r="F1386" s="2">
        <v>6</v>
      </c>
      <c r="G1386" s="2">
        <v>0</v>
      </c>
      <c r="H1386" s="2">
        <v>8</v>
      </c>
      <c r="I1386" s="2">
        <v>3</v>
      </c>
      <c r="J1386" s="1"/>
      <c r="M1386" t="s">
        <v>15</v>
      </c>
      <c r="N1386" t="str">
        <f>IFERROR(VLOOKUP(B1386,'[1]All Player'!$B$2:$C$1992,2,0),"")</f>
        <v>Monsur Rahman</v>
      </c>
      <c r="O1386" s="2" t="s">
        <v>492</v>
      </c>
      <c r="P1386" s="16" t="s">
        <v>939</v>
      </c>
      <c r="Q1386" s="1">
        <f t="shared" si="50"/>
        <v>1</v>
      </c>
      <c r="R1386" s="1">
        <v>232</v>
      </c>
      <c r="U1386" s="8">
        <f t="shared" si="51"/>
        <v>43952</v>
      </c>
    </row>
    <row r="1387" spans="1:23" x14ac:dyDescent="0.25">
      <c r="A1387" s="2">
        <v>24</v>
      </c>
      <c r="B1387" s="17" t="s">
        <v>940</v>
      </c>
      <c r="J1387" s="1"/>
      <c r="M1387" t="s">
        <v>15</v>
      </c>
      <c r="N1387" t="str">
        <f>IFERROR(VLOOKUP(B1387,'[1]All Player'!$B$2:$C$1992,2,0),"")</f>
        <v/>
      </c>
      <c r="O1387" s="2" t="s">
        <v>492</v>
      </c>
      <c r="P1387" s="16" t="s">
        <v>940</v>
      </c>
      <c r="Q1387" s="1">
        <f t="shared" si="50"/>
        <v>1</v>
      </c>
      <c r="R1387" s="1">
        <v>233</v>
      </c>
      <c r="U1387" s="8">
        <f t="shared" si="51"/>
        <v>43952</v>
      </c>
    </row>
    <row r="1388" spans="1:23" x14ac:dyDescent="0.25">
      <c r="A1388" s="2">
        <v>24</v>
      </c>
      <c r="B1388" t="s">
        <v>27</v>
      </c>
      <c r="C1388" s="2">
        <v>6</v>
      </c>
      <c r="D1388" s="2">
        <v>39</v>
      </c>
      <c r="E1388" s="2">
        <v>5</v>
      </c>
      <c r="F1388" s="2">
        <v>7</v>
      </c>
      <c r="G1388" s="2">
        <v>0</v>
      </c>
      <c r="H1388" s="2">
        <v>7</v>
      </c>
      <c r="I1388" s="2">
        <v>1</v>
      </c>
      <c r="J1388" s="1"/>
      <c r="M1388" t="s">
        <v>15</v>
      </c>
      <c r="N1388" t="str">
        <f>IFERROR(VLOOKUP(B1388,'[1]All Player'!$B$2:$C$1992,2,0),"")</f>
        <v>Susmoy Paul</v>
      </c>
      <c r="O1388" s="2" t="s">
        <v>492</v>
      </c>
      <c r="P1388" s="16" t="s">
        <v>940</v>
      </c>
      <c r="Q1388" s="1">
        <f t="shared" si="50"/>
        <v>1</v>
      </c>
      <c r="R1388" s="1">
        <v>233</v>
      </c>
      <c r="U1388" s="8">
        <f t="shared" si="51"/>
        <v>43952</v>
      </c>
    </row>
    <row r="1389" spans="1:23" x14ac:dyDescent="0.25">
      <c r="A1389" s="2">
        <v>24</v>
      </c>
      <c r="B1389" t="s">
        <v>132</v>
      </c>
      <c r="C1389" s="2">
        <v>6</v>
      </c>
      <c r="D1389" s="2">
        <v>110</v>
      </c>
      <c r="E1389" s="2">
        <v>4</v>
      </c>
      <c r="F1389" s="2">
        <v>9</v>
      </c>
      <c r="G1389" s="2">
        <v>2</v>
      </c>
      <c r="H1389" s="2">
        <v>7</v>
      </c>
      <c r="I1389" s="2">
        <v>8</v>
      </c>
      <c r="J1389" s="1"/>
      <c r="M1389" t="s">
        <v>15</v>
      </c>
      <c r="N1389" t="str">
        <f>IFERROR(VLOOKUP(B1389,'[1]All Player'!$B$2:$C$1992,2,0),"")</f>
        <v>ShiShir Hossain</v>
      </c>
      <c r="O1389" s="2" t="s">
        <v>492</v>
      </c>
      <c r="P1389" s="16" t="s">
        <v>940</v>
      </c>
      <c r="Q1389" s="1">
        <f t="shared" si="50"/>
        <v>1</v>
      </c>
      <c r="R1389" s="1">
        <v>233</v>
      </c>
      <c r="U1389" s="8">
        <f t="shared" si="51"/>
        <v>43952</v>
      </c>
    </row>
    <row r="1390" spans="1:23" x14ac:dyDescent="0.25">
      <c r="A1390" s="2">
        <v>24</v>
      </c>
      <c r="B1390" t="s">
        <v>140</v>
      </c>
      <c r="C1390" s="2">
        <v>6</v>
      </c>
      <c r="D1390" s="2">
        <v>106</v>
      </c>
      <c r="E1390" s="2">
        <v>7</v>
      </c>
      <c r="F1390" s="2">
        <v>8</v>
      </c>
      <c r="G1390" s="2">
        <v>1</v>
      </c>
      <c r="H1390" s="2">
        <v>6</v>
      </c>
      <c r="I1390" s="2">
        <v>7</v>
      </c>
      <c r="J1390" s="1">
        <v>1</v>
      </c>
      <c r="M1390" t="s">
        <v>15</v>
      </c>
      <c r="N1390" t="str">
        <f>IFERROR(VLOOKUP(B1390,'[1]All Player'!$B$2:$C$1992,2,0),"")</f>
        <v>Monowar Hossain Munna</v>
      </c>
      <c r="O1390" s="2" t="s">
        <v>492</v>
      </c>
      <c r="P1390" s="16" t="s">
        <v>940</v>
      </c>
      <c r="Q1390" s="1">
        <f t="shared" si="50"/>
        <v>1</v>
      </c>
      <c r="R1390" s="1">
        <v>233</v>
      </c>
      <c r="U1390" s="8">
        <f t="shared" si="51"/>
        <v>43952</v>
      </c>
    </row>
    <row r="1391" spans="1:23" x14ac:dyDescent="0.25">
      <c r="A1391" s="2">
        <v>24</v>
      </c>
      <c r="B1391" t="s">
        <v>41</v>
      </c>
      <c r="C1391" s="2">
        <v>6</v>
      </c>
      <c r="D1391" s="2">
        <v>135</v>
      </c>
      <c r="E1391" s="2">
        <v>5</v>
      </c>
      <c r="F1391" s="2">
        <v>7</v>
      </c>
      <c r="G1391" s="2">
        <v>0</v>
      </c>
      <c r="H1391" s="2">
        <v>12</v>
      </c>
      <c r="I1391" s="2">
        <v>9</v>
      </c>
      <c r="J1391" s="1"/>
      <c r="M1391" t="s">
        <v>15</v>
      </c>
      <c r="N1391" t="str">
        <f>IFERROR(VLOOKUP(B1391,'[1]All Player'!$B$2:$C$1992,2,0),"")</f>
        <v>Firoj alam</v>
      </c>
      <c r="O1391" s="2" t="s">
        <v>492</v>
      </c>
      <c r="P1391" s="16" t="s">
        <v>940</v>
      </c>
      <c r="Q1391" s="1">
        <f t="shared" si="50"/>
        <v>1</v>
      </c>
      <c r="R1391" s="1">
        <v>233</v>
      </c>
      <c r="U1391" s="8">
        <f t="shared" si="51"/>
        <v>43952</v>
      </c>
    </row>
    <row r="1392" spans="1:23" x14ac:dyDescent="0.25">
      <c r="A1392" s="2">
        <v>24</v>
      </c>
      <c r="B1392" t="s">
        <v>120</v>
      </c>
      <c r="C1392" s="2">
        <v>6</v>
      </c>
      <c r="D1392" s="2">
        <v>51</v>
      </c>
      <c r="E1392" s="2">
        <v>6</v>
      </c>
      <c r="F1392" s="2">
        <v>8</v>
      </c>
      <c r="G1392" s="2">
        <v>0</v>
      </c>
      <c r="H1392" s="2">
        <v>5</v>
      </c>
      <c r="I1392" s="2">
        <v>2</v>
      </c>
      <c r="J1392" s="1"/>
      <c r="M1392" t="s">
        <v>15</v>
      </c>
      <c r="N1392" t="str">
        <f>IFERROR(VLOOKUP(B1392,'[1]All Player'!$B$2:$C$1992,2,0),"")</f>
        <v>Kamrul Hasan Hridoy</v>
      </c>
      <c r="O1392" s="2" t="s">
        <v>492</v>
      </c>
      <c r="P1392" s="16" t="s">
        <v>940</v>
      </c>
      <c r="Q1392" s="1">
        <f t="shared" si="50"/>
        <v>1</v>
      </c>
      <c r="R1392" s="1">
        <v>233</v>
      </c>
      <c r="U1392" s="8">
        <f t="shared" si="51"/>
        <v>43952</v>
      </c>
    </row>
    <row r="1393" spans="1:21" x14ac:dyDescent="0.25">
      <c r="A1393" s="2">
        <v>24</v>
      </c>
      <c r="B1393" s="17" t="s">
        <v>941</v>
      </c>
      <c r="J1393" s="1"/>
      <c r="M1393" t="s">
        <v>15</v>
      </c>
      <c r="N1393" t="str">
        <f>IFERROR(VLOOKUP(B1393,'[1]All Player'!$B$2:$C$1992,2,0),"")</f>
        <v/>
      </c>
      <c r="O1393" s="2" t="s">
        <v>492</v>
      </c>
      <c r="P1393" s="16" t="s">
        <v>941</v>
      </c>
      <c r="Q1393" s="1">
        <f t="shared" si="50"/>
        <v>1</v>
      </c>
      <c r="R1393" s="1">
        <v>234</v>
      </c>
      <c r="U1393" s="8">
        <f t="shared" si="51"/>
        <v>43952</v>
      </c>
    </row>
    <row r="1394" spans="1:21" x14ac:dyDescent="0.25">
      <c r="A1394" s="2">
        <v>24</v>
      </c>
      <c r="B1394" t="s">
        <v>144</v>
      </c>
      <c r="C1394" s="2">
        <v>5</v>
      </c>
      <c r="D1394" s="2">
        <v>93</v>
      </c>
      <c r="E1394" s="2">
        <v>8</v>
      </c>
      <c r="F1394" s="2">
        <v>8</v>
      </c>
      <c r="G1394" s="2">
        <v>1</v>
      </c>
      <c r="H1394" s="2">
        <v>11</v>
      </c>
      <c r="I1394" s="2">
        <v>5</v>
      </c>
      <c r="J1394" s="1"/>
      <c r="M1394" t="s">
        <v>15</v>
      </c>
      <c r="N1394" t="str">
        <f>IFERROR(VLOOKUP(B1394,'[1]All Player'!$B$2:$C$1992,2,0),"")</f>
        <v>Toufiq Ahmed Ovi</v>
      </c>
      <c r="O1394" s="2" t="s">
        <v>492</v>
      </c>
      <c r="P1394" s="16" t="s">
        <v>941</v>
      </c>
      <c r="Q1394" s="1">
        <f t="shared" si="50"/>
        <v>1</v>
      </c>
      <c r="R1394" s="1">
        <v>234</v>
      </c>
      <c r="U1394" s="8">
        <f t="shared" si="51"/>
        <v>43952</v>
      </c>
    </row>
    <row r="1395" spans="1:21" x14ac:dyDescent="0.25">
      <c r="A1395" s="2">
        <v>24</v>
      </c>
      <c r="B1395" t="s">
        <v>29</v>
      </c>
      <c r="C1395" s="2">
        <v>5</v>
      </c>
      <c r="D1395" s="2">
        <v>39</v>
      </c>
      <c r="E1395" s="2">
        <v>4</v>
      </c>
      <c r="F1395" s="2">
        <v>6</v>
      </c>
      <c r="G1395" s="2">
        <v>1</v>
      </c>
      <c r="H1395" s="2">
        <v>3</v>
      </c>
      <c r="I1395" s="2">
        <v>3</v>
      </c>
      <c r="J1395" s="1"/>
      <c r="M1395" t="s">
        <v>15</v>
      </c>
      <c r="N1395" t="str">
        <f>IFERROR(VLOOKUP(B1395,'[1]All Player'!$B$2:$C$1992,2,0),"")</f>
        <v>Foysal Ahmed Jumon</v>
      </c>
      <c r="O1395" s="2" t="s">
        <v>492</v>
      </c>
      <c r="P1395" s="16" t="s">
        <v>941</v>
      </c>
      <c r="Q1395" s="1">
        <f t="shared" si="50"/>
        <v>1</v>
      </c>
      <c r="R1395" s="1">
        <v>234</v>
      </c>
      <c r="U1395" s="8">
        <f t="shared" si="51"/>
        <v>43952</v>
      </c>
    </row>
    <row r="1396" spans="1:21" x14ac:dyDescent="0.25">
      <c r="A1396" s="2">
        <v>24</v>
      </c>
      <c r="B1396" t="s">
        <v>52</v>
      </c>
      <c r="C1396" s="2">
        <v>5</v>
      </c>
      <c r="D1396" s="2">
        <v>88</v>
      </c>
      <c r="E1396" s="2">
        <v>2</v>
      </c>
      <c r="F1396" s="2">
        <v>7</v>
      </c>
      <c r="G1396" s="2">
        <v>0</v>
      </c>
      <c r="H1396" s="2">
        <v>10</v>
      </c>
      <c r="I1396" s="2">
        <v>2</v>
      </c>
      <c r="J1396" s="1"/>
      <c r="M1396" t="s">
        <v>15</v>
      </c>
      <c r="N1396" t="str">
        <f>IFERROR(VLOOKUP(B1396,'[1]All Player'!$B$2:$C$1992,2,0),"")</f>
        <v>Mohammed Al Mamun</v>
      </c>
      <c r="O1396" s="2" t="s">
        <v>492</v>
      </c>
      <c r="P1396" s="16" t="s">
        <v>941</v>
      </c>
      <c r="Q1396" s="1">
        <f t="shared" si="50"/>
        <v>1</v>
      </c>
      <c r="R1396" s="1">
        <v>234</v>
      </c>
      <c r="U1396" s="8">
        <f t="shared" si="51"/>
        <v>43952</v>
      </c>
    </row>
    <row r="1397" spans="1:21" x14ac:dyDescent="0.25">
      <c r="A1397" s="2">
        <v>24</v>
      </c>
      <c r="B1397" t="s">
        <v>221</v>
      </c>
      <c r="C1397" s="2">
        <v>2</v>
      </c>
      <c r="D1397" s="2">
        <v>12</v>
      </c>
      <c r="E1397" s="2">
        <v>1</v>
      </c>
      <c r="F1397" s="2">
        <v>2</v>
      </c>
      <c r="G1397" s="2">
        <v>0</v>
      </c>
      <c r="H1397" s="2">
        <v>1</v>
      </c>
      <c r="I1397" s="2">
        <v>1</v>
      </c>
      <c r="J1397" s="1"/>
      <c r="M1397" t="s">
        <v>15</v>
      </c>
      <c r="N1397" t="str">
        <f>IFERROR(VLOOKUP(B1397,'[1]All Player'!$B$2:$C$1992,2,0),"")</f>
        <v>Yahya Riyad</v>
      </c>
      <c r="O1397" s="2" t="s">
        <v>492</v>
      </c>
      <c r="P1397" s="16" t="s">
        <v>941</v>
      </c>
      <c r="Q1397" s="1">
        <f t="shared" si="50"/>
        <v>1</v>
      </c>
      <c r="R1397" s="1">
        <v>234</v>
      </c>
      <c r="U1397" s="8">
        <f t="shared" si="51"/>
        <v>43952</v>
      </c>
    </row>
    <row r="1398" spans="1:21" x14ac:dyDescent="0.25">
      <c r="A1398" s="2">
        <v>24</v>
      </c>
      <c r="B1398" t="s">
        <v>38</v>
      </c>
      <c r="C1398" s="2">
        <v>5</v>
      </c>
      <c r="D1398" s="2">
        <v>82</v>
      </c>
      <c r="E1398" s="2">
        <v>4</v>
      </c>
      <c r="F1398" s="2">
        <v>9</v>
      </c>
      <c r="G1398" s="2">
        <v>0</v>
      </c>
      <c r="H1398" s="2">
        <v>5</v>
      </c>
      <c r="I1398" s="2">
        <v>3</v>
      </c>
      <c r="J1398" s="1"/>
      <c r="M1398" t="s">
        <v>15</v>
      </c>
      <c r="N1398" t="str">
        <f>IFERROR(VLOOKUP(B1398,'[1]All Player'!$B$2:$C$1992,2,0),"")</f>
        <v>Rayhan Rahman</v>
      </c>
      <c r="O1398" s="2" t="s">
        <v>492</v>
      </c>
      <c r="P1398" s="16" t="s">
        <v>941</v>
      </c>
      <c r="Q1398" s="1">
        <f t="shared" si="50"/>
        <v>1</v>
      </c>
      <c r="R1398" s="1">
        <v>234</v>
      </c>
      <c r="U1398" s="8">
        <f t="shared" si="51"/>
        <v>43952</v>
      </c>
    </row>
    <row r="1399" spans="1:21" x14ac:dyDescent="0.25">
      <c r="A1399" s="2">
        <v>24</v>
      </c>
      <c r="B1399" s="17" t="s">
        <v>942</v>
      </c>
      <c r="J1399" s="1"/>
      <c r="M1399" t="s">
        <v>15</v>
      </c>
      <c r="N1399" t="str">
        <f>IFERROR(VLOOKUP(B1399,'[1]All Player'!$B$2:$C$1992,2,0),"")</f>
        <v/>
      </c>
      <c r="O1399" s="2" t="s">
        <v>492</v>
      </c>
      <c r="P1399" s="16" t="s">
        <v>942</v>
      </c>
      <c r="Q1399" s="1">
        <f t="shared" si="50"/>
        <v>1</v>
      </c>
      <c r="R1399" s="1">
        <v>235</v>
      </c>
      <c r="U1399" s="8">
        <f t="shared" si="51"/>
        <v>43952</v>
      </c>
    </row>
    <row r="1400" spans="1:21" x14ac:dyDescent="0.25">
      <c r="A1400" s="2">
        <v>24</v>
      </c>
      <c r="B1400" t="s">
        <v>943</v>
      </c>
      <c r="C1400" s="2">
        <v>6</v>
      </c>
      <c r="D1400" s="2">
        <v>127</v>
      </c>
      <c r="E1400" s="24">
        <v>9</v>
      </c>
      <c r="F1400" s="2">
        <v>6</v>
      </c>
      <c r="G1400" s="2">
        <v>0</v>
      </c>
      <c r="H1400" s="2">
        <v>12</v>
      </c>
      <c r="I1400" s="2">
        <v>8</v>
      </c>
      <c r="J1400" s="1">
        <v>1</v>
      </c>
      <c r="M1400" t="s">
        <v>15</v>
      </c>
      <c r="N1400" t="str">
        <f>IFERROR(VLOOKUP(B1400,'[1]All Player'!$B$2:$C$1992,2,0),"")</f>
        <v>Arif Ziad</v>
      </c>
      <c r="O1400" s="2" t="s">
        <v>492</v>
      </c>
      <c r="P1400" s="16" t="s">
        <v>942</v>
      </c>
      <c r="Q1400" s="1">
        <f t="shared" si="50"/>
        <v>1</v>
      </c>
      <c r="R1400" s="1">
        <v>235</v>
      </c>
      <c r="U1400" s="8">
        <f t="shared" si="51"/>
        <v>43952</v>
      </c>
    </row>
    <row r="1401" spans="1:21" x14ac:dyDescent="0.25">
      <c r="A1401" s="2">
        <v>24</v>
      </c>
      <c r="B1401" t="s">
        <v>114</v>
      </c>
      <c r="C1401" s="2">
        <v>6</v>
      </c>
      <c r="D1401" s="2">
        <v>42</v>
      </c>
      <c r="E1401" s="2">
        <v>10</v>
      </c>
      <c r="F1401" s="2">
        <v>9</v>
      </c>
      <c r="G1401" s="2">
        <v>0</v>
      </c>
      <c r="H1401" s="2">
        <v>5</v>
      </c>
      <c r="I1401" s="2">
        <v>1</v>
      </c>
      <c r="J1401" s="1">
        <v>1</v>
      </c>
      <c r="M1401" t="s">
        <v>15</v>
      </c>
      <c r="N1401" t="str">
        <f>IFERROR(VLOOKUP(B1401,'[1]All Player'!$B$2:$C$1992,2,0),"")</f>
        <v>Tanvir Shakib</v>
      </c>
      <c r="O1401" s="2" t="s">
        <v>492</v>
      </c>
      <c r="P1401" s="16" t="s">
        <v>942</v>
      </c>
      <c r="Q1401" s="1">
        <f t="shared" si="50"/>
        <v>1</v>
      </c>
      <c r="R1401" s="1">
        <v>235</v>
      </c>
      <c r="U1401" s="8">
        <f t="shared" si="51"/>
        <v>43952</v>
      </c>
    </row>
    <row r="1402" spans="1:21" x14ac:dyDescent="0.25">
      <c r="A1402" s="2">
        <v>24</v>
      </c>
      <c r="B1402" t="s">
        <v>70</v>
      </c>
      <c r="C1402" s="2">
        <v>6</v>
      </c>
      <c r="D1402" s="2">
        <v>166</v>
      </c>
      <c r="E1402" s="2">
        <v>8</v>
      </c>
      <c r="F1402" s="2">
        <v>7</v>
      </c>
      <c r="G1402" s="2">
        <v>0</v>
      </c>
      <c r="H1402" s="2">
        <v>13</v>
      </c>
      <c r="I1402" s="2">
        <v>12</v>
      </c>
      <c r="J1402" s="1"/>
      <c r="M1402" t="s">
        <v>15</v>
      </c>
      <c r="N1402" t="str">
        <f>IFERROR(VLOOKUP(B1402,'[1]All Player'!$B$2:$C$1992,2,0),"")</f>
        <v>Sheik Helal Ahmed</v>
      </c>
      <c r="O1402" s="2" t="s">
        <v>492</v>
      </c>
      <c r="P1402" s="16" t="s">
        <v>942</v>
      </c>
      <c r="Q1402" s="1">
        <f t="shared" si="50"/>
        <v>1</v>
      </c>
      <c r="R1402" s="1">
        <v>235</v>
      </c>
      <c r="U1402" s="8">
        <f t="shared" si="51"/>
        <v>43952</v>
      </c>
    </row>
    <row r="1403" spans="1:21" x14ac:dyDescent="0.25">
      <c r="A1403" s="2">
        <v>24</v>
      </c>
      <c r="B1403" t="s">
        <v>154</v>
      </c>
      <c r="C1403" s="2">
        <v>6</v>
      </c>
      <c r="D1403" s="2">
        <v>41</v>
      </c>
      <c r="E1403" s="2">
        <v>1</v>
      </c>
      <c r="F1403" s="2">
        <v>5</v>
      </c>
      <c r="G1403" s="2">
        <v>0</v>
      </c>
      <c r="H1403" s="2">
        <v>3</v>
      </c>
      <c r="I1403" s="2">
        <v>2</v>
      </c>
      <c r="J1403" s="1"/>
      <c r="M1403" t="s">
        <v>15</v>
      </c>
      <c r="N1403" t="str">
        <f>IFERROR(VLOOKUP(B1403,'[1]All Player'!$B$2:$C$1992,2,0),"")</f>
        <v>Meyaz Al Emon</v>
      </c>
      <c r="O1403" s="2" t="s">
        <v>492</v>
      </c>
      <c r="P1403" s="16" t="s">
        <v>942</v>
      </c>
      <c r="Q1403" s="1">
        <f t="shared" si="50"/>
        <v>1</v>
      </c>
      <c r="R1403" s="1">
        <v>235</v>
      </c>
      <c r="U1403" s="8">
        <f t="shared" si="51"/>
        <v>43952</v>
      </c>
    </row>
    <row r="1404" spans="1:21" x14ac:dyDescent="0.25">
      <c r="A1404" s="2">
        <v>24</v>
      </c>
      <c r="B1404" t="s">
        <v>239</v>
      </c>
      <c r="C1404" s="2">
        <v>6</v>
      </c>
      <c r="D1404" s="2">
        <v>66</v>
      </c>
      <c r="E1404" s="2">
        <v>8</v>
      </c>
      <c r="F1404" s="2">
        <v>5</v>
      </c>
      <c r="G1404" s="2">
        <v>1</v>
      </c>
      <c r="H1404" s="2">
        <v>4</v>
      </c>
      <c r="I1404" s="2">
        <v>6</v>
      </c>
      <c r="J1404" s="1"/>
      <c r="M1404" t="s">
        <v>15</v>
      </c>
      <c r="N1404" t="str">
        <f>IFERROR(VLOOKUP(B1404,'[1]All Player'!$B$2:$C$1992,2,0),"")</f>
        <v>GM Manik</v>
      </c>
      <c r="O1404" s="2" t="s">
        <v>492</v>
      </c>
      <c r="P1404" s="16" t="s">
        <v>942</v>
      </c>
      <c r="Q1404" s="1">
        <f t="shared" si="50"/>
        <v>1</v>
      </c>
      <c r="R1404" s="1">
        <v>235</v>
      </c>
      <c r="U1404" s="8">
        <f t="shared" si="51"/>
        <v>43952</v>
      </c>
    </row>
    <row r="1405" spans="1:21" x14ac:dyDescent="0.25">
      <c r="A1405" s="2">
        <v>24</v>
      </c>
      <c r="B1405" s="17" t="s">
        <v>944</v>
      </c>
      <c r="J1405" s="1"/>
      <c r="M1405" t="s">
        <v>15</v>
      </c>
      <c r="N1405" t="str">
        <f>IFERROR(VLOOKUP(B1405,'[1]All Player'!$B$2:$C$1992,2,0),"")</f>
        <v/>
      </c>
      <c r="O1405" s="2" t="s">
        <v>492</v>
      </c>
      <c r="P1405" s="16" t="s">
        <v>944</v>
      </c>
      <c r="Q1405" s="1">
        <f t="shared" si="50"/>
        <v>1</v>
      </c>
      <c r="R1405" s="1">
        <v>236</v>
      </c>
      <c r="U1405" s="8">
        <f t="shared" si="51"/>
        <v>43952</v>
      </c>
    </row>
    <row r="1406" spans="1:21" x14ac:dyDescent="0.25">
      <c r="A1406" s="2">
        <v>24</v>
      </c>
      <c r="B1406" t="s">
        <v>66</v>
      </c>
      <c r="C1406" s="2">
        <v>5</v>
      </c>
      <c r="D1406" s="2">
        <v>94</v>
      </c>
      <c r="E1406" s="2">
        <v>2</v>
      </c>
      <c r="F1406" s="2">
        <v>8</v>
      </c>
      <c r="G1406" s="2">
        <v>0</v>
      </c>
      <c r="H1406" s="2">
        <v>4</v>
      </c>
      <c r="I1406" s="2">
        <v>9</v>
      </c>
      <c r="J1406" s="1"/>
      <c r="M1406" t="s">
        <v>15</v>
      </c>
      <c r="N1406" t="str">
        <f>IFERROR(VLOOKUP(B1406,'[1]All Player'!$B$2:$C$1992,2,0),"")</f>
        <v>Ahmad Sakib Abdullah</v>
      </c>
      <c r="O1406" s="2" t="s">
        <v>492</v>
      </c>
      <c r="P1406" s="16" t="s">
        <v>944</v>
      </c>
      <c r="Q1406" s="1">
        <f t="shared" si="50"/>
        <v>1</v>
      </c>
      <c r="R1406" s="1">
        <v>236</v>
      </c>
      <c r="U1406" s="8">
        <f t="shared" si="51"/>
        <v>43952</v>
      </c>
    </row>
    <row r="1407" spans="1:21" x14ac:dyDescent="0.25">
      <c r="A1407" s="2">
        <v>24</v>
      </c>
      <c r="B1407" t="s">
        <v>130</v>
      </c>
      <c r="C1407" s="2">
        <v>5</v>
      </c>
      <c r="D1407" s="2">
        <v>80</v>
      </c>
      <c r="E1407" s="2">
        <v>10</v>
      </c>
      <c r="F1407" s="2">
        <v>8</v>
      </c>
      <c r="G1407" s="2">
        <v>0</v>
      </c>
      <c r="H1407" s="2">
        <v>5</v>
      </c>
      <c r="I1407" s="2">
        <v>7</v>
      </c>
      <c r="J1407" s="1"/>
      <c r="M1407" t="s">
        <v>15</v>
      </c>
      <c r="N1407" t="str">
        <f>IFERROR(VLOOKUP(B1407,'[1]All Player'!$B$2:$C$1992,2,0),"")</f>
        <v>Shahriar Khokon</v>
      </c>
      <c r="O1407" s="2" t="s">
        <v>492</v>
      </c>
      <c r="P1407" s="16" t="s">
        <v>944</v>
      </c>
      <c r="Q1407" s="1">
        <f t="shared" si="50"/>
        <v>1</v>
      </c>
      <c r="R1407" s="1">
        <v>236</v>
      </c>
      <c r="U1407" s="8">
        <f t="shared" si="51"/>
        <v>43952</v>
      </c>
    </row>
    <row r="1408" spans="1:21" x14ac:dyDescent="0.25">
      <c r="A1408" s="2">
        <v>24</v>
      </c>
      <c r="B1408" t="s">
        <v>173</v>
      </c>
      <c r="C1408" s="2">
        <v>5</v>
      </c>
      <c r="D1408" s="2">
        <v>35</v>
      </c>
      <c r="E1408" s="2">
        <v>4</v>
      </c>
      <c r="F1408" s="2">
        <v>4</v>
      </c>
      <c r="G1408" s="2">
        <v>0</v>
      </c>
      <c r="H1408" s="2">
        <v>3</v>
      </c>
      <c r="I1408" s="2">
        <v>2</v>
      </c>
      <c r="J1408" s="1"/>
      <c r="M1408" t="s">
        <v>15</v>
      </c>
      <c r="N1408" t="str">
        <f>IFERROR(VLOOKUP(B1408,'[1]All Player'!$B$2:$C$1992,2,0),"")</f>
        <v>Sajjadul Haque Sagar</v>
      </c>
      <c r="O1408" s="2" t="s">
        <v>492</v>
      </c>
      <c r="P1408" s="16" t="s">
        <v>944</v>
      </c>
      <c r="Q1408" s="1">
        <f t="shared" si="50"/>
        <v>1</v>
      </c>
      <c r="R1408" s="1">
        <v>236</v>
      </c>
      <c r="U1408" s="8">
        <f t="shared" si="51"/>
        <v>43952</v>
      </c>
    </row>
    <row r="1409" spans="1:21" x14ac:dyDescent="0.25">
      <c r="A1409" s="2">
        <v>24</v>
      </c>
      <c r="B1409" t="s">
        <v>49</v>
      </c>
      <c r="C1409" s="2">
        <v>4</v>
      </c>
      <c r="D1409" s="2">
        <v>53</v>
      </c>
      <c r="E1409" s="2">
        <v>4</v>
      </c>
      <c r="F1409" s="2">
        <v>5</v>
      </c>
      <c r="G1409" s="2">
        <v>0</v>
      </c>
      <c r="H1409" s="2">
        <v>6</v>
      </c>
      <c r="I1409" s="2">
        <v>1</v>
      </c>
      <c r="J1409" s="1"/>
      <c r="M1409" t="s">
        <v>15</v>
      </c>
      <c r="N1409" t="str">
        <f>IFERROR(VLOOKUP(B1409,'[1]All Player'!$B$2:$C$1992,2,0),"")</f>
        <v>Redwan Ahmed</v>
      </c>
      <c r="O1409" s="2" t="s">
        <v>492</v>
      </c>
      <c r="P1409" s="16" t="s">
        <v>944</v>
      </c>
      <c r="Q1409" s="1">
        <f t="shared" si="50"/>
        <v>1</v>
      </c>
      <c r="R1409" s="1">
        <v>236</v>
      </c>
      <c r="U1409" s="8">
        <f t="shared" si="51"/>
        <v>43952</v>
      </c>
    </row>
    <row r="1410" spans="1:21" x14ac:dyDescent="0.25">
      <c r="A1410" s="2">
        <v>24</v>
      </c>
      <c r="B1410" t="s">
        <v>74</v>
      </c>
      <c r="C1410" s="2">
        <v>5</v>
      </c>
      <c r="D1410" s="2">
        <v>64</v>
      </c>
      <c r="E1410" s="2">
        <v>6</v>
      </c>
      <c r="F1410" s="2">
        <v>6</v>
      </c>
      <c r="G1410" s="2">
        <v>1</v>
      </c>
      <c r="H1410" s="2">
        <v>8</v>
      </c>
      <c r="I1410" s="2">
        <v>2</v>
      </c>
      <c r="J1410" s="1"/>
      <c r="M1410" t="s">
        <v>15</v>
      </c>
      <c r="N1410" t="str">
        <f>IFERROR(VLOOKUP(B1410,'[1]All Player'!$B$2:$C$1992,2,0),"")</f>
        <v>Sakib Arafat</v>
      </c>
      <c r="O1410" s="2" t="s">
        <v>492</v>
      </c>
      <c r="P1410" s="16" t="s">
        <v>944</v>
      </c>
      <c r="Q1410" s="1">
        <f t="shared" ref="Q1410:Q1473" si="52">IF(B1410="","",1)</f>
        <v>1</v>
      </c>
      <c r="R1410" s="1">
        <v>236</v>
      </c>
      <c r="U1410" s="8">
        <f t="shared" si="51"/>
        <v>43952</v>
      </c>
    </row>
    <row r="1411" spans="1:21" x14ac:dyDescent="0.25">
      <c r="A1411" s="2">
        <v>24</v>
      </c>
      <c r="B1411" t="s">
        <v>142</v>
      </c>
      <c r="C1411" s="2">
        <v>1</v>
      </c>
      <c r="D1411" s="2">
        <v>18</v>
      </c>
      <c r="E1411" s="2">
        <v>0</v>
      </c>
      <c r="F1411" s="2">
        <v>1</v>
      </c>
      <c r="G1411" s="2">
        <v>0</v>
      </c>
      <c r="H1411" s="2">
        <v>1</v>
      </c>
      <c r="I1411" s="2">
        <v>1</v>
      </c>
      <c r="J1411" s="1"/>
      <c r="M1411" t="s">
        <v>15</v>
      </c>
      <c r="N1411" t="str">
        <f>IFERROR(VLOOKUP(B1411,'[1]All Player'!$B$2:$C$1992,2,0),"")</f>
        <v>Mehedi Hasan Joy</v>
      </c>
      <c r="O1411" s="2" t="s">
        <v>492</v>
      </c>
      <c r="P1411" s="16" t="s">
        <v>944</v>
      </c>
      <c r="Q1411" s="1">
        <f t="shared" si="52"/>
        <v>1</v>
      </c>
      <c r="R1411" s="1">
        <v>236</v>
      </c>
      <c r="U1411" s="8">
        <f t="shared" si="51"/>
        <v>43952</v>
      </c>
    </row>
    <row r="1412" spans="1:21" x14ac:dyDescent="0.25">
      <c r="A1412" s="2">
        <v>24</v>
      </c>
      <c r="B1412" s="17" t="s">
        <v>945</v>
      </c>
      <c r="J1412" s="1"/>
      <c r="M1412" t="s">
        <v>15</v>
      </c>
      <c r="N1412" t="str">
        <f>IFERROR(VLOOKUP(B1412,'[1]All Player'!$B$2:$C$1992,2,0),"")</f>
        <v/>
      </c>
      <c r="O1412" s="2" t="s">
        <v>492</v>
      </c>
      <c r="P1412" s="16" t="s">
        <v>945</v>
      </c>
      <c r="Q1412" s="1">
        <f t="shared" si="52"/>
        <v>1</v>
      </c>
      <c r="R1412" s="1">
        <v>237</v>
      </c>
      <c r="U1412" s="8">
        <f t="shared" si="51"/>
        <v>43952</v>
      </c>
    </row>
    <row r="1413" spans="1:21" x14ac:dyDescent="0.25">
      <c r="A1413" s="2">
        <v>24</v>
      </c>
      <c r="B1413" t="s">
        <v>134</v>
      </c>
      <c r="C1413" s="2">
        <v>6</v>
      </c>
      <c r="D1413" s="2">
        <v>79</v>
      </c>
      <c r="E1413" s="2">
        <v>6</v>
      </c>
      <c r="F1413" s="2">
        <v>8</v>
      </c>
      <c r="G1413" s="2">
        <v>0</v>
      </c>
      <c r="H1413" s="2">
        <v>5</v>
      </c>
      <c r="I1413" s="2">
        <v>5</v>
      </c>
      <c r="J1413" s="1"/>
      <c r="M1413" t="s">
        <v>15</v>
      </c>
      <c r="N1413" t="str">
        <f>IFERROR(VLOOKUP(B1413,'[1]All Player'!$B$2:$C$1992,2,0),"")</f>
        <v>Md Dulal Miah</v>
      </c>
      <c r="O1413" s="2" t="s">
        <v>492</v>
      </c>
      <c r="P1413" s="16" t="s">
        <v>945</v>
      </c>
      <c r="Q1413" s="1">
        <f t="shared" si="52"/>
        <v>1</v>
      </c>
      <c r="R1413" s="1">
        <v>237</v>
      </c>
      <c r="U1413" s="8">
        <f t="shared" si="51"/>
        <v>43952</v>
      </c>
    </row>
    <row r="1414" spans="1:21" x14ac:dyDescent="0.25">
      <c r="A1414" s="2">
        <v>24</v>
      </c>
      <c r="B1414" t="s">
        <v>80</v>
      </c>
      <c r="C1414" s="2">
        <v>6</v>
      </c>
      <c r="D1414" s="2">
        <v>69</v>
      </c>
      <c r="E1414" s="2">
        <v>10</v>
      </c>
      <c r="F1414" s="2">
        <v>9</v>
      </c>
      <c r="G1414" s="2">
        <v>1</v>
      </c>
      <c r="H1414" s="2">
        <v>5</v>
      </c>
      <c r="I1414" s="2">
        <v>5</v>
      </c>
      <c r="J1414" s="1"/>
      <c r="M1414" t="s">
        <v>15</v>
      </c>
      <c r="N1414" t="str">
        <f>IFERROR(VLOOKUP(B1414,'[1]All Player'!$B$2:$C$1992,2,0),"")</f>
        <v>Kamrul Hasan Tutul</v>
      </c>
      <c r="O1414" s="2" t="s">
        <v>492</v>
      </c>
      <c r="P1414" s="16" t="s">
        <v>945</v>
      </c>
      <c r="Q1414" s="1">
        <f t="shared" si="52"/>
        <v>1</v>
      </c>
      <c r="R1414" s="1">
        <v>237</v>
      </c>
      <c r="U1414" s="8">
        <f t="shared" si="51"/>
        <v>43952</v>
      </c>
    </row>
    <row r="1415" spans="1:21" x14ac:dyDescent="0.25">
      <c r="A1415" s="2">
        <v>24</v>
      </c>
      <c r="B1415" t="s">
        <v>146</v>
      </c>
      <c r="C1415" s="2">
        <v>7</v>
      </c>
      <c r="D1415" s="2">
        <v>114</v>
      </c>
      <c r="E1415" s="2">
        <v>6</v>
      </c>
      <c r="F1415" s="2">
        <v>8</v>
      </c>
      <c r="G1415" s="2">
        <v>0</v>
      </c>
      <c r="H1415" s="2">
        <v>7</v>
      </c>
      <c r="I1415" s="2">
        <v>9</v>
      </c>
      <c r="J1415" s="1"/>
      <c r="M1415" t="s">
        <v>15</v>
      </c>
      <c r="N1415" t="str">
        <f>IFERROR(VLOOKUP(B1415,'[1]All Player'!$B$2:$C$1992,2,0),"")</f>
        <v>Nahid Saifullah</v>
      </c>
      <c r="O1415" s="2" t="s">
        <v>492</v>
      </c>
      <c r="P1415" s="16" t="s">
        <v>945</v>
      </c>
      <c r="Q1415" s="1">
        <f t="shared" si="52"/>
        <v>1</v>
      </c>
      <c r="R1415" s="1">
        <v>237</v>
      </c>
      <c r="U1415" s="8">
        <f t="shared" si="51"/>
        <v>43952</v>
      </c>
    </row>
    <row r="1416" spans="1:21" x14ac:dyDescent="0.25">
      <c r="A1416" s="2">
        <v>24</v>
      </c>
      <c r="B1416" t="s">
        <v>118</v>
      </c>
      <c r="C1416" s="2">
        <v>7</v>
      </c>
      <c r="D1416" s="2">
        <v>91</v>
      </c>
      <c r="E1416" s="2">
        <v>7</v>
      </c>
      <c r="F1416" s="2">
        <v>11</v>
      </c>
      <c r="G1416" s="2">
        <v>1</v>
      </c>
      <c r="H1416" s="2">
        <v>9</v>
      </c>
      <c r="I1416" s="2">
        <v>6</v>
      </c>
      <c r="J1416" s="1"/>
      <c r="M1416" t="s">
        <v>15</v>
      </c>
      <c r="N1416" t="str">
        <f>IFERROR(VLOOKUP(B1416,'[1]All Player'!$B$2:$C$1992,2,0),"")</f>
        <v>Rinkon Khan</v>
      </c>
      <c r="O1416" s="2" t="s">
        <v>492</v>
      </c>
      <c r="P1416" s="16" t="s">
        <v>945</v>
      </c>
      <c r="Q1416" s="1">
        <f t="shared" si="52"/>
        <v>1</v>
      </c>
      <c r="R1416" s="1">
        <v>237</v>
      </c>
      <c r="U1416" s="8">
        <f t="shared" ref="U1416:U1423" si="53">U1415</f>
        <v>43952</v>
      </c>
    </row>
    <row r="1417" spans="1:21" x14ac:dyDescent="0.25">
      <c r="A1417" s="2">
        <v>24</v>
      </c>
      <c r="B1417" t="s">
        <v>91</v>
      </c>
      <c r="C1417" s="2">
        <v>6</v>
      </c>
      <c r="D1417" s="2">
        <v>90</v>
      </c>
      <c r="E1417" s="2">
        <v>9</v>
      </c>
      <c r="F1417" s="2">
        <v>7</v>
      </c>
      <c r="G1417" s="2">
        <v>1</v>
      </c>
      <c r="H1417" s="2">
        <v>9</v>
      </c>
      <c r="I1417" s="2">
        <v>7</v>
      </c>
      <c r="J1417" s="1">
        <v>1</v>
      </c>
      <c r="M1417" t="s">
        <v>15</v>
      </c>
      <c r="N1417" t="str">
        <f>IFERROR(VLOOKUP(B1417,'[1]All Player'!$B$2:$C$1992,2,0),"")</f>
        <v>Abdullah Al Mamun</v>
      </c>
      <c r="O1417" s="2" t="s">
        <v>492</v>
      </c>
      <c r="P1417" s="16" t="s">
        <v>945</v>
      </c>
      <c r="Q1417" s="1">
        <f t="shared" si="52"/>
        <v>1</v>
      </c>
      <c r="R1417" s="1">
        <v>237</v>
      </c>
      <c r="U1417" s="8">
        <f t="shared" si="53"/>
        <v>43952</v>
      </c>
    </row>
    <row r="1418" spans="1:21" x14ac:dyDescent="0.25">
      <c r="A1418" s="2">
        <v>24</v>
      </c>
      <c r="B1418" s="17" t="s">
        <v>946</v>
      </c>
      <c r="J1418" s="1"/>
      <c r="M1418" t="s">
        <v>15</v>
      </c>
      <c r="N1418" t="str">
        <f>IFERROR(VLOOKUP(B1418,'[1]All Player'!$B$2:$C$1992,2,0),"")</f>
        <v/>
      </c>
      <c r="O1418" s="2" t="s">
        <v>492</v>
      </c>
      <c r="P1418" s="16" t="s">
        <v>946</v>
      </c>
      <c r="Q1418" s="1">
        <f t="shared" si="52"/>
        <v>1</v>
      </c>
      <c r="R1418" s="1">
        <v>238</v>
      </c>
      <c r="U1418" s="8">
        <f t="shared" si="53"/>
        <v>43952</v>
      </c>
    </row>
    <row r="1419" spans="1:21" x14ac:dyDescent="0.25">
      <c r="A1419" s="2">
        <v>24</v>
      </c>
      <c r="B1419" t="s">
        <v>64</v>
      </c>
      <c r="C1419" s="2">
        <v>5</v>
      </c>
      <c r="D1419" s="2">
        <v>160</v>
      </c>
      <c r="E1419" s="2">
        <v>12</v>
      </c>
      <c r="F1419" s="2">
        <v>8</v>
      </c>
      <c r="G1419" s="2">
        <v>2</v>
      </c>
      <c r="H1419" s="2">
        <v>23</v>
      </c>
      <c r="I1419" s="2">
        <v>6</v>
      </c>
      <c r="J1419" s="1"/>
      <c r="M1419" t="s">
        <v>15</v>
      </c>
      <c r="N1419" t="str">
        <f>IFERROR(VLOOKUP(B1419,'[1]All Player'!$B$2:$C$1992,2,0),"")</f>
        <v>Sumon Ab</v>
      </c>
      <c r="O1419" s="2" t="s">
        <v>492</v>
      </c>
      <c r="P1419" s="16" t="s">
        <v>946</v>
      </c>
      <c r="Q1419" s="1">
        <f t="shared" si="52"/>
        <v>1</v>
      </c>
      <c r="R1419" s="1">
        <v>238</v>
      </c>
      <c r="U1419" s="8">
        <f t="shared" si="53"/>
        <v>43952</v>
      </c>
    </row>
    <row r="1420" spans="1:21" x14ac:dyDescent="0.25">
      <c r="A1420" s="2">
        <v>24</v>
      </c>
      <c r="B1420" t="s">
        <v>104</v>
      </c>
      <c r="C1420" s="2">
        <v>5</v>
      </c>
      <c r="D1420" s="2">
        <v>110</v>
      </c>
      <c r="E1420" s="2">
        <v>7</v>
      </c>
      <c r="F1420" s="2">
        <v>8</v>
      </c>
      <c r="G1420" s="2">
        <v>1</v>
      </c>
      <c r="H1420" s="2">
        <v>8</v>
      </c>
      <c r="I1420" s="2">
        <v>8</v>
      </c>
      <c r="J1420" s="1"/>
      <c r="M1420" t="s">
        <v>15</v>
      </c>
      <c r="N1420" t="str">
        <f>IFERROR(VLOOKUP(B1420,'[1]All Player'!$B$2:$C$1992,2,0),"")</f>
        <v>Bandhon Podder Pranto</v>
      </c>
      <c r="O1420" s="2" t="s">
        <v>492</v>
      </c>
      <c r="P1420" s="16" t="s">
        <v>946</v>
      </c>
      <c r="Q1420" s="1">
        <f t="shared" si="52"/>
        <v>1</v>
      </c>
      <c r="R1420" s="1">
        <v>238</v>
      </c>
      <c r="U1420" s="8">
        <f t="shared" si="53"/>
        <v>43952</v>
      </c>
    </row>
    <row r="1421" spans="1:21" x14ac:dyDescent="0.25">
      <c r="A1421" s="2">
        <v>24</v>
      </c>
      <c r="B1421" t="s">
        <v>78</v>
      </c>
      <c r="C1421" s="2">
        <v>6</v>
      </c>
      <c r="D1421" s="2">
        <v>89</v>
      </c>
      <c r="E1421" s="2">
        <v>7</v>
      </c>
      <c r="F1421" s="2">
        <v>9</v>
      </c>
      <c r="G1421" s="2">
        <v>1</v>
      </c>
      <c r="H1421" s="2">
        <v>6</v>
      </c>
      <c r="I1421" s="2">
        <v>5</v>
      </c>
      <c r="J1421" s="1">
        <v>1</v>
      </c>
      <c r="M1421" t="s">
        <v>15</v>
      </c>
      <c r="N1421" t="str">
        <f>IFERROR(VLOOKUP(B1421,'[1]All Player'!$B$2:$C$1992,2,0),"")</f>
        <v>KM Rashedul Islam Rashed</v>
      </c>
      <c r="O1421" s="2" t="s">
        <v>492</v>
      </c>
      <c r="P1421" s="16" t="s">
        <v>946</v>
      </c>
      <c r="Q1421" s="1">
        <f t="shared" si="52"/>
        <v>1</v>
      </c>
      <c r="R1421" s="1">
        <v>238</v>
      </c>
      <c r="U1421" s="8">
        <f t="shared" si="53"/>
        <v>43952</v>
      </c>
    </row>
    <row r="1422" spans="1:21" x14ac:dyDescent="0.25">
      <c r="A1422" s="2">
        <v>24</v>
      </c>
      <c r="B1422" t="s">
        <v>72</v>
      </c>
      <c r="C1422" s="2">
        <v>3</v>
      </c>
      <c r="D1422" s="2">
        <v>16</v>
      </c>
      <c r="E1422" s="2">
        <v>6</v>
      </c>
      <c r="F1422" s="2">
        <v>3</v>
      </c>
      <c r="G1422" s="2">
        <v>0</v>
      </c>
      <c r="H1422" s="2">
        <v>1</v>
      </c>
      <c r="I1422" s="2">
        <v>1</v>
      </c>
      <c r="J1422" s="1"/>
      <c r="M1422" t="s">
        <v>15</v>
      </c>
      <c r="N1422" t="str">
        <f>IFERROR(VLOOKUP(B1422,'[1]All Player'!$B$2:$C$1992,2,0),"")</f>
        <v>Akram Husan (Washim)</v>
      </c>
      <c r="O1422" s="2" t="s">
        <v>492</v>
      </c>
      <c r="P1422" s="16" t="s">
        <v>946</v>
      </c>
      <c r="Q1422" s="1">
        <f t="shared" si="52"/>
        <v>1</v>
      </c>
      <c r="R1422" s="1">
        <v>238</v>
      </c>
      <c r="U1422" s="8">
        <f t="shared" si="53"/>
        <v>43952</v>
      </c>
    </row>
    <row r="1423" spans="1:21" x14ac:dyDescent="0.25">
      <c r="A1423" s="2">
        <v>24</v>
      </c>
      <c r="B1423" t="s">
        <v>116</v>
      </c>
      <c r="C1423" s="2">
        <v>5</v>
      </c>
      <c r="D1423" s="2">
        <v>54</v>
      </c>
      <c r="E1423" s="2">
        <v>8</v>
      </c>
      <c r="F1423" s="2">
        <v>6</v>
      </c>
      <c r="G1423" s="2">
        <v>0</v>
      </c>
      <c r="H1423" s="2">
        <v>4</v>
      </c>
      <c r="I1423" s="2">
        <v>3</v>
      </c>
      <c r="J1423" s="1">
        <v>1</v>
      </c>
      <c r="M1423" t="s">
        <v>15</v>
      </c>
      <c r="N1423" t="str">
        <f>IFERROR(VLOOKUP(B1423,'[1]All Player'!$B$2:$C$1992,2,0),"")</f>
        <v>Ahammed Ariful Haq</v>
      </c>
      <c r="O1423" s="2" t="s">
        <v>492</v>
      </c>
      <c r="P1423" s="16" t="s">
        <v>946</v>
      </c>
      <c r="Q1423" s="1">
        <f t="shared" si="52"/>
        <v>1</v>
      </c>
      <c r="R1423" s="1">
        <v>238</v>
      </c>
      <c r="U1423" s="8">
        <f t="shared" si="53"/>
        <v>43952</v>
      </c>
    </row>
    <row r="1424" spans="1:21" x14ac:dyDescent="0.25">
      <c r="A1424" s="2">
        <v>25</v>
      </c>
      <c r="B1424" s="17" t="s">
        <v>616</v>
      </c>
      <c r="J1424" s="1"/>
      <c r="M1424" t="s">
        <v>15</v>
      </c>
      <c r="N1424" t="str">
        <f>IFERROR(VLOOKUP(B1424,'[1]All Player'!$B$2:$C$1992,2,0),"")</f>
        <v/>
      </c>
      <c r="O1424" s="2" t="s">
        <v>494</v>
      </c>
      <c r="P1424" s="16" t="s">
        <v>616</v>
      </c>
      <c r="Q1424" s="1">
        <f t="shared" si="52"/>
        <v>1</v>
      </c>
      <c r="R1424" s="1">
        <v>239</v>
      </c>
      <c r="T1424" s="1" t="s">
        <v>657</v>
      </c>
      <c r="U1424" s="8">
        <v>44013</v>
      </c>
    </row>
    <row r="1425" spans="1:23" x14ac:dyDescent="0.25">
      <c r="A1425" s="2">
        <v>25</v>
      </c>
      <c r="B1425" t="s">
        <v>24</v>
      </c>
      <c r="C1425" s="2">
        <v>9</v>
      </c>
      <c r="D1425" s="2">
        <v>253</v>
      </c>
      <c r="E1425" s="2">
        <v>16</v>
      </c>
      <c r="F1425" s="2">
        <v>16</v>
      </c>
      <c r="G1425" s="24">
        <v>2</v>
      </c>
      <c r="H1425" s="2">
        <v>28</v>
      </c>
      <c r="I1425" s="2">
        <v>14</v>
      </c>
      <c r="J1425" s="1"/>
      <c r="M1425" t="s">
        <v>15</v>
      </c>
      <c r="N1425" t="str">
        <f>IFERROR(VLOOKUP(B1425,'[1]All Player'!$B$2:$C$1992,2,0),"")</f>
        <v>Nur Muhammad</v>
      </c>
      <c r="O1425" s="2" t="s">
        <v>494</v>
      </c>
      <c r="P1425" s="16" t="s">
        <v>616</v>
      </c>
      <c r="Q1425" s="1">
        <f t="shared" si="52"/>
        <v>1</v>
      </c>
      <c r="R1425" s="1">
        <v>239</v>
      </c>
      <c r="S1425" s="2" t="s">
        <v>660</v>
      </c>
      <c r="T1425" s="1" t="s">
        <v>947</v>
      </c>
      <c r="U1425" s="8">
        <f t="shared" ref="U1425:U1488" si="54">U1424</f>
        <v>44013</v>
      </c>
      <c r="V1425" s="1">
        <v>1</v>
      </c>
    </row>
    <row r="1426" spans="1:23" x14ac:dyDescent="0.25">
      <c r="A1426" s="2">
        <v>25</v>
      </c>
      <c r="B1426" t="s">
        <v>66</v>
      </c>
      <c r="C1426" s="2">
        <v>9</v>
      </c>
      <c r="D1426" s="2">
        <v>120</v>
      </c>
      <c r="E1426" s="2">
        <v>20</v>
      </c>
      <c r="F1426" s="2">
        <v>10</v>
      </c>
      <c r="G1426" s="2">
        <v>0</v>
      </c>
      <c r="H1426" s="2">
        <v>11</v>
      </c>
      <c r="I1426" s="2">
        <v>6</v>
      </c>
      <c r="J1426" s="1"/>
      <c r="M1426" t="s">
        <v>15</v>
      </c>
      <c r="N1426" t="str">
        <f>IFERROR(VLOOKUP(B1426,'[1]All Player'!$B$2:$C$1992,2,0),"")</f>
        <v>Ahmad Sakib Abdullah</v>
      </c>
      <c r="O1426" s="2" t="s">
        <v>494</v>
      </c>
      <c r="P1426" s="16" t="s">
        <v>616</v>
      </c>
      <c r="Q1426" s="1">
        <f t="shared" si="52"/>
        <v>1</v>
      </c>
      <c r="R1426" s="1">
        <v>239</v>
      </c>
      <c r="T1426" s="1" t="s">
        <v>947</v>
      </c>
      <c r="U1426" s="8">
        <f t="shared" si="54"/>
        <v>44013</v>
      </c>
      <c r="W1426" s="1">
        <v>1</v>
      </c>
    </row>
    <row r="1427" spans="1:23" x14ac:dyDescent="0.25">
      <c r="A1427" s="2">
        <v>25</v>
      </c>
      <c r="B1427" t="s">
        <v>116</v>
      </c>
      <c r="C1427" s="2">
        <v>9</v>
      </c>
      <c r="D1427" s="2">
        <v>91</v>
      </c>
      <c r="E1427" s="2">
        <v>13</v>
      </c>
      <c r="F1427" s="2">
        <v>10</v>
      </c>
      <c r="G1427" s="2">
        <v>2</v>
      </c>
      <c r="H1427" s="2">
        <v>10</v>
      </c>
      <c r="I1427" s="2">
        <v>6</v>
      </c>
      <c r="J1427" s="1"/>
      <c r="M1427" t="s">
        <v>15</v>
      </c>
      <c r="N1427" t="str">
        <f>IFERROR(VLOOKUP(B1427,'[1]All Player'!$B$2:$C$1992,2,0),"")</f>
        <v>Ahammed Ariful Haq</v>
      </c>
      <c r="O1427" s="2" t="s">
        <v>494</v>
      </c>
      <c r="P1427" s="16" t="s">
        <v>616</v>
      </c>
      <c r="Q1427" s="1">
        <f t="shared" si="52"/>
        <v>1</v>
      </c>
      <c r="R1427" s="1">
        <v>239</v>
      </c>
      <c r="T1427" s="1" t="s">
        <v>947</v>
      </c>
      <c r="U1427" s="8">
        <f t="shared" si="54"/>
        <v>44013</v>
      </c>
    </row>
    <row r="1428" spans="1:23" x14ac:dyDescent="0.25">
      <c r="A1428" s="2">
        <v>25</v>
      </c>
      <c r="B1428" t="s">
        <v>380</v>
      </c>
      <c r="C1428" s="2">
        <v>5</v>
      </c>
      <c r="D1428" s="2">
        <v>77</v>
      </c>
      <c r="E1428" s="2">
        <v>3</v>
      </c>
      <c r="F1428" s="2">
        <v>5</v>
      </c>
      <c r="G1428" s="2">
        <v>0</v>
      </c>
      <c r="H1428" s="2">
        <v>8</v>
      </c>
      <c r="I1428" s="2">
        <v>4</v>
      </c>
      <c r="J1428" s="1"/>
      <c r="M1428" t="s">
        <v>15</v>
      </c>
      <c r="N1428" t="str">
        <f>IFERROR(VLOOKUP(B1428,'[1]All Player'!$B$2:$C$1992,2,0),"")</f>
        <v>Mridul Haque</v>
      </c>
      <c r="O1428" s="2" t="s">
        <v>494</v>
      </c>
      <c r="P1428" s="16" t="s">
        <v>616</v>
      </c>
      <c r="Q1428" s="1">
        <f t="shared" si="52"/>
        <v>1</v>
      </c>
      <c r="R1428" s="1">
        <v>239</v>
      </c>
      <c r="T1428" s="1" t="s">
        <v>947</v>
      </c>
      <c r="U1428" s="8">
        <f t="shared" si="54"/>
        <v>44013</v>
      </c>
    </row>
    <row r="1429" spans="1:23" x14ac:dyDescent="0.25">
      <c r="A1429" s="2">
        <v>25</v>
      </c>
      <c r="B1429" t="s">
        <v>422</v>
      </c>
      <c r="C1429" s="2">
        <v>8</v>
      </c>
      <c r="D1429" s="2">
        <v>133</v>
      </c>
      <c r="E1429" s="2">
        <v>7</v>
      </c>
      <c r="F1429" s="2">
        <v>10</v>
      </c>
      <c r="G1429" s="2">
        <v>1</v>
      </c>
      <c r="H1429" s="2">
        <v>10</v>
      </c>
      <c r="I1429" s="2">
        <v>11</v>
      </c>
      <c r="J1429" s="1"/>
      <c r="M1429" t="s">
        <v>15</v>
      </c>
      <c r="N1429" t="str">
        <f>IFERROR(VLOOKUP(B1429,'[1]All Player'!$B$2:$C$1992,2,0),"")</f>
        <v>Sakib Ahmed</v>
      </c>
      <c r="O1429" s="2" t="s">
        <v>494</v>
      </c>
      <c r="P1429" s="16" t="s">
        <v>616</v>
      </c>
      <c r="Q1429" s="1">
        <f t="shared" si="52"/>
        <v>1</v>
      </c>
      <c r="R1429" s="1">
        <v>239</v>
      </c>
      <c r="T1429" s="1" t="s">
        <v>947</v>
      </c>
      <c r="U1429" s="8">
        <f t="shared" si="54"/>
        <v>44013</v>
      </c>
    </row>
    <row r="1430" spans="1:23" x14ac:dyDescent="0.25">
      <c r="A1430" s="2">
        <v>25</v>
      </c>
      <c r="B1430" t="s">
        <v>516</v>
      </c>
      <c r="J1430" s="1"/>
      <c r="M1430" t="s">
        <v>15</v>
      </c>
      <c r="N1430" t="str">
        <f>IFERROR(VLOOKUP(B1430,'[1]All Player'!$B$2:$C$1992,2,0),"")</f>
        <v/>
      </c>
      <c r="O1430" s="2" t="s">
        <v>494</v>
      </c>
      <c r="P1430" s="16" t="s">
        <v>516</v>
      </c>
      <c r="Q1430" s="1">
        <f t="shared" si="52"/>
        <v>1</v>
      </c>
      <c r="R1430" s="1">
        <v>240</v>
      </c>
      <c r="U1430" s="8">
        <f t="shared" si="54"/>
        <v>44013</v>
      </c>
    </row>
    <row r="1431" spans="1:23" x14ac:dyDescent="0.25">
      <c r="A1431" s="2">
        <v>25</v>
      </c>
      <c r="B1431" t="s">
        <v>27</v>
      </c>
      <c r="C1431" s="2">
        <v>7</v>
      </c>
      <c r="D1431" s="2">
        <v>133</v>
      </c>
      <c r="E1431" s="2">
        <v>16</v>
      </c>
      <c r="F1431" s="2">
        <v>12</v>
      </c>
      <c r="G1431" s="2">
        <v>1</v>
      </c>
      <c r="H1431" s="2">
        <v>4</v>
      </c>
      <c r="I1431" s="2">
        <v>12</v>
      </c>
      <c r="J1431" s="1"/>
      <c r="M1431" t="s">
        <v>15</v>
      </c>
      <c r="N1431" t="str">
        <f>IFERROR(VLOOKUP(B1431,'[1]All Player'!$B$2:$C$1992,2,0),"")</f>
        <v>Susmoy Paul</v>
      </c>
      <c r="O1431" s="2" t="s">
        <v>494</v>
      </c>
      <c r="P1431" s="16" t="s">
        <v>516</v>
      </c>
      <c r="Q1431" s="1">
        <f t="shared" si="52"/>
        <v>1</v>
      </c>
      <c r="R1431" s="1">
        <v>240</v>
      </c>
      <c r="U1431" s="8">
        <f t="shared" si="54"/>
        <v>44013</v>
      </c>
    </row>
    <row r="1432" spans="1:23" x14ac:dyDescent="0.25">
      <c r="A1432" s="2">
        <v>25</v>
      </c>
      <c r="B1432" t="s">
        <v>134</v>
      </c>
      <c r="C1432" s="2">
        <v>7</v>
      </c>
      <c r="D1432" s="2">
        <v>86</v>
      </c>
      <c r="E1432" s="2">
        <v>10</v>
      </c>
      <c r="F1432" s="2">
        <v>9</v>
      </c>
      <c r="G1432" s="2">
        <v>0</v>
      </c>
      <c r="H1432" s="2">
        <v>9</v>
      </c>
      <c r="I1432" s="2">
        <v>3</v>
      </c>
      <c r="J1432" s="1"/>
      <c r="M1432" t="s">
        <v>15</v>
      </c>
      <c r="N1432" t="str">
        <f>IFERROR(VLOOKUP(B1432,'[1]All Player'!$B$2:$C$1992,2,0),"")</f>
        <v>Md Dulal Miah</v>
      </c>
      <c r="O1432" s="2" t="s">
        <v>494</v>
      </c>
      <c r="P1432" s="16" t="s">
        <v>516</v>
      </c>
      <c r="Q1432" s="1">
        <f t="shared" si="52"/>
        <v>1</v>
      </c>
      <c r="R1432" s="1">
        <v>240</v>
      </c>
      <c r="U1432" s="8">
        <f t="shared" si="54"/>
        <v>44013</v>
      </c>
    </row>
    <row r="1433" spans="1:23" x14ac:dyDescent="0.25">
      <c r="A1433" s="2">
        <v>25</v>
      </c>
      <c r="B1433" t="s">
        <v>140</v>
      </c>
      <c r="C1433" s="2">
        <v>5</v>
      </c>
      <c r="D1433" s="2">
        <v>4</v>
      </c>
      <c r="E1433" s="2">
        <v>3</v>
      </c>
      <c r="F1433" s="2">
        <v>4</v>
      </c>
      <c r="G1433" s="2">
        <v>0</v>
      </c>
      <c r="H1433" s="2">
        <v>0</v>
      </c>
      <c r="I1433" s="2">
        <v>0</v>
      </c>
      <c r="J1433" s="1"/>
      <c r="M1433" t="s">
        <v>15</v>
      </c>
      <c r="N1433" t="str">
        <f>IFERROR(VLOOKUP(B1433,'[1]All Player'!$B$2:$C$1992,2,0),"")</f>
        <v>Monowar Hossain Munna</v>
      </c>
      <c r="O1433" s="2" t="s">
        <v>494</v>
      </c>
      <c r="P1433" s="16" t="s">
        <v>516</v>
      </c>
      <c r="Q1433" s="1">
        <f t="shared" si="52"/>
        <v>1</v>
      </c>
      <c r="R1433" s="1">
        <v>240</v>
      </c>
      <c r="U1433" s="8">
        <f t="shared" si="54"/>
        <v>44013</v>
      </c>
    </row>
    <row r="1434" spans="1:23" x14ac:dyDescent="0.25">
      <c r="A1434" s="2">
        <v>25</v>
      </c>
      <c r="B1434" t="s">
        <v>142</v>
      </c>
      <c r="C1434" s="2">
        <v>5</v>
      </c>
      <c r="D1434" s="2">
        <v>27</v>
      </c>
      <c r="E1434" s="2">
        <v>1</v>
      </c>
      <c r="F1434" s="2">
        <v>4</v>
      </c>
      <c r="G1434" s="2">
        <v>0</v>
      </c>
      <c r="H1434" s="2">
        <v>0</v>
      </c>
      <c r="I1434" s="2">
        <v>2</v>
      </c>
      <c r="J1434" s="1"/>
      <c r="M1434" t="s">
        <v>15</v>
      </c>
      <c r="N1434" t="str">
        <f>IFERROR(VLOOKUP(B1434,'[1]All Player'!$B$2:$C$1992,2,0),"")</f>
        <v>Mehedi Hasan Joy</v>
      </c>
      <c r="O1434" s="2" t="s">
        <v>494</v>
      </c>
      <c r="P1434" s="16" t="s">
        <v>516</v>
      </c>
      <c r="Q1434" s="1">
        <f t="shared" si="52"/>
        <v>1</v>
      </c>
      <c r="R1434" s="1">
        <v>240</v>
      </c>
      <c r="U1434" s="8">
        <f t="shared" si="54"/>
        <v>44013</v>
      </c>
    </row>
    <row r="1435" spans="1:23" x14ac:dyDescent="0.25">
      <c r="A1435" s="2">
        <v>25</v>
      </c>
      <c r="B1435" t="s">
        <v>87</v>
      </c>
      <c r="C1435" s="2">
        <v>7</v>
      </c>
      <c r="D1435" s="2">
        <v>178</v>
      </c>
      <c r="E1435" s="2">
        <v>12</v>
      </c>
      <c r="F1435" s="2">
        <v>10</v>
      </c>
      <c r="G1435" s="2">
        <v>1</v>
      </c>
      <c r="H1435" s="2">
        <v>13</v>
      </c>
      <c r="I1435" s="2">
        <v>13</v>
      </c>
      <c r="J1435" s="1"/>
      <c r="M1435" t="s">
        <v>15</v>
      </c>
      <c r="N1435" t="str">
        <f>IFERROR(VLOOKUP(B1435,'[1]All Player'!$B$2:$C$1992,2,0),"")</f>
        <v>Anisur Islam (Rubel Hossain)</v>
      </c>
      <c r="O1435" s="2" t="s">
        <v>494</v>
      </c>
      <c r="P1435" s="16" t="s">
        <v>516</v>
      </c>
      <c r="Q1435" s="1">
        <f t="shared" si="52"/>
        <v>1</v>
      </c>
      <c r="R1435" s="1">
        <v>240</v>
      </c>
      <c r="U1435" s="8">
        <f t="shared" si="54"/>
        <v>44013</v>
      </c>
    </row>
    <row r="1436" spans="1:23" x14ac:dyDescent="0.25">
      <c r="A1436" s="2">
        <v>25</v>
      </c>
      <c r="B1436" t="s">
        <v>948</v>
      </c>
      <c r="J1436" s="1"/>
      <c r="M1436" t="s">
        <v>15</v>
      </c>
      <c r="N1436" t="str">
        <f>IFERROR(VLOOKUP(B1436,'[1]All Player'!$B$2:$C$1992,2,0),"")</f>
        <v/>
      </c>
      <c r="O1436" s="2" t="s">
        <v>494</v>
      </c>
      <c r="P1436" s="16" t="s">
        <v>948</v>
      </c>
      <c r="Q1436" s="1">
        <f t="shared" si="52"/>
        <v>1</v>
      </c>
      <c r="R1436" s="1">
        <v>241</v>
      </c>
      <c r="U1436" s="8">
        <f t="shared" si="54"/>
        <v>44013</v>
      </c>
    </row>
    <row r="1437" spans="1:23" x14ac:dyDescent="0.25">
      <c r="A1437" s="2">
        <v>25</v>
      </c>
      <c r="B1437" t="s">
        <v>104</v>
      </c>
      <c r="C1437" s="2">
        <v>7</v>
      </c>
      <c r="D1437" s="2">
        <v>90</v>
      </c>
      <c r="E1437" s="2">
        <v>13</v>
      </c>
      <c r="F1437" s="2">
        <v>8</v>
      </c>
      <c r="G1437" s="2">
        <v>3</v>
      </c>
      <c r="H1437" s="2">
        <v>13</v>
      </c>
      <c r="I1437" s="2">
        <v>2</v>
      </c>
      <c r="J1437" s="1"/>
      <c r="M1437" t="s">
        <v>15</v>
      </c>
      <c r="N1437" t="str">
        <f>IFERROR(VLOOKUP(B1437,'[1]All Player'!$B$2:$C$1992,2,0),"")</f>
        <v>Bandhon Podder Pranto</v>
      </c>
      <c r="O1437" s="2" t="s">
        <v>494</v>
      </c>
      <c r="P1437" s="16" t="s">
        <v>948</v>
      </c>
      <c r="Q1437" s="1">
        <f t="shared" si="52"/>
        <v>1</v>
      </c>
      <c r="R1437" s="1">
        <v>241</v>
      </c>
      <c r="U1437" s="8">
        <f t="shared" si="54"/>
        <v>44013</v>
      </c>
    </row>
    <row r="1438" spans="1:23" x14ac:dyDescent="0.25">
      <c r="A1438" s="2">
        <v>25</v>
      </c>
      <c r="B1438" t="s">
        <v>80</v>
      </c>
      <c r="C1438" s="2">
        <v>7</v>
      </c>
      <c r="D1438" s="2">
        <v>43</v>
      </c>
      <c r="E1438" s="2">
        <v>9</v>
      </c>
      <c r="F1438" s="2">
        <v>8</v>
      </c>
      <c r="G1438" s="2">
        <v>0</v>
      </c>
      <c r="H1438" s="2">
        <v>5</v>
      </c>
      <c r="I1438" s="2">
        <v>2</v>
      </c>
      <c r="J1438" s="1"/>
      <c r="M1438" t="s">
        <v>15</v>
      </c>
      <c r="N1438" t="str">
        <f>IFERROR(VLOOKUP(B1438,'[1]All Player'!$B$2:$C$1992,2,0),"")</f>
        <v>Kamrul Hasan Tutul</v>
      </c>
      <c r="O1438" s="2" t="s">
        <v>494</v>
      </c>
      <c r="P1438" s="16" t="s">
        <v>948</v>
      </c>
      <c r="Q1438" s="1">
        <f t="shared" si="52"/>
        <v>1</v>
      </c>
      <c r="R1438" s="1">
        <v>241</v>
      </c>
      <c r="U1438" s="8">
        <f t="shared" si="54"/>
        <v>44013</v>
      </c>
    </row>
    <row r="1439" spans="1:23" x14ac:dyDescent="0.25">
      <c r="A1439" s="2">
        <v>25</v>
      </c>
      <c r="B1439" t="s">
        <v>102</v>
      </c>
      <c r="C1439" s="2">
        <v>7</v>
      </c>
      <c r="D1439" s="2">
        <v>153</v>
      </c>
      <c r="E1439" s="2">
        <v>8</v>
      </c>
      <c r="F1439" s="2">
        <v>9</v>
      </c>
      <c r="G1439" s="2">
        <v>0</v>
      </c>
      <c r="H1439" s="2">
        <v>15</v>
      </c>
      <c r="I1439" s="2">
        <v>7</v>
      </c>
      <c r="J1439" s="1"/>
      <c r="M1439" t="s">
        <v>15</v>
      </c>
      <c r="N1439" t="str">
        <f>IFERROR(VLOOKUP(B1439,'[1]All Player'!$B$2:$C$1992,2,0),"")</f>
        <v>Mustofa Muddassir Mahmud Mashuk</v>
      </c>
      <c r="O1439" s="2" t="s">
        <v>494</v>
      </c>
      <c r="P1439" s="16" t="s">
        <v>948</v>
      </c>
      <c r="Q1439" s="1">
        <f t="shared" si="52"/>
        <v>1</v>
      </c>
      <c r="R1439" s="1">
        <v>241</v>
      </c>
      <c r="U1439" s="8">
        <f t="shared" si="54"/>
        <v>44013</v>
      </c>
    </row>
    <row r="1440" spans="1:23" x14ac:dyDescent="0.25">
      <c r="A1440" s="2">
        <v>25</v>
      </c>
      <c r="B1440" t="s">
        <v>318</v>
      </c>
      <c r="C1440" s="2">
        <v>5</v>
      </c>
      <c r="D1440" s="2">
        <v>107</v>
      </c>
      <c r="E1440" s="2">
        <v>4</v>
      </c>
      <c r="F1440" s="2">
        <v>7</v>
      </c>
      <c r="G1440" s="2">
        <v>1</v>
      </c>
      <c r="H1440" s="2">
        <v>7</v>
      </c>
      <c r="I1440" s="2">
        <v>10</v>
      </c>
      <c r="J1440" s="1"/>
      <c r="M1440" t="s">
        <v>15</v>
      </c>
      <c r="N1440" t="str">
        <f>IFERROR(VLOOKUP(B1440,'[1]All Player'!$B$2:$C$1992,2,0),"")</f>
        <v>Mazharul Islam Moon</v>
      </c>
      <c r="O1440" s="2" t="s">
        <v>494</v>
      </c>
      <c r="P1440" s="16" t="s">
        <v>948</v>
      </c>
      <c r="Q1440" s="1">
        <f t="shared" si="52"/>
        <v>1</v>
      </c>
      <c r="R1440" s="1">
        <v>241</v>
      </c>
      <c r="U1440" s="8">
        <f t="shared" si="54"/>
        <v>44013</v>
      </c>
    </row>
    <row r="1441" spans="1:21" x14ac:dyDescent="0.25">
      <c r="A1441" s="2">
        <v>25</v>
      </c>
      <c r="B1441" t="s">
        <v>219</v>
      </c>
      <c r="C1441" s="2">
        <v>7</v>
      </c>
      <c r="D1441" s="2">
        <v>78</v>
      </c>
      <c r="E1441" s="2">
        <v>7</v>
      </c>
      <c r="F1441" s="2">
        <v>8</v>
      </c>
      <c r="G1441" s="2">
        <v>1</v>
      </c>
      <c r="H1441" s="2">
        <v>3</v>
      </c>
      <c r="I1441" s="2">
        <v>7</v>
      </c>
      <c r="J1441" s="1"/>
      <c r="M1441" t="s">
        <v>15</v>
      </c>
      <c r="N1441" t="str">
        <f>IFERROR(VLOOKUP(B1441,'[1]All Player'!$B$2:$C$1992,2,0),"")</f>
        <v>Nasir Ahmed Tuhin</v>
      </c>
      <c r="O1441" s="2" t="s">
        <v>494</v>
      </c>
      <c r="P1441" s="16" t="s">
        <v>948</v>
      </c>
      <c r="Q1441" s="1">
        <f t="shared" si="52"/>
        <v>1</v>
      </c>
      <c r="R1441" s="1">
        <v>241</v>
      </c>
      <c r="U1441" s="8">
        <f t="shared" si="54"/>
        <v>44013</v>
      </c>
    </row>
    <row r="1442" spans="1:21" x14ac:dyDescent="0.25">
      <c r="A1442" s="2">
        <v>25</v>
      </c>
      <c r="B1442" t="s">
        <v>617</v>
      </c>
      <c r="J1442" s="1"/>
      <c r="M1442" t="s">
        <v>15</v>
      </c>
      <c r="N1442" t="str">
        <f>IFERROR(VLOOKUP(B1442,'[1]All Player'!$B$2:$C$1992,2,0),"")</f>
        <v/>
      </c>
      <c r="O1442" s="2" t="s">
        <v>494</v>
      </c>
      <c r="P1442" s="16" t="s">
        <v>617</v>
      </c>
      <c r="Q1442" s="1">
        <f t="shared" si="52"/>
        <v>1</v>
      </c>
      <c r="R1442" s="1">
        <v>242</v>
      </c>
      <c r="U1442" s="8">
        <f t="shared" si="54"/>
        <v>44013</v>
      </c>
    </row>
    <row r="1443" spans="1:21" x14ac:dyDescent="0.25">
      <c r="A1443" s="2">
        <v>25</v>
      </c>
      <c r="B1443" t="s">
        <v>21</v>
      </c>
      <c r="C1443" s="2">
        <v>2</v>
      </c>
      <c r="D1443" s="2">
        <v>39</v>
      </c>
      <c r="E1443" s="2">
        <v>4</v>
      </c>
      <c r="F1443" s="2">
        <v>4</v>
      </c>
      <c r="G1443" s="2">
        <v>0</v>
      </c>
      <c r="H1443" s="2">
        <v>1</v>
      </c>
      <c r="I1443" s="2">
        <v>5</v>
      </c>
      <c r="J1443" s="1"/>
      <c r="M1443" t="s">
        <v>15</v>
      </c>
      <c r="N1443" t="str">
        <f>IFERROR(VLOOKUP(B1443,'[1]All Player'!$B$2:$C$1992,2,0),"")</f>
        <v>Faisal Ahmed Jhony</v>
      </c>
      <c r="O1443" s="2" t="s">
        <v>494</v>
      </c>
      <c r="P1443" s="16" t="s">
        <v>617</v>
      </c>
      <c r="Q1443" s="1">
        <f t="shared" si="52"/>
        <v>1</v>
      </c>
      <c r="R1443" s="1">
        <v>242</v>
      </c>
      <c r="U1443" s="8">
        <f t="shared" si="54"/>
        <v>44013</v>
      </c>
    </row>
    <row r="1444" spans="1:21" x14ac:dyDescent="0.25">
      <c r="A1444" s="2">
        <v>25</v>
      </c>
      <c r="B1444" t="s">
        <v>148</v>
      </c>
      <c r="C1444" s="2">
        <v>5</v>
      </c>
      <c r="D1444" s="2">
        <v>125</v>
      </c>
      <c r="E1444" s="2">
        <v>5</v>
      </c>
      <c r="F1444" s="2">
        <v>7</v>
      </c>
      <c r="G1444" s="2">
        <v>1</v>
      </c>
      <c r="H1444" s="2">
        <v>8</v>
      </c>
      <c r="I1444" s="2">
        <v>12</v>
      </c>
      <c r="J1444" s="1"/>
      <c r="M1444" t="s">
        <v>15</v>
      </c>
      <c r="N1444" t="str">
        <f>IFERROR(VLOOKUP(B1444,'[1]All Player'!$B$2:$C$1992,2,0),"")</f>
        <v>AB Saaj</v>
      </c>
      <c r="O1444" s="2" t="s">
        <v>494</v>
      </c>
      <c r="P1444" s="16" t="s">
        <v>617</v>
      </c>
      <c r="Q1444" s="1">
        <f t="shared" si="52"/>
        <v>1</v>
      </c>
      <c r="R1444" s="1">
        <v>242</v>
      </c>
      <c r="U1444" s="8">
        <f t="shared" si="54"/>
        <v>44013</v>
      </c>
    </row>
    <row r="1445" spans="1:21" x14ac:dyDescent="0.25">
      <c r="A1445" s="2">
        <v>25</v>
      </c>
      <c r="B1445" t="s">
        <v>31</v>
      </c>
      <c r="C1445" s="2">
        <v>6</v>
      </c>
      <c r="D1445" s="2">
        <v>83</v>
      </c>
      <c r="E1445" s="2">
        <v>9</v>
      </c>
      <c r="F1445" s="2">
        <v>10</v>
      </c>
      <c r="G1445" s="2">
        <v>2</v>
      </c>
      <c r="H1445" s="2">
        <v>5</v>
      </c>
      <c r="I1445" s="2">
        <v>6</v>
      </c>
      <c r="J1445" s="1"/>
      <c r="M1445" t="s">
        <v>15</v>
      </c>
      <c r="N1445" t="str">
        <f>IFERROR(VLOOKUP(B1445,'[1]All Player'!$B$2:$C$1992,2,0),"")</f>
        <v>Hetlar Shohag</v>
      </c>
      <c r="O1445" s="2" t="s">
        <v>494</v>
      </c>
      <c r="P1445" s="16" t="s">
        <v>617</v>
      </c>
      <c r="Q1445" s="1">
        <f t="shared" si="52"/>
        <v>1</v>
      </c>
      <c r="R1445" s="1">
        <v>242</v>
      </c>
      <c r="U1445" s="8">
        <f t="shared" si="54"/>
        <v>44013</v>
      </c>
    </row>
    <row r="1446" spans="1:21" x14ac:dyDescent="0.25">
      <c r="A1446" s="2">
        <v>25</v>
      </c>
      <c r="B1446" t="s">
        <v>181</v>
      </c>
      <c r="C1446" s="2">
        <v>5</v>
      </c>
      <c r="D1446" s="2">
        <v>74</v>
      </c>
      <c r="E1446" s="2">
        <v>5</v>
      </c>
      <c r="F1446" s="2">
        <v>7</v>
      </c>
      <c r="G1446" s="2">
        <v>0</v>
      </c>
      <c r="H1446" s="2">
        <v>6</v>
      </c>
      <c r="I1446" s="2">
        <v>5</v>
      </c>
      <c r="J1446" s="1"/>
      <c r="M1446" t="s">
        <v>15</v>
      </c>
      <c r="N1446" t="str">
        <f>IFERROR(VLOOKUP(B1446,'[1]All Player'!$B$2:$C$1992,2,0),"")</f>
        <v>SH Shamim</v>
      </c>
      <c r="O1446" s="2" t="s">
        <v>494</v>
      </c>
      <c r="P1446" s="16" t="s">
        <v>617</v>
      </c>
      <c r="Q1446" s="1">
        <f t="shared" si="52"/>
        <v>1</v>
      </c>
      <c r="R1446" s="1">
        <v>242</v>
      </c>
      <c r="U1446" s="8">
        <f t="shared" si="54"/>
        <v>44013</v>
      </c>
    </row>
    <row r="1447" spans="1:21" x14ac:dyDescent="0.25">
      <c r="A1447" s="2">
        <v>25</v>
      </c>
      <c r="B1447" t="s">
        <v>424</v>
      </c>
      <c r="C1447" s="2">
        <v>6</v>
      </c>
      <c r="D1447" s="2">
        <v>43</v>
      </c>
      <c r="E1447" s="2">
        <v>4</v>
      </c>
      <c r="F1447" s="2">
        <v>10</v>
      </c>
      <c r="G1447" s="2">
        <v>0</v>
      </c>
      <c r="H1447" s="2">
        <v>1</v>
      </c>
      <c r="I1447" s="2">
        <v>4</v>
      </c>
      <c r="J1447" s="1"/>
      <c r="M1447" t="s">
        <v>15</v>
      </c>
      <c r="N1447" t="str">
        <f>IFERROR(VLOOKUP(B1447,'[1]All Player'!$B$2:$C$1992,2,0),"")</f>
        <v>Rakib Hossain</v>
      </c>
      <c r="O1447" s="2" t="s">
        <v>494</v>
      </c>
      <c r="P1447" s="16" t="s">
        <v>617</v>
      </c>
      <c r="Q1447" s="1">
        <f t="shared" si="52"/>
        <v>1</v>
      </c>
      <c r="R1447" s="1">
        <v>242</v>
      </c>
      <c r="U1447" s="8">
        <f t="shared" si="54"/>
        <v>44013</v>
      </c>
    </row>
    <row r="1448" spans="1:21" x14ac:dyDescent="0.25">
      <c r="A1448" s="2">
        <v>25</v>
      </c>
      <c r="B1448" t="s">
        <v>193</v>
      </c>
      <c r="C1448" s="2">
        <v>3</v>
      </c>
      <c r="D1448" s="2">
        <v>22</v>
      </c>
      <c r="E1448" s="2">
        <v>4</v>
      </c>
      <c r="F1448" s="2">
        <v>4</v>
      </c>
      <c r="G1448" s="2">
        <v>0</v>
      </c>
      <c r="H1448" s="2">
        <v>2</v>
      </c>
      <c r="I1448" s="2">
        <v>1</v>
      </c>
      <c r="J1448" s="1"/>
      <c r="M1448" t="s">
        <v>15</v>
      </c>
      <c r="N1448" t="str">
        <f>IFERROR(VLOOKUP(B1448,'[1]All Player'!$B$2:$C$1992,2,0),"")</f>
        <v>Mostafizur Rahman Mithu</v>
      </c>
      <c r="O1448" s="2" t="s">
        <v>494</v>
      </c>
      <c r="P1448" s="16" t="s">
        <v>617</v>
      </c>
      <c r="Q1448" s="1">
        <f t="shared" si="52"/>
        <v>1</v>
      </c>
      <c r="R1448" s="1">
        <v>242</v>
      </c>
      <c r="U1448" s="8">
        <f t="shared" si="54"/>
        <v>44013</v>
      </c>
    </row>
    <row r="1449" spans="1:21" x14ac:dyDescent="0.25">
      <c r="A1449" s="2">
        <v>25</v>
      </c>
      <c r="B1449" t="s">
        <v>618</v>
      </c>
      <c r="J1449" s="1"/>
      <c r="M1449" t="s">
        <v>15</v>
      </c>
      <c r="N1449" t="str">
        <f>IFERROR(VLOOKUP(B1449,'[1]All Player'!$B$2:$C$1992,2,0),"")</f>
        <v/>
      </c>
      <c r="O1449" s="2" t="s">
        <v>494</v>
      </c>
      <c r="P1449" s="16" t="s">
        <v>618</v>
      </c>
      <c r="Q1449" s="1">
        <f t="shared" si="52"/>
        <v>1</v>
      </c>
      <c r="R1449" s="1">
        <v>243</v>
      </c>
      <c r="U1449" s="8">
        <f t="shared" si="54"/>
        <v>44013</v>
      </c>
    </row>
    <row r="1450" spans="1:21" x14ac:dyDescent="0.25">
      <c r="A1450" s="2">
        <v>25</v>
      </c>
      <c r="B1450" t="s">
        <v>60</v>
      </c>
      <c r="C1450" s="2">
        <v>6</v>
      </c>
      <c r="D1450" s="2">
        <v>133</v>
      </c>
      <c r="E1450" s="2">
        <v>11</v>
      </c>
      <c r="F1450" s="2">
        <v>10</v>
      </c>
      <c r="G1450" s="2">
        <v>0</v>
      </c>
      <c r="H1450" s="2">
        <v>13</v>
      </c>
      <c r="I1450" s="2">
        <v>7</v>
      </c>
      <c r="J1450" s="1"/>
      <c r="M1450" t="s">
        <v>15</v>
      </c>
      <c r="N1450" t="str">
        <f>IFERROR(VLOOKUP(B1450,'[1]All Player'!$B$2:$C$1992,2,0),"")</f>
        <v>Jahin Shahriar Chowdhury</v>
      </c>
      <c r="O1450" s="2" t="s">
        <v>494</v>
      </c>
      <c r="P1450" s="16" t="s">
        <v>618</v>
      </c>
      <c r="Q1450" s="1">
        <f t="shared" si="52"/>
        <v>1</v>
      </c>
      <c r="R1450" s="1">
        <v>243</v>
      </c>
      <c r="U1450" s="8">
        <f t="shared" si="54"/>
        <v>44013</v>
      </c>
    </row>
    <row r="1451" spans="1:21" x14ac:dyDescent="0.25">
      <c r="A1451" s="2">
        <v>25</v>
      </c>
      <c r="B1451" t="s">
        <v>95</v>
      </c>
      <c r="C1451" s="2">
        <v>6</v>
      </c>
      <c r="D1451" s="2">
        <v>80</v>
      </c>
      <c r="E1451" s="2">
        <v>9</v>
      </c>
      <c r="F1451" s="2">
        <v>8</v>
      </c>
      <c r="G1451" s="2">
        <v>2</v>
      </c>
      <c r="H1451" s="2">
        <v>4</v>
      </c>
      <c r="I1451" s="2">
        <v>5</v>
      </c>
      <c r="J1451" s="1"/>
      <c r="M1451" t="s">
        <v>15</v>
      </c>
      <c r="N1451" t="str">
        <f>IFERROR(VLOOKUP(B1451,'[1]All Player'!$B$2:$C$1992,2,0),"")</f>
        <v>Sadrul Anam</v>
      </c>
      <c r="O1451" s="2" t="s">
        <v>494</v>
      </c>
      <c r="P1451" s="16" t="s">
        <v>618</v>
      </c>
      <c r="Q1451" s="1">
        <f t="shared" si="52"/>
        <v>1</v>
      </c>
      <c r="R1451" s="1">
        <v>243</v>
      </c>
      <c r="U1451" s="8">
        <f t="shared" si="54"/>
        <v>44013</v>
      </c>
    </row>
    <row r="1452" spans="1:21" x14ac:dyDescent="0.25">
      <c r="A1452" s="2">
        <v>25</v>
      </c>
      <c r="B1452" t="s">
        <v>41</v>
      </c>
      <c r="C1452" s="2">
        <v>6</v>
      </c>
      <c r="D1452" s="2">
        <v>66</v>
      </c>
      <c r="E1452" s="2">
        <v>5</v>
      </c>
      <c r="F1452" s="2">
        <v>7</v>
      </c>
      <c r="G1452" s="2">
        <v>2</v>
      </c>
      <c r="H1452" s="2">
        <v>6</v>
      </c>
      <c r="I1452" s="2">
        <v>2</v>
      </c>
      <c r="J1452" s="1"/>
      <c r="M1452" t="s">
        <v>15</v>
      </c>
      <c r="N1452" t="str">
        <f>IFERROR(VLOOKUP(B1452,'[1]All Player'!$B$2:$C$1992,2,0),"")</f>
        <v>Firoj alam</v>
      </c>
      <c r="O1452" s="2" t="s">
        <v>494</v>
      </c>
      <c r="P1452" s="16" t="s">
        <v>618</v>
      </c>
      <c r="Q1452" s="1">
        <f t="shared" si="52"/>
        <v>1</v>
      </c>
      <c r="R1452" s="1">
        <v>243</v>
      </c>
      <c r="U1452" s="8">
        <f t="shared" si="54"/>
        <v>44013</v>
      </c>
    </row>
    <row r="1453" spans="1:21" x14ac:dyDescent="0.25">
      <c r="A1453" s="2">
        <v>25</v>
      </c>
      <c r="B1453" t="s">
        <v>352</v>
      </c>
      <c r="C1453" s="2">
        <v>5</v>
      </c>
      <c r="D1453" s="2">
        <v>65</v>
      </c>
      <c r="E1453" s="2">
        <v>3</v>
      </c>
      <c r="F1453" s="2">
        <v>5</v>
      </c>
      <c r="G1453" s="2">
        <v>0</v>
      </c>
      <c r="H1453" s="2">
        <v>4</v>
      </c>
      <c r="I1453" s="2">
        <v>7</v>
      </c>
      <c r="J1453" s="1"/>
      <c r="M1453" t="s">
        <v>15</v>
      </c>
      <c r="N1453" t="str">
        <f>IFERROR(VLOOKUP(B1453,'[1]All Player'!$B$2:$C$1992,2,0),"")</f>
        <v>Moksedur RaHman SoHan (Duronto Sohan)</v>
      </c>
      <c r="O1453" s="2" t="s">
        <v>494</v>
      </c>
      <c r="P1453" s="16" t="s">
        <v>618</v>
      </c>
      <c r="Q1453" s="1">
        <f t="shared" si="52"/>
        <v>1</v>
      </c>
      <c r="R1453" s="1">
        <v>243</v>
      </c>
      <c r="U1453" s="8">
        <f t="shared" si="54"/>
        <v>44013</v>
      </c>
    </row>
    <row r="1454" spans="1:21" x14ac:dyDescent="0.25">
      <c r="A1454" s="2">
        <v>25</v>
      </c>
      <c r="B1454" t="s">
        <v>426</v>
      </c>
      <c r="C1454" s="2">
        <v>5</v>
      </c>
      <c r="D1454" s="2">
        <v>57</v>
      </c>
      <c r="E1454" s="2">
        <v>4</v>
      </c>
      <c r="F1454" s="2">
        <v>5</v>
      </c>
      <c r="G1454" s="2">
        <v>0</v>
      </c>
      <c r="H1454" s="2">
        <v>3</v>
      </c>
      <c r="I1454" s="2">
        <v>4</v>
      </c>
      <c r="J1454" s="1"/>
      <c r="M1454" t="s">
        <v>15</v>
      </c>
      <c r="N1454" t="str">
        <f>IFERROR(VLOOKUP(B1454,'[1]All Player'!$B$2:$C$1992,2,0),"")</f>
        <v>Meer Sher Ali</v>
      </c>
      <c r="O1454" s="2" t="s">
        <v>494</v>
      </c>
      <c r="P1454" s="16" t="s">
        <v>618</v>
      </c>
      <c r="Q1454" s="1">
        <f t="shared" si="52"/>
        <v>1</v>
      </c>
      <c r="R1454" s="1">
        <v>243</v>
      </c>
      <c r="U1454" s="8">
        <f t="shared" si="54"/>
        <v>44013</v>
      </c>
    </row>
    <row r="1455" spans="1:21" x14ac:dyDescent="0.25">
      <c r="A1455" s="2">
        <v>25</v>
      </c>
      <c r="B1455" t="s">
        <v>619</v>
      </c>
      <c r="J1455" s="1"/>
      <c r="M1455" t="s">
        <v>15</v>
      </c>
      <c r="N1455" t="str">
        <f>IFERROR(VLOOKUP(B1455,'[1]All Player'!$B$2:$C$1992,2,0),"")</f>
        <v/>
      </c>
      <c r="O1455" s="2" t="s">
        <v>494</v>
      </c>
      <c r="P1455" s="16" t="s">
        <v>619</v>
      </c>
      <c r="Q1455" s="1">
        <f t="shared" si="52"/>
        <v>1</v>
      </c>
      <c r="R1455" s="1">
        <v>244</v>
      </c>
      <c r="U1455" s="8">
        <f t="shared" si="54"/>
        <v>44013</v>
      </c>
    </row>
    <row r="1456" spans="1:21" x14ac:dyDescent="0.25">
      <c r="A1456" s="2">
        <v>25</v>
      </c>
      <c r="B1456" t="s">
        <v>78</v>
      </c>
      <c r="C1456" s="2">
        <v>7</v>
      </c>
      <c r="D1456" s="2">
        <v>71</v>
      </c>
      <c r="E1456" s="2">
        <v>9</v>
      </c>
      <c r="F1456" s="2">
        <v>10</v>
      </c>
      <c r="G1456" s="2">
        <v>2</v>
      </c>
      <c r="H1456" s="2">
        <v>6</v>
      </c>
      <c r="I1456" s="2">
        <v>6</v>
      </c>
      <c r="J1456" s="1"/>
      <c r="M1456" t="s">
        <v>15</v>
      </c>
      <c r="N1456" t="str">
        <f>IFERROR(VLOOKUP(B1456,'[1]All Player'!$B$2:$C$1992,2,0),"")</f>
        <v>KM Rashedul Islam Rashed</v>
      </c>
      <c r="O1456" s="2" t="s">
        <v>494</v>
      </c>
      <c r="P1456" s="16" t="s">
        <v>619</v>
      </c>
      <c r="Q1456" s="1">
        <f t="shared" si="52"/>
        <v>1</v>
      </c>
      <c r="R1456" s="1">
        <v>244</v>
      </c>
      <c r="U1456" s="8">
        <f t="shared" si="54"/>
        <v>44013</v>
      </c>
    </row>
    <row r="1457" spans="1:21" x14ac:dyDescent="0.25">
      <c r="A1457" s="2">
        <v>25</v>
      </c>
      <c r="B1457" t="s">
        <v>130</v>
      </c>
      <c r="C1457" s="2">
        <v>7</v>
      </c>
      <c r="D1457" s="2">
        <v>124</v>
      </c>
      <c r="E1457" s="2">
        <v>12</v>
      </c>
      <c r="F1457" s="2">
        <v>10</v>
      </c>
      <c r="G1457" s="2">
        <v>0</v>
      </c>
      <c r="H1457" s="2">
        <v>6</v>
      </c>
      <c r="I1457" s="2">
        <v>11</v>
      </c>
      <c r="J1457" s="1"/>
      <c r="M1457" t="s">
        <v>15</v>
      </c>
      <c r="N1457" t="str">
        <f>IFERROR(VLOOKUP(B1457,'[1]All Player'!$B$2:$C$1992,2,0),"")</f>
        <v>Shahriar Khokon</v>
      </c>
      <c r="O1457" s="2" t="s">
        <v>494</v>
      </c>
      <c r="P1457" s="16" t="s">
        <v>619</v>
      </c>
      <c r="Q1457" s="1">
        <f t="shared" si="52"/>
        <v>1</v>
      </c>
      <c r="R1457" s="1">
        <v>244</v>
      </c>
      <c r="U1457" s="8">
        <f t="shared" si="54"/>
        <v>44013</v>
      </c>
    </row>
    <row r="1458" spans="1:21" x14ac:dyDescent="0.25">
      <c r="A1458" s="2">
        <v>25</v>
      </c>
      <c r="B1458" t="s">
        <v>99</v>
      </c>
      <c r="C1458" s="2">
        <v>7</v>
      </c>
      <c r="D1458" s="2">
        <v>160</v>
      </c>
      <c r="E1458" s="2">
        <v>9</v>
      </c>
      <c r="F1458" s="2">
        <v>10</v>
      </c>
      <c r="G1458" s="2">
        <v>0</v>
      </c>
      <c r="H1458" s="2">
        <v>11</v>
      </c>
      <c r="I1458" s="2">
        <v>11</v>
      </c>
      <c r="J1458" s="1"/>
      <c r="M1458" t="s">
        <v>15</v>
      </c>
      <c r="N1458" t="str">
        <f>IFERROR(VLOOKUP(B1458,'[1]All Player'!$B$2:$C$1992,2,0),"")</f>
        <v>Bishwajit Sarkar</v>
      </c>
      <c r="O1458" s="2" t="s">
        <v>494</v>
      </c>
      <c r="P1458" s="16" t="s">
        <v>619</v>
      </c>
      <c r="Q1458" s="1">
        <f t="shared" si="52"/>
        <v>1</v>
      </c>
      <c r="R1458" s="1">
        <v>244</v>
      </c>
      <c r="U1458" s="8">
        <f t="shared" si="54"/>
        <v>44013</v>
      </c>
    </row>
    <row r="1459" spans="1:21" x14ac:dyDescent="0.25">
      <c r="A1459" s="2">
        <v>25</v>
      </c>
      <c r="B1459" t="s">
        <v>173</v>
      </c>
      <c r="C1459" s="2">
        <v>7</v>
      </c>
      <c r="D1459" s="2">
        <v>75</v>
      </c>
      <c r="E1459" s="2">
        <v>7</v>
      </c>
      <c r="F1459" s="2">
        <v>7</v>
      </c>
      <c r="G1459" s="2">
        <v>0</v>
      </c>
      <c r="H1459" s="2">
        <v>6</v>
      </c>
      <c r="I1459" s="2">
        <v>4</v>
      </c>
      <c r="J1459" s="1"/>
      <c r="M1459" t="s">
        <v>15</v>
      </c>
      <c r="N1459" t="str">
        <f>IFERROR(VLOOKUP(B1459,'[1]All Player'!$B$2:$C$1992,2,0),"")</f>
        <v>Sajjadul Haque Sagar</v>
      </c>
      <c r="O1459" s="2" t="s">
        <v>494</v>
      </c>
      <c r="P1459" s="16" t="s">
        <v>619</v>
      </c>
      <c r="Q1459" s="1">
        <f t="shared" si="52"/>
        <v>1</v>
      </c>
      <c r="R1459" s="1">
        <v>244</v>
      </c>
      <c r="U1459" s="8">
        <f t="shared" si="54"/>
        <v>44013</v>
      </c>
    </row>
    <row r="1460" spans="1:21" x14ac:dyDescent="0.25">
      <c r="A1460" s="2">
        <v>25</v>
      </c>
      <c r="B1460" t="s">
        <v>428</v>
      </c>
      <c r="C1460" s="2">
        <v>7</v>
      </c>
      <c r="D1460" s="2">
        <v>51</v>
      </c>
      <c r="E1460" s="2">
        <v>3</v>
      </c>
      <c r="F1460" s="2">
        <v>7</v>
      </c>
      <c r="G1460" s="2">
        <v>1</v>
      </c>
      <c r="H1460" s="2">
        <v>1</v>
      </c>
      <c r="I1460" s="2">
        <v>5</v>
      </c>
      <c r="J1460" s="1"/>
      <c r="M1460" t="s">
        <v>15</v>
      </c>
      <c r="N1460" t="str">
        <f>IFERROR(VLOOKUP(B1460,'[1]All Player'!$B$2:$C$1992,2,0),"")</f>
        <v>Abu Mohammad Yaro</v>
      </c>
      <c r="O1460" s="2" t="s">
        <v>494</v>
      </c>
      <c r="P1460" s="16" t="s">
        <v>619</v>
      </c>
      <c r="Q1460" s="1">
        <f t="shared" si="52"/>
        <v>1</v>
      </c>
      <c r="R1460" s="1">
        <v>244</v>
      </c>
      <c r="U1460" s="8">
        <f t="shared" si="54"/>
        <v>44013</v>
      </c>
    </row>
    <row r="1461" spans="1:21" x14ac:dyDescent="0.25">
      <c r="A1461" s="2">
        <v>25</v>
      </c>
      <c r="B1461" t="s">
        <v>621</v>
      </c>
      <c r="J1461" s="1"/>
      <c r="M1461" t="s">
        <v>15</v>
      </c>
      <c r="N1461" t="str">
        <f>IFERROR(VLOOKUP(B1461,'[1]All Player'!$B$2:$C$1992,2,0),"")</f>
        <v/>
      </c>
      <c r="O1461" s="2" t="s">
        <v>494</v>
      </c>
      <c r="P1461" s="14" t="s">
        <v>621</v>
      </c>
      <c r="Q1461" s="1">
        <f t="shared" si="52"/>
        <v>1</v>
      </c>
      <c r="R1461" s="1">
        <v>245</v>
      </c>
      <c r="U1461" s="8">
        <f t="shared" si="54"/>
        <v>44013</v>
      </c>
    </row>
    <row r="1462" spans="1:21" x14ac:dyDescent="0.25">
      <c r="A1462" s="2">
        <v>25</v>
      </c>
      <c r="B1462" t="s">
        <v>70</v>
      </c>
      <c r="C1462" s="2">
        <v>7</v>
      </c>
      <c r="D1462" s="2">
        <v>134</v>
      </c>
      <c r="E1462" s="2">
        <v>13</v>
      </c>
      <c r="F1462" s="2">
        <v>14</v>
      </c>
      <c r="G1462" s="2">
        <v>1</v>
      </c>
      <c r="H1462" s="2">
        <v>6</v>
      </c>
      <c r="I1462" s="2">
        <v>10</v>
      </c>
      <c r="J1462" s="1"/>
      <c r="M1462" t="s">
        <v>15</v>
      </c>
      <c r="N1462" t="str">
        <f>IFERROR(VLOOKUP(B1462,'[1]All Player'!$B$2:$C$1992,2,0),"")</f>
        <v>Sheik Helal Ahmed</v>
      </c>
      <c r="O1462" s="2" t="s">
        <v>494</v>
      </c>
      <c r="P1462" s="14" t="s">
        <v>621</v>
      </c>
      <c r="Q1462" s="1">
        <f t="shared" si="52"/>
        <v>1</v>
      </c>
      <c r="R1462" s="1">
        <v>245</v>
      </c>
      <c r="U1462" s="8">
        <f t="shared" si="54"/>
        <v>44013</v>
      </c>
    </row>
    <row r="1463" spans="1:21" x14ac:dyDescent="0.25">
      <c r="A1463" s="2">
        <v>25</v>
      </c>
      <c r="B1463" t="s">
        <v>29</v>
      </c>
      <c r="C1463" s="2">
        <v>7</v>
      </c>
      <c r="D1463" s="2">
        <v>115</v>
      </c>
      <c r="E1463" s="2">
        <v>10</v>
      </c>
      <c r="F1463" s="2">
        <v>10</v>
      </c>
      <c r="G1463" s="2">
        <v>1</v>
      </c>
      <c r="H1463" s="2">
        <v>8</v>
      </c>
      <c r="I1463" s="2">
        <v>7</v>
      </c>
      <c r="J1463" s="1"/>
      <c r="M1463" t="s">
        <v>15</v>
      </c>
      <c r="N1463" t="str">
        <f>IFERROR(VLOOKUP(B1463,'[1]All Player'!$B$2:$C$1992,2,0),"")</f>
        <v>Foysal Ahmed Jumon</v>
      </c>
      <c r="O1463" s="2" t="s">
        <v>494</v>
      </c>
      <c r="P1463" s="14" t="s">
        <v>621</v>
      </c>
      <c r="Q1463" s="1">
        <f t="shared" si="52"/>
        <v>1</v>
      </c>
      <c r="R1463" s="1">
        <v>245</v>
      </c>
      <c r="U1463" s="8">
        <f t="shared" si="54"/>
        <v>44013</v>
      </c>
    </row>
    <row r="1464" spans="1:21" x14ac:dyDescent="0.25">
      <c r="A1464" s="2">
        <v>25</v>
      </c>
      <c r="B1464" t="s">
        <v>76</v>
      </c>
      <c r="C1464" s="2">
        <v>7</v>
      </c>
      <c r="D1464" s="2">
        <v>59</v>
      </c>
      <c r="E1464" s="2">
        <v>3</v>
      </c>
      <c r="F1464" s="2">
        <v>9</v>
      </c>
      <c r="G1464" s="2">
        <v>0</v>
      </c>
      <c r="H1464" s="2">
        <v>6</v>
      </c>
      <c r="I1464" s="2">
        <v>3</v>
      </c>
      <c r="J1464" s="1"/>
      <c r="M1464" t="s">
        <v>15</v>
      </c>
      <c r="N1464" t="str">
        <f>IFERROR(VLOOKUP(B1464,'[1]All Player'!$B$2:$C$1992,2,0),"")</f>
        <v>Kamil Ahmed</v>
      </c>
      <c r="O1464" s="2" t="s">
        <v>494</v>
      </c>
      <c r="P1464" s="14" t="s">
        <v>621</v>
      </c>
      <c r="Q1464" s="1">
        <f t="shared" si="52"/>
        <v>1</v>
      </c>
      <c r="R1464" s="1">
        <v>245</v>
      </c>
      <c r="U1464" s="8">
        <f t="shared" si="54"/>
        <v>44013</v>
      </c>
    </row>
    <row r="1465" spans="1:21" x14ac:dyDescent="0.25">
      <c r="A1465" s="2">
        <v>25</v>
      </c>
      <c r="B1465" t="s">
        <v>154</v>
      </c>
      <c r="C1465" s="2">
        <v>6</v>
      </c>
      <c r="D1465" s="2">
        <v>81</v>
      </c>
      <c r="E1465" s="2">
        <v>9</v>
      </c>
      <c r="F1465" s="2">
        <v>10</v>
      </c>
      <c r="G1465" s="2">
        <v>0</v>
      </c>
      <c r="H1465" s="2">
        <v>8</v>
      </c>
      <c r="I1465" s="2">
        <v>6</v>
      </c>
      <c r="J1465" s="1"/>
      <c r="M1465" t="s">
        <v>15</v>
      </c>
      <c r="N1465" t="str">
        <f>IFERROR(VLOOKUP(B1465,'[1]All Player'!$B$2:$C$1992,2,0),"")</f>
        <v>Meyaz Al Emon</v>
      </c>
      <c r="O1465" s="2" t="s">
        <v>494</v>
      </c>
      <c r="P1465" s="14" t="s">
        <v>621</v>
      </c>
      <c r="Q1465" s="1">
        <f t="shared" si="52"/>
        <v>1</v>
      </c>
      <c r="R1465" s="1">
        <v>245</v>
      </c>
      <c r="U1465" s="8">
        <f t="shared" si="54"/>
        <v>44013</v>
      </c>
    </row>
    <row r="1466" spans="1:21" x14ac:dyDescent="0.25">
      <c r="A1466" s="2">
        <v>25</v>
      </c>
      <c r="B1466" t="s">
        <v>432</v>
      </c>
      <c r="C1466" s="2">
        <v>5</v>
      </c>
      <c r="D1466" s="2">
        <v>34</v>
      </c>
      <c r="E1466" s="2">
        <v>1</v>
      </c>
      <c r="F1466" s="2">
        <v>5</v>
      </c>
      <c r="G1466" s="2">
        <v>0</v>
      </c>
      <c r="H1466" s="2">
        <v>3</v>
      </c>
      <c r="I1466" s="2">
        <v>2</v>
      </c>
      <c r="J1466" s="1"/>
      <c r="M1466" t="s">
        <v>15</v>
      </c>
      <c r="N1466" t="str">
        <f>IFERROR(VLOOKUP(B1466,'[1]All Player'!$B$2:$C$1992,2,0),"")</f>
        <v>Anik Day Shanto</v>
      </c>
      <c r="O1466" s="2" t="s">
        <v>494</v>
      </c>
      <c r="P1466" s="14" t="s">
        <v>621</v>
      </c>
      <c r="Q1466" s="1">
        <f t="shared" si="52"/>
        <v>1</v>
      </c>
      <c r="R1466" s="1">
        <v>245</v>
      </c>
      <c r="U1466" s="8">
        <f t="shared" si="54"/>
        <v>44013</v>
      </c>
    </row>
    <row r="1467" spans="1:21" x14ac:dyDescent="0.25">
      <c r="A1467" s="2">
        <v>25</v>
      </c>
      <c r="B1467" t="s">
        <v>548</v>
      </c>
      <c r="J1467" s="1"/>
      <c r="M1467" t="s">
        <v>15</v>
      </c>
      <c r="N1467" t="str">
        <f>IFERROR(VLOOKUP(B1467,'[1]All Player'!$B$2:$C$1992,2,0),"")</f>
        <v/>
      </c>
      <c r="O1467" s="2" t="s">
        <v>494</v>
      </c>
      <c r="P1467" s="14" t="s">
        <v>548</v>
      </c>
      <c r="Q1467" s="1">
        <f t="shared" si="52"/>
        <v>1</v>
      </c>
      <c r="R1467" s="1">
        <v>246</v>
      </c>
      <c r="U1467" s="8">
        <f t="shared" si="54"/>
        <v>44013</v>
      </c>
    </row>
    <row r="1468" spans="1:21" x14ac:dyDescent="0.25">
      <c r="A1468" s="2">
        <v>25</v>
      </c>
      <c r="B1468" t="s">
        <v>138</v>
      </c>
      <c r="C1468" s="2">
        <v>8</v>
      </c>
      <c r="D1468" s="2">
        <v>48</v>
      </c>
      <c r="E1468" s="2">
        <v>11</v>
      </c>
      <c r="F1468" s="2">
        <v>8</v>
      </c>
      <c r="G1468" s="2">
        <v>1</v>
      </c>
      <c r="H1468" s="2">
        <v>5</v>
      </c>
      <c r="I1468" s="2">
        <v>2</v>
      </c>
      <c r="J1468" s="1"/>
      <c r="M1468" t="s">
        <v>15</v>
      </c>
      <c r="N1468" t="str">
        <f>IFERROR(VLOOKUP(B1468,'[1]All Player'!$B$2:$C$1992,2,0),"")</f>
        <v>Asif Iqbal Khan</v>
      </c>
      <c r="O1468" s="2" t="s">
        <v>494</v>
      </c>
      <c r="P1468" s="14" t="s">
        <v>548</v>
      </c>
      <c r="Q1468" s="1">
        <f t="shared" si="52"/>
        <v>1</v>
      </c>
      <c r="R1468" s="1">
        <v>246</v>
      </c>
      <c r="U1468" s="8">
        <f t="shared" si="54"/>
        <v>44013</v>
      </c>
    </row>
    <row r="1469" spans="1:21" x14ac:dyDescent="0.25">
      <c r="A1469" s="2">
        <v>25</v>
      </c>
      <c r="B1469" t="s">
        <v>85</v>
      </c>
      <c r="C1469" s="2">
        <v>8</v>
      </c>
      <c r="D1469" s="2">
        <v>116</v>
      </c>
      <c r="E1469" s="2">
        <v>16</v>
      </c>
      <c r="F1469" s="2">
        <v>11</v>
      </c>
      <c r="G1469" s="2">
        <v>2</v>
      </c>
      <c r="H1469" s="2">
        <v>7</v>
      </c>
      <c r="I1469" s="2">
        <v>5</v>
      </c>
      <c r="J1469" s="1"/>
      <c r="M1469" t="s">
        <v>15</v>
      </c>
      <c r="N1469" t="str">
        <f>IFERROR(VLOOKUP(B1469,'[1]All Player'!$B$2:$C$1992,2,0),"")</f>
        <v>Asik Hassan Tonmoy</v>
      </c>
      <c r="O1469" s="2" t="s">
        <v>494</v>
      </c>
      <c r="P1469" s="14" t="s">
        <v>548</v>
      </c>
      <c r="Q1469" s="1">
        <f t="shared" si="52"/>
        <v>1</v>
      </c>
      <c r="R1469" s="1">
        <v>246</v>
      </c>
      <c r="U1469" s="8">
        <f t="shared" si="54"/>
        <v>44013</v>
      </c>
    </row>
    <row r="1470" spans="1:21" x14ac:dyDescent="0.25">
      <c r="A1470" s="2">
        <v>25</v>
      </c>
      <c r="B1470" t="s">
        <v>126</v>
      </c>
      <c r="C1470" s="2">
        <v>8</v>
      </c>
      <c r="D1470" s="2">
        <v>88</v>
      </c>
      <c r="E1470" s="2">
        <v>6</v>
      </c>
      <c r="F1470" s="2">
        <v>10</v>
      </c>
      <c r="G1470" s="2">
        <v>0</v>
      </c>
      <c r="H1470" s="2">
        <v>6</v>
      </c>
      <c r="I1470" s="2">
        <v>7</v>
      </c>
      <c r="J1470" s="1"/>
      <c r="M1470" t="s">
        <v>15</v>
      </c>
      <c r="N1470" t="str">
        <f>IFERROR(VLOOKUP(B1470,'[1]All Player'!$B$2:$C$1992,2,0),"")</f>
        <v>M R Shakil</v>
      </c>
      <c r="O1470" s="2" t="s">
        <v>494</v>
      </c>
      <c r="P1470" s="14" t="s">
        <v>548</v>
      </c>
      <c r="Q1470" s="1">
        <f t="shared" si="52"/>
        <v>1</v>
      </c>
      <c r="R1470" s="1">
        <v>246</v>
      </c>
      <c r="U1470" s="8">
        <f t="shared" si="54"/>
        <v>44013</v>
      </c>
    </row>
    <row r="1471" spans="1:21" x14ac:dyDescent="0.25">
      <c r="A1471" s="2">
        <v>25</v>
      </c>
      <c r="B1471" t="s">
        <v>150</v>
      </c>
      <c r="C1471" s="2">
        <v>8</v>
      </c>
      <c r="D1471" s="2">
        <v>169</v>
      </c>
      <c r="E1471" s="2">
        <v>11</v>
      </c>
      <c r="F1471" s="2">
        <v>10</v>
      </c>
      <c r="G1471" s="2">
        <v>2</v>
      </c>
      <c r="H1471" s="2">
        <v>19</v>
      </c>
      <c r="I1471" s="2">
        <v>10</v>
      </c>
      <c r="J1471" s="1"/>
      <c r="M1471" t="s">
        <v>15</v>
      </c>
      <c r="N1471" t="str">
        <f>IFERROR(VLOOKUP(B1471,'[1]All Player'!$B$2:$C$1992,2,0),"")</f>
        <v>Md. Tanveer Mahmud Ayan</v>
      </c>
      <c r="O1471" s="2" t="s">
        <v>494</v>
      </c>
      <c r="P1471" s="14" t="s">
        <v>548</v>
      </c>
      <c r="Q1471" s="1">
        <f t="shared" si="52"/>
        <v>1</v>
      </c>
      <c r="R1471" s="1">
        <v>246</v>
      </c>
      <c r="U1471" s="8">
        <f t="shared" si="54"/>
        <v>44013</v>
      </c>
    </row>
    <row r="1472" spans="1:21" x14ac:dyDescent="0.25">
      <c r="A1472" s="2">
        <v>25</v>
      </c>
      <c r="B1472" t="s">
        <v>949</v>
      </c>
      <c r="C1472" s="2">
        <v>8</v>
      </c>
      <c r="D1472" s="2">
        <v>81</v>
      </c>
      <c r="E1472" s="2">
        <v>3</v>
      </c>
      <c r="F1472" s="2">
        <v>8</v>
      </c>
      <c r="G1472" s="2">
        <v>0</v>
      </c>
      <c r="H1472" s="2">
        <v>2</v>
      </c>
      <c r="I1472" s="2">
        <v>4</v>
      </c>
      <c r="J1472" s="1"/>
      <c r="M1472" t="s">
        <v>15</v>
      </c>
      <c r="N1472" t="str">
        <f>IFERROR(VLOOKUP(B1472,'[1]All Player'!$B$2:$C$1992,2,0),"")</f>
        <v>তন্ময় মজুমদার শুভ্র</v>
      </c>
      <c r="O1472" s="2" t="s">
        <v>494</v>
      </c>
      <c r="P1472" s="14" t="s">
        <v>548</v>
      </c>
      <c r="Q1472" s="1">
        <f t="shared" si="52"/>
        <v>1</v>
      </c>
      <c r="R1472" s="1">
        <v>246</v>
      </c>
      <c r="U1472" s="8">
        <f t="shared" si="54"/>
        <v>44013</v>
      </c>
    </row>
    <row r="1473" spans="1:21" x14ac:dyDescent="0.25">
      <c r="A1473" s="2">
        <v>25</v>
      </c>
      <c r="B1473" t="s">
        <v>524</v>
      </c>
      <c r="F1473" s="2" t="s">
        <v>950</v>
      </c>
      <c r="J1473" s="1"/>
      <c r="M1473" t="s">
        <v>15</v>
      </c>
      <c r="N1473" t="str">
        <f>IFERROR(VLOOKUP(B1473,'[1]All Player'!$B$2:$C$1992,2,0),"")</f>
        <v/>
      </c>
      <c r="O1473" s="2" t="s">
        <v>494</v>
      </c>
      <c r="P1473" s="14" t="s">
        <v>524</v>
      </c>
      <c r="Q1473" s="1">
        <f t="shared" si="52"/>
        <v>1</v>
      </c>
      <c r="R1473" s="1">
        <v>247</v>
      </c>
      <c r="T1473" s="2" t="s">
        <v>659</v>
      </c>
      <c r="U1473" s="15">
        <f t="shared" si="54"/>
        <v>44013</v>
      </c>
    </row>
    <row r="1474" spans="1:21" x14ac:dyDescent="0.25">
      <c r="A1474" s="2">
        <v>25</v>
      </c>
      <c r="B1474" t="s">
        <v>114</v>
      </c>
      <c r="C1474" s="2">
        <v>9</v>
      </c>
      <c r="D1474" s="2">
        <v>87</v>
      </c>
      <c r="E1474" s="2">
        <v>16</v>
      </c>
      <c r="F1474" s="2">
        <v>13</v>
      </c>
      <c r="G1474" s="2">
        <v>1</v>
      </c>
      <c r="H1474" s="2">
        <v>7</v>
      </c>
      <c r="I1474" s="2">
        <v>8</v>
      </c>
      <c r="J1474" s="1"/>
      <c r="M1474" t="s">
        <v>15</v>
      </c>
      <c r="N1474" t="str">
        <f>IFERROR(VLOOKUP(B1474,'[1]All Player'!$B$2:$C$1992,2,0),"")</f>
        <v>Tanvir Shakib</v>
      </c>
      <c r="O1474" s="2" t="s">
        <v>494</v>
      </c>
      <c r="P1474" s="14" t="s">
        <v>524</v>
      </c>
      <c r="Q1474" s="1">
        <f t="shared" ref="Q1474:Q1537" si="55">IF(B1474="","",1)</f>
        <v>1</v>
      </c>
      <c r="R1474" s="1">
        <v>247</v>
      </c>
      <c r="T1474" s="2" t="s">
        <v>659</v>
      </c>
      <c r="U1474" s="15">
        <f t="shared" si="54"/>
        <v>44013</v>
      </c>
    </row>
    <row r="1475" spans="1:21" x14ac:dyDescent="0.25">
      <c r="A1475" s="2">
        <v>25</v>
      </c>
      <c r="B1475" t="s">
        <v>146</v>
      </c>
      <c r="C1475" s="2">
        <v>9</v>
      </c>
      <c r="D1475" s="2">
        <v>158</v>
      </c>
      <c r="E1475" s="2">
        <v>11</v>
      </c>
      <c r="F1475" s="2">
        <v>12</v>
      </c>
      <c r="G1475" s="2">
        <v>0</v>
      </c>
      <c r="H1475" s="2">
        <v>11</v>
      </c>
      <c r="I1475" s="2">
        <v>10</v>
      </c>
      <c r="J1475" s="1"/>
      <c r="M1475" t="s">
        <v>15</v>
      </c>
      <c r="N1475" t="str">
        <f>IFERROR(VLOOKUP(B1475,'[1]All Player'!$B$2:$C$1992,2,0),"")</f>
        <v>Nahid Saifullah</v>
      </c>
      <c r="O1475" s="2" t="s">
        <v>494</v>
      </c>
      <c r="P1475" s="14" t="s">
        <v>524</v>
      </c>
      <c r="Q1475" s="1">
        <f t="shared" si="55"/>
        <v>1</v>
      </c>
      <c r="R1475" s="1">
        <v>247</v>
      </c>
      <c r="T1475" s="2" t="s">
        <v>659</v>
      </c>
      <c r="U1475" s="15">
        <f t="shared" si="54"/>
        <v>44013</v>
      </c>
    </row>
    <row r="1476" spans="1:21" x14ac:dyDescent="0.25">
      <c r="A1476" s="2">
        <v>25</v>
      </c>
      <c r="B1476" t="s">
        <v>120</v>
      </c>
      <c r="C1476" s="2">
        <v>6</v>
      </c>
      <c r="D1476" s="2">
        <v>80</v>
      </c>
      <c r="E1476" s="2">
        <v>3</v>
      </c>
      <c r="F1476" s="2">
        <v>7</v>
      </c>
      <c r="G1476" s="2">
        <v>1</v>
      </c>
      <c r="H1476" s="2">
        <v>5</v>
      </c>
      <c r="I1476" s="2">
        <v>7</v>
      </c>
      <c r="J1476" s="1"/>
      <c r="M1476" t="s">
        <v>15</v>
      </c>
      <c r="N1476" t="str">
        <f>IFERROR(VLOOKUP(B1476,'[1]All Player'!$B$2:$C$1992,2,0),"")</f>
        <v>Kamrul Hasan Hridoy</v>
      </c>
      <c r="O1476" s="2" t="s">
        <v>494</v>
      </c>
      <c r="P1476" s="14" t="s">
        <v>524</v>
      </c>
      <c r="Q1476" s="1">
        <f t="shared" si="55"/>
        <v>1</v>
      </c>
      <c r="R1476" s="1">
        <v>247</v>
      </c>
      <c r="T1476" s="2" t="s">
        <v>659</v>
      </c>
      <c r="U1476" s="15">
        <f t="shared" si="54"/>
        <v>44013</v>
      </c>
    </row>
    <row r="1477" spans="1:21" x14ac:dyDescent="0.25">
      <c r="A1477" s="2">
        <v>25</v>
      </c>
      <c r="B1477" t="s">
        <v>108</v>
      </c>
      <c r="C1477" s="2">
        <v>9</v>
      </c>
      <c r="D1477" s="2">
        <v>251</v>
      </c>
      <c r="E1477" s="2">
        <v>15</v>
      </c>
      <c r="F1477" s="2">
        <v>15</v>
      </c>
      <c r="G1477" s="2">
        <v>1</v>
      </c>
      <c r="H1477" s="2">
        <v>16</v>
      </c>
      <c r="I1477" s="2">
        <v>21</v>
      </c>
      <c r="J1477" s="1"/>
      <c r="M1477" t="s">
        <v>15</v>
      </c>
      <c r="N1477" t="str">
        <f>IFERROR(VLOOKUP(B1477,'[1]All Player'!$B$2:$C$1992,2,0),"")</f>
        <v>Shafiqul Islam</v>
      </c>
      <c r="O1477" s="2" t="s">
        <v>494</v>
      </c>
      <c r="P1477" s="14" t="s">
        <v>524</v>
      </c>
      <c r="Q1477" s="1">
        <f t="shared" si="55"/>
        <v>1</v>
      </c>
      <c r="R1477" s="1">
        <v>247</v>
      </c>
      <c r="S1477" s="2" t="s">
        <v>658</v>
      </c>
      <c r="T1477" s="2" t="s">
        <v>659</v>
      </c>
      <c r="U1477" s="15">
        <f t="shared" si="54"/>
        <v>44013</v>
      </c>
    </row>
    <row r="1478" spans="1:21" x14ac:dyDescent="0.25">
      <c r="A1478" s="2">
        <v>25</v>
      </c>
      <c r="B1478" t="s">
        <v>33</v>
      </c>
      <c r="C1478" s="2">
        <v>9</v>
      </c>
      <c r="D1478" s="2">
        <v>97</v>
      </c>
      <c r="E1478" s="2">
        <v>11</v>
      </c>
      <c r="F1478" s="2">
        <v>8</v>
      </c>
      <c r="G1478" s="2">
        <v>1</v>
      </c>
      <c r="H1478" s="2">
        <v>9</v>
      </c>
      <c r="I1478" s="2">
        <v>8</v>
      </c>
      <c r="J1478" s="1"/>
      <c r="M1478" t="s">
        <v>15</v>
      </c>
      <c r="N1478" t="str">
        <f>IFERROR(VLOOKUP(B1478,'[1]All Player'!$B$2:$C$1992,2,0),"")</f>
        <v>Rakib Hasan</v>
      </c>
      <c r="O1478" s="2" t="s">
        <v>494</v>
      </c>
      <c r="P1478" s="14" t="s">
        <v>524</v>
      </c>
      <c r="Q1478" s="1">
        <f t="shared" si="55"/>
        <v>1</v>
      </c>
      <c r="R1478" s="1">
        <v>247</v>
      </c>
      <c r="T1478" s="2" t="s">
        <v>659</v>
      </c>
      <c r="U1478" s="15">
        <f t="shared" si="54"/>
        <v>44013</v>
      </c>
    </row>
    <row r="1479" spans="1:21" x14ac:dyDescent="0.25">
      <c r="A1479" s="2">
        <v>25</v>
      </c>
      <c r="B1479" t="s">
        <v>620</v>
      </c>
      <c r="J1479" s="1"/>
      <c r="M1479" t="s">
        <v>15</v>
      </c>
      <c r="N1479" t="str">
        <f>IFERROR(VLOOKUP(B1479,'[1]All Player'!$B$2:$C$1992,2,0),"")</f>
        <v/>
      </c>
      <c r="O1479" s="2" t="s">
        <v>494</v>
      </c>
      <c r="P1479" s="14" t="s">
        <v>620</v>
      </c>
      <c r="Q1479" s="1">
        <f t="shared" si="55"/>
        <v>1</v>
      </c>
      <c r="R1479" s="1">
        <v>248</v>
      </c>
      <c r="U1479" s="8">
        <f t="shared" si="54"/>
        <v>44013</v>
      </c>
    </row>
    <row r="1480" spans="1:21" x14ac:dyDescent="0.25">
      <c r="A1480" s="2">
        <v>25</v>
      </c>
      <c r="B1480" t="s">
        <v>52</v>
      </c>
      <c r="C1480" s="2">
        <v>6</v>
      </c>
      <c r="D1480" s="2">
        <v>108</v>
      </c>
      <c r="E1480" s="2">
        <v>8</v>
      </c>
      <c r="F1480" s="2">
        <v>9</v>
      </c>
      <c r="G1480" s="2">
        <v>0</v>
      </c>
      <c r="H1480" s="2">
        <v>6</v>
      </c>
      <c r="I1480" s="2">
        <v>9</v>
      </c>
      <c r="J1480" s="1"/>
      <c r="M1480" t="s">
        <v>15</v>
      </c>
      <c r="N1480" t="str">
        <f>IFERROR(VLOOKUP(B1480,'[1]All Player'!$B$2:$C$1992,2,0),"")</f>
        <v>Mohammed Al Mamun</v>
      </c>
      <c r="O1480" s="2" t="s">
        <v>494</v>
      </c>
      <c r="P1480" s="14" t="s">
        <v>620</v>
      </c>
      <c r="Q1480" s="1">
        <f t="shared" si="55"/>
        <v>1</v>
      </c>
      <c r="R1480" s="1">
        <v>248</v>
      </c>
      <c r="U1480" s="8">
        <f t="shared" si="54"/>
        <v>44013</v>
      </c>
    </row>
    <row r="1481" spans="1:21" x14ac:dyDescent="0.25">
      <c r="A1481" s="2">
        <v>25</v>
      </c>
      <c r="B1481" t="s">
        <v>136</v>
      </c>
      <c r="C1481" s="2">
        <v>6</v>
      </c>
      <c r="D1481" s="2">
        <v>112</v>
      </c>
      <c r="E1481" s="2">
        <v>4</v>
      </c>
      <c r="F1481" s="2">
        <v>11</v>
      </c>
      <c r="G1481" s="2">
        <v>1</v>
      </c>
      <c r="H1481" s="2">
        <v>3</v>
      </c>
      <c r="I1481" s="2">
        <v>10</v>
      </c>
      <c r="J1481" s="1"/>
      <c r="M1481" t="s">
        <v>15</v>
      </c>
      <c r="N1481" t="str">
        <f>IFERROR(VLOOKUP(B1481,'[1]All Player'!$B$2:$C$1992,2,0),"")</f>
        <v>MD Kamal Hossain Kamal</v>
      </c>
      <c r="O1481" s="2" t="s">
        <v>494</v>
      </c>
      <c r="P1481" s="14" t="s">
        <v>620</v>
      </c>
      <c r="Q1481" s="1">
        <f t="shared" si="55"/>
        <v>1</v>
      </c>
      <c r="R1481" s="1">
        <v>248</v>
      </c>
      <c r="U1481" s="8">
        <f t="shared" si="54"/>
        <v>44013</v>
      </c>
    </row>
    <row r="1482" spans="1:21" x14ac:dyDescent="0.25">
      <c r="A1482" s="2">
        <v>25</v>
      </c>
      <c r="B1482" t="s">
        <v>106</v>
      </c>
      <c r="C1482" s="2">
        <v>6</v>
      </c>
      <c r="D1482" s="2">
        <v>111</v>
      </c>
      <c r="E1482" s="2">
        <v>5</v>
      </c>
      <c r="F1482" s="2">
        <v>9</v>
      </c>
      <c r="G1482" s="2">
        <v>1</v>
      </c>
      <c r="H1482" s="2">
        <v>6</v>
      </c>
      <c r="I1482" s="2">
        <v>10</v>
      </c>
      <c r="J1482" s="1"/>
      <c r="M1482" t="s">
        <v>15</v>
      </c>
      <c r="N1482" t="str">
        <f>IFERROR(VLOOKUP(B1482,'[1]All Player'!$B$2:$C$1992,2,0),"")</f>
        <v>Sayed Anowar Shanto</v>
      </c>
      <c r="O1482" s="2" t="s">
        <v>494</v>
      </c>
      <c r="P1482" s="14" t="s">
        <v>620</v>
      </c>
      <c r="Q1482" s="1">
        <f t="shared" si="55"/>
        <v>1</v>
      </c>
      <c r="R1482" s="1">
        <v>248</v>
      </c>
      <c r="U1482" s="8">
        <f t="shared" si="54"/>
        <v>44013</v>
      </c>
    </row>
    <row r="1483" spans="1:21" x14ac:dyDescent="0.25">
      <c r="A1483" s="2">
        <v>25</v>
      </c>
      <c r="B1483" t="s">
        <v>951</v>
      </c>
      <c r="C1483" s="2">
        <v>6</v>
      </c>
      <c r="D1483" s="2">
        <v>92</v>
      </c>
      <c r="E1483" s="2">
        <v>5</v>
      </c>
      <c r="F1483" s="2">
        <v>8</v>
      </c>
      <c r="G1483" s="2">
        <v>1</v>
      </c>
      <c r="H1483" s="2">
        <v>9</v>
      </c>
      <c r="I1483" s="2">
        <v>6</v>
      </c>
      <c r="J1483" s="1"/>
      <c r="M1483" t="s">
        <v>15</v>
      </c>
      <c r="N1483" t="str">
        <f>IFERROR(VLOOKUP(B1483,'[1]All Player'!$B$2:$C$1992,2,0),"")</f>
        <v>মাহমুদুল হক নাইম</v>
      </c>
      <c r="O1483" s="2" t="s">
        <v>494</v>
      </c>
      <c r="P1483" s="14" t="s">
        <v>620</v>
      </c>
      <c r="Q1483" s="1">
        <f t="shared" si="55"/>
        <v>1</v>
      </c>
      <c r="R1483" s="1">
        <v>248</v>
      </c>
      <c r="U1483" s="8">
        <f t="shared" si="54"/>
        <v>44013</v>
      </c>
    </row>
    <row r="1484" spans="1:21" x14ac:dyDescent="0.25">
      <c r="A1484" s="2">
        <v>25</v>
      </c>
      <c r="B1484" t="s">
        <v>430</v>
      </c>
      <c r="C1484" s="2">
        <v>6</v>
      </c>
      <c r="D1484" s="2">
        <v>36</v>
      </c>
      <c r="E1484" s="2">
        <v>4</v>
      </c>
      <c r="F1484" s="2">
        <v>5</v>
      </c>
      <c r="G1484" s="2">
        <v>0</v>
      </c>
      <c r="H1484" s="2">
        <v>3</v>
      </c>
      <c r="I1484" s="2">
        <v>1</v>
      </c>
      <c r="J1484" s="1"/>
      <c r="M1484" t="s">
        <v>15</v>
      </c>
      <c r="N1484" t="str">
        <f>IFERROR(VLOOKUP(B1484,'[1]All Player'!$B$2:$C$1992,2,0),"")</f>
        <v>S H Sohan</v>
      </c>
      <c r="O1484" s="2" t="s">
        <v>494</v>
      </c>
      <c r="P1484" s="14" t="s">
        <v>620</v>
      </c>
      <c r="Q1484" s="1">
        <f t="shared" si="55"/>
        <v>1</v>
      </c>
      <c r="R1484" s="1">
        <v>248</v>
      </c>
      <c r="U1484" s="8">
        <f t="shared" si="54"/>
        <v>44013</v>
      </c>
    </row>
    <row r="1485" spans="1:21" x14ac:dyDescent="0.25">
      <c r="A1485" s="2">
        <v>25</v>
      </c>
      <c r="B1485" t="s">
        <v>495</v>
      </c>
      <c r="J1485" s="1"/>
      <c r="M1485" t="s">
        <v>15</v>
      </c>
      <c r="N1485" t="str">
        <f>IFERROR(VLOOKUP(B1485,'[1]All Player'!$B$2:$C$1992,2,0),"")</f>
        <v/>
      </c>
      <c r="O1485" s="2" t="s">
        <v>494</v>
      </c>
      <c r="P1485" s="14" t="s">
        <v>495</v>
      </c>
      <c r="Q1485" s="1">
        <f t="shared" si="55"/>
        <v>1</v>
      </c>
      <c r="R1485" s="1">
        <v>249</v>
      </c>
      <c r="U1485" s="8">
        <f t="shared" si="54"/>
        <v>44013</v>
      </c>
    </row>
    <row r="1486" spans="1:21" x14ac:dyDescent="0.25">
      <c r="A1486" s="2">
        <v>25</v>
      </c>
      <c r="B1486" t="s">
        <v>112</v>
      </c>
      <c r="C1486" s="2">
        <v>6</v>
      </c>
      <c r="D1486" s="2">
        <v>122</v>
      </c>
      <c r="E1486" s="2">
        <v>11</v>
      </c>
      <c r="F1486" s="2">
        <v>7</v>
      </c>
      <c r="G1486" s="2">
        <v>1</v>
      </c>
      <c r="H1486" s="2">
        <v>13</v>
      </c>
      <c r="I1486" s="2">
        <v>7</v>
      </c>
      <c r="J1486" s="1"/>
      <c r="M1486" t="s">
        <v>15</v>
      </c>
      <c r="N1486" t="str">
        <f>IFERROR(VLOOKUP(B1486,'[1]All Player'!$B$2:$C$1992,2,0),"")</f>
        <v>Shahriar Khan Shovon</v>
      </c>
      <c r="O1486" s="2" t="s">
        <v>494</v>
      </c>
      <c r="P1486" s="14" t="s">
        <v>495</v>
      </c>
      <c r="Q1486" s="1">
        <f t="shared" si="55"/>
        <v>1</v>
      </c>
      <c r="R1486" s="1">
        <v>249</v>
      </c>
      <c r="U1486" s="8">
        <f t="shared" si="54"/>
        <v>44013</v>
      </c>
    </row>
    <row r="1487" spans="1:21" x14ac:dyDescent="0.25">
      <c r="A1487" s="2">
        <v>25</v>
      </c>
      <c r="B1487" t="s">
        <v>156</v>
      </c>
      <c r="C1487" s="2">
        <v>6</v>
      </c>
      <c r="D1487" s="2">
        <v>40</v>
      </c>
      <c r="E1487" s="2">
        <v>8</v>
      </c>
      <c r="F1487" s="2">
        <v>7</v>
      </c>
      <c r="G1487" s="2">
        <v>0</v>
      </c>
      <c r="H1487" s="2">
        <v>5</v>
      </c>
      <c r="I1487" s="2">
        <v>1</v>
      </c>
      <c r="J1487" s="1"/>
      <c r="M1487" t="s">
        <v>15</v>
      </c>
      <c r="N1487" t="str">
        <f>IFERROR(VLOOKUP(B1487,'[1]All Player'!$B$2:$C$1992,2,0),"")</f>
        <v>Prince Tarek</v>
      </c>
      <c r="O1487" s="2" t="s">
        <v>494</v>
      </c>
      <c r="P1487" s="14" t="s">
        <v>495</v>
      </c>
      <c r="Q1487" s="1">
        <f t="shared" si="55"/>
        <v>1</v>
      </c>
      <c r="R1487" s="1">
        <v>249</v>
      </c>
      <c r="U1487" s="8">
        <f t="shared" si="54"/>
        <v>44013</v>
      </c>
    </row>
    <row r="1488" spans="1:21" x14ac:dyDescent="0.25">
      <c r="A1488" s="2">
        <v>25</v>
      </c>
      <c r="B1488" t="s">
        <v>124</v>
      </c>
      <c r="C1488" s="2">
        <v>6</v>
      </c>
      <c r="D1488" s="2">
        <v>29</v>
      </c>
      <c r="E1488" s="2">
        <v>3</v>
      </c>
      <c r="F1488" s="2">
        <v>7</v>
      </c>
      <c r="G1488" s="2">
        <v>0</v>
      </c>
      <c r="H1488" s="2">
        <v>1</v>
      </c>
      <c r="I1488" s="2">
        <v>2</v>
      </c>
      <c r="J1488" s="1"/>
      <c r="M1488" t="s">
        <v>15</v>
      </c>
      <c r="N1488" t="str">
        <f>IFERROR(VLOOKUP(B1488,'[1]All Player'!$B$2:$C$1992,2,0),"")</f>
        <v>Mahbubur Rahman Akash</v>
      </c>
      <c r="O1488" s="2" t="s">
        <v>494</v>
      </c>
      <c r="P1488" s="14" t="s">
        <v>495</v>
      </c>
      <c r="Q1488" s="1">
        <f t="shared" si="55"/>
        <v>1</v>
      </c>
      <c r="R1488" s="1">
        <v>249</v>
      </c>
      <c r="U1488" s="8">
        <f t="shared" si="54"/>
        <v>44013</v>
      </c>
    </row>
    <row r="1489" spans="1:21" x14ac:dyDescent="0.25">
      <c r="A1489" s="2">
        <v>25</v>
      </c>
      <c r="B1489" t="s">
        <v>55</v>
      </c>
      <c r="C1489" s="2">
        <v>6</v>
      </c>
      <c r="D1489" s="2">
        <v>59</v>
      </c>
      <c r="E1489" s="2">
        <v>1</v>
      </c>
      <c r="F1489" s="2">
        <v>7</v>
      </c>
      <c r="G1489" s="2">
        <v>1</v>
      </c>
      <c r="H1489" s="2">
        <v>4</v>
      </c>
      <c r="I1489" s="2">
        <v>4</v>
      </c>
      <c r="J1489" s="1"/>
      <c r="M1489" t="s">
        <v>15</v>
      </c>
      <c r="N1489" t="str">
        <f>IFERROR(VLOOKUP(B1489,'[1]All Player'!$B$2:$C$1992,2,0),"")</f>
        <v>Rana Md Masud</v>
      </c>
      <c r="O1489" s="2" t="s">
        <v>494</v>
      </c>
      <c r="P1489" s="14" t="s">
        <v>495</v>
      </c>
      <c r="Q1489" s="1">
        <f t="shared" si="55"/>
        <v>1</v>
      </c>
      <c r="R1489" s="1">
        <v>249</v>
      </c>
      <c r="U1489" s="8">
        <f t="shared" ref="U1489:U1508" si="56">U1488</f>
        <v>44013</v>
      </c>
    </row>
    <row r="1490" spans="1:21" x14ac:dyDescent="0.25">
      <c r="A1490" s="2">
        <v>25</v>
      </c>
      <c r="B1490" t="s">
        <v>110</v>
      </c>
      <c r="C1490" s="2">
        <v>6</v>
      </c>
      <c r="D1490" s="2">
        <v>104</v>
      </c>
      <c r="E1490" s="2">
        <v>6</v>
      </c>
      <c r="F1490" s="2">
        <v>10</v>
      </c>
      <c r="G1490" s="2">
        <v>0</v>
      </c>
      <c r="H1490" s="2">
        <v>10</v>
      </c>
      <c r="I1490" s="2">
        <v>4</v>
      </c>
      <c r="J1490" s="1"/>
      <c r="M1490" t="s">
        <v>15</v>
      </c>
      <c r="N1490" t="str">
        <f>IFERROR(VLOOKUP(B1490,'[1]All Player'!$B$2:$C$1992,2,0),"")</f>
        <v>Laisul Morshed</v>
      </c>
      <c r="O1490" s="2" t="s">
        <v>494</v>
      </c>
      <c r="P1490" s="14" t="s">
        <v>495</v>
      </c>
      <c r="Q1490" s="1">
        <f t="shared" si="55"/>
        <v>1</v>
      </c>
      <c r="R1490" s="1">
        <v>249</v>
      </c>
      <c r="U1490" s="8">
        <f t="shared" si="56"/>
        <v>44013</v>
      </c>
    </row>
    <row r="1491" spans="1:21" x14ac:dyDescent="0.25">
      <c r="A1491" s="2">
        <v>25</v>
      </c>
      <c r="B1491" t="s">
        <v>517</v>
      </c>
      <c r="J1491" s="1"/>
      <c r="M1491" t="s">
        <v>15</v>
      </c>
      <c r="N1491" t="str">
        <f>IFERROR(VLOOKUP(B1491,'[1]All Player'!$B$2:$C$1992,2,0),"")</f>
        <v/>
      </c>
      <c r="O1491" s="2" t="s">
        <v>494</v>
      </c>
      <c r="P1491" s="14" t="s">
        <v>517</v>
      </c>
      <c r="Q1491" s="1">
        <f t="shared" si="55"/>
        <v>1</v>
      </c>
      <c r="R1491" s="1">
        <v>250</v>
      </c>
      <c r="U1491" s="8">
        <f t="shared" si="56"/>
        <v>44013</v>
      </c>
    </row>
    <row r="1492" spans="1:21" x14ac:dyDescent="0.25">
      <c r="A1492" s="2">
        <v>25</v>
      </c>
      <c r="B1492" t="s">
        <v>93</v>
      </c>
      <c r="C1492" s="2">
        <v>8</v>
      </c>
      <c r="D1492" s="2">
        <v>72</v>
      </c>
      <c r="E1492" s="2">
        <v>17</v>
      </c>
      <c r="F1492" s="2">
        <v>7</v>
      </c>
      <c r="G1492" s="2">
        <v>0</v>
      </c>
      <c r="H1492" s="2">
        <v>4</v>
      </c>
      <c r="I1492" s="2">
        <v>5</v>
      </c>
      <c r="J1492" s="1"/>
      <c r="M1492" t="s">
        <v>15</v>
      </c>
      <c r="N1492" t="str">
        <f>IFERROR(VLOOKUP(B1492,'[1]All Player'!$B$2:$C$1992,2,0),"")</f>
        <v>Zaheed Hasan</v>
      </c>
      <c r="O1492" s="2" t="s">
        <v>494</v>
      </c>
      <c r="P1492" s="14" t="s">
        <v>517</v>
      </c>
      <c r="Q1492" s="1">
        <f t="shared" si="55"/>
        <v>1</v>
      </c>
      <c r="R1492" s="1">
        <v>250</v>
      </c>
      <c r="U1492" s="8">
        <f t="shared" si="56"/>
        <v>44013</v>
      </c>
    </row>
    <row r="1493" spans="1:21" x14ac:dyDescent="0.25">
      <c r="A1493" s="2">
        <v>25</v>
      </c>
      <c r="B1493" t="s">
        <v>144</v>
      </c>
      <c r="C1493" s="2">
        <v>5</v>
      </c>
      <c r="D1493" s="2">
        <v>58</v>
      </c>
      <c r="E1493" s="2">
        <v>4</v>
      </c>
      <c r="F1493" s="2">
        <v>5</v>
      </c>
      <c r="G1493" s="2">
        <v>1</v>
      </c>
      <c r="H1493" s="2">
        <v>5</v>
      </c>
      <c r="I1493" s="2">
        <v>3</v>
      </c>
      <c r="J1493" s="1"/>
      <c r="M1493" t="s">
        <v>15</v>
      </c>
      <c r="N1493" t="str">
        <f>IFERROR(VLOOKUP(B1493,'[1]All Player'!$B$2:$C$1992,2,0),"")</f>
        <v>Toufiq Ahmed Ovi</v>
      </c>
      <c r="O1493" s="2" t="s">
        <v>494</v>
      </c>
      <c r="P1493" s="14" t="s">
        <v>517</v>
      </c>
      <c r="Q1493" s="1">
        <f t="shared" si="55"/>
        <v>1</v>
      </c>
      <c r="R1493" s="1">
        <v>250</v>
      </c>
      <c r="U1493" s="8">
        <f t="shared" si="56"/>
        <v>44013</v>
      </c>
    </row>
    <row r="1494" spans="1:21" x14ac:dyDescent="0.25">
      <c r="A1494" s="2">
        <v>25</v>
      </c>
      <c r="B1494" t="s">
        <v>152</v>
      </c>
      <c r="C1494" s="2">
        <v>8</v>
      </c>
      <c r="D1494" s="2">
        <v>189</v>
      </c>
      <c r="E1494" s="2">
        <v>12</v>
      </c>
      <c r="F1494" s="2">
        <v>14</v>
      </c>
      <c r="G1494" s="2">
        <v>2</v>
      </c>
      <c r="H1494" s="2">
        <v>14</v>
      </c>
      <c r="I1494" s="2">
        <v>11</v>
      </c>
      <c r="J1494" s="1"/>
      <c r="M1494" t="s">
        <v>15</v>
      </c>
      <c r="N1494" t="str">
        <f>IFERROR(VLOOKUP(B1494,'[1]All Player'!$B$2:$C$1992,2,0),"")</f>
        <v>Niamul Habib Setu</v>
      </c>
      <c r="O1494" s="2" t="s">
        <v>494</v>
      </c>
      <c r="P1494" s="14" t="s">
        <v>517</v>
      </c>
      <c r="Q1494" s="1">
        <f t="shared" si="55"/>
        <v>1</v>
      </c>
      <c r="R1494" s="1">
        <v>250</v>
      </c>
      <c r="U1494" s="8">
        <f t="shared" si="56"/>
        <v>44013</v>
      </c>
    </row>
    <row r="1495" spans="1:21" x14ac:dyDescent="0.25">
      <c r="A1495" s="2">
        <v>25</v>
      </c>
      <c r="B1495" t="s">
        <v>199</v>
      </c>
      <c r="C1495" s="2">
        <v>8</v>
      </c>
      <c r="D1495" s="2">
        <v>133</v>
      </c>
      <c r="E1495" s="2">
        <v>4</v>
      </c>
      <c r="F1495" s="2">
        <v>11</v>
      </c>
      <c r="G1495" s="2">
        <v>0</v>
      </c>
      <c r="H1495" s="2">
        <v>10</v>
      </c>
      <c r="I1495" s="2">
        <v>8</v>
      </c>
      <c r="J1495" s="1"/>
      <c r="M1495" t="s">
        <v>15</v>
      </c>
      <c r="N1495" t="str">
        <f>IFERROR(VLOOKUP(B1495,'[1]All Player'!$B$2:$C$1992,2,0),"")</f>
        <v>Mohammad Faruque</v>
      </c>
      <c r="O1495" s="2" t="s">
        <v>494</v>
      </c>
      <c r="P1495" s="14" t="s">
        <v>517</v>
      </c>
      <c r="Q1495" s="1">
        <f t="shared" si="55"/>
        <v>1</v>
      </c>
      <c r="R1495" s="1">
        <v>250</v>
      </c>
      <c r="U1495" s="8">
        <f t="shared" si="56"/>
        <v>44013</v>
      </c>
    </row>
    <row r="1496" spans="1:21" x14ac:dyDescent="0.25">
      <c r="A1496" s="2">
        <v>25</v>
      </c>
      <c r="B1496" t="s">
        <v>89</v>
      </c>
      <c r="C1496" s="2">
        <v>8</v>
      </c>
      <c r="D1496" s="2">
        <v>161</v>
      </c>
      <c r="E1496" s="2">
        <v>6</v>
      </c>
      <c r="F1496" s="2">
        <v>10</v>
      </c>
      <c r="G1496" s="2">
        <v>1</v>
      </c>
      <c r="H1496" s="2">
        <v>19</v>
      </c>
      <c r="I1496" s="2">
        <v>10</v>
      </c>
      <c r="J1496" s="1"/>
      <c r="M1496" t="s">
        <v>15</v>
      </c>
      <c r="N1496" t="str">
        <f>IFERROR(VLOOKUP(B1496,'[1]All Player'!$B$2:$C$1992,2,0),"")</f>
        <v>Ador Hasan</v>
      </c>
      <c r="O1496" s="2" t="s">
        <v>494</v>
      </c>
      <c r="P1496" s="14" t="s">
        <v>517</v>
      </c>
      <c r="Q1496" s="1">
        <f t="shared" si="55"/>
        <v>1</v>
      </c>
      <c r="R1496" s="1">
        <v>250</v>
      </c>
      <c r="U1496" s="8">
        <f t="shared" si="56"/>
        <v>44013</v>
      </c>
    </row>
    <row r="1497" spans="1:21" x14ac:dyDescent="0.25">
      <c r="A1497" s="2">
        <v>25</v>
      </c>
      <c r="B1497" t="s">
        <v>952</v>
      </c>
      <c r="J1497" s="1"/>
      <c r="M1497" t="s">
        <v>15</v>
      </c>
      <c r="N1497" t="str">
        <f>IFERROR(VLOOKUP(B1497,'[1]All Player'!$B$2:$C$1992,2,0),"")</f>
        <v/>
      </c>
      <c r="O1497" s="2" t="s">
        <v>494</v>
      </c>
      <c r="P1497" s="14" t="s">
        <v>952</v>
      </c>
      <c r="Q1497" s="1">
        <f t="shared" si="55"/>
        <v>1</v>
      </c>
      <c r="R1497" s="1">
        <v>251</v>
      </c>
      <c r="U1497" s="8">
        <f t="shared" si="56"/>
        <v>44013</v>
      </c>
    </row>
    <row r="1498" spans="1:21" x14ac:dyDescent="0.25">
      <c r="A1498" s="2">
        <v>25</v>
      </c>
      <c r="B1498" t="s">
        <v>62</v>
      </c>
      <c r="C1498" s="2">
        <v>6</v>
      </c>
      <c r="D1498" s="2">
        <v>47</v>
      </c>
      <c r="E1498" s="2">
        <v>12</v>
      </c>
      <c r="F1498" s="2">
        <v>6</v>
      </c>
      <c r="G1498" s="2">
        <v>1</v>
      </c>
      <c r="H1498" s="2">
        <v>4</v>
      </c>
      <c r="I1498" s="2">
        <v>4</v>
      </c>
      <c r="J1498" s="1"/>
      <c r="M1498" t="s">
        <v>15</v>
      </c>
      <c r="N1498" t="str">
        <f>IFERROR(VLOOKUP(B1498,'[1]All Player'!$B$2:$C$1992,2,0),"")</f>
        <v>MD Tofayel Ahmed</v>
      </c>
      <c r="O1498" s="2" t="s">
        <v>494</v>
      </c>
      <c r="P1498" s="14" t="s">
        <v>952</v>
      </c>
      <c r="Q1498" s="1">
        <f t="shared" si="55"/>
        <v>1</v>
      </c>
      <c r="R1498" s="1">
        <v>251</v>
      </c>
      <c r="U1498" s="8">
        <f t="shared" si="56"/>
        <v>44013</v>
      </c>
    </row>
    <row r="1499" spans="1:21" x14ac:dyDescent="0.25">
      <c r="A1499" s="2">
        <v>25</v>
      </c>
      <c r="B1499" t="s">
        <v>228</v>
      </c>
      <c r="C1499" s="2">
        <v>6</v>
      </c>
      <c r="D1499" s="2">
        <v>79</v>
      </c>
      <c r="E1499" s="24">
        <v>10</v>
      </c>
      <c r="F1499" s="2">
        <v>7</v>
      </c>
      <c r="G1499" s="2">
        <v>1</v>
      </c>
      <c r="H1499" s="2">
        <v>8</v>
      </c>
      <c r="I1499" s="2">
        <v>4</v>
      </c>
      <c r="J1499" s="1"/>
      <c r="M1499" t="s">
        <v>15</v>
      </c>
      <c r="N1499" t="str">
        <f>IFERROR(VLOOKUP(B1499,'[1]All Player'!$B$2:$C$1992,2,0),"")</f>
        <v>Arif Ziad</v>
      </c>
      <c r="O1499" s="2" t="s">
        <v>494</v>
      </c>
      <c r="P1499" s="14" t="s">
        <v>952</v>
      </c>
      <c r="Q1499" s="1">
        <f t="shared" si="55"/>
        <v>1</v>
      </c>
      <c r="R1499" s="1">
        <v>251</v>
      </c>
      <c r="U1499" s="8">
        <f t="shared" si="56"/>
        <v>44013</v>
      </c>
    </row>
    <row r="1500" spans="1:21" x14ac:dyDescent="0.25">
      <c r="A1500" s="2">
        <v>25</v>
      </c>
      <c r="B1500" t="s">
        <v>97</v>
      </c>
      <c r="C1500" s="2">
        <v>4</v>
      </c>
      <c r="D1500" s="2">
        <v>33</v>
      </c>
      <c r="E1500" s="2">
        <v>3</v>
      </c>
      <c r="F1500" s="2">
        <v>4</v>
      </c>
      <c r="G1500" s="2">
        <v>0</v>
      </c>
      <c r="H1500" s="2">
        <v>3</v>
      </c>
      <c r="I1500" s="2">
        <v>2</v>
      </c>
      <c r="J1500" s="1"/>
      <c r="M1500" t="s">
        <v>15</v>
      </c>
      <c r="N1500" t="str">
        <f>IFERROR(VLOOKUP(B1500,'[1]All Player'!$B$2:$C$1992,2,0),"")</f>
        <v>Sanju Pritom</v>
      </c>
      <c r="O1500" s="2" t="s">
        <v>494</v>
      </c>
      <c r="P1500" s="14" t="s">
        <v>952</v>
      </c>
      <c r="Q1500" s="1">
        <f t="shared" si="55"/>
        <v>1</v>
      </c>
      <c r="R1500" s="1">
        <v>251</v>
      </c>
      <c r="U1500" s="8">
        <f t="shared" si="56"/>
        <v>44013</v>
      </c>
    </row>
    <row r="1501" spans="1:21" x14ac:dyDescent="0.25">
      <c r="A1501" s="2">
        <v>25</v>
      </c>
      <c r="B1501" t="s">
        <v>403</v>
      </c>
      <c r="C1501" s="2">
        <v>6</v>
      </c>
      <c r="D1501" s="2">
        <v>141</v>
      </c>
      <c r="E1501" s="2">
        <v>5</v>
      </c>
      <c r="F1501" s="2">
        <v>7</v>
      </c>
      <c r="G1501" s="2">
        <v>1</v>
      </c>
      <c r="H1501" s="2">
        <v>14</v>
      </c>
      <c r="I1501" s="2">
        <v>8</v>
      </c>
      <c r="J1501" s="1"/>
      <c r="M1501" t="s">
        <v>15</v>
      </c>
      <c r="N1501" t="str">
        <f>IFERROR(VLOOKUP(B1501,'[1]All Player'!$B$2:$C$1992,2,0),"")</f>
        <v>Md Siyam Islam</v>
      </c>
      <c r="O1501" s="2" t="s">
        <v>494</v>
      </c>
      <c r="P1501" s="14" t="s">
        <v>952</v>
      </c>
      <c r="Q1501" s="1">
        <f t="shared" si="55"/>
        <v>1</v>
      </c>
      <c r="R1501" s="1">
        <v>251</v>
      </c>
      <c r="U1501" s="8">
        <f t="shared" si="56"/>
        <v>44013</v>
      </c>
    </row>
    <row r="1502" spans="1:21" x14ac:dyDescent="0.25">
      <c r="A1502" s="2">
        <v>25</v>
      </c>
      <c r="B1502" t="s">
        <v>234</v>
      </c>
      <c r="C1502" s="2">
        <v>6</v>
      </c>
      <c r="D1502" s="2">
        <v>41</v>
      </c>
      <c r="E1502" s="2">
        <v>5</v>
      </c>
      <c r="F1502" s="2">
        <v>7</v>
      </c>
      <c r="G1502" s="2">
        <v>0</v>
      </c>
      <c r="H1502" s="2">
        <v>2</v>
      </c>
      <c r="I1502" s="2">
        <v>3</v>
      </c>
      <c r="J1502" s="1"/>
      <c r="M1502" t="s">
        <v>15</v>
      </c>
      <c r="N1502" t="str">
        <f>IFERROR(VLOOKUP(B1502,'[1]All Player'!$B$2:$C$1992,2,0),"")</f>
        <v>Rafi Islam</v>
      </c>
      <c r="O1502" s="2" t="s">
        <v>494</v>
      </c>
      <c r="P1502" s="14" t="s">
        <v>952</v>
      </c>
      <c r="Q1502" s="1">
        <f t="shared" si="55"/>
        <v>1</v>
      </c>
      <c r="R1502" s="1">
        <v>251</v>
      </c>
      <c r="U1502" s="8">
        <f t="shared" si="56"/>
        <v>44013</v>
      </c>
    </row>
    <row r="1503" spans="1:21" x14ac:dyDescent="0.25">
      <c r="A1503" s="2">
        <v>25</v>
      </c>
      <c r="B1503" t="s">
        <v>953</v>
      </c>
      <c r="J1503" s="1"/>
      <c r="M1503" t="s">
        <v>15</v>
      </c>
      <c r="N1503" t="str">
        <f>IFERROR(VLOOKUP(B1503,'[1]All Player'!$B$2:$C$1992,2,0),"")</f>
        <v/>
      </c>
      <c r="O1503" s="2" t="s">
        <v>494</v>
      </c>
      <c r="P1503" s="14" t="s">
        <v>953</v>
      </c>
      <c r="Q1503" s="1">
        <f t="shared" si="55"/>
        <v>1</v>
      </c>
      <c r="R1503" s="1">
        <v>252</v>
      </c>
      <c r="U1503" s="8">
        <f t="shared" si="56"/>
        <v>44013</v>
      </c>
    </row>
    <row r="1504" spans="1:21" x14ac:dyDescent="0.25">
      <c r="A1504" s="2">
        <v>25</v>
      </c>
      <c r="B1504" t="s">
        <v>64</v>
      </c>
      <c r="C1504" s="2">
        <v>6</v>
      </c>
      <c r="D1504" s="2">
        <v>114</v>
      </c>
      <c r="E1504" s="2">
        <v>6</v>
      </c>
      <c r="F1504" s="2">
        <v>10</v>
      </c>
      <c r="G1504" s="2">
        <v>0</v>
      </c>
      <c r="H1504" s="2">
        <v>9</v>
      </c>
      <c r="I1504" s="2">
        <v>6</v>
      </c>
      <c r="J1504" s="1"/>
      <c r="M1504" t="s">
        <v>15</v>
      </c>
      <c r="N1504" t="str">
        <f>IFERROR(VLOOKUP(B1504,'[1]All Player'!$B$2:$C$1992,2,0),"")</f>
        <v>Sumon Ab</v>
      </c>
      <c r="O1504" s="2" t="s">
        <v>494</v>
      </c>
      <c r="P1504" s="14" t="s">
        <v>953</v>
      </c>
      <c r="Q1504" s="1">
        <f t="shared" si="55"/>
        <v>1</v>
      </c>
      <c r="R1504" s="1">
        <v>252</v>
      </c>
      <c r="U1504" s="8">
        <f t="shared" si="56"/>
        <v>44013</v>
      </c>
    </row>
    <row r="1505" spans="1:22" x14ac:dyDescent="0.25">
      <c r="A1505" s="2">
        <v>25</v>
      </c>
      <c r="B1505" t="s">
        <v>809</v>
      </c>
      <c r="C1505" s="2">
        <v>6</v>
      </c>
      <c r="D1505" s="2">
        <v>70</v>
      </c>
      <c r="E1505" s="2">
        <v>9</v>
      </c>
      <c r="F1505" s="2">
        <v>11</v>
      </c>
      <c r="G1505" s="2">
        <v>0</v>
      </c>
      <c r="H1505" s="2">
        <v>5</v>
      </c>
      <c r="I1505" s="2">
        <v>4</v>
      </c>
      <c r="J1505" s="1"/>
      <c r="M1505" t="s">
        <v>15</v>
      </c>
      <c r="N1505" t="str">
        <f>IFERROR(VLOOKUP(B1505,'[1]All Player'!$B$2:$C$1992,2,0),"")</f>
        <v>ShiShir Hossain</v>
      </c>
      <c r="O1505" s="2" t="s">
        <v>494</v>
      </c>
      <c r="P1505" s="14" t="s">
        <v>953</v>
      </c>
      <c r="Q1505" s="1">
        <f t="shared" si="55"/>
        <v>1</v>
      </c>
      <c r="R1505" s="1">
        <v>252</v>
      </c>
      <c r="U1505" s="8">
        <f t="shared" si="56"/>
        <v>44013</v>
      </c>
    </row>
    <row r="1506" spans="1:22" x14ac:dyDescent="0.25">
      <c r="A1506" s="2">
        <v>25</v>
      </c>
      <c r="B1506" t="s">
        <v>74</v>
      </c>
      <c r="C1506" s="2">
        <v>6</v>
      </c>
      <c r="D1506" s="2">
        <v>86</v>
      </c>
      <c r="E1506" s="2">
        <v>6</v>
      </c>
      <c r="F1506" s="2">
        <v>8</v>
      </c>
      <c r="G1506" s="2">
        <v>0</v>
      </c>
      <c r="H1506" s="2">
        <v>6</v>
      </c>
      <c r="I1506" s="2">
        <v>7</v>
      </c>
      <c r="J1506" s="1"/>
      <c r="M1506" t="s">
        <v>15</v>
      </c>
      <c r="N1506" t="str">
        <f>IFERROR(VLOOKUP(B1506,'[1]All Player'!$B$2:$C$1992,2,0),"")</f>
        <v>Sakib Arafat</v>
      </c>
      <c r="O1506" s="2" t="s">
        <v>494</v>
      </c>
      <c r="P1506" s="14" t="s">
        <v>953</v>
      </c>
      <c r="Q1506" s="1">
        <f t="shared" si="55"/>
        <v>1</v>
      </c>
      <c r="R1506" s="1">
        <v>252</v>
      </c>
      <c r="U1506" s="8">
        <f t="shared" si="56"/>
        <v>44013</v>
      </c>
    </row>
    <row r="1507" spans="1:22" x14ac:dyDescent="0.25">
      <c r="A1507" s="2">
        <v>25</v>
      </c>
      <c r="B1507" t="s">
        <v>68</v>
      </c>
      <c r="C1507" s="2">
        <v>4</v>
      </c>
      <c r="D1507" s="2">
        <v>41</v>
      </c>
      <c r="E1507" s="2">
        <v>5</v>
      </c>
      <c r="F1507" s="2">
        <v>5</v>
      </c>
      <c r="G1507" s="2">
        <v>0</v>
      </c>
      <c r="H1507" s="2">
        <v>2</v>
      </c>
      <c r="I1507" s="2">
        <v>3</v>
      </c>
      <c r="J1507" s="1"/>
      <c r="M1507" t="s">
        <v>15</v>
      </c>
      <c r="N1507" t="str">
        <f>IFERROR(VLOOKUP(B1507,'[1]All Player'!$B$2:$C$1992,2,0),"")</f>
        <v>Ahmad Sajid Abdullah</v>
      </c>
      <c r="O1507" s="2" t="s">
        <v>494</v>
      </c>
      <c r="P1507" s="14" t="s">
        <v>953</v>
      </c>
      <c r="Q1507" s="1">
        <f t="shared" si="55"/>
        <v>1</v>
      </c>
      <c r="R1507" s="1">
        <v>252</v>
      </c>
      <c r="U1507" s="8">
        <f t="shared" si="56"/>
        <v>44013</v>
      </c>
    </row>
    <row r="1508" spans="1:22" x14ac:dyDescent="0.25">
      <c r="A1508" s="2">
        <v>25</v>
      </c>
      <c r="B1508" t="s">
        <v>356</v>
      </c>
      <c r="C1508" s="2">
        <v>4</v>
      </c>
      <c r="D1508" s="2">
        <v>30</v>
      </c>
      <c r="E1508" s="2">
        <v>7</v>
      </c>
      <c r="F1508" s="2">
        <v>5</v>
      </c>
      <c r="G1508" s="2">
        <v>0</v>
      </c>
      <c r="H1508" s="2">
        <v>3</v>
      </c>
      <c r="I1508" s="2">
        <v>1</v>
      </c>
      <c r="J1508" s="1"/>
      <c r="M1508" t="s">
        <v>15</v>
      </c>
      <c r="N1508" t="str">
        <f>IFERROR(VLOOKUP(B1508,'[1]All Player'!$B$2:$C$1992,2,0),"")</f>
        <v>Shafayat Miraj</v>
      </c>
      <c r="O1508" s="2" t="s">
        <v>494</v>
      </c>
      <c r="P1508" s="14" t="s">
        <v>953</v>
      </c>
      <c r="Q1508" s="1">
        <f t="shared" si="55"/>
        <v>1</v>
      </c>
      <c r="R1508" s="1">
        <v>252</v>
      </c>
      <c r="U1508" s="8">
        <f t="shared" si="56"/>
        <v>44013</v>
      </c>
    </row>
    <row r="1509" spans="1:22" x14ac:dyDescent="0.25">
      <c r="A1509" s="2">
        <v>26</v>
      </c>
      <c r="B1509" s="17" t="s">
        <v>954</v>
      </c>
      <c r="J1509" s="1"/>
      <c r="M1509" t="s">
        <v>15</v>
      </c>
      <c r="N1509" t="str">
        <f>IFERROR(VLOOKUP(B1509,'[1]All Player'!$B$2:$C$1992,2,0),"")</f>
        <v/>
      </c>
      <c r="O1509" s="2" t="s">
        <v>622</v>
      </c>
      <c r="P1509" s="14" t="s">
        <v>954</v>
      </c>
      <c r="Q1509" s="1">
        <f t="shared" si="55"/>
        <v>1</v>
      </c>
      <c r="R1509" s="1">
        <v>253</v>
      </c>
      <c r="U1509" s="8">
        <v>44256</v>
      </c>
    </row>
    <row r="1510" spans="1:22" x14ac:dyDescent="0.25">
      <c r="A1510" s="2">
        <v>26</v>
      </c>
      <c r="B1510" t="s">
        <v>955</v>
      </c>
      <c r="C1510" s="2">
        <v>8</v>
      </c>
      <c r="D1510" s="2">
        <v>82</v>
      </c>
      <c r="E1510" s="2">
        <v>11</v>
      </c>
      <c r="F1510" s="2">
        <v>11</v>
      </c>
      <c r="G1510" s="2">
        <v>1</v>
      </c>
      <c r="H1510" s="2">
        <v>3</v>
      </c>
      <c r="I1510" s="2">
        <v>6</v>
      </c>
      <c r="J1510" s="1">
        <v>0</v>
      </c>
      <c r="M1510" t="s">
        <v>15</v>
      </c>
      <c r="N1510" t="str">
        <f>IFERROR(VLOOKUP(B1510,'[1]All Player'!$B$2:$C$1992,2,0),"")</f>
        <v>Asik Hassan Tonmoy</v>
      </c>
      <c r="O1510" s="2" t="s">
        <v>622</v>
      </c>
      <c r="P1510" s="14" t="s">
        <v>954</v>
      </c>
      <c r="Q1510" s="1">
        <f t="shared" si="55"/>
        <v>1</v>
      </c>
      <c r="R1510" s="1">
        <v>253</v>
      </c>
      <c r="U1510" s="8">
        <f t="array" ref="U1510:U1581">U1509</f>
        <v>44256</v>
      </c>
    </row>
    <row r="1511" spans="1:22" x14ac:dyDescent="0.25">
      <c r="A1511" s="2">
        <v>26</v>
      </c>
      <c r="B1511" t="s">
        <v>956</v>
      </c>
      <c r="C1511" s="2">
        <v>8</v>
      </c>
      <c r="D1511" s="2">
        <v>125</v>
      </c>
      <c r="E1511" s="2">
        <v>13</v>
      </c>
      <c r="F1511" s="2">
        <v>13</v>
      </c>
      <c r="G1511" s="2">
        <v>4</v>
      </c>
      <c r="H1511" s="2">
        <v>9</v>
      </c>
      <c r="I1511" s="2">
        <v>7</v>
      </c>
      <c r="J1511" s="1">
        <v>0</v>
      </c>
      <c r="M1511" t="s">
        <v>15</v>
      </c>
      <c r="N1511" t="str">
        <f>IFERROR(VLOOKUP(B1511,'[1]All Player'!$B$2:$C$1992,2,0),"")</f>
        <v>Tanvir Shakib</v>
      </c>
      <c r="O1511" s="2" t="s">
        <v>622</v>
      </c>
      <c r="P1511" s="14" t="s">
        <v>954</v>
      </c>
      <c r="Q1511" s="1">
        <f t="shared" si="55"/>
        <v>1</v>
      </c>
      <c r="R1511" s="1">
        <v>253</v>
      </c>
      <c r="U1511" s="8">
        <v>44256</v>
      </c>
    </row>
    <row r="1512" spans="1:22" x14ac:dyDescent="0.25">
      <c r="A1512" s="2">
        <v>26</v>
      </c>
      <c r="B1512" t="s">
        <v>732</v>
      </c>
      <c r="C1512" s="2">
        <v>8</v>
      </c>
      <c r="D1512" s="2">
        <v>125</v>
      </c>
      <c r="E1512" s="2">
        <v>7</v>
      </c>
      <c r="F1512" s="2">
        <v>8</v>
      </c>
      <c r="G1512" s="2">
        <v>0</v>
      </c>
      <c r="H1512" s="2">
        <v>12</v>
      </c>
      <c r="I1512" s="2">
        <v>11</v>
      </c>
      <c r="J1512" s="1">
        <v>0</v>
      </c>
      <c r="M1512" t="s">
        <v>15</v>
      </c>
      <c r="N1512" t="str">
        <f>IFERROR(VLOOKUP(B1512,'[1]All Player'!$B$2:$C$1992,2,0),"")</f>
        <v>Rakib Hasan</v>
      </c>
      <c r="O1512" s="2" t="s">
        <v>622</v>
      </c>
      <c r="P1512" s="14" t="s">
        <v>954</v>
      </c>
      <c r="Q1512" s="1">
        <f t="shared" si="55"/>
        <v>1</v>
      </c>
      <c r="R1512" s="1">
        <v>253</v>
      </c>
      <c r="U1512" s="8">
        <v>44256</v>
      </c>
    </row>
    <row r="1513" spans="1:22" x14ac:dyDescent="0.25">
      <c r="A1513" s="2">
        <v>26</v>
      </c>
      <c r="B1513" t="s">
        <v>957</v>
      </c>
      <c r="C1513" s="2">
        <v>8</v>
      </c>
      <c r="D1513" s="2">
        <v>96</v>
      </c>
      <c r="E1513" s="2">
        <v>5</v>
      </c>
      <c r="F1513" s="2">
        <v>9</v>
      </c>
      <c r="G1513" s="2">
        <v>0</v>
      </c>
      <c r="H1513" s="2">
        <v>9</v>
      </c>
      <c r="I1513" s="2">
        <v>6</v>
      </c>
      <c r="J1513" s="1">
        <v>0</v>
      </c>
      <c r="M1513" t="s">
        <v>15</v>
      </c>
      <c r="N1513" t="str">
        <f>IFERROR(VLOOKUP(B1513,'[1]All Player'!$B$2:$C$1992,2,0),"")</f>
        <v>SH Shamim</v>
      </c>
      <c r="O1513" s="2" t="s">
        <v>622</v>
      </c>
      <c r="P1513" s="14" t="s">
        <v>954</v>
      </c>
      <c r="Q1513" s="1">
        <f t="shared" si="55"/>
        <v>1</v>
      </c>
      <c r="R1513" s="1">
        <v>253</v>
      </c>
      <c r="U1513" s="8">
        <v>44256</v>
      </c>
    </row>
    <row r="1514" spans="1:22" x14ac:dyDescent="0.25">
      <c r="A1514" s="2">
        <v>26</v>
      </c>
      <c r="B1514" t="s">
        <v>958</v>
      </c>
      <c r="C1514" s="2">
        <v>6</v>
      </c>
      <c r="D1514" s="2">
        <v>58</v>
      </c>
      <c r="E1514" s="2">
        <v>7</v>
      </c>
      <c r="F1514" s="2">
        <v>5</v>
      </c>
      <c r="G1514" s="2">
        <v>0</v>
      </c>
      <c r="H1514" s="2">
        <v>9</v>
      </c>
      <c r="I1514" s="2">
        <v>2</v>
      </c>
      <c r="J1514" s="1">
        <v>0</v>
      </c>
      <c r="M1514" t="s">
        <v>15</v>
      </c>
      <c r="N1514" t="str">
        <f>IFERROR(VLOOKUP(B1514,'[1]All Player'!$B$2:$C$1992,2,0),"")</f>
        <v>Mohammad Asif</v>
      </c>
      <c r="O1514" s="2" t="s">
        <v>622</v>
      </c>
      <c r="P1514" s="14" t="s">
        <v>954</v>
      </c>
      <c r="Q1514" s="1">
        <f t="shared" si="55"/>
        <v>1</v>
      </c>
      <c r="R1514" s="1">
        <v>253</v>
      </c>
      <c r="U1514" s="8">
        <v>44256</v>
      </c>
    </row>
    <row r="1515" spans="1:22" x14ac:dyDescent="0.25">
      <c r="A1515" s="2">
        <v>26</v>
      </c>
      <c r="B1515" s="17" t="s">
        <v>959</v>
      </c>
      <c r="J1515" s="1"/>
      <c r="M1515" t="s">
        <v>15</v>
      </c>
      <c r="N1515" t="str">
        <f>IFERROR(VLOOKUP(B1515,'[1]All Player'!$B$2:$C$1992,2,0),"")</f>
        <v/>
      </c>
      <c r="O1515" s="2" t="s">
        <v>622</v>
      </c>
      <c r="P1515" s="14" t="s">
        <v>959</v>
      </c>
      <c r="Q1515" s="1">
        <f t="shared" si="55"/>
        <v>1</v>
      </c>
      <c r="R1515" s="1">
        <v>254</v>
      </c>
      <c r="U1515" s="8">
        <v>44256</v>
      </c>
    </row>
    <row r="1516" spans="1:22" x14ac:dyDescent="0.25">
      <c r="A1516" s="2">
        <v>26</v>
      </c>
      <c r="B1516" t="s">
        <v>960</v>
      </c>
      <c r="C1516" s="2">
        <v>6</v>
      </c>
      <c r="D1516" s="2">
        <v>209</v>
      </c>
      <c r="E1516" s="2">
        <v>11</v>
      </c>
      <c r="F1516" s="2">
        <v>10</v>
      </c>
      <c r="G1516" s="2">
        <v>3</v>
      </c>
      <c r="H1516" s="2">
        <v>17</v>
      </c>
      <c r="I1516" s="2">
        <v>13</v>
      </c>
      <c r="J1516" s="1">
        <v>0</v>
      </c>
      <c r="M1516" t="s">
        <v>15</v>
      </c>
      <c r="N1516" t="str">
        <f>IFERROR(VLOOKUP(B1516,'[1]All Player'!$B$2:$C$1992,2,0),"")</f>
        <v>Shahriar Khokon</v>
      </c>
      <c r="O1516" s="2" t="s">
        <v>622</v>
      </c>
      <c r="P1516" s="14" t="s">
        <v>959</v>
      </c>
      <c r="Q1516" s="1">
        <f t="shared" si="55"/>
        <v>1</v>
      </c>
      <c r="R1516" s="1">
        <v>254</v>
      </c>
      <c r="U1516" s="8">
        <v>44256</v>
      </c>
      <c r="V1516" s="1">
        <v>1</v>
      </c>
    </row>
    <row r="1517" spans="1:22" x14ac:dyDescent="0.25">
      <c r="A1517" s="2">
        <v>26</v>
      </c>
      <c r="B1517" t="s">
        <v>228</v>
      </c>
      <c r="C1517" s="2">
        <v>6</v>
      </c>
      <c r="D1517" s="2">
        <v>168</v>
      </c>
      <c r="E1517" s="2">
        <v>13</v>
      </c>
      <c r="F1517" s="2">
        <v>9</v>
      </c>
      <c r="G1517" s="2">
        <v>2</v>
      </c>
      <c r="H1517" s="2">
        <v>6</v>
      </c>
      <c r="I1517" s="2">
        <v>14</v>
      </c>
      <c r="J1517" s="1">
        <v>1</v>
      </c>
      <c r="M1517" t="s">
        <v>15</v>
      </c>
      <c r="N1517" t="str">
        <f>IFERROR(VLOOKUP(B1517,'[1]All Player'!$B$2:$C$1992,2,0),"")</f>
        <v>Arif Ziad</v>
      </c>
      <c r="O1517" s="2" t="s">
        <v>622</v>
      </c>
      <c r="P1517" s="14" t="s">
        <v>959</v>
      </c>
      <c r="Q1517" s="1">
        <f t="shared" si="55"/>
        <v>1</v>
      </c>
      <c r="R1517" s="1">
        <v>254</v>
      </c>
      <c r="U1517" s="8">
        <v>44256</v>
      </c>
    </row>
    <row r="1518" spans="1:22" x14ac:dyDescent="0.25">
      <c r="A1518" s="2">
        <v>26</v>
      </c>
      <c r="B1518" t="s">
        <v>961</v>
      </c>
      <c r="C1518" s="2">
        <v>4</v>
      </c>
      <c r="D1518" s="2">
        <v>51</v>
      </c>
      <c r="E1518" s="2">
        <v>4</v>
      </c>
      <c r="F1518" s="2">
        <v>5</v>
      </c>
      <c r="G1518" s="2">
        <v>0</v>
      </c>
      <c r="H1518" s="2">
        <v>4</v>
      </c>
      <c r="I1518" s="2">
        <v>3</v>
      </c>
      <c r="J1518" s="1">
        <v>0</v>
      </c>
      <c r="M1518" t="s">
        <v>15</v>
      </c>
      <c r="N1518" t="str">
        <f>IFERROR(VLOOKUP(B1518,'[1]All Player'!$B$2:$C$1992,2,0),"")</f>
        <v>KM Rashedul Islam Rashed</v>
      </c>
      <c r="O1518" s="2" t="s">
        <v>622</v>
      </c>
      <c r="P1518" s="14" t="s">
        <v>959</v>
      </c>
      <c r="Q1518" s="1">
        <f t="shared" si="55"/>
        <v>1</v>
      </c>
      <c r="R1518" s="1">
        <v>254</v>
      </c>
      <c r="U1518" s="8">
        <v>44256</v>
      </c>
    </row>
    <row r="1519" spans="1:22" x14ac:dyDescent="0.25">
      <c r="A1519" s="2">
        <v>26</v>
      </c>
      <c r="B1519" t="s">
        <v>746</v>
      </c>
      <c r="C1519" s="2">
        <v>6</v>
      </c>
      <c r="D1519" s="2">
        <v>70</v>
      </c>
      <c r="E1519" s="2">
        <v>4</v>
      </c>
      <c r="F1519" s="2">
        <v>8</v>
      </c>
      <c r="G1519" s="2">
        <v>1</v>
      </c>
      <c r="H1519" s="2">
        <v>8</v>
      </c>
      <c r="I1519" s="2">
        <v>3</v>
      </c>
      <c r="J1519" s="1">
        <v>0</v>
      </c>
      <c r="M1519" t="s">
        <v>15</v>
      </c>
      <c r="N1519" t="str">
        <f>IFERROR(VLOOKUP(B1519,'[1]All Player'!$B$2:$C$1992,2,0),"")</f>
        <v>Sakib Arafat</v>
      </c>
      <c r="O1519" s="2" t="s">
        <v>622</v>
      </c>
      <c r="P1519" s="14" t="s">
        <v>959</v>
      </c>
      <c r="Q1519" s="1">
        <f t="shared" si="55"/>
        <v>1</v>
      </c>
      <c r="R1519" s="1">
        <v>254</v>
      </c>
      <c r="U1519" s="8">
        <v>44256</v>
      </c>
    </row>
    <row r="1520" spans="1:22" x14ac:dyDescent="0.25">
      <c r="A1520" s="2">
        <v>26</v>
      </c>
      <c r="B1520" t="s">
        <v>962</v>
      </c>
      <c r="C1520" s="2">
        <v>5</v>
      </c>
      <c r="D1520" s="2">
        <v>36</v>
      </c>
      <c r="E1520" s="2">
        <v>5</v>
      </c>
      <c r="F1520" s="2">
        <v>4</v>
      </c>
      <c r="G1520" s="2">
        <v>0</v>
      </c>
      <c r="H1520" s="2">
        <v>3</v>
      </c>
      <c r="I1520" s="2">
        <v>3</v>
      </c>
      <c r="J1520" s="1">
        <v>0</v>
      </c>
      <c r="M1520" t="s">
        <v>15</v>
      </c>
      <c r="N1520" t="str">
        <f>IFERROR(VLOOKUP(B1520,'[1]All Player'!$B$2:$C$1992,2,0),"")</f>
        <v>Monowar Hossain Munna</v>
      </c>
      <c r="O1520" s="2" t="s">
        <v>622</v>
      </c>
      <c r="P1520" s="14" t="s">
        <v>959</v>
      </c>
      <c r="Q1520" s="1">
        <f t="shared" si="55"/>
        <v>1</v>
      </c>
      <c r="R1520" s="1">
        <v>254</v>
      </c>
      <c r="U1520" s="8">
        <v>44256</v>
      </c>
    </row>
    <row r="1521" spans="1:21" x14ac:dyDescent="0.25">
      <c r="A1521" s="2">
        <v>26</v>
      </c>
      <c r="B1521" t="s">
        <v>963</v>
      </c>
      <c r="J1521" s="1"/>
      <c r="M1521" t="s">
        <v>15</v>
      </c>
      <c r="N1521" t="str">
        <f>IFERROR(VLOOKUP(B1521,'[1]All Player'!$B$2:$C$1992,2,0),"")</f>
        <v/>
      </c>
      <c r="O1521" s="2" t="s">
        <v>622</v>
      </c>
      <c r="P1521" s="14" t="s">
        <v>963</v>
      </c>
      <c r="Q1521" s="1">
        <f t="shared" si="55"/>
        <v>1</v>
      </c>
      <c r="R1521" s="1">
        <v>255</v>
      </c>
      <c r="U1521" s="8">
        <v>44256</v>
      </c>
    </row>
    <row r="1522" spans="1:21" x14ac:dyDescent="0.25">
      <c r="A1522" s="2">
        <v>26</v>
      </c>
      <c r="B1522" t="s">
        <v>964</v>
      </c>
      <c r="C1522" s="2">
        <v>5</v>
      </c>
      <c r="D1522" s="2">
        <v>169</v>
      </c>
      <c r="E1522" s="2">
        <v>8</v>
      </c>
      <c r="F1522" s="2">
        <v>10</v>
      </c>
      <c r="G1522" s="2">
        <v>1</v>
      </c>
      <c r="H1522" s="2">
        <v>13</v>
      </c>
      <c r="I1522" s="2">
        <v>8</v>
      </c>
      <c r="J1522" s="1">
        <v>0</v>
      </c>
      <c r="M1522" t="s">
        <v>15</v>
      </c>
      <c r="N1522" t="str">
        <f>IFERROR(VLOOKUP(B1522,'[1]All Player'!$B$2:$C$1992,2,0),"")</f>
        <v>MD Kamal Hossain Kamal</v>
      </c>
      <c r="O1522" s="2" t="s">
        <v>622</v>
      </c>
      <c r="P1522" s="14" t="s">
        <v>963</v>
      </c>
      <c r="Q1522" s="1">
        <f t="shared" si="55"/>
        <v>1</v>
      </c>
      <c r="R1522" s="1">
        <v>255</v>
      </c>
      <c r="U1522" s="8">
        <v>44256</v>
      </c>
    </row>
    <row r="1523" spans="1:21" x14ac:dyDescent="0.25">
      <c r="A1523" s="2">
        <v>26</v>
      </c>
      <c r="B1523" t="s">
        <v>965</v>
      </c>
      <c r="C1523" s="2">
        <v>5</v>
      </c>
      <c r="D1523" s="2">
        <v>76</v>
      </c>
      <c r="E1523" s="2">
        <v>6</v>
      </c>
      <c r="F1523" s="2">
        <v>9</v>
      </c>
      <c r="G1523" s="24">
        <v>1</v>
      </c>
      <c r="H1523" s="2">
        <v>7</v>
      </c>
      <c r="I1523" s="2">
        <v>5</v>
      </c>
      <c r="J1523" s="1">
        <v>0</v>
      </c>
      <c r="M1523" t="s">
        <v>15</v>
      </c>
      <c r="N1523" t="str">
        <f>IFERROR(VLOOKUP(B1523,'[1]All Player'!$B$2:$C$1992,2,0),"")</f>
        <v>Nur Muhammad</v>
      </c>
      <c r="O1523" s="2" t="s">
        <v>622</v>
      </c>
      <c r="P1523" s="14" t="s">
        <v>963</v>
      </c>
      <c r="Q1523" s="1">
        <f t="shared" si="55"/>
        <v>1</v>
      </c>
      <c r="R1523" s="1">
        <v>255</v>
      </c>
      <c r="U1523" s="8">
        <v>44256</v>
      </c>
    </row>
    <row r="1524" spans="1:21" x14ac:dyDescent="0.25">
      <c r="A1524" s="2">
        <v>26</v>
      </c>
      <c r="B1524" t="s">
        <v>966</v>
      </c>
      <c r="C1524" s="2">
        <v>4</v>
      </c>
      <c r="D1524" s="2">
        <v>44</v>
      </c>
      <c r="E1524" s="2">
        <v>2</v>
      </c>
      <c r="F1524" s="2">
        <v>4</v>
      </c>
      <c r="G1524" s="2">
        <v>0</v>
      </c>
      <c r="H1524" s="2">
        <v>5</v>
      </c>
      <c r="I1524" s="2">
        <v>3</v>
      </c>
      <c r="J1524" s="1">
        <v>0</v>
      </c>
      <c r="M1524" t="s">
        <v>15</v>
      </c>
      <c r="N1524" t="str">
        <f>IFERROR(VLOOKUP(B1524,'[1]All Player'!$B$2:$C$1992,2,0),"")</f>
        <v>Mostafizur Rahman Mithu</v>
      </c>
      <c r="O1524" s="2" t="s">
        <v>622</v>
      </c>
      <c r="P1524" s="14" t="s">
        <v>963</v>
      </c>
      <c r="Q1524" s="1">
        <f t="shared" si="55"/>
        <v>1</v>
      </c>
      <c r="R1524" s="1">
        <v>255</v>
      </c>
      <c r="U1524" s="8">
        <v>44256</v>
      </c>
    </row>
    <row r="1525" spans="1:21" x14ac:dyDescent="0.25">
      <c r="A1525" s="2">
        <v>26</v>
      </c>
      <c r="B1525" t="s">
        <v>967</v>
      </c>
      <c r="C1525" s="2">
        <v>5</v>
      </c>
      <c r="D1525" s="2">
        <v>38</v>
      </c>
      <c r="E1525" s="2">
        <v>5</v>
      </c>
      <c r="F1525" s="2">
        <v>6</v>
      </c>
      <c r="G1525" s="2">
        <v>0</v>
      </c>
      <c r="H1525" s="2">
        <v>3</v>
      </c>
      <c r="I1525" s="2">
        <v>2</v>
      </c>
      <c r="J1525" s="1">
        <v>0</v>
      </c>
      <c r="M1525" t="s">
        <v>15</v>
      </c>
      <c r="N1525" t="str">
        <f>IFERROR(VLOOKUP(B1525,'[1]All Player'!$B$2:$C$1992,2,0),"")</f>
        <v>Hj Himel</v>
      </c>
      <c r="O1525" s="2" t="s">
        <v>622</v>
      </c>
      <c r="P1525" s="14" t="s">
        <v>963</v>
      </c>
      <c r="Q1525" s="1">
        <f t="shared" si="55"/>
        <v>1</v>
      </c>
      <c r="R1525" s="1">
        <v>255</v>
      </c>
      <c r="U1525" s="8">
        <v>44256</v>
      </c>
    </row>
    <row r="1526" spans="1:21" x14ac:dyDescent="0.25">
      <c r="A1526" s="2">
        <v>26</v>
      </c>
      <c r="B1526" t="s">
        <v>968</v>
      </c>
      <c r="C1526" s="2">
        <v>5</v>
      </c>
      <c r="D1526" s="2">
        <v>22</v>
      </c>
      <c r="E1526" s="2">
        <v>6</v>
      </c>
      <c r="F1526" s="2">
        <v>5</v>
      </c>
      <c r="G1526" s="2">
        <v>0</v>
      </c>
      <c r="H1526" s="2">
        <v>1</v>
      </c>
      <c r="I1526" s="2">
        <v>2</v>
      </c>
      <c r="J1526" s="1">
        <v>0</v>
      </c>
      <c r="M1526" t="s">
        <v>15</v>
      </c>
      <c r="N1526" t="str">
        <f>IFERROR(VLOOKUP(B1526,'[1]All Player'!$B$2:$C$1992,2,0),"")</f>
        <v>Bandhon Podder Pranto</v>
      </c>
      <c r="O1526" s="2" t="s">
        <v>622</v>
      </c>
      <c r="P1526" s="14" t="s">
        <v>963</v>
      </c>
      <c r="Q1526" s="1">
        <f t="shared" si="55"/>
        <v>1</v>
      </c>
      <c r="R1526" s="1">
        <v>255</v>
      </c>
      <c r="U1526" s="8">
        <v>44256</v>
      </c>
    </row>
    <row r="1527" spans="1:21" x14ac:dyDescent="0.25">
      <c r="A1527" s="2">
        <v>26</v>
      </c>
      <c r="B1527" t="s">
        <v>624</v>
      </c>
      <c r="J1527" s="1"/>
      <c r="M1527" t="s">
        <v>15</v>
      </c>
      <c r="N1527" t="str">
        <f>IFERROR(VLOOKUP(B1527,'[1]All Player'!$B$2:$C$1992,2,0),"")</f>
        <v/>
      </c>
      <c r="O1527" s="2" t="s">
        <v>622</v>
      </c>
      <c r="P1527" s="14" t="s">
        <v>624</v>
      </c>
      <c r="Q1527" s="1">
        <f t="shared" si="55"/>
        <v>1</v>
      </c>
      <c r="R1527" s="1">
        <v>256</v>
      </c>
      <c r="T1527" s="1" t="s">
        <v>947</v>
      </c>
      <c r="U1527" s="8">
        <v>44256</v>
      </c>
    </row>
    <row r="1528" spans="1:21" x14ac:dyDescent="0.25">
      <c r="A1528" s="2">
        <v>26</v>
      </c>
      <c r="B1528" t="s">
        <v>969</v>
      </c>
      <c r="C1528" s="2">
        <v>8</v>
      </c>
      <c r="D1528" s="2">
        <v>114</v>
      </c>
      <c r="E1528" s="2">
        <v>8</v>
      </c>
      <c r="F1528" s="2">
        <v>9</v>
      </c>
      <c r="G1528" s="2">
        <v>1</v>
      </c>
      <c r="H1528" s="2">
        <v>6</v>
      </c>
      <c r="I1528" s="2">
        <v>10</v>
      </c>
      <c r="J1528" s="1">
        <v>1</v>
      </c>
      <c r="M1528" t="s">
        <v>15</v>
      </c>
      <c r="N1528" t="str">
        <f>IFERROR(VLOOKUP(B1528,'[1]All Player'!$B$2:$C$1992,2,0),"")</f>
        <v>Prince Tarek</v>
      </c>
      <c r="O1528" s="2" t="s">
        <v>622</v>
      </c>
      <c r="P1528" s="14" t="s">
        <v>624</v>
      </c>
      <c r="Q1528" s="1">
        <f t="shared" si="55"/>
        <v>1</v>
      </c>
      <c r="R1528" s="1">
        <v>256</v>
      </c>
      <c r="T1528" s="1" t="s">
        <v>947</v>
      </c>
      <c r="U1528" s="8">
        <v>44256</v>
      </c>
    </row>
    <row r="1529" spans="1:21" x14ac:dyDescent="0.25">
      <c r="A1529" s="2">
        <v>26</v>
      </c>
      <c r="B1529" t="s">
        <v>970</v>
      </c>
      <c r="C1529" s="2">
        <v>8</v>
      </c>
      <c r="D1529" s="2">
        <v>84</v>
      </c>
      <c r="E1529" s="2">
        <v>7</v>
      </c>
      <c r="F1529" s="2">
        <v>9</v>
      </c>
      <c r="G1529" s="2">
        <v>0</v>
      </c>
      <c r="H1529" s="2">
        <v>8</v>
      </c>
      <c r="I1529" s="2">
        <v>6</v>
      </c>
      <c r="J1529" s="1">
        <v>0</v>
      </c>
      <c r="M1529" t="s">
        <v>15</v>
      </c>
      <c r="N1529" t="str">
        <f>IFERROR(VLOOKUP(B1529,'[1]All Player'!$B$2:$C$1992,2,0),"")</f>
        <v>Mohammed Al Mamun</v>
      </c>
      <c r="O1529" s="2" t="s">
        <v>622</v>
      </c>
      <c r="P1529" s="14" t="s">
        <v>624</v>
      </c>
      <c r="Q1529" s="1">
        <f t="shared" si="55"/>
        <v>1</v>
      </c>
      <c r="R1529" s="1">
        <v>256</v>
      </c>
      <c r="T1529" s="1" t="s">
        <v>947</v>
      </c>
      <c r="U1529" s="8">
        <v>44256</v>
      </c>
    </row>
    <row r="1530" spans="1:21" x14ac:dyDescent="0.25">
      <c r="A1530" s="2">
        <v>26</v>
      </c>
      <c r="B1530" t="s">
        <v>971</v>
      </c>
      <c r="C1530" s="2">
        <v>8</v>
      </c>
      <c r="D1530" s="2">
        <v>132</v>
      </c>
      <c r="E1530" s="2">
        <v>10</v>
      </c>
      <c r="F1530" s="2">
        <v>11</v>
      </c>
      <c r="G1530" s="2">
        <v>2</v>
      </c>
      <c r="H1530" s="2">
        <v>19</v>
      </c>
      <c r="I1530" s="2">
        <v>4</v>
      </c>
      <c r="J1530" s="1">
        <v>0</v>
      </c>
      <c r="M1530" t="s">
        <v>15</v>
      </c>
      <c r="N1530" t="str">
        <f>IFERROR(VLOOKUP(B1530,'[1]All Player'!$B$2:$C$1992,2,0),"")</f>
        <v>Md. Tanveer Mahmud Ayan</v>
      </c>
      <c r="O1530" s="2" t="s">
        <v>622</v>
      </c>
      <c r="P1530" s="14" t="s">
        <v>624</v>
      </c>
      <c r="Q1530" s="1">
        <f t="shared" si="55"/>
        <v>1</v>
      </c>
      <c r="R1530" s="1">
        <v>256</v>
      </c>
      <c r="S1530" s="2" t="s">
        <v>658</v>
      </c>
      <c r="T1530" s="1" t="s">
        <v>947</v>
      </c>
      <c r="U1530" s="8">
        <v>44256</v>
      </c>
    </row>
    <row r="1531" spans="1:21" x14ac:dyDescent="0.25">
      <c r="A1531" s="2">
        <v>26</v>
      </c>
      <c r="B1531" t="s">
        <v>972</v>
      </c>
      <c r="C1531" s="2">
        <v>8</v>
      </c>
      <c r="D1531" s="2">
        <v>82</v>
      </c>
      <c r="E1531" s="2">
        <v>11</v>
      </c>
      <c r="F1531" s="2">
        <v>5</v>
      </c>
      <c r="G1531" s="2">
        <v>0</v>
      </c>
      <c r="H1531" s="2">
        <v>10</v>
      </c>
      <c r="I1531" s="2">
        <v>4</v>
      </c>
      <c r="J1531" s="1">
        <v>0</v>
      </c>
      <c r="M1531" t="s">
        <v>15</v>
      </c>
      <c r="N1531" t="str">
        <f>IFERROR(VLOOKUP(B1531,'[1]All Player'!$B$2:$C$1992,2,0),"")</f>
        <v>Naieem Islam Durjoy</v>
      </c>
      <c r="O1531" s="2" t="s">
        <v>622</v>
      </c>
      <c r="P1531" s="14" t="s">
        <v>624</v>
      </c>
      <c r="Q1531" s="1">
        <f t="shared" si="55"/>
        <v>1</v>
      </c>
      <c r="R1531" s="1">
        <v>256</v>
      </c>
      <c r="T1531" s="1" t="s">
        <v>947</v>
      </c>
      <c r="U1531" s="8">
        <v>44256</v>
      </c>
    </row>
    <row r="1532" spans="1:21" x14ac:dyDescent="0.25">
      <c r="A1532" s="2">
        <v>26</v>
      </c>
      <c r="B1532" t="s">
        <v>789</v>
      </c>
      <c r="C1532" s="2">
        <v>8</v>
      </c>
      <c r="D1532" s="2">
        <v>88</v>
      </c>
      <c r="E1532" s="2">
        <v>11</v>
      </c>
      <c r="F1532" s="2">
        <v>7</v>
      </c>
      <c r="G1532" s="2">
        <v>2</v>
      </c>
      <c r="H1532" s="2">
        <v>7</v>
      </c>
      <c r="I1532" s="2">
        <v>4</v>
      </c>
      <c r="J1532" s="1">
        <v>0</v>
      </c>
      <c r="M1532" t="s">
        <v>15</v>
      </c>
      <c r="N1532" t="str">
        <f>IFERROR(VLOOKUP(B1532,'[1]All Player'!$B$2:$C$1992,2,0),"")</f>
        <v>Azwad Awsaf</v>
      </c>
      <c r="O1532" s="2" t="s">
        <v>622</v>
      </c>
      <c r="P1532" s="14" t="s">
        <v>624</v>
      </c>
      <c r="Q1532" s="1">
        <f t="shared" si="55"/>
        <v>1</v>
      </c>
      <c r="R1532" s="1">
        <v>256</v>
      </c>
      <c r="T1532" s="1" t="s">
        <v>947</v>
      </c>
      <c r="U1532" s="8">
        <v>44256</v>
      </c>
    </row>
    <row r="1533" spans="1:21" x14ac:dyDescent="0.25">
      <c r="A1533" s="2">
        <v>26</v>
      </c>
      <c r="B1533" t="s">
        <v>973</v>
      </c>
      <c r="J1533" s="1"/>
      <c r="M1533" t="s">
        <v>15</v>
      </c>
      <c r="N1533" t="str">
        <f>IFERROR(VLOOKUP(B1533,'[1]All Player'!$B$2:$C$1992,2,0),"")</f>
        <v/>
      </c>
      <c r="O1533" s="2" t="s">
        <v>622</v>
      </c>
      <c r="P1533" s="14" t="s">
        <v>973</v>
      </c>
      <c r="Q1533" s="1">
        <f t="shared" si="55"/>
        <v>1</v>
      </c>
      <c r="R1533" s="1">
        <v>257</v>
      </c>
      <c r="U1533" s="8">
        <v>44256</v>
      </c>
    </row>
    <row r="1534" spans="1:21" x14ac:dyDescent="0.25">
      <c r="A1534" s="2">
        <v>26</v>
      </c>
      <c r="B1534" t="s">
        <v>974</v>
      </c>
      <c r="C1534" s="2">
        <v>5</v>
      </c>
      <c r="D1534" s="2">
        <v>91</v>
      </c>
      <c r="E1534" s="2">
        <v>4</v>
      </c>
      <c r="F1534" s="2">
        <v>9</v>
      </c>
      <c r="G1534" s="2">
        <v>1</v>
      </c>
      <c r="H1534" s="2">
        <v>9</v>
      </c>
      <c r="I1534" s="2">
        <v>6</v>
      </c>
      <c r="J1534" s="1">
        <v>0</v>
      </c>
      <c r="M1534" t="s">
        <v>15</v>
      </c>
      <c r="N1534" t="str">
        <f>IFERROR(VLOOKUP(B1534,'[1]All Player'!$B$2:$C$1992,2,0),"")</f>
        <v>Mahbubur Rahman Akash</v>
      </c>
      <c r="O1534" s="2" t="s">
        <v>622</v>
      </c>
      <c r="P1534" s="14" t="s">
        <v>973</v>
      </c>
      <c r="Q1534" s="1">
        <f t="shared" si="55"/>
        <v>1</v>
      </c>
      <c r="R1534" s="1">
        <v>257</v>
      </c>
      <c r="U1534" s="8">
        <v>44256</v>
      </c>
    </row>
    <row r="1535" spans="1:21" x14ac:dyDescent="0.25">
      <c r="A1535" s="2">
        <v>26</v>
      </c>
      <c r="B1535" t="s">
        <v>714</v>
      </c>
      <c r="C1535" s="2">
        <v>5</v>
      </c>
      <c r="D1535" s="2">
        <v>111</v>
      </c>
      <c r="E1535" s="2">
        <v>7</v>
      </c>
      <c r="F1535" s="2">
        <v>11</v>
      </c>
      <c r="G1535" s="2">
        <v>0</v>
      </c>
      <c r="H1535" s="2">
        <v>12</v>
      </c>
      <c r="I1535" s="2">
        <v>3</v>
      </c>
      <c r="J1535" s="1">
        <v>1</v>
      </c>
      <c r="M1535" t="s">
        <v>15</v>
      </c>
      <c r="N1535" t="str">
        <f>IFERROR(VLOOKUP(B1535,'[1]All Player'!$B$2:$C$1992,2,0),"")</f>
        <v>Zaheed Hasan</v>
      </c>
      <c r="O1535" s="2" t="s">
        <v>622</v>
      </c>
      <c r="P1535" s="14" t="s">
        <v>973</v>
      </c>
      <c r="Q1535" s="1">
        <f t="shared" si="55"/>
        <v>1</v>
      </c>
      <c r="R1535" s="1">
        <v>257</v>
      </c>
      <c r="U1535" s="8">
        <v>44256</v>
      </c>
    </row>
    <row r="1536" spans="1:21" x14ac:dyDescent="0.25">
      <c r="A1536" s="2">
        <v>26</v>
      </c>
      <c r="B1536" t="s">
        <v>975</v>
      </c>
      <c r="C1536" s="2">
        <v>4</v>
      </c>
      <c r="D1536" s="2">
        <v>16</v>
      </c>
      <c r="E1536" s="2">
        <v>7</v>
      </c>
      <c r="F1536" s="2">
        <v>2</v>
      </c>
      <c r="G1536" s="2">
        <v>0</v>
      </c>
      <c r="H1536" s="2">
        <v>2</v>
      </c>
      <c r="I1536" s="2">
        <v>1</v>
      </c>
      <c r="J1536" s="1">
        <v>0</v>
      </c>
      <c r="M1536" t="s">
        <v>15</v>
      </c>
      <c r="N1536" t="str">
        <f>IFERROR(VLOOKUP(B1536,'[1]All Player'!$B$2:$C$1992,2,0),"")</f>
        <v>Sayed Anowar Shanto</v>
      </c>
      <c r="O1536" s="2" t="s">
        <v>622</v>
      </c>
      <c r="P1536" s="14" t="s">
        <v>973</v>
      </c>
      <c r="Q1536" s="1">
        <f t="shared" si="55"/>
        <v>1</v>
      </c>
      <c r="R1536" s="1">
        <v>257</v>
      </c>
      <c r="U1536" s="8">
        <v>44256</v>
      </c>
    </row>
    <row r="1537" spans="1:23" x14ac:dyDescent="0.25">
      <c r="A1537" s="2">
        <v>26</v>
      </c>
      <c r="B1537" t="s">
        <v>976</v>
      </c>
      <c r="C1537" s="2">
        <v>5</v>
      </c>
      <c r="D1537" s="2">
        <v>54</v>
      </c>
      <c r="E1537" s="2">
        <v>5</v>
      </c>
      <c r="F1537" s="2">
        <v>7</v>
      </c>
      <c r="G1537" s="2">
        <v>0</v>
      </c>
      <c r="H1537" s="2">
        <v>7</v>
      </c>
      <c r="I1537" s="2">
        <v>1</v>
      </c>
      <c r="J1537" s="1">
        <v>0</v>
      </c>
      <c r="M1537" t="s">
        <v>15</v>
      </c>
      <c r="N1537" t="str">
        <f>IFERROR(VLOOKUP(B1537,'[1]All Player'!$B$2:$C$1992,2,0),"")</f>
        <v>Mehedi Hasan Joy</v>
      </c>
      <c r="O1537" s="2" t="s">
        <v>622</v>
      </c>
      <c r="P1537" s="14" t="s">
        <v>973</v>
      </c>
      <c r="Q1537" s="1">
        <f t="shared" si="55"/>
        <v>1</v>
      </c>
      <c r="R1537" s="1">
        <v>257</v>
      </c>
      <c r="U1537" s="8">
        <v>44256</v>
      </c>
    </row>
    <row r="1538" spans="1:23" x14ac:dyDescent="0.25">
      <c r="A1538" s="2">
        <v>26</v>
      </c>
      <c r="B1538" t="s">
        <v>424</v>
      </c>
      <c r="C1538" s="2">
        <v>3</v>
      </c>
      <c r="D1538" s="2">
        <v>35</v>
      </c>
      <c r="E1538" s="2">
        <v>6</v>
      </c>
      <c r="F1538" s="2">
        <v>5</v>
      </c>
      <c r="G1538" s="2">
        <v>0</v>
      </c>
      <c r="H1538" s="2">
        <v>1</v>
      </c>
      <c r="I1538" s="2">
        <v>3</v>
      </c>
      <c r="J1538" s="1">
        <v>0</v>
      </c>
      <c r="M1538" t="s">
        <v>15</v>
      </c>
      <c r="N1538" t="str">
        <f>IFERROR(VLOOKUP(B1538,'[1]All Player'!$B$2:$C$1992,2,0),"")</f>
        <v>Rakib Hossain</v>
      </c>
      <c r="O1538" s="2" t="s">
        <v>622</v>
      </c>
      <c r="P1538" s="14" t="s">
        <v>973</v>
      </c>
      <c r="Q1538" s="1">
        <f t="shared" ref="Q1538:Q1601" si="57">IF(B1538="","",1)</f>
        <v>1</v>
      </c>
      <c r="R1538" s="1">
        <v>257</v>
      </c>
      <c r="U1538" s="8">
        <v>44256</v>
      </c>
    </row>
    <row r="1539" spans="1:23" x14ac:dyDescent="0.25">
      <c r="A1539" s="2">
        <v>26</v>
      </c>
      <c r="B1539" t="s">
        <v>977</v>
      </c>
      <c r="J1539" s="1"/>
      <c r="M1539" t="s">
        <v>15</v>
      </c>
      <c r="N1539" t="str">
        <f>IFERROR(VLOOKUP(B1539,'[1]All Player'!$B$2:$C$1992,2,0),"")</f>
        <v/>
      </c>
      <c r="O1539" s="2" t="s">
        <v>622</v>
      </c>
      <c r="P1539" s="14" t="s">
        <v>977</v>
      </c>
      <c r="Q1539" s="1">
        <f t="shared" si="57"/>
        <v>1</v>
      </c>
      <c r="R1539" s="1">
        <v>258</v>
      </c>
      <c r="U1539" s="8">
        <v>44256</v>
      </c>
    </row>
    <row r="1540" spans="1:23" x14ac:dyDescent="0.25">
      <c r="A1540" s="2">
        <v>26</v>
      </c>
      <c r="B1540" t="s">
        <v>978</v>
      </c>
      <c r="C1540" s="2">
        <v>6</v>
      </c>
      <c r="D1540" s="2">
        <v>134</v>
      </c>
      <c r="E1540" s="2">
        <v>15</v>
      </c>
      <c r="F1540" s="2">
        <v>8</v>
      </c>
      <c r="G1540" s="2">
        <v>0</v>
      </c>
      <c r="H1540" s="2">
        <v>16</v>
      </c>
      <c r="I1540" s="2">
        <v>8</v>
      </c>
      <c r="J1540" s="1">
        <v>0</v>
      </c>
      <c r="M1540" t="s">
        <v>15</v>
      </c>
      <c r="N1540" t="str">
        <f>IFERROR(VLOOKUP(B1540,'[1]All Player'!$B$2:$C$1992,2,0),"")</f>
        <v>Faisal Ahmed Jhony</v>
      </c>
      <c r="O1540" s="2" t="s">
        <v>622</v>
      </c>
      <c r="P1540" s="14" t="s">
        <v>977</v>
      </c>
      <c r="Q1540" s="1">
        <f t="shared" si="57"/>
        <v>1</v>
      </c>
      <c r="R1540" s="1">
        <v>258</v>
      </c>
      <c r="U1540" s="8">
        <v>44256</v>
      </c>
      <c r="W1540" s="1">
        <v>1</v>
      </c>
    </row>
    <row r="1541" spans="1:23" x14ac:dyDescent="0.25">
      <c r="A1541" s="2">
        <v>26</v>
      </c>
      <c r="B1541" t="s">
        <v>979</v>
      </c>
      <c r="C1541" s="2">
        <v>5</v>
      </c>
      <c r="D1541" s="2">
        <v>133</v>
      </c>
      <c r="E1541" s="2">
        <v>3</v>
      </c>
      <c r="F1541" s="2">
        <v>8</v>
      </c>
      <c r="G1541" s="2">
        <v>4</v>
      </c>
      <c r="H1541" s="2">
        <v>6</v>
      </c>
      <c r="I1541" s="2">
        <v>11</v>
      </c>
      <c r="J1541" s="1">
        <v>0</v>
      </c>
      <c r="M1541" t="s">
        <v>15</v>
      </c>
      <c r="N1541" t="str">
        <f>IFERROR(VLOOKUP(B1541,'[1]All Player'!$B$2:$C$1992,2,0),"")</f>
        <v>Niamul Habib Setu</v>
      </c>
      <c r="O1541" s="2" t="s">
        <v>622</v>
      </c>
      <c r="P1541" s="14" t="s">
        <v>977</v>
      </c>
      <c r="Q1541" s="1">
        <f t="shared" si="57"/>
        <v>1</v>
      </c>
      <c r="R1541" s="1">
        <v>258</v>
      </c>
      <c r="U1541" s="8">
        <v>44256</v>
      </c>
    </row>
    <row r="1542" spans="1:23" x14ac:dyDescent="0.25">
      <c r="A1542" s="2">
        <v>26</v>
      </c>
      <c r="B1542" t="s">
        <v>980</v>
      </c>
      <c r="C1542" s="2">
        <v>6</v>
      </c>
      <c r="D1542" s="2">
        <v>154</v>
      </c>
      <c r="E1542" s="2">
        <v>12</v>
      </c>
      <c r="F1542" s="2">
        <v>9</v>
      </c>
      <c r="G1542" s="2">
        <v>0</v>
      </c>
      <c r="H1542" s="2">
        <v>12</v>
      </c>
      <c r="I1542" s="2">
        <v>6</v>
      </c>
      <c r="J1542" s="1">
        <v>1</v>
      </c>
      <c r="M1542" t="s">
        <v>15</v>
      </c>
      <c r="N1542" t="str">
        <f>IFERROR(VLOOKUP(B1542,'[1]All Player'!$B$2:$C$1992,2,0),"")</f>
        <v>Md Dulal Miah</v>
      </c>
      <c r="O1542" s="2" t="s">
        <v>622</v>
      </c>
      <c r="P1542" s="14" t="s">
        <v>977</v>
      </c>
      <c r="Q1542" s="1">
        <f t="shared" si="57"/>
        <v>1</v>
      </c>
      <c r="R1542" s="1">
        <v>258</v>
      </c>
      <c r="U1542" s="8">
        <v>44256</v>
      </c>
    </row>
    <row r="1543" spans="1:23" x14ac:dyDescent="0.25">
      <c r="A1543" s="2">
        <v>26</v>
      </c>
      <c r="B1543" t="s">
        <v>981</v>
      </c>
      <c r="C1543" s="2">
        <v>6</v>
      </c>
      <c r="D1543" s="2">
        <v>59</v>
      </c>
      <c r="E1543" s="2">
        <v>4</v>
      </c>
      <c r="F1543" s="2">
        <v>8</v>
      </c>
      <c r="G1543" s="2">
        <v>0</v>
      </c>
      <c r="H1543" s="2">
        <v>8</v>
      </c>
      <c r="I1543" s="2">
        <v>2</v>
      </c>
      <c r="J1543" s="1">
        <v>0</v>
      </c>
      <c r="M1543" t="s">
        <v>15</v>
      </c>
      <c r="N1543" t="str">
        <f>IFERROR(VLOOKUP(B1543,'[1]All Player'!$B$2:$C$1992,2,0),"")</f>
        <v>Laisul Morshed</v>
      </c>
      <c r="O1543" s="2" t="s">
        <v>622</v>
      </c>
      <c r="P1543" s="14" t="s">
        <v>977</v>
      </c>
      <c r="Q1543" s="1">
        <f t="shared" si="57"/>
        <v>1</v>
      </c>
      <c r="R1543" s="1">
        <v>258</v>
      </c>
      <c r="U1543" s="8">
        <v>44256</v>
      </c>
    </row>
    <row r="1544" spans="1:23" x14ac:dyDescent="0.25">
      <c r="A1544" s="2">
        <v>26</v>
      </c>
      <c r="B1544" t="s">
        <v>403</v>
      </c>
      <c r="C1544" s="2">
        <v>5</v>
      </c>
      <c r="D1544" s="2">
        <v>12</v>
      </c>
      <c r="E1544" s="2">
        <v>3</v>
      </c>
      <c r="F1544" s="2">
        <v>5</v>
      </c>
      <c r="G1544" s="2">
        <v>0</v>
      </c>
      <c r="H1544" s="2">
        <v>1</v>
      </c>
      <c r="I1544" s="2">
        <v>0</v>
      </c>
      <c r="J1544" s="1">
        <v>0</v>
      </c>
      <c r="M1544" t="s">
        <v>15</v>
      </c>
      <c r="N1544" t="str">
        <f>IFERROR(VLOOKUP(B1544,'[1]All Player'!$B$2:$C$1992,2,0),"")</f>
        <v>Md Siyam Islam</v>
      </c>
      <c r="O1544" s="2" t="s">
        <v>622</v>
      </c>
      <c r="P1544" s="14" t="s">
        <v>977</v>
      </c>
      <c r="Q1544" s="1">
        <f t="shared" si="57"/>
        <v>1</v>
      </c>
      <c r="R1544" s="1">
        <v>258</v>
      </c>
      <c r="U1544" s="8">
        <v>44256</v>
      </c>
    </row>
    <row r="1545" spans="1:23" x14ac:dyDescent="0.25">
      <c r="A1545" s="2">
        <v>26</v>
      </c>
      <c r="B1545" t="s">
        <v>982</v>
      </c>
      <c r="J1545" s="1"/>
      <c r="M1545" t="s">
        <v>15</v>
      </c>
      <c r="N1545" t="str">
        <f>IFERROR(VLOOKUP(B1545,'[1]All Player'!$B$2:$C$1992,2,0),"")</f>
        <v/>
      </c>
      <c r="O1545" s="2" t="s">
        <v>622</v>
      </c>
      <c r="P1545" s="14" t="s">
        <v>982</v>
      </c>
      <c r="Q1545" s="1">
        <f t="shared" si="57"/>
        <v>1</v>
      </c>
      <c r="R1545" s="1">
        <v>259</v>
      </c>
      <c r="T1545" s="1" t="s">
        <v>659</v>
      </c>
      <c r="U1545" s="8">
        <v>44256</v>
      </c>
    </row>
    <row r="1546" spans="1:23" x14ac:dyDescent="0.25">
      <c r="A1546" s="2">
        <v>26</v>
      </c>
      <c r="B1546" t="s">
        <v>983</v>
      </c>
      <c r="C1546" s="2">
        <v>8</v>
      </c>
      <c r="D1546" s="2">
        <v>42</v>
      </c>
      <c r="E1546" s="2">
        <v>8</v>
      </c>
      <c r="F1546" s="2">
        <v>7</v>
      </c>
      <c r="G1546" s="2">
        <v>0</v>
      </c>
      <c r="H1546" s="2">
        <v>4</v>
      </c>
      <c r="I1546" s="2">
        <v>3</v>
      </c>
      <c r="J1546" s="1">
        <v>0</v>
      </c>
      <c r="M1546" t="s">
        <v>15</v>
      </c>
      <c r="N1546" t="str">
        <f>IFERROR(VLOOKUP(B1546,'[1]All Player'!$B$2:$C$1992,2,0),"")</f>
        <v>Ahammed Ariful Haq</v>
      </c>
      <c r="O1546" s="2" t="s">
        <v>622</v>
      </c>
      <c r="P1546" s="14" t="s">
        <v>982</v>
      </c>
      <c r="Q1546" s="1">
        <f t="shared" si="57"/>
        <v>1</v>
      </c>
      <c r="R1546" s="1">
        <v>259</v>
      </c>
      <c r="T1546" s="1" t="s">
        <v>659</v>
      </c>
      <c r="U1546" s="8">
        <v>44256</v>
      </c>
    </row>
    <row r="1547" spans="1:23" x14ac:dyDescent="0.25">
      <c r="A1547" s="2">
        <v>26</v>
      </c>
      <c r="B1547" t="s">
        <v>984</v>
      </c>
      <c r="C1547" s="2">
        <v>8</v>
      </c>
      <c r="D1547" s="2">
        <v>167</v>
      </c>
      <c r="E1547" s="2">
        <v>6</v>
      </c>
      <c r="F1547" s="2">
        <v>12</v>
      </c>
      <c r="G1547" s="2">
        <v>1</v>
      </c>
      <c r="H1547" s="2">
        <v>11</v>
      </c>
      <c r="I1547" s="2">
        <v>16</v>
      </c>
      <c r="J1547" s="1">
        <v>0</v>
      </c>
      <c r="M1547" t="s">
        <v>15</v>
      </c>
      <c r="N1547" t="str">
        <f>IFERROR(VLOOKUP(B1547,'[1]All Player'!$B$2:$C$1992,2,0),"")</f>
        <v>Kamrul Hasan Hridoy</v>
      </c>
      <c r="O1547" s="2" t="s">
        <v>622</v>
      </c>
      <c r="P1547" s="14" t="s">
        <v>982</v>
      </c>
      <c r="Q1547" s="1">
        <f t="shared" si="57"/>
        <v>1</v>
      </c>
      <c r="R1547" s="1">
        <v>259</v>
      </c>
      <c r="T1547" s="1" t="s">
        <v>659</v>
      </c>
      <c r="U1547" s="8">
        <v>44256</v>
      </c>
    </row>
    <row r="1548" spans="1:23" x14ac:dyDescent="0.25">
      <c r="A1548" s="2">
        <v>26</v>
      </c>
      <c r="B1548" t="s">
        <v>985</v>
      </c>
      <c r="C1548" s="2">
        <v>8</v>
      </c>
      <c r="D1548" s="2">
        <v>150</v>
      </c>
      <c r="E1548" s="2">
        <v>4</v>
      </c>
      <c r="F1548" s="2">
        <v>12</v>
      </c>
      <c r="G1548" s="2">
        <v>0</v>
      </c>
      <c r="H1548" s="2">
        <v>11</v>
      </c>
      <c r="I1548" s="2">
        <v>10</v>
      </c>
      <c r="J1548" s="1">
        <v>0</v>
      </c>
      <c r="M1548" t="s">
        <v>15</v>
      </c>
      <c r="N1548" t="str">
        <f>IFERROR(VLOOKUP(B1548,'[1]All Player'!$B$2:$C$1992,2,0),"")</f>
        <v>M R Shakil</v>
      </c>
      <c r="O1548" s="2" t="s">
        <v>622</v>
      </c>
      <c r="P1548" s="14" t="s">
        <v>982</v>
      </c>
      <c r="Q1548" s="1">
        <f t="shared" si="57"/>
        <v>1</v>
      </c>
      <c r="R1548" s="1">
        <v>259</v>
      </c>
      <c r="T1548" s="1" t="s">
        <v>659</v>
      </c>
      <c r="U1548" s="8">
        <v>44256</v>
      </c>
    </row>
    <row r="1549" spans="1:23" x14ac:dyDescent="0.25">
      <c r="A1549" s="2">
        <v>26</v>
      </c>
      <c r="B1549" t="s">
        <v>31</v>
      </c>
      <c r="C1549" s="2">
        <v>8</v>
      </c>
      <c r="D1549" s="2">
        <v>33</v>
      </c>
      <c r="E1549" s="2">
        <v>12</v>
      </c>
      <c r="F1549" s="2">
        <v>8</v>
      </c>
      <c r="G1549" s="2">
        <v>0</v>
      </c>
      <c r="H1549" s="2">
        <v>2</v>
      </c>
      <c r="I1549" s="2">
        <v>2</v>
      </c>
      <c r="J1549" s="1">
        <v>0</v>
      </c>
      <c r="M1549" t="s">
        <v>15</v>
      </c>
      <c r="N1549" t="str">
        <f>IFERROR(VLOOKUP(B1549,'[1]All Player'!$B$2:$C$1992,2,0),"")</f>
        <v>Hetlar Shohag</v>
      </c>
      <c r="O1549" s="2" t="s">
        <v>622</v>
      </c>
      <c r="P1549" s="14" t="s">
        <v>982</v>
      </c>
      <c r="Q1549" s="1">
        <f t="shared" si="57"/>
        <v>1</v>
      </c>
      <c r="R1549" s="1">
        <v>259</v>
      </c>
      <c r="T1549" s="1" t="s">
        <v>659</v>
      </c>
      <c r="U1549" s="8">
        <v>44256</v>
      </c>
    </row>
    <row r="1550" spans="1:23" x14ac:dyDescent="0.25">
      <c r="A1550" s="2">
        <v>26</v>
      </c>
      <c r="B1550" t="s">
        <v>986</v>
      </c>
      <c r="C1550" s="2">
        <v>8</v>
      </c>
      <c r="D1550" s="2">
        <v>131</v>
      </c>
      <c r="E1550" s="2">
        <v>12</v>
      </c>
      <c r="F1550" s="2">
        <v>12</v>
      </c>
      <c r="G1550" s="2">
        <v>3</v>
      </c>
      <c r="H1550" s="2">
        <v>7</v>
      </c>
      <c r="I1550" s="2">
        <v>12</v>
      </c>
      <c r="J1550" s="1">
        <v>1</v>
      </c>
      <c r="M1550" t="s">
        <v>15</v>
      </c>
      <c r="N1550" t="str">
        <f>IFERROR(VLOOKUP(B1550,'[1]All Player'!$B$2:$C$1992,2,0),"")</f>
        <v>MD Tofayel Ahmed</v>
      </c>
      <c r="O1550" s="2" t="s">
        <v>622</v>
      </c>
      <c r="P1550" s="14" t="s">
        <v>982</v>
      </c>
      <c r="Q1550" s="1">
        <f t="shared" si="57"/>
        <v>1</v>
      </c>
      <c r="R1550" s="1">
        <v>259</v>
      </c>
      <c r="S1550" s="2" t="s">
        <v>660</v>
      </c>
      <c r="T1550" s="1" t="s">
        <v>659</v>
      </c>
      <c r="U1550" s="8">
        <v>44256</v>
      </c>
    </row>
    <row r="1551" spans="1:23" x14ac:dyDescent="0.25">
      <c r="A1551" s="2">
        <v>26</v>
      </c>
      <c r="B1551" t="s">
        <v>987</v>
      </c>
      <c r="J1551" s="1"/>
      <c r="M1551" t="s">
        <v>15</v>
      </c>
      <c r="N1551" t="str">
        <f>IFERROR(VLOOKUP(B1551,'[1]All Player'!$B$2:$C$1992,2,0),"")</f>
        <v/>
      </c>
      <c r="O1551" s="2" t="s">
        <v>622</v>
      </c>
      <c r="P1551" s="14" t="s">
        <v>987</v>
      </c>
      <c r="Q1551" s="1">
        <f t="shared" si="57"/>
        <v>1</v>
      </c>
      <c r="R1551" s="1">
        <v>260</v>
      </c>
      <c r="U1551" s="8">
        <v>44256</v>
      </c>
    </row>
    <row r="1552" spans="1:23" x14ac:dyDescent="0.25">
      <c r="A1552" s="2">
        <v>26</v>
      </c>
      <c r="B1552" t="s">
        <v>988</v>
      </c>
      <c r="C1552" s="2">
        <v>6</v>
      </c>
      <c r="D1552" s="2">
        <v>99</v>
      </c>
      <c r="E1552" s="2">
        <v>13</v>
      </c>
      <c r="F1552" s="2">
        <v>7</v>
      </c>
      <c r="G1552" s="2">
        <v>2</v>
      </c>
      <c r="H1552" s="2">
        <v>7</v>
      </c>
      <c r="I1552" s="2">
        <v>6</v>
      </c>
      <c r="J1552" s="1">
        <v>0</v>
      </c>
      <c r="M1552" t="s">
        <v>15</v>
      </c>
      <c r="N1552" t="str">
        <f>IFERROR(VLOOKUP(B1552,'[1]All Player'!$B$2:$C$1992,2,0),"")</f>
        <v>AB Saaj</v>
      </c>
      <c r="O1552" s="2" t="s">
        <v>622</v>
      </c>
      <c r="P1552" s="14" t="s">
        <v>987</v>
      </c>
      <c r="Q1552" s="1">
        <f t="shared" si="57"/>
        <v>1</v>
      </c>
      <c r="R1552" s="1">
        <v>260</v>
      </c>
      <c r="U1552" s="8">
        <v>44256</v>
      </c>
    </row>
    <row r="1553" spans="1:21" x14ac:dyDescent="0.25">
      <c r="A1553" s="2">
        <v>26</v>
      </c>
      <c r="B1553" t="s">
        <v>989</v>
      </c>
      <c r="C1553" s="2">
        <v>6</v>
      </c>
      <c r="D1553" s="2">
        <v>85</v>
      </c>
      <c r="E1553" s="2">
        <v>4</v>
      </c>
      <c r="F1553" s="2">
        <v>7</v>
      </c>
      <c r="G1553" s="2">
        <v>0</v>
      </c>
      <c r="H1553" s="2">
        <v>6</v>
      </c>
      <c r="I1553" s="2">
        <v>7</v>
      </c>
      <c r="J1553" s="1">
        <v>0</v>
      </c>
      <c r="M1553" t="s">
        <v>15</v>
      </c>
      <c r="N1553" t="str">
        <f>IFERROR(VLOOKUP(B1553,'[1]All Player'!$B$2:$C$1992,2,0),"")</f>
        <v>Mohammad Faruque</v>
      </c>
      <c r="O1553" s="2" t="s">
        <v>622</v>
      </c>
      <c r="P1553" s="14" t="s">
        <v>987</v>
      </c>
      <c r="Q1553" s="1">
        <f t="shared" si="57"/>
        <v>1</v>
      </c>
      <c r="R1553" s="1">
        <v>260</v>
      </c>
      <c r="U1553" s="8">
        <v>44256</v>
      </c>
    </row>
    <row r="1554" spans="1:21" x14ac:dyDescent="0.25">
      <c r="A1554" s="2">
        <v>26</v>
      </c>
      <c r="B1554" t="s">
        <v>990</v>
      </c>
      <c r="C1554" s="2">
        <v>4</v>
      </c>
      <c r="D1554" s="2">
        <v>16</v>
      </c>
      <c r="E1554" s="2">
        <v>5</v>
      </c>
      <c r="F1554" s="2">
        <v>3</v>
      </c>
      <c r="G1554" s="2">
        <v>0</v>
      </c>
      <c r="H1554" s="2">
        <v>0</v>
      </c>
      <c r="I1554" s="2">
        <v>2</v>
      </c>
      <c r="J1554" s="1">
        <v>0</v>
      </c>
      <c r="M1554" t="s">
        <v>15</v>
      </c>
      <c r="N1554" t="str">
        <f>IFERROR(VLOOKUP(B1554,'[1]All Player'!$B$2:$C$1992,2,0),"")</f>
        <v>Meer Sher Ali</v>
      </c>
      <c r="O1554" s="2" t="s">
        <v>622</v>
      </c>
      <c r="P1554" s="14" t="s">
        <v>987</v>
      </c>
      <c r="Q1554" s="1">
        <f t="shared" si="57"/>
        <v>1</v>
      </c>
      <c r="R1554" s="1">
        <v>260</v>
      </c>
      <c r="U1554" s="8">
        <v>44256</v>
      </c>
    </row>
    <row r="1555" spans="1:21" x14ac:dyDescent="0.25">
      <c r="A1555" s="2">
        <v>26</v>
      </c>
      <c r="B1555" t="s">
        <v>991</v>
      </c>
      <c r="C1555" s="2">
        <v>6</v>
      </c>
      <c r="D1555" s="2">
        <v>91</v>
      </c>
      <c r="E1555" s="2">
        <v>11</v>
      </c>
      <c r="F1555" s="2">
        <v>8</v>
      </c>
      <c r="G1555" s="2">
        <v>1</v>
      </c>
      <c r="H1555" s="2">
        <v>11</v>
      </c>
      <c r="I1555" s="2">
        <v>2</v>
      </c>
      <c r="J1555" s="1">
        <v>0</v>
      </c>
      <c r="M1555" t="s">
        <v>15</v>
      </c>
      <c r="N1555" t="str">
        <f>IFERROR(VLOOKUP(B1555,'[1]All Player'!$B$2:$C$1992,2,0),"")</f>
        <v>Ador Hasan</v>
      </c>
      <c r="O1555" s="2" t="s">
        <v>622</v>
      </c>
      <c r="P1555" s="14" t="s">
        <v>987</v>
      </c>
      <c r="Q1555" s="1">
        <f t="shared" si="57"/>
        <v>1</v>
      </c>
      <c r="R1555" s="1">
        <v>260</v>
      </c>
      <c r="U1555" s="8">
        <v>44256</v>
      </c>
    </row>
    <row r="1556" spans="1:21" x14ac:dyDescent="0.25">
      <c r="A1556" s="2">
        <v>26</v>
      </c>
      <c r="B1556" t="s">
        <v>138</v>
      </c>
      <c r="C1556" s="2">
        <v>6</v>
      </c>
      <c r="D1556" s="2">
        <v>67</v>
      </c>
      <c r="E1556" s="2">
        <v>3</v>
      </c>
      <c r="F1556" s="2">
        <v>5</v>
      </c>
      <c r="G1556" s="2">
        <v>1</v>
      </c>
      <c r="H1556" s="2">
        <v>4</v>
      </c>
      <c r="I1556" s="2">
        <v>5</v>
      </c>
      <c r="J1556" s="1">
        <v>0</v>
      </c>
      <c r="M1556" t="s">
        <v>15</v>
      </c>
      <c r="N1556" t="str">
        <f>IFERROR(VLOOKUP(B1556,'[1]All Player'!$B$2:$C$1992,2,0),"")</f>
        <v>Asif Iqbal Khan</v>
      </c>
      <c r="O1556" s="2" t="s">
        <v>622</v>
      </c>
      <c r="P1556" s="14" t="s">
        <v>987</v>
      </c>
      <c r="Q1556" s="1">
        <f t="shared" si="57"/>
        <v>1</v>
      </c>
      <c r="R1556" s="1">
        <v>260</v>
      </c>
      <c r="U1556" s="8">
        <v>44256</v>
      </c>
    </row>
    <row r="1557" spans="1:21" x14ac:dyDescent="0.25">
      <c r="A1557" s="2">
        <v>26</v>
      </c>
      <c r="B1557" t="s">
        <v>992</v>
      </c>
      <c r="J1557" s="1"/>
      <c r="M1557" t="s">
        <v>15</v>
      </c>
      <c r="N1557" t="str">
        <f>IFERROR(VLOOKUP(B1557,'[1]All Player'!$B$2:$C$1992,2,0),"")</f>
        <v/>
      </c>
      <c r="O1557" s="2" t="s">
        <v>622</v>
      </c>
      <c r="P1557" s="14" t="s">
        <v>992</v>
      </c>
      <c r="Q1557" s="1">
        <f t="shared" si="57"/>
        <v>1</v>
      </c>
      <c r="R1557" s="1">
        <v>261</v>
      </c>
      <c r="U1557" s="8">
        <v>44256</v>
      </c>
    </row>
    <row r="1558" spans="1:21" x14ac:dyDescent="0.25">
      <c r="A1558" s="2">
        <v>26</v>
      </c>
      <c r="B1558" t="s">
        <v>726</v>
      </c>
      <c r="C1558" s="2">
        <v>8</v>
      </c>
      <c r="D1558" s="2">
        <v>93</v>
      </c>
      <c r="E1558" s="2">
        <v>11</v>
      </c>
      <c r="F1558" s="2">
        <v>7</v>
      </c>
      <c r="G1558" s="2">
        <v>0</v>
      </c>
      <c r="H1558" s="2">
        <v>8</v>
      </c>
      <c r="I1558" s="2">
        <v>9</v>
      </c>
      <c r="J1558" s="1">
        <v>0</v>
      </c>
      <c r="M1558" t="s">
        <v>15</v>
      </c>
      <c r="N1558" t="str">
        <f>IFERROR(VLOOKUP(B1558,'[1]All Player'!$B$2:$C$1992,2,0),"")</f>
        <v>Sadrul Anam</v>
      </c>
      <c r="O1558" s="2" t="s">
        <v>622</v>
      </c>
      <c r="P1558" s="14" t="s">
        <v>992</v>
      </c>
      <c r="Q1558" s="1">
        <f t="shared" si="57"/>
        <v>1</v>
      </c>
      <c r="R1558" s="1">
        <v>261</v>
      </c>
      <c r="U1558" s="8">
        <v>44256</v>
      </c>
    </row>
    <row r="1559" spans="1:21" x14ac:dyDescent="0.25">
      <c r="A1559" s="2">
        <v>26</v>
      </c>
      <c r="B1559" t="s">
        <v>687</v>
      </c>
      <c r="C1559" s="2">
        <v>8</v>
      </c>
      <c r="D1559" s="2">
        <v>131</v>
      </c>
      <c r="E1559" s="2">
        <v>5</v>
      </c>
      <c r="F1559" s="2">
        <v>11</v>
      </c>
      <c r="G1559" s="2">
        <v>2</v>
      </c>
      <c r="H1559" s="2">
        <v>13</v>
      </c>
      <c r="I1559" s="2">
        <v>6</v>
      </c>
      <c r="J1559" s="1">
        <v>0</v>
      </c>
      <c r="M1559" t="s">
        <v>15</v>
      </c>
      <c r="N1559" t="str">
        <f>IFERROR(VLOOKUP(B1559,'[1]All Player'!$B$2:$C$1992,2,0),"")</f>
        <v>Sheik Helal Ahmed</v>
      </c>
      <c r="O1559" s="2" t="s">
        <v>622</v>
      </c>
      <c r="P1559" s="14" t="s">
        <v>992</v>
      </c>
      <c r="Q1559" s="1">
        <f t="shared" si="57"/>
        <v>1</v>
      </c>
      <c r="R1559" s="1">
        <v>261</v>
      </c>
      <c r="U1559" s="8">
        <v>44256</v>
      </c>
    </row>
    <row r="1560" spans="1:21" x14ac:dyDescent="0.25">
      <c r="A1560" s="2">
        <v>26</v>
      </c>
      <c r="B1560" t="s">
        <v>87</v>
      </c>
      <c r="C1560" s="2">
        <v>8</v>
      </c>
      <c r="D1560" s="2">
        <v>139</v>
      </c>
      <c r="E1560" s="2">
        <v>10</v>
      </c>
      <c r="F1560" s="2">
        <v>13</v>
      </c>
      <c r="G1560" s="2">
        <v>0</v>
      </c>
      <c r="H1560" s="2">
        <v>12</v>
      </c>
      <c r="I1560" s="2">
        <v>9</v>
      </c>
      <c r="J1560" s="1">
        <v>0</v>
      </c>
      <c r="M1560" t="s">
        <v>15</v>
      </c>
      <c r="N1560" t="str">
        <f>IFERROR(VLOOKUP(B1560,'[1]All Player'!$B$2:$C$1992,2,0),"")</f>
        <v>Anisur Islam (Rubel Hossain)</v>
      </c>
      <c r="O1560" s="2" t="s">
        <v>622</v>
      </c>
      <c r="P1560" s="14" t="s">
        <v>992</v>
      </c>
      <c r="Q1560" s="1">
        <f t="shared" si="57"/>
        <v>1</v>
      </c>
      <c r="R1560" s="1">
        <v>261</v>
      </c>
      <c r="U1560" s="8">
        <v>44256</v>
      </c>
    </row>
    <row r="1561" spans="1:21" x14ac:dyDescent="0.25">
      <c r="A1561" s="2">
        <v>26</v>
      </c>
      <c r="B1561" t="s">
        <v>993</v>
      </c>
      <c r="C1561" s="2">
        <v>8</v>
      </c>
      <c r="D1561" s="2">
        <v>152</v>
      </c>
      <c r="E1561" s="2">
        <v>8</v>
      </c>
      <c r="F1561" s="2">
        <v>10</v>
      </c>
      <c r="G1561" s="2">
        <v>1</v>
      </c>
      <c r="H1561" s="2">
        <v>14</v>
      </c>
      <c r="I1561" s="2">
        <v>10</v>
      </c>
      <c r="J1561" s="1">
        <v>0</v>
      </c>
      <c r="M1561" t="s">
        <v>15</v>
      </c>
      <c r="N1561" t="str">
        <f>IFERROR(VLOOKUP(B1561,'[1]All Player'!$B$2:$C$1992,2,0),"")</f>
        <v>Abu Mohammad Yaro</v>
      </c>
      <c r="O1561" s="2" t="s">
        <v>622</v>
      </c>
      <c r="P1561" s="14" t="s">
        <v>992</v>
      </c>
      <c r="Q1561" s="1">
        <f t="shared" si="57"/>
        <v>1</v>
      </c>
      <c r="R1561" s="1">
        <v>261</v>
      </c>
      <c r="U1561" s="8">
        <v>44256</v>
      </c>
    </row>
    <row r="1562" spans="1:21" x14ac:dyDescent="0.25">
      <c r="A1562" s="2">
        <v>26</v>
      </c>
      <c r="B1562" t="s">
        <v>994</v>
      </c>
      <c r="C1562" s="2">
        <v>8</v>
      </c>
      <c r="D1562" s="2">
        <v>117</v>
      </c>
      <c r="E1562" s="2">
        <v>11</v>
      </c>
      <c r="F1562" s="2">
        <v>9</v>
      </c>
      <c r="G1562" s="2">
        <v>0</v>
      </c>
      <c r="H1562" s="2">
        <v>9</v>
      </c>
      <c r="I1562" s="2">
        <v>8</v>
      </c>
      <c r="J1562" s="1">
        <v>1</v>
      </c>
      <c r="M1562" t="s">
        <v>15</v>
      </c>
      <c r="N1562" t="str">
        <f>IFERROR(VLOOKUP(B1562,'[1]All Player'!$B$2:$C$1992,2,0),"")</f>
        <v>Sakhawat Hossain Shanto</v>
      </c>
      <c r="O1562" s="2" t="s">
        <v>622</v>
      </c>
      <c r="P1562" s="14" t="s">
        <v>992</v>
      </c>
      <c r="Q1562" s="1">
        <f t="shared" si="57"/>
        <v>1</v>
      </c>
      <c r="R1562" s="1">
        <v>261</v>
      </c>
      <c r="U1562" s="8">
        <v>44256</v>
      </c>
    </row>
    <row r="1563" spans="1:21" x14ac:dyDescent="0.25">
      <c r="A1563" s="2">
        <v>26</v>
      </c>
      <c r="B1563" t="s">
        <v>995</v>
      </c>
      <c r="J1563" s="1"/>
      <c r="M1563" t="s">
        <v>15</v>
      </c>
      <c r="N1563" t="str">
        <f>IFERROR(VLOOKUP(B1563,'[1]All Player'!$B$2:$C$1992,2,0),"")</f>
        <v/>
      </c>
      <c r="O1563" s="2" t="s">
        <v>622</v>
      </c>
      <c r="P1563" s="14" t="s">
        <v>995</v>
      </c>
      <c r="Q1563" s="1">
        <f t="shared" si="57"/>
        <v>1</v>
      </c>
      <c r="R1563" s="1">
        <v>262</v>
      </c>
      <c r="U1563" s="8">
        <v>44256</v>
      </c>
    </row>
    <row r="1564" spans="1:21" x14ac:dyDescent="0.25">
      <c r="A1564" s="2">
        <v>26</v>
      </c>
      <c r="B1564" t="s">
        <v>730</v>
      </c>
      <c r="C1564" s="2">
        <v>4</v>
      </c>
      <c r="D1564" s="2">
        <v>52</v>
      </c>
      <c r="E1564" s="2">
        <v>6</v>
      </c>
      <c r="F1564" s="2">
        <v>6</v>
      </c>
      <c r="G1564" s="2">
        <v>0</v>
      </c>
      <c r="H1564" s="2">
        <v>5</v>
      </c>
      <c r="I1564" s="2">
        <v>3</v>
      </c>
      <c r="J1564" s="1">
        <v>1</v>
      </c>
      <c r="M1564" t="s">
        <v>15</v>
      </c>
      <c r="N1564" t="str">
        <f>IFERROR(VLOOKUP(B1564,'[1]All Player'!$B$2:$C$1992,2,0),"")</f>
        <v>Nahid Saifullah</v>
      </c>
      <c r="O1564" s="2" t="s">
        <v>622</v>
      </c>
      <c r="P1564" s="14" t="s">
        <v>995</v>
      </c>
      <c r="Q1564" s="1">
        <f t="shared" si="57"/>
        <v>1</v>
      </c>
      <c r="R1564" s="1">
        <v>262</v>
      </c>
      <c r="U1564" s="8">
        <v>44256</v>
      </c>
    </row>
    <row r="1565" spans="1:21" x14ac:dyDescent="0.25">
      <c r="A1565" s="2">
        <v>26</v>
      </c>
      <c r="B1565" t="s">
        <v>996</v>
      </c>
      <c r="C1565" s="2">
        <v>5</v>
      </c>
      <c r="D1565" s="2">
        <v>135</v>
      </c>
      <c r="E1565" s="2">
        <v>4</v>
      </c>
      <c r="F1565" s="2">
        <v>9</v>
      </c>
      <c r="G1565" s="2">
        <v>0</v>
      </c>
      <c r="H1565" s="2">
        <v>13</v>
      </c>
      <c r="I1565" s="2">
        <v>7</v>
      </c>
      <c r="J1565" s="1">
        <v>0</v>
      </c>
      <c r="M1565" t="s">
        <v>15</v>
      </c>
      <c r="N1565" t="str">
        <f>IFERROR(VLOOKUP(B1565,'[1]All Player'!$B$2:$C$1992,2,0),"")</f>
        <v>Shahriar Khan Shovon</v>
      </c>
      <c r="O1565" s="2" t="s">
        <v>622</v>
      </c>
      <c r="P1565" s="14" t="s">
        <v>995</v>
      </c>
      <c r="Q1565" s="1">
        <f t="shared" si="57"/>
        <v>1</v>
      </c>
      <c r="R1565" s="1">
        <v>262</v>
      </c>
      <c r="U1565" s="8">
        <v>44256</v>
      </c>
    </row>
    <row r="1566" spans="1:21" x14ac:dyDescent="0.25">
      <c r="A1566" s="2">
        <v>26</v>
      </c>
      <c r="B1566" t="s">
        <v>66</v>
      </c>
      <c r="C1566" s="2">
        <v>5</v>
      </c>
      <c r="D1566" s="2">
        <v>53</v>
      </c>
      <c r="E1566" s="2">
        <v>6</v>
      </c>
      <c r="F1566" s="2">
        <v>8</v>
      </c>
      <c r="G1566" s="2">
        <v>0</v>
      </c>
      <c r="H1566" s="2">
        <v>5</v>
      </c>
      <c r="I1566" s="2">
        <v>1</v>
      </c>
      <c r="J1566" s="1">
        <v>0</v>
      </c>
      <c r="M1566" t="s">
        <v>15</v>
      </c>
      <c r="N1566" t="str">
        <f>IFERROR(VLOOKUP(B1566,'[1]All Player'!$B$2:$C$1992,2,0),"")</f>
        <v>Ahmad Sakib Abdullah</v>
      </c>
      <c r="O1566" s="2" t="s">
        <v>622</v>
      </c>
      <c r="P1566" s="14" t="s">
        <v>995</v>
      </c>
      <c r="Q1566" s="1">
        <f t="shared" si="57"/>
        <v>1</v>
      </c>
      <c r="R1566" s="1">
        <v>262</v>
      </c>
      <c r="U1566" s="8">
        <v>44256</v>
      </c>
    </row>
    <row r="1567" spans="1:21" x14ac:dyDescent="0.25">
      <c r="A1567" s="2">
        <v>26</v>
      </c>
      <c r="B1567" t="s">
        <v>997</v>
      </c>
      <c r="C1567" s="2">
        <v>5</v>
      </c>
      <c r="D1567" s="2">
        <v>44</v>
      </c>
      <c r="E1567" s="2">
        <v>3</v>
      </c>
      <c r="F1567" s="2">
        <v>6</v>
      </c>
      <c r="G1567" s="2">
        <v>1</v>
      </c>
      <c r="H1567" s="2">
        <v>5</v>
      </c>
      <c r="I1567" s="2">
        <v>0</v>
      </c>
      <c r="J1567" s="1">
        <v>0</v>
      </c>
      <c r="M1567" t="s">
        <v>15</v>
      </c>
      <c r="N1567" t="str">
        <f>IFERROR(VLOOKUP(B1567,'[1]All Player'!$B$2:$C$1992,2,0),"")</f>
        <v>Shafiqul Islam</v>
      </c>
      <c r="O1567" s="2" t="s">
        <v>622</v>
      </c>
      <c r="P1567" s="14" t="s">
        <v>995</v>
      </c>
      <c r="Q1567" s="1">
        <f t="shared" si="57"/>
        <v>1</v>
      </c>
      <c r="R1567" s="1">
        <v>262</v>
      </c>
      <c r="U1567" s="8">
        <v>44256</v>
      </c>
    </row>
    <row r="1568" spans="1:21" x14ac:dyDescent="0.25">
      <c r="A1568" s="2">
        <v>26</v>
      </c>
      <c r="B1568" t="s">
        <v>998</v>
      </c>
      <c r="C1568" s="2">
        <v>5</v>
      </c>
      <c r="D1568" s="2">
        <v>62</v>
      </c>
      <c r="E1568" s="2">
        <v>4</v>
      </c>
      <c r="F1568" s="2">
        <v>5</v>
      </c>
      <c r="G1568" s="2">
        <v>0</v>
      </c>
      <c r="H1568" s="2">
        <v>3</v>
      </c>
      <c r="I1568" s="2">
        <v>5</v>
      </c>
      <c r="J1568" s="1">
        <v>0</v>
      </c>
      <c r="M1568" t="s">
        <v>15</v>
      </c>
      <c r="N1568" t="str">
        <f>IFERROR(VLOOKUP(B1568,'[1]All Player'!$B$2:$C$1992,2,0),"")</f>
        <v>Ahmad Sajid Abdullah</v>
      </c>
      <c r="O1568" s="2" t="s">
        <v>622</v>
      </c>
      <c r="P1568" s="14" t="s">
        <v>995</v>
      </c>
      <c r="Q1568" s="1">
        <f t="shared" si="57"/>
        <v>1</v>
      </c>
      <c r="R1568" s="1">
        <v>262</v>
      </c>
      <c r="U1568" s="8">
        <v>44256</v>
      </c>
    </row>
    <row r="1569" spans="1:23" x14ac:dyDescent="0.25">
      <c r="A1569" s="2">
        <v>26</v>
      </c>
      <c r="B1569" s="17" t="s">
        <v>623</v>
      </c>
      <c r="J1569" s="1"/>
      <c r="M1569" t="s">
        <v>15</v>
      </c>
      <c r="N1569" t="str">
        <f>IFERROR(VLOOKUP(B1569,'[1]All Player'!$B$2:$C$1992,2,0),"")</f>
        <v/>
      </c>
      <c r="O1569" s="2" t="s">
        <v>622</v>
      </c>
      <c r="P1569" s="14" t="s">
        <v>623</v>
      </c>
      <c r="Q1569" s="1">
        <f t="shared" si="57"/>
        <v>1</v>
      </c>
      <c r="R1569" s="1">
        <v>263</v>
      </c>
      <c r="U1569" s="8">
        <v>44256</v>
      </c>
    </row>
    <row r="1570" spans="1:23" x14ac:dyDescent="0.25">
      <c r="A1570" s="2">
        <v>26</v>
      </c>
      <c r="B1570" t="s">
        <v>688</v>
      </c>
      <c r="C1570" s="2">
        <v>6</v>
      </c>
      <c r="D1570" s="2">
        <v>137</v>
      </c>
      <c r="E1570" s="2">
        <v>15</v>
      </c>
      <c r="F1570" s="2">
        <v>11</v>
      </c>
      <c r="G1570" s="2">
        <v>1</v>
      </c>
      <c r="H1570" s="2">
        <v>12</v>
      </c>
      <c r="I1570" s="2">
        <v>7</v>
      </c>
      <c r="J1570" s="1">
        <v>1</v>
      </c>
      <c r="M1570" t="s">
        <v>15</v>
      </c>
      <c r="N1570" t="str">
        <f>IFERROR(VLOOKUP(B1570,'[1]All Player'!$B$2:$C$1992,2,0),"")</f>
        <v>Kamrul Hasan Tutul</v>
      </c>
      <c r="O1570" s="2" t="s">
        <v>622</v>
      </c>
      <c r="P1570" s="14" t="s">
        <v>623</v>
      </c>
      <c r="Q1570" s="1">
        <f t="shared" si="57"/>
        <v>1</v>
      </c>
      <c r="R1570" s="1">
        <v>263</v>
      </c>
      <c r="U1570" s="8">
        <v>44256</v>
      </c>
      <c r="W1570" s="1">
        <v>1</v>
      </c>
    </row>
    <row r="1571" spans="1:23" x14ac:dyDescent="0.25">
      <c r="A1571" s="2">
        <v>26</v>
      </c>
      <c r="B1571" t="s">
        <v>999</v>
      </c>
      <c r="C1571" s="2">
        <v>6</v>
      </c>
      <c r="D1571" s="2">
        <v>105</v>
      </c>
      <c r="E1571" s="2">
        <v>6</v>
      </c>
      <c r="F1571" s="2">
        <v>10</v>
      </c>
      <c r="G1571" s="2">
        <v>1</v>
      </c>
      <c r="H1571" s="2">
        <v>10</v>
      </c>
      <c r="I1571" s="2">
        <v>4</v>
      </c>
      <c r="J1571" s="1">
        <v>0</v>
      </c>
      <c r="M1571" t="s">
        <v>15</v>
      </c>
      <c r="N1571" t="str">
        <f>IFERROR(VLOOKUP(B1571,'[1]All Player'!$B$2:$C$1992,2,0),"")</f>
        <v>Sajjadul Haque Sagar</v>
      </c>
      <c r="O1571" s="2" t="s">
        <v>622</v>
      </c>
      <c r="P1571" s="14" t="s">
        <v>623</v>
      </c>
      <c r="Q1571" s="1">
        <f t="shared" si="57"/>
        <v>1</v>
      </c>
      <c r="R1571" s="1">
        <v>263</v>
      </c>
      <c r="U1571" s="8">
        <v>44256</v>
      </c>
    </row>
    <row r="1572" spans="1:23" x14ac:dyDescent="0.25">
      <c r="A1572" s="2">
        <v>26</v>
      </c>
      <c r="B1572" t="s">
        <v>55</v>
      </c>
      <c r="C1572" s="2">
        <v>4</v>
      </c>
      <c r="D1572" s="2">
        <v>47</v>
      </c>
      <c r="E1572" s="2">
        <v>4</v>
      </c>
      <c r="F1572" s="2">
        <v>8</v>
      </c>
      <c r="G1572" s="2">
        <v>0</v>
      </c>
      <c r="H1572" s="2">
        <v>2</v>
      </c>
      <c r="I1572" s="2">
        <v>4</v>
      </c>
      <c r="J1572" s="1">
        <v>0</v>
      </c>
      <c r="M1572" t="s">
        <v>15</v>
      </c>
      <c r="N1572" t="str">
        <f>IFERROR(VLOOKUP(B1572,'[1]All Player'!$B$2:$C$1992,2,0),"")</f>
        <v>Rana Md Masud</v>
      </c>
      <c r="O1572" s="2" t="s">
        <v>622</v>
      </c>
      <c r="P1572" s="14" t="s">
        <v>623</v>
      </c>
      <c r="Q1572" s="1">
        <f t="shared" si="57"/>
        <v>1</v>
      </c>
      <c r="R1572" s="1">
        <v>263</v>
      </c>
      <c r="U1572" s="8">
        <v>44256</v>
      </c>
    </row>
    <row r="1573" spans="1:23" x14ac:dyDescent="0.25">
      <c r="A1573" s="2">
        <v>26</v>
      </c>
      <c r="B1573" t="s">
        <v>680</v>
      </c>
      <c r="C1573" s="2">
        <v>1</v>
      </c>
      <c r="D1573" s="2">
        <v>1</v>
      </c>
      <c r="E1573" s="2">
        <v>0</v>
      </c>
      <c r="F1573" s="2">
        <v>1</v>
      </c>
      <c r="G1573" s="2">
        <v>0</v>
      </c>
      <c r="H1573" s="2">
        <v>0</v>
      </c>
      <c r="I1573" s="2">
        <v>0</v>
      </c>
      <c r="J1573" s="1">
        <v>0</v>
      </c>
      <c r="M1573" t="s">
        <v>15</v>
      </c>
      <c r="N1573" t="str">
        <f>IFERROR(VLOOKUP(B1573,'[1]All Player'!$B$2:$C$1992,2,0),"")</f>
        <v>Rayhan Rahman</v>
      </c>
      <c r="O1573" s="2" t="s">
        <v>622</v>
      </c>
      <c r="P1573" s="14" t="s">
        <v>623</v>
      </c>
      <c r="Q1573" s="1">
        <f t="shared" si="57"/>
        <v>1</v>
      </c>
      <c r="R1573" s="1">
        <v>263</v>
      </c>
      <c r="U1573" s="8">
        <v>44256</v>
      </c>
    </row>
    <row r="1574" spans="1:23" x14ac:dyDescent="0.25">
      <c r="A1574" s="2">
        <v>26</v>
      </c>
      <c r="B1574" t="s">
        <v>436</v>
      </c>
      <c r="C1574" s="2">
        <v>4</v>
      </c>
      <c r="D1574" s="2">
        <v>71</v>
      </c>
      <c r="E1574" s="2">
        <v>5</v>
      </c>
      <c r="F1574" s="2">
        <v>6</v>
      </c>
      <c r="G1574" s="2">
        <v>0</v>
      </c>
      <c r="H1574" s="2">
        <v>7</v>
      </c>
      <c r="I1574" s="2">
        <v>5</v>
      </c>
      <c r="J1574" s="1">
        <v>0</v>
      </c>
      <c r="M1574" t="s">
        <v>15</v>
      </c>
      <c r="N1574" t="str">
        <f>IFERROR(VLOOKUP(B1574,'[1]All Player'!$B$2:$C$1992,2,0),"")</f>
        <v>Sobuz Al Setu</v>
      </c>
      <c r="O1574" s="2" t="s">
        <v>622</v>
      </c>
      <c r="P1574" s="14" t="s">
        <v>623</v>
      </c>
      <c r="Q1574" s="1">
        <f t="shared" si="57"/>
        <v>1</v>
      </c>
      <c r="R1574" s="1">
        <v>263</v>
      </c>
      <c r="U1574" s="8">
        <v>44256</v>
      </c>
    </row>
    <row r="1575" spans="1:23" x14ac:dyDescent="0.25">
      <c r="A1575" s="2">
        <v>26</v>
      </c>
      <c r="B1575" t="s">
        <v>296</v>
      </c>
      <c r="C1575" s="2">
        <v>2</v>
      </c>
      <c r="D1575" s="2">
        <v>22</v>
      </c>
      <c r="E1575" s="2">
        <v>2</v>
      </c>
      <c r="F1575" s="2">
        <v>3</v>
      </c>
      <c r="G1575" s="2">
        <v>0</v>
      </c>
      <c r="H1575" s="2">
        <v>2</v>
      </c>
      <c r="I1575" s="2">
        <v>1</v>
      </c>
      <c r="J1575" s="1">
        <v>0</v>
      </c>
      <c r="M1575" t="s">
        <v>15</v>
      </c>
      <c r="N1575" t="str">
        <f>IFERROR(VLOOKUP(B1575,'[1]All Player'!$B$2:$C$1992,2,0),"")</f>
        <v>Zi Zohir</v>
      </c>
      <c r="O1575" s="2" t="s">
        <v>622</v>
      </c>
      <c r="P1575" s="14" t="s">
        <v>623</v>
      </c>
      <c r="Q1575" s="1">
        <f t="shared" si="57"/>
        <v>1</v>
      </c>
      <c r="R1575" s="1">
        <v>263</v>
      </c>
      <c r="U1575" s="8">
        <v>44256</v>
      </c>
    </row>
    <row r="1576" spans="1:23" x14ac:dyDescent="0.25">
      <c r="A1576" s="2">
        <v>26</v>
      </c>
      <c r="B1576" s="17" t="s">
        <v>1000</v>
      </c>
      <c r="J1576" s="1"/>
      <c r="M1576" t="s">
        <v>15</v>
      </c>
      <c r="N1576" t="str">
        <f>IFERROR(VLOOKUP(B1576,'[1]All Player'!$B$2:$C$1992,2,0),"")</f>
        <v/>
      </c>
      <c r="O1576" s="2" t="s">
        <v>622</v>
      </c>
      <c r="P1576" s="14" t="s">
        <v>1000</v>
      </c>
      <c r="Q1576" s="1">
        <f t="shared" si="57"/>
        <v>1</v>
      </c>
      <c r="R1576" s="1">
        <v>264</v>
      </c>
      <c r="U1576" s="8">
        <v>44256</v>
      </c>
    </row>
    <row r="1577" spans="1:23" x14ac:dyDescent="0.25">
      <c r="A1577" s="2">
        <v>26</v>
      </c>
      <c r="B1577" t="s">
        <v>1001</v>
      </c>
      <c r="C1577" s="2">
        <v>5</v>
      </c>
      <c r="D1577" s="2">
        <v>60</v>
      </c>
      <c r="E1577" s="2">
        <v>6</v>
      </c>
      <c r="F1577" s="2">
        <v>7</v>
      </c>
      <c r="G1577" s="2">
        <v>0</v>
      </c>
      <c r="H1577" s="2">
        <v>5</v>
      </c>
      <c r="I1577" s="2">
        <v>3</v>
      </c>
      <c r="J1577" s="1">
        <v>0</v>
      </c>
      <c r="M1577" t="s">
        <v>15</v>
      </c>
      <c r="N1577" t="str">
        <f>IFERROR(VLOOKUP(B1577,'[1]All Player'!$B$2:$C$1992,2,0),"")</f>
        <v>Firoj alam</v>
      </c>
      <c r="O1577" s="2" t="s">
        <v>622</v>
      </c>
      <c r="P1577" s="14" t="s">
        <v>1000</v>
      </c>
      <c r="Q1577" s="1">
        <f t="shared" si="57"/>
        <v>1</v>
      </c>
      <c r="R1577" s="1">
        <v>264</v>
      </c>
      <c r="U1577" s="8">
        <v>44256</v>
      </c>
    </row>
    <row r="1578" spans="1:23" x14ac:dyDescent="0.25">
      <c r="A1578" s="2">
        <v>26</v>
      </c>
      <c r="B1578" t="s">
        <v>729</v>
      </c>
      <c r="C1578" s="2">
        <v>5</v>
      </c>
      <c r="D1578" s="2">
        <v>43</v>
      </c>
      <c r="E1578" s="2">
        <v>3</v>
      </c>
      <c r="F1578" s="2">
        <v>7</v>
      </c>
      <c r="G1578" s="2">
        <v>0</v>
      </c>
      <c r="H1578" s="2">
        <v>3</v>
      </c>
      <c r="I1578" s="2">
        <v>4</v>
      </c>
      <c r="J1578" s="1">
        <v>0</v>
      </c>
      <c r="M1578" t="s">
        <v>15</v>
      </c>
      <c r="N1578" t="str">
        <f>IFERROR(VLOOKUP(B1578,'[1]All Player'!$B$2:$C$1992,2,0),"")</f>
        <v>Jahin Shahriar Chowdhury</v>
      </c>
      <c r="O1578" s="2" t="s">
        <v>622</v>
      </c>
      <c r="P1578" s="14" t="s">
        <v>1000</v>
      </c>
      <c r="Q1578" s="1">
        <f t="shared" si="57"/>
        <v>1</v>
      </c>
      <c r="R1578" s="1">
        <v>264</v>
      </c>
      <c r="U1578" s="8">
        <v>44256</v>
      </c>
    </row>
    <row r="1579" spans="1:23" x14ac:dyDescent="0.25">
      <c r="A1579" s="2">
        <v>26</v>
      </c>
      <c r="B1579" t="s">
        <v>1002</v>
      </c>
      <c r="C1579" s="2">
        <v>5</v>
      </c>
      <c r="D1579" s="2">
        <v>58</v>
      </c>
      <c r="E1579" s="2">
        <v>6</v>
      </c>
      <c r="F1579" s="2">
        <v>5</v>
      </c>
      <c r="G1579" s="2">
        <v>0</v>
      </c>
      <c r="H1579" s="2">
        <v>4</v>
      </c>
      <c r="I1579" s="2">
        <v>4</v>
      </c>
      <c r="J1579" s="1">
        <v>0</v>
      </c>
      <c r="M1579" t="s">
        <v>15</v>
      </c>
      <c r="N1579" t="str">
        <f>IFERROR(VLOOKUP(B1579,'[1]All Player'!$B$2:$C$1992,2,0),"")</f>
        <v>ShiShir Hossain</v>
      </c>
      <c r="O1579" s="2" t="s">
        <v>622</v>
      </c>
      <c r="P1579" s="14" t="s">
        <v>1000</v>
      </c>
      <c r="Q1579" s="1">
        <f t="shared" si="57"/>
        <v>1</v>
      </c>
      <c r="R1579" s="1">
        <v>264</v>
      </c>
      <c r="U1579" s="8">
        <v>44256</v>
      </c>
    </row>
    <row r="1580" spans="1:23" x14ac:dyDescent="0.25">
      <c r="A1580" s="2">
        <v>26</v>
      </c>
      <c r="B1580" t="s">
        <v>1003</v>
      </c>
      <c r="C1580" s="2">
        <v>5</v>
      </c>
      <c r="D1580" s="2">
        <v>36</v>
      </c>
      <c r="E1580" s="2">
        <v>7</v>
      </c>
      <c r="F1580" s="2">
        <v>7</v>
      </c>
      <c r="G1580" s="2">
        <v>0</v>
      </c>
      <c r="H1580" s="2">
        <v>1</v>
      </c>
      <c r="I1580" s="2">
        <v>1</v>
      </c>
      <c r="J1580" s="1">
        <v>0</v>
      </c>
      <c r="M1580" t="s">
        <v>15</v>
      </c>
      <c r="N1580" t="str">
        <f>IFERROR(VLOOKUP(B1580,'[1]All Player'!$B$2:$C$1992,2,0),"")</f>
        <v>Sanju Pritom</v>
      </c>
      <c r="O1580" s="2" t="s">
        <v>622</v>
      </c>
      <c r="P1580" s="14" t="s">
        <v>1000</v>
      </c>
      <c r="Q1580" s="1">
        <f t="shared" si="57"/>
        <v>1</v>
      </c>
      <c r="R1580" s="1">
        <v>264</v>
      </c>
      <c r="U1580" s="8">
        <v>44256</v>
      </c>
    </row>
    <row r="1581" spans="1:23" x14ac:dyDescent="0.25">
      <c r="A1581" s="2">
        <v>26</v>
      </c>
      <c r="B1581" t="s">
        <v>1004</v>
      </c>
      <c r="C1581" s="2">
        <v>5</v>
      </c>
      <c r="D1581" s="2">
        <v>64</v>
      </c>
      <c r="E1581" s="2">
        <v>7</v>
      </c>
      <c r="F1581" s="2">
        <v>6</v>
      </c>
      <c r="G1581" s="2">
        <v>1</v>
      </c>
      <c r="H1581" s="2">
        <v>4</v>
      </c>
      <c r="I1581" s="2">
        <v>6</v>
      </c>
      <c r="J1581" s="1">
        <v>0</v>
      </c>
      <c r="M1581" t="s">
        <v>15</v>
      </c>
      <c r="N1581" t="str">
        <f>IFERROR(VLOOKUP(B1581,'[1]All Player'!$B$2:$C$1992,2,0),"")</f>
        <v>Kamil Ahmed</v>
      </c>
      <c r="O1581" s="2" t="s">
        <v>622</v>
      </c>
      <c r="P1581" s="14" t="s">
        <v>1000</v>
      </c>
      <c r="Q1581" s="1">
        <f t="shared" si="57"/>
        <v>1</v>
      </c>
      <c r="R1581" s="1">
        <v>264</v>
      </c>
      <c r="U1581" s="8">
        <v>44256</v>
      </c>
    </row>
    <row r="1582" spans="1:23" x14ac:dyDescent="0.25">
      <c r="A1582" s="2">
        <v>27</v>
      </c>
      <c r="B1582" s="30" t="s">
        <v>1005</v>
      </c>
      <c r="C1582" s="1"/>
      <c r="D1582" s="1"/>
      <c r="E1582" s="1"/>
      <c r="F1582" s="1"/>
      <c r="G1582" s="1"/>
      <c r="H1582" s="1"/>
      <c r="I1582" s="1"/>
      <c r="J1582" s="1"/>
      <c r="M1582" t="s">
        <v>15</v>
      </c>
      <c r="N1582" t="str">
        <f>IFERROR(VLOOKUP(B1582,'[1]All Player'!$B$2:$C$1992,2,0),"")</f>
        <v/>
      </c>
      <c r="O1582" s="2" t="s">
        <v>625</v>
      </c>
      <c r="P1582" s="14" t="s">
        <v>1005</v>
      </c>
      <c r="Q1582" s="1">
        <f t="shared" si="57"/>
        <v>1</v>
      </c>
      <c r="R1582" s="1">
        <v>265</v>
      </c>
      <c r="U1582" s="8">
        <v>44374</v>
      </c>
    </row>
    <row r="1583" spans="1:23" x14ac:dyDescent="0.25">
      <c r="A1583" s="2">
        <v>27</v>
      </c>
      <c r="B1583" t="s">
        <v>726</v>
      </c>
      <c r="C1583" s="1">
        <v>11</v>
      </c>
      <c r="D1583" s="1">
        <v>136</v>
      </c>
      <c r="E1583" s="1">
        <v>6</v>
      </c>
      <c r="F1583" s="1">
        <v>11</v>
      </c>
      <c r="G1583" s="1">
        <v>2</v>
      </c>
      <c r="H1583" s="1">
        <v>8</v>
      </c>
      <c r="I1583" s="1">
        <v>10</v>
      </c>
      <c r="J1583" s="1">
        <v>0</v>
      </c>
      <c r="K1583" s="1">
        <v>1</v>
      </c>
      <c r="L1583" s="1">
        <v>0</v>
      </c>
      <c r="M1583" t="s">
        <v>15</v>
      </c>
      <c r="N1583" t="str">
        <f>IFERROR(VLOOKUP(B1583,'[1]All Player'!$B$2:$C$1992,2,0),"")</f>
        <v>Sadrul Anam</v>
      </c>
      <c r="O1583" s="2" t="s">
        <v>625</v>
      </c>
      <c r="P1583" s="14" t="s">
        <v>1005</v>
      </c>
      <c r="Q1583" s="1">
        <f t="shared" si="57"/>
        <v>1</v>
      </c>
      <c r="R1583" s="1">
        <v>265</v>
      </c>
      <c r="U1583" s="8">
        <v>44374</v>
      </c>
    </row>
    <row r="1584" spans="1:23" x14ac:dyDescent="0.25">
      <c r="A1584" s="2">
        <v>27</v>
      </c>
      <c r="B1584" t="s">
        <v>965</v>
      </c>
      <c r="C1584" s="1">
        <v>11</v>
      </c>
      <c r="D1584" s="1">
        <v>222</v>
      </c>
      <c r="E1584" s="1">
        <v>13</v>
      </c>
      <c r="F1584" s="1">
        <v>19</v>
      </c>
      <c r="G1584" s="1">
        <v>2</v>
      </c>
      <c r="H1584" s="1">
        <v>16</v>
      </c>
      <c r="I1584" s="1">
        <v>10</v>
      </c>
      <c r="J1584" s="1">
        <v>1</v>
      </c>
      <c r="K1584" s="1">
        <v>1</v>
      </c>
      <c r="L1584" s="1">
        <v>1</v>
      </c>
      <c r="M1584" t="s">
        <v>15</v>
      </c>
      <c r="N1584" t="str">
        <f>IFERROR(VLOOKUP(B1584,'[1]All Player'!$B$2:$C$1992,2,0),"")</f>
        <v>Nur Muhammad</v>
      </c>
      <c r="O1584" s="2" t="s">
        <v>625</v>
      </c>
      <c r="P1584" s="14" t="s">
        <v>1005</v>
      </c>
      <c r="Q1584" s="1">
        <f t="shared" si="57"/>
        <v>1</v>
      </c>
      <c r="R1584" s="1">
        <v>265</v>
      </c>
      <c r="U1584" s="8">
        <v>44374</v>
      </c>
    </row>
    <row r="1585" spans="1:23" x14ac:dyDescent="0.25">
      <c r="A1585" s="2">
        <v>27</v>
      </c>
      <c r="B1585" t="s">
        <v>1006</v>
      </c>
      <c r="C1585" s="1">
        <v>11</v>
      </c>
      <c r="D1585" s="1">
        <v>76</v>
      </c>
      <c r="E1585" s="1">
        <v>11</v>
      </c>
      <c r="F1585" s="1">
        <v>9</v>
      </c>
      <c r="G1585" s="1">
        <v>1</v>
      </c>
      <c r="H1585" s="1">
        <v>4</v>
      </c>
      <c r="I1585" s="1">
        <v>5</v>
      </c>
      <c r="J1585" s="1">
        <v>0</v>
      </c>
      <c r="K1585" s="1">
        <v>0</v>
      </c>
      <c r="L1585" s="1">
        <v>1</v>
      </c>
      <c r="M1585" t="s">
        <v>15</v>
      </c>
      <c r="N1585" t="str">
        <f>IFERROR(VLOOKUP(B1585,'[1]All Player'!$B$2:$C$1992,2,0),"")</f>
        <v>Hetlar Shohag</v>
      </c>
      <c r="O1585" s="2" t="s">
        <v>625</v>
      </c>
      <c r="P1585" s="14" t="s">
        <v>1005</v>
      </c>
      <c r="Q1585" s="1">
        <f t="shared" si="57"/>
        <v>1</v>
      </c>
      <c r="R1585" s="1">
        <v>265</v>
      </c>
      <c r="U1585" s="8">
        <v>44374</v>
      </c>
    </row>
    <row r="1586" spans="1:23" x14ac:dyDescent="0.25">
      <c r="A1586" s="2">
        <v>27</v>
      </c>
      <c r="B1586" t="s">
        <v>1007</v>
      </c>
      <c r="C1586" s="1">
        <v>11</v>
      </c>
      <c r="D1586" s="1">
        <v>58</v>
      </c>
      <c r="E1586" s="1">
        <v>12</v>
      </c>
      <c r="F1586" s="1">
        <v>10</v>
      </c>
      <c r="G1586" s="1">
        <v>1</v>
      </c>
      <c r="H1586" s="1">
        <v>4</v>
      </c>
      <c r="I1586" s="1">
        <v>4</v>
      </c>
      <c r="J1586" s="1">
        <v>1</v>
      </c>
      <c r="K1586" s="1">
        <v>1</v>
      </c>
      <c r="L1586" s="1">
        <v>0</v>
      </c>
      <c r="M1586" t="s">
        <v>15</v>
      </c>
      <c r="N1586" t="str">
        <f>IFERROR(VLOOKUP(B1586,'[1]All Player'!$B$2:$C$1992,2,0),"")</f>
        <v>Towkir Ahmed Siddique</v>
      </c>
      <c r="O1586" s="2" t="s">
        <v>625</v>
      </c>
      <c r="P1586" s="14" t="s">
        <v>1005</v>
      </c>
      <c r="Q1586" s="1">
        <f t="shared" si="57"/>
        <v>1</v>
      </c>
      <c r="R1586" s="1">
        <v>265</v>
      </c>
      <c r="U1586" s="8">
        <v>44374</v>
      </c>
    </row>
    <row r="1587" spans="1:23" x14ac:dyDescent="0.25">
      <c r="A1587" s="2">
        <v>27</v>
      </c>
      <c r="B1587" t="s">
        <v>1002</v>
      </c>
      <c r="C1587" s="1">
        <v>11</v>
      </c>
      <c r="D1587" s="1">
        <v>90</v>
      </c>
      <c r="E1587" s="1">
        <v>11</v>
      </c>
      <c r="F1587" s="1">
        <v>12</v>
      </c>
      <c r="G1587" s="1">
        <v>0</v>
      </c>
      <c r="H1587" s="1">
        <v>7</v>
      </c>
      <c r="I1587" s="1">
        <v>5</v>
      </c>
      <c r="J1587" s="1">
        <v>0</v>
      </c>
      <c r="K1587" s="1">
        <v>0</v>
      </c>
      <c r="L1587" s="1">
        <v>1</v>
      </c>
      <c r="M1587" t="s">
        <v>15</v>
      </c>
      <c r="N1587" t="str">
        <f>IFERROR(VLOOKUP(B1587,'[1]All Player'!$B$2:$C$1992,2,0),"")</f>
        <v>ShiShir Hossain</v>
      </c>
      <c r="O1587" s="2" t="s">
        <v>625</v>
      </c>
      <c r="P1587" s="14" t="s">
        <v>1005</v>
      </c>
      <c r="Q1587" s="1">
        <f t="shared" si="57"/>
        <v>1</v>
      </c>
      <c r="R1587" s="1">
        <v>265</v>
      </c>
      <c r="U1587" s="8">
        <v>44374</v>
      </c>
    </row>
    <row r="1588" spans="1:23" x14ac:dyDescent="0.25">
      <c r="A1588" s="2">
        <v>27</v>
      </c>
      <c r="B1588" t="s">
        <v>1008</v>
      </c>
      <c r="C1588" s="1">
        <v>11</v>
      </c>
      <c r="D1588" s="1">
        <v>173</v>
      </c>
      <c r="E1588" s="1">
        <v>10</v>
      </c>
      <c r="F1588" s="1">
        <v>13</v>
      </c>
      <c r="G1588" s="1">
        <v>0</v>
      </c>
      <c r="H1588" s="1">
        <v>10</v>
      </c>
      <c r="I1588" s="1">
        <v>10</v>
      </c>
      <c r="J1588" s="1">
        <v>0</v>
      </c>
      <c r="K1588" s="1">
        <v>2</v>
      </c>
      <c r="L1588" s="1">
        <v>0</v>
      </c>
      <c r="M1588" t="s">
        <v>15</v>
      </c>
      <c r="N1588" t="str">
        <f>IFERROR(VLOOKUP(B1588,'[1]All Player'!$B$2:$C$1992,2,0),"")</f>
        <v>Nasir Ahmed Tuhin</v>
      </c>
      <c r="O1588" s="2" t="s">
        <v>625</v>
      </c>
      <c r="P1588" s="14" t="s">
        <v>1005</v>
      </c>
      <c r="Q1588" s="1">
        <f t="shared" si="57"/>
        <v>1</v>
      </c>
      <c r="R1588" s="1">
        <v>265</v>
      </c>
      <c r="U1588" s="8">
        <v>44374</v>
      </c>
    </row>
    <row r="1589" spans="1:23" x14ac:dyDescent="0.25">
      <c r="A1589" s="2">
        <v>27</v>
      </c>
      <c r="B1589" s="30" t="s">
        <v>628</v>
      </c>
      <c r="C1589" s="1"/>
      <c r="D1589" s="1"/>
      <c r="E1589" s="1"/>
      <c r="F1589" s="1"/>
      <c r="G1589" s="1"/>
      <c r="H1589" s="1"/>
      <c r="I1589" s="1"/>
      <c r="J1589" s="1"/>
      <c r="M1589" t="s">
        <v>15</v>
      </c>
      <c r="N1589" t="str">
        <f>IFERROR(VLOOKUP(B1589,'[1]All Player'!$B$2:$C$1992,2,0),"")</f>
        <v/>
      </c>
      <c r="O1589" s="2" t="s">
        <v>625</v>
      </c>
      <c r="P1589" s="14" t="s">
        <v>628</v>
      </c>
      <c r="Q1589" s="1">
        <f t="shared" si="57"/>
        <v>1</v>
      </c>
      <c r="R1589" s="1">
        <v>266</v>
      </c>
      <c r="U1589" s="8">
        <v>44374</v>
      </c>
    </row>
    <row r="1590" spans="1:23" x14ac:dyDescent="0.25">
      <c r="A1590" s="2">
        <v>27</v>
      </c>
      <c r="B1590" t="s">
        <v>714</v>
      </c>
      <c r="C1590" s="1">
        <v>11</v>
      </c>
      <c r="D1590" s="1">
        <v>182</v>
      </c>
      <c r="E1590" s="21">
        <v>27</v>
      </c>
      <c r="F1590" s="1">
        <v>15</v>
      </c>
      <c r="G1590" s="1">
        <v>2</v>
      </c>
      <c r="H1590" s="1">
        <v>13</v>
      </c>
      <c r="I1590" s="1">
        <v>9</v>
      </c>
      <c r="J1590" s="1">
        <v>0</v>
      </c>
      <c r="K1590" s="1">
        <v>1</v>
      </c>
      <c r="L1590" s="1">
        <v>1.5</v>
      </c>
      <c r="M1590" t="s">
        <v>15</v>
      </c>
      <c r="N1590" t="str">
        <f>IFERROR(VLOOKUP(B1590,'[1]All Player'!$B$2:$C$1992,2,0),"")</f>
        <v>Zaheed Hasan</v>
      </c>
      <c r="O1590" s="2" t="s">
        <v>625</v>
      </c>
      <c r="P1590" s="14" t="s">
        <v>628</v>
      </c>
      <c r="Q1590" s="1">
        <f t="shared" si="57"/>
        <v>1</v>
      </c>
      <c r="R1590" s="1">
        <v>266</v>
      </c>
      <c r="U1590" s="8">
        <v>44374</v>
      </c>
      <c r="W1590" s="1">
        <v>1</v>
      </c>
    </row>
    <row r="1591" spans="1:23" x14ac:dyDescent="0.25">
      <c r="A1591" s="2">
        <v>27</v>
      </c>
      <c r="B1591" t="s">
        <v>688</v>
      </c>
      <c r="C1591" s="1">
        <v>11</v>
      </c>
      <c r="D1591" s="1">
        <v>165</v>
      </c>
      <c r="E1591" s="1">
        <v>14</v>
      </c>
      <c r="F1591" s="1">
        <v>15</v>
      </c>
      <c r="G1591" s="1">
        <v>1</v>
      </c>
      <c r="H1591" s="1">
        <v>17</v>
      </c>
      <c r="I1591" s="1">
        <v>7</v>
      </c>
      <c r="J1591" s="1">
        <v>1</v>
      </c>
      <c r="K1591" s="1">
        <v>1</v>
      </c>
      <c r="L1591" s="1">
        <v>0</v>
      </c>
      <c r="M1591" t="s">
        <v>15</v>
      </c>
      <c r="N1591" t="str">
        <f>IFERROR(VLOOKUP(B1591,'[1]All Player'!$B$2:$C$1992,2,0),"")</f>
        <v>Kamrul Hasan Tutul</v>
      </c>
      <c r="O1591" s="2" t="s">
        <v>625</v>
      </c>
      <c r="P1591" s="14" t="s">
        <v>628</v>
      </c>
      <c r="Q1591" s="1">
        <f t="shared" si="57"/>
        <v>1</v>
      </c>
      <c r="R1591" s="1">
        <v>266</v>
      </c>
      <c r="U1591" s="8">
        <v>44374</v>
      </c>
    </row>
    <row r="1592" spans="1:23" x14ac:dyDescent="0.25">
      <c r="A1592" s="2">
        <v>27</v>
      </c>
      <c r="B1592" t="s">
        <v>958</v>
      </c>
      <c r="C1592" s="1">
        <v>8</v>
      </c>
      <c r="D1592" s="1">
        <v>117</v>
      </c>
      <c r="E1592" s="1">
        <v>6</v>
      </c>
      <c r="F1592" s="1">
        <v>10</v>
      </c>
      <c r="G1592" s="1">
        <v>0</v>
      </c>
      <c r="H1592" s="1">
        <v>11</v>
      </c>
      <c r="I1592" s="1">
        <v>4</v>
      </c>
      <c r="J1592" s="1">
        <v>0</v>
      </c>
      <c r="K1592" s="1">
        <v>0</v>
      </c>
      <c r="L1592" s="1">
        <v>1</v>
      </c>
      <c r="M1592" t="s">
        <v>15</v>
      </c>
      <c r="N1592" t="str">
        <f>IFERROR(VLOOKUP(B1592,'[1]All Player'!$B$2:$C$1992,2,0),"")</f>
        <v>Mohammad Asif</v>
      </c>
      <c r="O1592" s="2" t="s">
        <v>625</v>
      </c>
      <c r="P1592" s="14" t="s">
        <v>628</v>
      </c>
      <c r="Q1592" s="1">
        <f t="shared" si="57"/>
        <v>1</v>
      </c>
      <c r="R1592" s="1">
        <v>266</v>
      </c>
      <c r="U1592" s="8">
        <v>44374</v>
      </c>
    </row>
    <row r="1593" spans="1:23" x14ac:dyDescent="0.25">
      <c r="A1593" s="2">
        <v>27</v>
      </c>
      <c r="B1593" t="s">
        <v>993</v>
      </c>
      <c r="C1593" s="1">
        <v>11</v>
      </c>
      <c r="D1593" s="1">
        <v>196</v>
      </c>
      <c r="E1593" s="1">
        <v>17</v>
      </c>
      <c r="F1593" s="1">
        <v>18</v>
      </c>
      <c r="G1593" s="1">
        <v>0</v>
      </c>
      <c r="H1593" s="1">
        <v>15</v>
      </c>
      <c r="I1593" s="1">
        <v>11</v>
      </c>
      <c r="J1593" s="1">
        <v>0</v>
      </c>
      <c r="K1593" s="1">
        <v>2</v>
      </c>
      <c r="L1593" s="1">
        <v>0.5</v>
      </c>
      <c r="M1593" t="s">
        <v>15</v>
      </c>
      <c r="N1593" t="str">
        <f>IFERROR(VLOOKUP(B1593,'[1]All Player'!$B$2:$C$1992,2,0),"")</f>
        <v>Abu Mohammad Yaro</v>
      </c>
      <c r="O1593" s="2" t="s">
        <v>625</v>
      </c>
      <c r="P1593" s="14" t="s">
        <v>628</v>
      </c>
      <c r="Q1593" s="1">
        <f t="shared" si="57"/>
        <v>1</v>
      </c>
      <c r="R1593" s="1">
        <v>266</v>
      </c>
      <c r="U1593" s="8">
        <v>44374</v>
      </c>
    </row>
    <row r="1594" spans="1:23" x14ac:dyDescent="0.25">
      <c r="A1594" s="2">
        <v>27</v>
      </c>
      <c r="B1594" t="s">
        <v>976</v>
      </c>
      <c r="C1594" s="1">
        <v>9</v>
      </c>
      <c r="D1594" s="1">
        <v>122</v>
      </c>
      <c r="E1594" s="1">
        <v>6</v>
      </c>
      <c r="F1594" s="1">
        <v>10</v>
      </c>
      <c r="G1594" s="1">
        <v>0</v>
      </c>
      <c r="H1594" s="1">
        <v>10</v>
      </c>
      <c r="I1594" s="1">
        <v>8</v>
      </c>
      <c r="J1594" s="1">
        <v>0</v>
      </c>
      <c r="K1594" s="1">
        <v>1</v>
      </c>
      <c r="L1594" s="1">
        <v>1</v>
      </c>
      <c r="M1594" t="s">
        <v>15</v>
      </c>
      <c r="N1594" t="str">
        <f>IFERROR(VLOOKUP(B1594,'[1]All Player'!$B$2:$C$1992,2,0),"")</f>
        <v>Mehedi Hasan Joy</v>
      </c>
      <c r="O1594" s="2" t="s">
        <v>625</v>
      </c>
      <c r="P1594" s="14" t="s">
        <v>628</v>
      </c>
      <c r="Q1594" s="1">
        <f t="shared" si="57"/>
        <v>1</v>
      </c>
      <c r="R1594" s="1">
        <v>266</v>
      </c>
      <c r="U1594" s="8">
        <v>44374</v>
      </c>
    </row>
    <row r="1595" spans="1:23" x14ac:dyDescent="0.25">
      <c r="A1595" s="2">
        <v>27</v>
      </c>
      <c r="B1595" t="s">
        <v>444</v>
      </c>
      <c r="C1595" s="1">
        <v>4</v>
      </c>
      <c r="D1595" s="1">
        <v>54</v>
      </c>
      <c r="E1595" s="1">
        <v>4</v>
      </c>
      <c r="F1595" s="1">
        <v>4</v>
      </c>
      <c r="G1595" s="1">
        <v>2</v>
      </c>
      <c r="H1595" s="1">
        <v>5</v>
      </c>
      <c r="I1595" s="1">
        <v>4</v>
      </c>
      <c r="J1595" s="1">
        <v>0</v>
      </c>
      <c r="K1595" s="1">
        <v>1</v>
      </c>
      <c r="L1595" s="1">
        <v>1</v>
      </c>
      <c r="M1595" t="s">
        <v>15</v>
      </c>
      <c r="N1595" t="str">
        <f>IFERROR(VLOOKUP(B1595,'[1]All Player'!$B$2:$C$1992,2,0),"")</f>
        <v>MASUD KARIM</v>
      </c>
      <c r="O1595" s="2" t="s">
        <v>625</v>
      </c>
      <c r="P1595" s="14" t="s">
        <v>628</v>
      </c>
      <c r="Q1595" s="1">
        <f t="shared" si="57"/>
        <v>1</v>
      </c>
      <c r="R1595" s="1">
        <v>266</v>
      </c>
      <c r="U1595" s="8">
        <v>44374</v>
      </c>
    </row>
    <row r="1596" spans="1:23" x14ac:dyDescent="0.25">
      <c r="A1596" s="2">
        <v>27</v>
      </c>
      <c r="B1596" s="30" t="s">
        <v>629</v>
      </c>
      <c r="C1596" s="1"/>
      <c r="D1596" s="1"/>
      <c r="E1596" s="1"/>
      <c r="F1596" s="1"/>
      <c r="G1596" s="1"/>
      <c r="H1596" s="1"/>
      <c r="I1596" s="1"/>
      <c r="J1596" s="1"/>
      <c r="M1596" t="s">
        <v>15</v>
      </c>
      <c r="N1596" t="str">
        <f>IFERROR(VLOOKUP(B1596,'[1]All Player'!$B$2:$C$1992,2,0),"")</f>
        <v/>
      </c>
      <c r="O1596" s="2" t="s">
        <v>625</v>
      </c>
      <c r="P1596" s="14" t="s">
        <v>629</v>
      </c>
      <c r="Q1596" s="1">
        <f t="shared" si="57"/>
        <v>1</v>
      </c>
      <c r="R1596" s="1">
        <v>267</v>
      </c>
      <c r="T1596" s="1" t="s">
        <v>659</v>
      </c>
      <c r="U1596" s="8">
        <v>44374</v>
      </c>
    </row>
    <row r="1597" spans="1:23" x14ac:dyDescent="0.25">
      <c r="A1597" s="2">
        <v>27</v>
      </c>
      <c r="B1597" t="s">
        <v>956</v>
      </c>
      <c r="C1597" s="1">
        <v>13</v>
      </c>
      <c r="D1597" s="1">
        <v>169</v>
      </c>
      <c r="E1597" s="1">
        <v>14</v>
      </c>
      <c r="F1597" s="1">
        <v>19</v>
      </c>
      <c r="G1597" s="1">
        <v>1</v>
      </c>
      <c r="H1597" s="1">
        <v>18</v>
      </c>
      <c r="I1597" s="1">
        <v>9</v>
      </c>
      <c r="J1597" s="1">
        <v>1</v>
      </c>
      <c r="K1597" s="1">
        <v>0</v>
      </c>
      <c r="L1597" s="1">
        <v>2.5</v>
      </c>
      <c r="M1597" t="s">
        <v>15</v>
      </c>
      <c r="N1597" t="str">
        <f>IFERROR(VLOOKUP(B1597,'[1]All Player'!$B$2:$C$1992,2,0),"")</f>
        <v>Tanvir Shakib</v>
      </c>
      <c r="O1597" s="2" t="s">
        <v>625</v>
      </c>
      <c r="P1597" s="14" t="s">
        <v>629</v>
      </c>
      <c r="Q1597" s="1">
        <f t="shared" si="57"/>
        <v>1</v>
      </c>
      <c r="R1597" s="1">
        <v>267</v>
      </c>
      <c r="T1597" s="1" t="s">
        <v>659</v>
      </c>
      <c r="U1597" s="8">
        <v>44374</v>
      </c>
    </row>
    <row r="1598" spans="1:23" x14ac:dyDescent="0.25">
      <c r="A1598" s="2">
        <v>27</v>
      </c>
      <c r="B1598" t="s">
        <v>729</v>
      </c>
      <c r="C1598" s="1">
        <v>13</v>
      </c>
      <c r="D1598" s="1">
        <v>135</v>
      </c>
      <c r="E1598" s="1">
        <v>16</v>
      </c>
      <c r="F1598" s="1">
        <v>15</v>
      </c>
      <c r="G1598" s="1">
        <v>1</v>
      </c>
      <c r="H1598" s="1">
        <v>7</v>
      </c>
      <c r="I1598" s="1">
        <v>9</v>
      </c>
      <c r="J1598" s="1">
        <v>1</v>
      </c>
      <c r="K1598" s="1">
        <v>2</v>
      </c>
      <c r="L1598" s="1">
        <v>2</v>
      </c>
      <c r="M1598" t="s">
        <v>15</v>
      </c>
      <c r="N1598" t="str">
        <f>IFERROR(VLOOKUP(B1598,'[1]All Player'!$B$2:$C$1992,2,0),"")</f>
        <v>Jahin Shahriar Chowdhury</v>
      </c>
      <c r="O1598" s="2" t="s">
        <v>625</v>
      </c>
      <c r="P1598" s="14" t="s">
        <v>629</v>
      </c>
      <c r="Q1598" s="1">
        <f t="shared" si="57"/>
        <v>1</v>
      </c>
      <c r="R1598" s="1">
        <v>267</v>
      </c>
      <c r="T1598" s="1" t="s">
        <v>659</v>
      </c>
      <c r="U1598" s="8">
        <v>44374</v>
      </c>
    </row>
    <row r="1599" spans="1:23" x14ac:dyDescent="0.25">
      <c r="A1599" s="2">
        <v>27</v>
      </c>
      <c r="B1599" t="s">
        <v>962</v>
      </c>
      <c r="C1599" s="1">
        <v>13</v>
      </c>
      <c r="D1599" s="1">
        <v>140</v>
      </c>
      <c r="E1599" s="1">
        <v>20</v>
      </c>
      <c r="F1599" s="1">
        <v>14</v>
      </c>
      <c r="G1599" s="1">
        <v>0</v>
      </c>
      <c r="H1599" s="1">
        <v>16</v>
      </c>
      <c r="I1599" s="1">
        <v>6</v>
      </c>
      <c r="J1599" s="1">
        <v>1</v>
      </c>
      <c r="K1599" s="1">
        <v>0</v>
      </c>
      <c r="L1599" s="1">
        <v>1.5</v>
      </c>
      <c r="M1599" t="s">
        <v>15</v>
      </c>
      <c r="N1599" t="str">
        <f>IFERROR(VLOOKUP(B1599,'[1]All Player'!$B$2:$C$1992,2,0),"")</f>
        <v>Monowar Hossain Munna</v>
      </c>
      <c r="O1599" s="2" t="s">
        <v>625</v>
      </c>
      <c r="P1599" s="14" t="s">
        <v>629</v>
      </c>
      <c r="Q1599" s="1">
        <f t="shared" si="57"/>
        <v>1</v>
      </c>
      <c r="R1599" s="1">
        <v>267</v>
      </c>
      <c r="T1599" s="1" t="s">
        <v>659</v>
      </c>
      <c r="U1599" s="8">
        <v>44374</v>
      </c>
    </row>
    <row r="1600" spans="1:23" x14ac:dyDescent="0.25">
      <c r="A1600" s="2">
        <v>27</v>
      </c>
      <c r="B1600" t="s">
        <v>998</v>
      </c>
      <c r="C1600" s="1">
        <v>10</v>
      </c>
      <c r="D1600" s="1">
        <v>56</v>
      </c>
      <c r="E1600" s="1">
        <v>10</v>
      </c>
      <c r="F1600" s="1">
        <v>7</v>
      </c>
      <c r="G1600" s="1">
        <v>0</v>
      </c>
      <c r="H1600" s="1">
        <v>4</v>
      </c>
      <c r="I1600" s="1">
        <v>2</v>
      </c>
      <c r="J1600" s="1">
        <v>0</v>
      </c>
      <c r="K1600" s="1">
        <v>0</v>
      </c>
      <c r="L1600" s="1">
        <v>0</v>
      </c>
      <c r="M1600" t="s">
        <v>15</v>
      </c>
      <c r="N1600" t="str">
        <f>IFERROR(VLOOKUP(B1600,'[1]All Player'!$B$2:$C$1992,2,0),"")</f>
        <v>Ahmad Sajid Abdullah</v>
      </c>
      <c r="O1600" s="2" t="s">
        <v>625</v>
      </c>
      <c r="P1600" s="16" t="s">
        <v>629</v>
      </c>
      <c r="Q1600" s="1">
        <f t="shared" si="57"/>
        <v>1</v>
      </c>
      <c r="R1600" s="1">
        <v>267</v>
      </c>
      <c r="T1600" s="1" t="s">
        <v>659</v>
      </c>
      <c r="U1600" s="8">
        <v>44374</v>
      </c>
    </row>
    <row r="1601" spans="1:22" x14ac:dyDescent="0.25">
      <c r="A1601" s="2">
        <v>27</v>
      </c>
      <c r="B1601" t="s">
        <v>1009</v>
      </c>
      <c r="C1601" s="1">
        <v>13</v>
      </c>
      <c r="D1601" s="1">
        <v>347</v>
      </c>
      <c r="E1601" s="1">
        <v>20</v>
      </c>
      <c r="F1601" s="1">
        <v>21</v>
      </c>
      <c r="G1601" s="1">
        <v>1</v>
      </c>
      <c r="H1601" s="1">
        <v>27</v>
      </c>
      <c r="I1601" s="1">
        <v>28</v>
      </c>
      <c r="J1601" s="1">
        <v>1</v>
      </c>
      <c r="K1601" s="1">
        <v>6</v>
      </c>
      <c r="L1601" s="1">
        <v>1</v>
      </c>
      <c r="M1601" t="s">
        <v>15</v>
      </c>
      <c r="N1601" t="str">
        <f>IFERROR(VLOOKUP(B1601,'[1]All Player'!$B$2:$C$1992,2,0),"")</f>
        <v>Rakibul Islam</v>
      </c>
      <c r="O1601" s="2" t="s">
        <v>625</v>
      </c>
      <c r="P1601" s="16" t="s">
        <v>629</v>
      </c>
      <c r="Q1601" s="1">
        <f t="shared" si="57"/>
        <v>1</v>
      </c>
      <c r="R1601" s="1">
        <v>267</v>
      </c>
      <c r="S1601" s="2" t="s">
        <v>660</v>
      </c>
      <c r="T1601" s="1" t="s">
        <v>659</v>
      </c>
      <c r="U1601" s="8">
        <v>44374</v>
      </c>
      <c r="V1601" s="1">
        <v>1</v>
      </c>
    </row>
    <row r="1602" spans="1:22" x14ac:dyDescent="0.25">
      <c r="A1602" s="2">
        <v>27</v>
      </c>
      <c r="B1602" t="s">
        <v>1010</v>
      </c>
      <c r="C1602" s="1">
        <v>13</v>
      </c>
      <c r="D1602" s="1">
        <v>158</v>
      </c>
      <c r="E1602" s="1">
        <v>19</v>
      </c>
      <c r="F1602" s="1">
        <v>16</v>
      </c>
      <c r="G1602" s="1">
        <v>2</v>
      </c>
      <c r="H1602" s="1">
        <v>10</v>
      </c>
      <c r="I1602" s="1">
        <v>9</v>
      </c>
      <c r="J1602" s="1">
        <v>0</v>
      </c>
      <c r="K1602" s="1">
        <v>1</v>
      </c>
      <c r="L1602" s="1">
        <v>1</v>
      </c>
      <c r="M1602" t="s">
        <v>15</v>
      </c>
      <c r="N1602" t="str">
        <f>IFERROR(VLOOKUP(B1602,'[1]All Player'!$B$2:$C$1992,2,0),"")</f>
        <v>Mridul Haque</v>
      </c>
      <c r="O1602" s="2" t="s">
        <v>625</v>
      </c>
      <c r="P1602" s="16" t="s">
        <v>629</v>
      </c>
      <c r="Q1602" s="1">
        <f t="shared" ref="Q1602:Q1665" si="58">IF(B1602="","",1)</f>
        <v>1</v>
      </c>
      <c r="R1602" s="1">
        <v>267</v>
      </c>
      <c r="T1602" s="1" t="s">
        <v>659</v>
      </c>
      <c r="U1602" s="8">
        <v>44374</v>
      </c>
    </row>
    <row r="1603" spans="1:22" x14ac:dyDescent="0.25">
      <c r="A1603" s="2">
        <v>27</v>
      </c>
      <c r="B1603" s="30" t="s">
        <v>1011</v>
      </c>
      <c r="C1603" s="1"/>
      <c r="D1603" s="1"/>
      <c r="E1603" s="1"/>
      <c r="F1603" s="1"/>
      <c r="G1603" s="1"/>
      <c r="H1603" s="1"/>
      <c r="I1603" s="1"/>
      <c r="J1603" s="1"/>
      <c r="M1603" t="s">
        <v>15</v>
      </c>
      <c r="N1603" t="str">
        <f>IFERROR(VLOOKUP(B1603,'[1]All Player'!$B$2:$C$1992,2,0),"")</f>
        <v/>
      </c>
      <c r="O1603" s="2" t="s">
        <v>625</v>
      </c>
      <c r="P1603" s="14" t="s">
        <v>1011</v>
      </c>
      <c r="Q1603" s="1">
        <f t="shared" si="58"/>
        <v>1</v>
      </c>
      <c r="R1603" s="1">
        <v>268</v>
      </c>
      <c r="U1603" s="8">
        <v>44374</v>
      </c>
    </row>
    <row r="1604" spans="1:22" x14ac:dyDescent="0.25">
      <c r="A1604" s="2">
        <v>27</v>
      </c>
      <c r="B1604" t="s">
        <v>955</v>
      </c>
      <c r="C1604" s="1">
        <v>11</v>
      </c>
      <c r="D1604" s="1">
        <v>126</v>
      </c>
      <c r="E1604" s="1">
        <v>17</v>
      </c>
      <c r="F1604" s="1">
        <v>19</v>
      </c>
      <c r="G1604" s="1">
        <v>1</v>
      </c>
      <c r="H1604" s="1">
        <v>7</v>
      </c>
      <c r="I1604" s="1">
        <v>7</v>
      </c>
      <c r="J1604" s="1">
        <v>1</v>
      </c>
      <c r="K1604" s="1">
        <v>0</v>
      </c>
      <c r="L1604" s="1">
        <v>1.5</v>
      </c>
      <c r="M1604" t="s">
        <v>15</v>
      </c>
      <c r="N1604" t="str">
        <f>IFERROR(VLOOKUP(B1604,'[1]All Player'!$B$2:$C$1992,2,0),"")</f>
        <v>Asik Hassan Tonmoy</v>
      </c>
      <c r="O1604" s="2" t="s">
        <v>625</v>
      </c>
      <c r="P1604" s="16" t="s">
        <v>1011</v>
      </c>
      <c r="Q1604" s="1">
        <f t="shared" si="58"/>
        <v>1</v>
      </c>
      <c r="R1604" s="1">
        <v>268</v>
      </c>
      <c r="U1604" s="8">
        <v>44374</v>
      </c>
    </row>
    <row r="1605" spans="1:22" x14ac:dyDescent="0.25">
      <c r="A1605" s="2">
        <v>27</v>
      </c>
      <c r="B1605" t="s">
        <v>1012</v>
      </c>
      <c r="C1605" s="1">
        <v>11</v>
      </c>
      <c r="D1605" s="1">
        <v>206</v>
      </c>
      <c r="E1605" s="1">
        <v>12</v>
      </c>
      <c r="F1605" s="1">
        <v>17</v>
      </c>
      <c r="G1605" s="1">
        <v>1</v>
      </c>
      <c r="H1605" s="1">
        <v>7</v>
      </c>
      <c r="I1605" s="1">
        <v>18</v>
      </c>
      <c r="J1605" s="1">
        <v>0</v>
      </c>
      <c r="K1605" s="1">
        <v>0.5</v>
      </c>
      <c r="L1605" s="1">
        <v>0.5</v>
      </c>
      <c r="M1605" t="s">
        <v>15</v>
      </c>
      <c r="N1605" t="str">
        <f>IFERROR(VLOOKUP(B1605,'[1]All Player'!$B$2:$C$1992,2,0),"")</f>
        <v>GM Manik</v>
      </c>
      <c r="O1605" s="2" t="s">
        <v>625</v>
      </c>
      <c r="P1605" s="16" t="s">
        <v>1011</v>
      </c>
      <c r="Q1605" s="1">
        <f t="shared" si="58"/>
        <v>1</v>
      </c>
      <c r="R1605" s="1">
        <v>268</v>
      </c>
      <c r="U1605" s="8">
        <v>44374</v>
      </c>
    </row>
    <row r="1606" spans="1:22" x14ac:dyDescent="0.25">
      <c r="A1606" s="2">
        <v>27</v>
      </c>
      <c r="B1606" t="s">
        <v>969</v>
      </c>
      <c r="C1606" s="1">
        <v>11</v>
      </c>
      <c r="D1606" s="1">
        <v>202</v>
      </c>
      <c r="E1606" s="1">
        <v>9</v>
      </c>
      <c r="F1606" s="1">
        <v>16</v>
      </c>
      <c r="G1606" s="1">
        <v>0</v>
      </c>
      <c r="H1606" s="1">
        <v>9</v>
      </c>
      <c r="I1606" s="1">
        <v>14</v>
      </c>
      <c r="J1606" s="1">
        <v>0</v>
      </c>
      <c r="K1606" s="1">
        <v>2</v>
      </c>
      <c r="L1606" s="1">
        <v>2</v>
      </c>
      <c r="M1606" t="s">
        <v>15</v>
      </c>
      <c r="N1606" t="str">
        <f>IFERROR(VLOOKUP(B1606,'[1]All Player'!$B$2:$C$1992,2,0),"")</f>
        <v>Prince Tarek</v>
      </c>
      <c r="O1606" s="2" t="s">
        <v>625</v>
      </c>
      <c r="P1606" s="16" t="s">
        <v>1011</v>
      </c>
      <c r="Q1606" s="1">
        <f t="shared" si="58"/>
        <v>1</v>
      </c>
      <c r="R1606" s="1">
        <v>268</v>
      </c>
      <c r="U1606" s="8">
        <v>44374</v>
      </c>
    </row>
    <row r="1607" spans="1:22" x14ac:dyDescent="0.25">
      <c r="A1607" s="2">
        <v>27</v>
      </c>
      <c r="B1607" t="s">
        <v>991</v>
      </c>
      <c r="C1607" s="1">
        <v>10</v>
      </c>
      <c r="D1607" s="1">
        <v>162</v>
      </c>
      <c r="E1607" s="1">
        <v>9</v>
      </c>
      <c r="F1607" s="1">
        <v>16</v>
      </c>
      <c r="G1607" s="1">
        <v>0</v>
      </c>
      <c r="H1607" s="1">
        <v>9</v>
      </c>
      <c r="I1607" s="1">
        <v>13</v>
      </c>
      <c r="J1607" s="1">
        <v>0</v>
      </c>
      <c r="K1607" s="1">
        <v>0</v>
      </c>
      <c r="L1607" s="1">
        <v>1</v>
      </c>
      <c r="M1607" t="s">
        <v>15</v>
      </c>
      <c r="N1607" t="str">
        <f>IFERROR(VLOOKUP(B1607,'[1]All Player'!$B$2:$C$1992,2,0),"")</f>
        <v>Ador Hasan</v>
      </c>
      <c r="O1607" s="2" t="s">
        <v>625</v>
      </c>
      <c r="P1607" s="16" t="s">
        <v>1011</v>
      </c>
      <c r="Q1607" s="1">
        <f t="shared" si="58"/>
        <v>1</v>
      </c>
      <c r="R1607" s="1">
        <v>268</v>
      </c>
      <c r="U1607" s="8">
        <v>44374</v>
      </c>
    </row>
    <row r="1608" spans="1:22" x14ac:dyDescent="0.25">
      <c r="A1608" s="2">
        <v>27</v>
      </c>
      <c r="B1608" t="s">
        <v>971</v>
      </c>
      <c r="C1608" s="1">
        <v>6</v>
      </c>
      <c r="D1608" s="1">
        <v>72</v>
      </c>
      <c r="E1608" s="1">
        <v>9</v>
      </c>
      <c r="F1608" s="1">
        <v>7</v>
      </c>
      <c r="G1608" s="1">
        <v>1</v>
      </c>
      <c r="H1608" s="1">
        <v>5</v>
      </c>
      <c r="I1608" s="1">
        <v>3</v>
      </c>
      <c r="J1608" s="1">
        <v>1</v>
      </c>
      <c r="K1608" s="1">
        <v>2</v>
      </c>
      <c r="L1608" s="1">
        <v>1</v>
      </c>
      <c r="M1608" t="s">
        <v>15</v>
      </c>
      <c r="N1608" t="str">
        <f>IFERROR(VLOOKUP(B1608,'[1]All Player'!$B$2:$C$1992,2,0),"")</f>
        <v>Md. Tanveer Mahmud Ayan</v>
      </c>
      <c r="O1608" s="2" t="s">
        <v>625</v>
      </c>
      <c r="P1608" s="16" t="s">
        <v>1011</v>
      </c>
      <c r="Q1608" s="1">
        <f t="shared" si="58"/>
        <v>1</v>
      </c>
      <c r="R1608" s="1">
        <v>268</v>
      </c>
      <c r="U1608" s="8">
        <v>44374</v>
      </c>
    </row>
    <row r="1609" spans="1:22" x14ac:dyDescent="0.25">
      <c r="A1609" s="2">
        <v>27</v>
      </c>
      <c r="B1609" t="s">
        <v>1013</v>
      </c>
      <c r="C1609" s="1">
        <v>8</v>
      </c>
      <c r="D1609" s="1">
        <v>47</v>
      </c>
      <c r="E1609" s="1">
        <v>7</v>
      </c>
      <c r="F1609" s="1">
        <v>7</v>
      </c>
      <c r="G1609" s="1">
        <v>0</v>
      </c>
      <c r="H1609" s="1">
        <v>5</v>
      </c>
      <c r="I1609" s="1">
        <v>1</v>
      </c>
      <c r="J1609" s="1">
        <v>0</v>
      </c>
      <c r="K1609" s="1">
        <v>0</v>
      </c>
      <c r="L1609" s="1">
        <v>0</v>
      </c>
      <c r="M1609" t="s">
        <v>15</v>
      </c>
      <c r="N1609" t="str">
        <f>IFERROR(VLOOKUP(B1609,'[1]All Player'!$B$2:$C$1992,2,0),"")</f>
        <v>Wasiq Rahman</v>
      </c>
      <c r="O1609" s="2" t="s">
        <v>625</v>
      </c>
      <c r="P1609" s="16" t="s">
        <v>1011</v>
      </c>
      <c r="Q1609" s="1">
        <f t="shared" si="58"/>
        <v>1</v>
      </c>
      <c r="R1609" s="1">
        <v>268</v>
      </c>
      <c r="U1609" s="8">
        <v>44374</v>
      </c>
    </row>
    <row r="1610" spans="1:22" x14ac:dyDescent="0.25">
      <c r="A1610" s="2">
        <v>27</v>
      </c>
      <c r="B1610" s="30" t="s">
        <v>630</v>
      </c>
      <c r="C1610" s="1"/>
      <c r="D1610" s="1"/>
      <c r="E1610" s="1"/>
      <c r="F1610" s="1"/>
      <c r="G1610" s="1"/>
      <c r="H1610" s="1"/>
      <c r="I1610" s="1"/>
      <c r="J1610" s="1"/>
      <c r="M1610" t="s">
        <v>15</v>
      </c>
      <c r="N1610" t="str">
        <f>IFERROR(VLOOKUP(B1610,'[1]All Player'!$B$2:$C$1992,2,0),"")</f>
        <v/>
      </c>
      <c r="O1610" s="2" t="s">
        <v>625</v>
      </c>
      <c r="P1610" s="14" t="s">
        <v>630</v>
      </c>
      <c r="Q1610" s="1">
        <f t="shared" si="58"/>
        <v>1</v>
      </c>
      <c r="R1610" s="1">
        <v>269</v>
      </c>
      <c r="U1610" s="8">
        <v>44374</v>
      </c>
    </row>
    <row r="1611" spans="1:22" x14ac:dyDescent="0.25">
      <c r="A1611" s="2">
        <v>27</v>
      </c>
      <c r="B1611" t="s">
        <v>985</v>
      </c>
      <c r="C1611" s="1">
        <v>11</v>
      </c>
      <c r="D1611" s="1">
        <v>100</v>
      </c>
      <c r="E1611" s="1">
        <v>14</v>
      </c>
      <c r="F1611" s="1">
        <v>11</v>
      </c>
      <c r="G1611" s="1">
        <v>1</v>
      </c>
      <c r="H1611" s="1">
        <v>8</v>
      </c>
      <c r="I1611" s="1">
        <v>8</v>
      </c>
      <c r="J1611" s="1">
        <v>0</v>
      </c>
      <c r="K1611" s="1">
        <v>0</v>
      </c>
      <c r="L1611" s="1">
        <v>1.5</v>
      </c>
      <c r="M1611" t="s">
        <v>15</v>
      </c>
      <c r="N1611" t="str">
        <f>IFERROR(VLOOKUP(B1611,'[1]All Player'!$B$2:$C$1992,2,0),"")</f>
        <v>M R Shakil</v>
      </c>
      <c r="O1611" s="2" t="s">
        <v>625</v>
      </c>
      <c r="P1611" s="16" t="s">
        <v>630</v>
      </c>
      <c r="Q1611" s="1">
        <f t="shared" si="58"/>
        <v>1</v>
      </c>
      <c r="R1611" s="1">
        <v>269</v>
      </c>
      <c r="U1611" s="8">
        <v>44374</v>
      </c>
    </row>
    <row r="1612" spans="1:22" x14ac:dyDescent="0.25">
      <c r="A1612" s="2">
        <v>27</v>
      </c>
      <c r="B1612" t="s">
        <v>424</v>
      </c>
      <c r="C1612" s="1">
        <v>11</v>
      </c>
      <c r="D1612" s="1">
        <v>120</v>
      </c>
      <c r="E1612" s="1">
        <v>9</v>
      </c>
      <c r="F1612" s="1">
        <v>12</v>
      </c>
      <c r="G1612" s="1">
        <v>0</v>
      </c>
      <c r="H1612" s="1">
        <v>7</v>
      </c>
      <c r="I1612" s="1">
        <v>6</v>
      </c>
      <c r="J1612" s="1">
        <v>0</v>
      </c>
      <c r="K1612" s="1">
        <v>0</v>
      </c>
      <c r="L1612" s="1">
        <v>0</v>
      </c>
      <c r="M1612" t="s">
        <v>15</v>
      </c>
      <c r="N1612" t="str">
        <f>IFERROR(VLOOKUP(B1612,'[1]All Player'!$B$2:$C$1992,2,0),"")</f>
        <v>Rakib Hossain</v>
      </c>
      <c r="O1612" s="2" t="s">
        <v>625</v>
      </c>
      <c r="P1612" s="16" t="s">
        <v>630</v>
      </c>
      <c r="Q1612" s="1">
        <f t="shared" si="58"/>
        <v>1</v>
      </c>
      <c r="R1612" s="1">
        <v>269</v>
      </c>
      <c r="U1612" s="8">
        <v>44374</v>
      </c>
    </row>
    <row r="1613" spans="1:22" x14ac:dyDescent="0.25">
      <c r="A1613" s="2">
        <v>27</v>
      </c>
      <c r="B1613" t="s">
        <v>988</v>
      </c>
      <c r="C1613" s="1">
        <v>10</v>
      </c>
      <c r="D1613" s="1">
        <v>283</v>
      </c>
      <c r="E1613" s="1">
        <v>12</v>
      </c>
      <c r="F1613" s="1">
        <v>20</v>
      </c>
      <c r="G1613" s="1">
        <v>0</v>
      </c>
      <c r="H1613" s="1">
        <v>25</v>
      </c>
      <c r="I1613" s="1">
        <v>19</v>
      </c>
      <c r="J1613" s="1">
        <v>0</v>
      </c>
      <c r="K1613" s="1">
        <v>0</v>
      </c>
      <c r="L1613" s="1">
        <v>2.5</v>
      </c>
      <c r="M1613" t="s">
        <v>15</v>
      </c>
      <c r="N1613" t="str">
        <f>IFERROR(VLOOKUP(B1613,'[1]All Player'!$B$2:$C$1992,2,0),"")</f>
        <v>AB Saaj</v>
      </c>
      <c r="O1613" s="2" t="s">
        <v>625</v>
      </c>
      <c r="P1613" s="16" t="s">
        <v>630</v>
      </c>
      <c r="Q1613" s="1">
        <f t="shared" si="58"/>
        <v>1</v>
      </c>
      <c r="R1613" s="1">
        <v>269</v>
      </c>
      <c r="U1613" s="8">
        <v>44374</v>
      </c>
    </row>
    <row r="1614" spans="1:22" x14ac:dyDescent="0.25">
      <c r="A1614" s="2">
        <v>27</v>
      </c>
      <c r="B1614" t="s">
        <v>951</v>
      </c>
      <c r="C1614" s="1">
        <v>11</v>
      </c>
      <c r="D1614" s="1">
        <v>225</v>
      </c>
      <c r="E1614" s="1">
        <v>17</v>
      </c>
      <c r="F1614" s="1">
        <v>18</v>
      </c>
      <c r="G1614" s="1">
        <v>2</v>
      </c>
      <c r="H1614" s="1">
        <v>18</v>
      </c>
      <c r="I1614" s="1">
        <v>9</v>
      </c>
      <c r="J1614" s="1">
        <v>2</v>
      </c>
      <c r="K1614" s="1">
        <v>3</v>
      </c>
      <c r="L1614" s="1">
        <v>1</v>
      </c>
      <c r="M1614" t="s">
        <v>15</v>
      </c>
      <c r="N1614" t="str">
        <f>IFERROR(VLOOKUP(B1614,'[1]All Player'!$B$2:$C$1992,2,0),"")</f>
        <v>মাহমুদুল হক নাইম</v>
      </c>
      <c r="O1614" s="2" t="s">
        <v>625</v>
      </c>
      <c r="P1614" s="16" t="s">
        <v>630</v>
      </c>
      <c r="Q1614" s="1">
        <f t="shared" si="58"/>
        <v>1</v>
      </c>
      <c r="R1614" s="1">
        <v>269</v>
      </c>
      <c r="U1614" s="8">
        <v>44374</v>
      </c>
    </row>
    <row r="1615" spans="1:22" x14ac:dyDescent="0.25">
      <c r="A1615" s="2">
        <v>27</v>
      </c>
      <c r="B1615" t="s">
        <v>999</v>
      </c>
      <c r="C1615" s="1">
        <v>11</v>
      </c>
      <c r="D1615" s="1">
        <v>131</v>
      </c>
      <c r="E1615" s="1">
        <v>9</v>
      </c>
      <c r="F1615" s="1">
        <v>11</v>
      </c>
      <c r="G1615" s="1">
        <v>1</v>
      </c>
      <c r="H1615" s="1">
        <v>8</v>
      </c>
      <c r="I1615" s="1">
        <v>7</v>
      </c>
      <c r="J1615" s="1">
        <v>0</v>
      </c>
      <c r="K1615" s="1">
        <v>1</v>
      </c>
      <c r="L1615" s="1">
        <v>0</v>
      </c>
      <c r="M1615" t="s">
        <v>15</v>
      </c>
      <c r="N1615" t="str">
        <f>IFERROR(VLOOKUP(B1615,'[1]All Player'!$B$2:$C$1992,2,0),"")</f>
        <v>Sajjadul Haque Sagar</v>
      </c>
      <c r="O1615" s="2" t="s">
        <v>625</v>
      </c>
      <c r="P1615" s="16" t="s">
        <v>630</v>
      </c>
      <c r="Q1615" s="1">
        <f t="shared" si="58"/>
        <v>1</v>
      </c>
      <c r="R1615" s="1">
        <v>269</v>
      </c>
      <c r="U1615" s="8">
        <v>44374</v>
      </c>
    </row>
    <row r="1616" spans="1:22" x14ac:dyDescent="0.25">
      <c r="A1616" s="2">
        <v>27</v>
      </c>
      <c r="B1616" t="s">
        <v>448</v>
      </c>
      <c r="C1616" s="1">
        <v>11</v>
      </c>
      <c r="D1616" s="1">
        <v>157</v>
      </c>
      <c r="E1616" s="1">
        <v>13</v>
      </c>
      <c r="F1616" s="1">
        <v>13</v>
      </c>
      <c r="G1616" s="1">
        <v>1</v>
      </c>
      <c r="H1616" s="1">
        <v>12</v>
      </c>
      <c r="I1616" s="1">
        <v>9</v>
      </c>
      <c r="J1616" s="1">
        <v>0</v>
      </c>
      <c r="K1616" s="1">
        <v>1</v>
      </c>
      <c r="L1616" s="1">
        <v>0</v>
      </c>
      <c r="M1616" t="s">
        <v>15</v>
      </c>
      <c r="N1616" t="str">
        <f>IFERROR(VLOOKUP(B1616,'[1]All Player'!$B$2:$C$1992,2,0),"")</f>
        <v>Mahin Rahman</v>
      </c>
      <c r="O1616" s="2" t="s">
        <v>625</v>
      </c>
      <c r="P1616" s="16" t="s">
        <v>630</v>
      </c>
      <c r="Q1616" s="1">
        <f t="shared" si="58"/>
        <v>1</v>
      </c>
      <c r="R1616" s="1">
        <v>269</v>
      </c>
      <c r="U1616" s="8">
        <v>44374</v>
      </c>
    </row>
    <row r="1617" spans="1:21" x14ac:dyDescent="0.25">
      <c r="A1617" s="2">
        <v>27</v>
      </c>
      <c r="B1617" s="30" t="s">
        <v>631</v>
      </c>
      <c r="C1617" s="1"/>
      <c r="D1617" s="1"/>
      <c r="E1617" s="1"/>
      <c r="F1617" s="1"/>
      <c r="G1617" s="1"/>
      <c r="H1617" s="1"/>
      <c r="I1617" s="1"/>
      <c r="J1617" s="1"/>
      <c r="M1617" t="s">
        <v>15</v>
      </c>
      <c r="N1617" t="str">
        <f>IFERROR(VLOOKUP(B1617,'[1]All Player'!$B$2:$C$1992,2,0),"")</f>
        <v/>
      </c>
      <c r="O1617" s="2" t="s">
        <v>625</v>
      </c>
      <c r="P1617" s="14" t="s">
        <v>631</v>
      </c>
      <c r="Q1617" s="1">
        <f t="shared" si="58"/>
        <v>1</v>
      </c>
      <c r="R1617" s="1">
        <v>270</v>
      </c>
      <c r="U1617" s="8">
        <v>44374</v>
      </c>
    </row>
    <row r="1618" spans="1:21" x14ac:dyDescent="0.25">
      <c r="A1618" s="2">
        <v>27</v>
      </c>
      <c r="B1618" t="s">
        <v>983</v>
      </c>
      <c r="C1618" s="1">
        <v>11</v>
      </c>
      <c r="D1618" s="1">
        <v>188</v>
      </c>
      <c r="E1618" s="1">
        <v>26</v>
      </c>
      <c r="F1618" s="1">
        <v>15</v>
      </c>
      <c r="G1618" s="1">
        <v>2</v>
      </c>
      <c r="H1618" s="1">
        <v>14</v>
      </c>
      <c r="I1618" s="1">
        <v>13</v>
      </c>
      <c r="J1618" s="1">
        <v>0</v>
      </c>
      <c r="K1618" s="1">
        <v>2</v>
      </c>
      <c r="L1618" s="1">
        <v>1</v>
      </c>
      <c r="M1618" t="s">
        <v>15</v>
      </c>
      <c r="N1618" t="str">
        <f>IFERROR(VLOOKUP(B1618,'[1]All Player'!$B$2:$C$1992,2,0),"")</f>
        <v>Ahammed Ariful Haq</v>
      </c>
      <c r="O1618" s="2" t="s">
        <v>625</v>
      </c>
      <c r="P1618" s="16" t="s">
        <v>631</v>
      </c>
      <c r="Q1618" s="1">
        <f t="shared" si="58"/>
        <v>1</v>
      </c>
      <c r="R1618" s="1">
        <v>270</v>
      </c>
      <c r="U1618" s="8">
        <v>44374</v>
      </c>
    </row>
    <row r="1619" spans="1:21" x14ac:dyDescent="0.25">
      <c r="A1619" s="2">
        <v>27</v>
      </c>
      <c r="B1619" t="s">
        <v>687</v>
      </c>
      <c r="C1619" s="1">
        <v>11</v>
      </c>
      <c r="D1619" s="1">
        <v>256</v>
      </c>
      <c r="E1619" s="1">
        <v>14</v>
      </c>
      <c r="F1619" s="1">
        <v>18</v>
      </c>
      <c r="G1619" s="1">
        <v>1</v>
      </c>
      <c r="H1619" s="1">
        <v>18</v>
      </c>
      <c r="I1619" s="1">
        <v>15</v>
      </c>
      <c r="J1619" s="1">
        <v>1</v>
      </c>
      <c r="K1619" s="1">
        <v>2</v>
      </c>
      <c r="L1619" s="1">
        <v>0</v>
      </c>
      <c r="M1619" t="s">
        <v>15</v>
      </c>
      <c r="N1619" t="str">
        <f>IFERROR(VLOOKUP(B1619,'[1]All Player'!$B$2:$C$1992,2,0),"")</f>
        <v>Sheik Helal Ahmed</v>
      </c>
      <c r="O1619" s="2" t="s">
        <v>625</v>
      </c>
      <c r="P1619" s="16" t="s">
        <v>631</v>
      </c>
      <c r="Q1619" s="1">
        <f t="shared" si="58"/>
        <v>1</v>
      </c>
      <c r="R1619" s="1">
        <v>270</v>
      </c>
      <c r="U1619" s="8">
        <v>44374</v>
      </c>
    </row>
    <row r="1620" spans="1:21" x14ac:dyDescent="0.25">
      <c r="A1620" s="2">
        <v>27</v>
      </c>
      <c r="B1620" t="s">
        <v>120</v>
      </c>
      <c r="C1620" s="1">
        <v>11</v>
      </c>
      <c r="D1620" s="1">
        <v>207</v>
      </c>
      <c r="E1620" s="1">
        <v>10</v>
      </c>
      <c r="F1620" s="1">
        <v>19</v>
      </c>
      <c r="G1620" s="1">
        <v>2</v>
      </c>
      <c r="H1620" s="1">
        <v>15</v>
      </c>
      <c r="I1620" s="1">
        <v>12</v>
      </c>
      <c r="J1620" s="1">
        <v>0</v>
      </c>
      <c r="K1620" s="1">
        <v>0</v>
      </c>
      <c r="L1620" s="1">
        <v>2</v>
      </c>
      <c r="M1620" t="s">
        <v>15</v>
      </c>
      <c r="N1620" t="str">
        <f>IFERROR(VLOOKUP(B1620,'[1]All Player'!$B$2:$C$1992,2,0),"")</f>
        <v>Kamrul Hasan Hridoy</v>
      </c>
      <c r="O1620" s="2" t="s">
        <v>625</v>
      </c>
      <c r="P1620" s="16" t="s">
        <v>631</v>
      </c>
      <c r="Q1620" s="1">
        <f t="shared" si="58"/>
        <v>1</v>
      </c>
      <c r="R1620" s="1">
        <v>270</v>
      </c>
      <c r="U1620" s="8">
        <v>44374</v>
      </c>
    </row>
    <row r="1621" spans="1:21" x14ac:dyDescent="0.25">
      <c r="A1621" s="2">
        <v>27</v>
      </c>
      <c r="B1621" t="s">
        <v>422</v>
      </c>
      <c r="C1621" s="1">
        <v>11</v>
      </c>
      <c r="D1621" s="1">
        <v>136</v>
      </c>
      <c r="E1621" s="1">
        <v>12</v>
      </c>
      <c r="F1621" s="1">
        <v>16</v>
      </c>
      <c r="G1621" s="1">
        <v>1</v>
      </c>
      <c r="H1621" s="1">
        <v>13</v>
      </c>
      <c r="I1621" s="1">
        <v>8</v>
      </c>
      <c r="J1621" s="1">
        <v>0</v>
      </c>
      <c r="K1621" s="1">
        <v>0</v>
      </c>
      <c r="L1621" s="1">
        <v>1</v>
      </c>
      <c r="M1621" t="s">
        <v>15</v>
      </c>
      <c r="N1621" t="str">
        <f>IFERROR(VLOOKUP(B1621,'[1]All Player'!$B$2:$C$1992,2,0),"")</f>
        <v>Sakib Ahmed</v>
      </c>
      <c r="O1621" s="2" t="s">
        <v>625</v>
      </c>
      <c r="P1621" s="16" t="s">
        <v>631</v>
      </c>
      <c r="Q1621" s="1">
        <f t="shared" si="58"/>
        <v>1</v>
      </c>
      <c r="R1621" s="1">
        <v>270</v>
      </c>
      <c r="U1621" s="8">
        <v>44374</v>
      </c>
    </row>
    <row r="1622" spans="1:21" x14ac:dyDescent="0.25">
      <c r="A1622" s="2">
        <v>27</v>
      </c>
      <c r="B1622" t="s">
        <v>298</v>
      </c>
      <c r="C1622" s="1">
        <v>5</v>
      </c>
      <c r="D1622" s="1">
        <v>76</v>
      </c>
      <c r="E1622" s="1">
        <v>1</v>
      </c>
      <c r="F1622" s="1">
        <v>6</v>
      </c>
      <c r="G1622" s="1">
        <v>0</v>
      </c>
      <c r="H1622" s="1">
        <v>7</v>
      </c>
      <c r="I1622" s="1">
        <v>5</v>
      </c>
      <c r="J1622" s="1">
        <v>0</v>
      </c>
      <c r="K1622" s="1">
        <v>0</v>
      </c>
      <c r="L1622" s="1">
        <v>1</v>
      </c>
      <c r="M1622" t="s">
        <v>15</v>
      </c>
      <c r="N1622" t="str">
        <f>IFERROR(VLOOKUP(B1622,'[1]All Player'!$B$2:$C$1992,2,0),"")</f>
        <v>Sahed Hossain Masum</v>
      </c>
      <c r="O1622" s="2" t="s">
        <v>625</v>
      </c>
      <c r="P1622" s="16" t="s">
        <v>631</v>
      </c>
      <c r="Q1622" s="1">
        <f t="shared" si="58"/>
        <v>1</v>
      </c>
      <c r="R1622" s="1">
        <v>270</v>
      </c>
      <c r="U1622" s="8">
        <v>44374</v>
      </c>
    </row>
    <row r="1623" spans="1:21" x14ac:dyDescent="0.25">
      <c r="A1623" s="2">
        <v>27</v>
      </c>
      <c r="B1623" t="s">
        <v>450</v>
      </c>
      <c r="C1623" s="1">
        <v>7</v>
      </c>
      <c r="D1623" s="1">
        <v>37</v>
      </c>
      <c r="E1623" s="1">
        <v>0</v>
      </c>
      <c r="F1623" s="1">
        <v>4</v>
      </c>
      <c r="G1623" s="1">
        <v>0</v>
      </c>
      <c r="H1623" s="1">
        <v>3</v>
      </c>
      <c r="I1623" s="1">
        <v>2</v>
      </c>
      <c r="J1623" s="1">
        <v>0</v>
      </c>
      <c r="K1623" s="1">
        <v>0</v>
      </c>
      <c r="L1623" s="1">
        <v>0</v>
      </c>
      <c r="M1623" t="s">
        <v>15</v>
      </c>
      <c r="N1623" t="str">
        <f>IFERROR(VLOOKUP(B1623,'[1]All Player'!$B$2:$C$1992,2,0),"")</f>
        <v>Noman Rafy</v>
      </c>
      <c r="O1623" s="2" t="s">
        <v>625</v>
      </c>
      <c r="P1623" s="16" t="s">
        <v>631</v>
      </c>
      <c r="Q1623" s="1">
        <f t="shared" si="58"/>
        <v>1</v>
      </c>
      <c r="R1623" s="1">
        <v>270</v>
      </c>
      <c r="U1623" s="8">
        <v>44374</v>
      </c>
    </row>
    <row r="1624" spans="1:21" x14ac:dyDescent="0.25">
      <c r="A1624" s="2">
        <v>27</v>
      </c>
      <c r="B1624" s="30" t="s">
        <v>626</v>
      </c>
      <c r="C1624" s="1"/>
      <c r="D1624" s="1"/>
      <c r="E1624" s="1"/>
      <c r="F1624" s="1"/>
      <c r="G1624" s="1"/>
      <c r="H1624" s="1"/>
      <c r="I1624" s="1"/>
      <c r="J1624" s="1"/>
      <c r="M1624" t="s">
        <v>15</v>
      </c>
      <c r="N1624" t="str">
        <f>IFERROR(VLOOKUP(B1624,'[1]All Player'!$B$2:$C$1992,2,0),"")</f>
        <v/>
      </c>
      <c r="O1624" s="2" t="s">
        <v>625</v>
      </c>
      <c r="P1624" s="14" t="s">
        <v>626</v>
      </c>
      <c r="Q1624" s="1">
        <f t="shared" si="58"/>
        <v>1</v>
      </c>
      <c r="R1624" s="1">
        <v>271</v>
      </c>
      <c r="T1624" s="1" t="s">
        <v>792</v>
      </c>
      <c r="U1624" s="8">
        <v>44374</v>
      </c>
    </row>
    <row r="1625" spans="1:21" x14ac:dyDescent="0.25">
      <c r="A1625" s="2">
        <v>27</v>
      </c>
      <c r="B1625" t="s">
        <v>228</v>
      </c>
      <c r="C1625" s="1">
        <v>12</v>
      </c>
      <c r="D1625" s="1">
        <v>253</v>
      </c>
      <c r="E1625" s="1">
        <v>17</v>
      </c>
      <c r="F1625" s="1">
        <v>20</v>
      </c>
      <c r="G1625" s="1">
        <v>2</v>
      </c>
      <c r="H1625" s="1">
        <v>26</v>
      </c>
      <c r="I1625" s="1">
        <v>14</v>
      </c>
      <c r="J1625" s="1">
        <v>0</v>
      </c>
      <c r="K1625" s="1">
        <v>2</v>
      </c>
      <c r="L1625" s="1">
        <v>2</v>
      </c>
      <c r="M1625" t="s">
        <v>15</v>
      </c>
      <c r="N1625" t="str">
        <f>IFERROR(VLOOKUP(B1625,'[1]All Player'!$B$2:$C$1992,2,0),"")</f>
        <v>Arif Ziad</v>
      </c>
      <c r="O1625" s="2" t="s">
        <v>625</v>
      </c>
      <c r="P1625" s="16" t="s">
        <v>626</v>
      </c>
      <c r="Q1625" s="1">
        <f t="shared" si="58"/>
        <v>1</v>
      </c>
      <c r="R1625" s="1">
        <v>271</v>
      </c>
      <c r="T1625" s="1" t="s">
        <v>792</v>
      </c>
      <c r="U1625" s="8">
        <v>44374</v>
      </c>
    </row>
    <row r="1626" spans="1:21" x14ac:dyDescent="0.25">
      <c r="A1626" s="2">
        <v>27</v>
      </c>
      <c r="B1626" t="s">
        <v>994</v>
      </c>
      <c r="C1626" s="1">
        <v>12</v>
      </c>
      <c r="D1626" s="1">
        <v>91</v>
      </c>
      <c r="E1626" s="1">
        <v>12</v>
      </c>
      <c r="F1626" s="1">
        <v>12</v>
      </c>
      <c r="G1626" s="1">
        <v>0</v>
      </c>
      <c r="H1626" s="1">
        <v>6</v>
      </c>
      <c r="I1626" s="1">
        <v>6</v>
      </c>
      <c r="J1626" s="1">
        <v>0</v>
      </c>
      <c r="K1626" s="1">
        <v>0</v>
      </c>
      <c r="L1626" s="1">
        <v>0</v>
      </c>
      <c r="M1626" t="s">
        <v>15</v>
      </c>
      <c r="N1626" t="str">
        <f>IFERROR(VLOOKUP(B1626,'[1]All Player'!$B$2:$C$1992,2,0),"")</f>
        <v>Sakhawat Hossain Shanto</v>
      </c>
      <c r="O1626" s="2" t="s">
        <v>625</v>
      </c>
      <c r="P1626" s="16" t="s">
        <v>626</v>
      </c>
      <c r="Q1626" s="1">
        <f t="shared" si="58"/>
        <v>1</v>
      </c>
      <c r="R1626" s="1">
        <v>271</v>
      </c>
      <c r="T1626" s="1" t="s">
        <v>792</v>
      </c>
      <c r="U1626" s="8">
        <v>44374</v>
      </c>
    </row>
    <row r="1627" spans="1:21" x14ac:dyDescent="0.25">
      <c r="A1627" s="2">
        <v>27</v>
      </c>
      <c r="B1627" t="s">
        <v>961</v>
      </c>
      <c r="C1627" s="1">
        <v>12</v>
      </c>
      <c r="D1627" s="1">
        <v>230</v>
      </c>
      <c r="E1627" s="1">
        <v>18</v>
      </c>
      <c r="F1627" s="1">
        <v>16</v>
      </c>
      <c r="G1627" s="1">
        <v>3</v>
      </c>
      <c r="H1627" s="1">
        <v>17</v>
      </c>
      <c r="I1627" s="1">
        <v>17</v>
      </c>
      <c r="J1627" s="1">
        <v>0</v>
      </c>
      <c r="K1627" s="1">
        <v>2</v>
      </c>
      <c r="L1627" s="1">
        <v>1.5</v>
      </c>
      <c r="M1627" t="s">
        <v>15</v>
      </c>
      <c r="N1627" t="str">
        <f>IFERROR(VLOOKUP(B1627,'[1]All Player'!$B$2:$C$1992,2,0),"")</f>
        <v>KM Rashedul Islam Rashed</v>
      </c>
      <c r="O1627" s="2" t="s">
        <v>625</v>
      </c>
      <c r="P1627" s="16" t="s">
        <v>626</v>
      </c>
      <c r="Q1627" s="1">
        <f t="shared" si="58"/>
        <v>1</v>
      </c>
      <c r="R1627" s="1">
        <v>271</v>
      </c>
      <c r="T1627" s="1" t="s">
        <v>792</v>
      </c>
      <c r="U1627" s="8">
        <v>44374</v>
      </c>
    </row>
    <row r="1628" spans="1:21" x14ac:dyDescent="0.25">
      <c r="A1628" s="2">
        <v>27</v>
      </c>
      <c r="B1628" t="s">
        <v>975</v>
      </c>
      <c r="C1628" s="1">
        <v>12</v>
      </c>
      <c r="D1628" s="1">
        <v>140</v>
      </c>
      <c r="E1628" s="1">
        <v>13</v>
      </c>
      <c r="F1628" s="1">
        <v>14</v>
      </c>
      <c r="G1628" s="1">
        <v>0</v>
      </c>
      <c r="H1628" s="1">
        <v>11</v>
      </c>
      <c r="I1628" s="1">
        <v>7</v>
      </c>
      <c r="J1628" s="1">
        <v>0</v>
      </c>
      <c r="K1628" s="1">
        <v>1</v>
      </c>
      <c r="L1628" s="1">
        <v>0.5</v>
      </c>
      <c r="M1628" t="s">
        <v>15</v>
      </c>
      <c r="N1628" t="str">
        <f>IFERROR(VLOOKUP(B1628,'[1]All Player'!$B$2:$C$1992,2,0),"")</f>
        <v>Sayed Anowar Shanto</v>
      </c>
      <c r="O1628" s="2" t="s">
        <v>625</v>
      </c>
      <c r="P1628" s="16" t="s">
        <v>626</v>
      </c>
      <c r="Q1628" s="1">
        <f t="shared" si="58"/>
        <v>1</v>
      </c>
      <c r="R1628" s="1">
        <v>271</v>
      </c>
      <c r="T1628" s="1" t="s">
        <v>792</v>
      </c>
      <c r="U1628" s="8">
        <v>44374</v>
      </c>
    </row>
    <row r="1629" spans="1:21" x14ac:dyDescent="0.25">
      <c r="A1629" s="2">
        <v>27</v>
      </c>
      <c r="B1629" t="s">
        <v>1014</v>
      </c>
      <c r="C1629" s="1">
        <v>12</v>
      </c>
      <c r="D1629" s="1">
        <v>187</v>
      </c>
      <c r="E1629" s="1">
        <v>11</v>
      </c>
      <c r="F1629" s="1">
        <v>14</v>
      </c>
      <c r="G1629" s="1">
        <v>1</v>
      </c>
      <c r="H1629" s="1">
        <v>4</v>
      </c>
      <c r="I1629" s="1">
        <v>14</v>
      </c>
      <c r="J1629" s="1">
        <v>0</v>
      </c>
      <c r="K1629" s="1">
        <v>0</v>
      </c>
      <c r="L1629" s="1">
        <v>1</v>
      </c>
      <c r="M1629" t="s">
        <v>15</v>
      </c>
      <c r="N1629" t="str">
        <f>IFERROR(VLOOKUP(B1629,'[1]All Player'!$B$2:$C$1992,2,0),"")</f>
        <v>Akram Husan (Washim)</v>
      </c>
      <c r="O1629" s="2" t="s">
        <v>625</v>
      </c>
      <c r="P1629" s="16" t="s">
        <v>626</v>
      </c>
      <c r="Q1629" s="1">
        <f t="shared" si="58"/>
        <v>1</v>
      </c>
      <c r="R1629" s="1">
        <v>271</v>
      </c>
      <c r="T1629" s="1" t="s">
        <v>792</v>
      </c>
      <c r="U1629" s="8">
        <v>44374</v>
      </c>
    </row>
    <row r="1630" spans="1:21" x14ac:dyDescent="0.25">
      <c r="A1630" s="2">
        <v>27</v>
      </c>
      <c r="B1630" t="s">
        <v>1015</v>
      </c>
      <c r="C1630" s="1">
        <v>9</v>
      </c>
      <c r="D1630" s="1">
        <v>53</v>
      </c>
      <c r="E1630" s="1">
        <v>11</v>
      </c>
      <c r="F1630" s="1">
        <v>8</v>
      </c>
      <c r="G1630" s="1">
        <v>0</v>
      </c>
      <c r="H1630" s="1">
        <v>7</v>
      </c>
      <c r="I1630" s="1">
        <v>1</v>
      </c>
      <c r="J1630" s="1">
        <v>0</v>
      </c>
      <c r="K1630" s="1">
        <v>1</v>
      </c>
      <c r="L1630" s="1">
        <v>0</v>
      </c>
      <c r="M1630" t="s">
        <v>15</v>
      </c>
      <c r="N1630" t="str">
        <f>IFERROR(VLOOKUP(B1630,'[1]All Player'!$B$2:$C$1992,2,0),"")</f>
        <v>Md Nuruzzaman Ahmed</v>
      </c>
      <c r="O1630" s="2" t="s">
        <v>625</v>
      </c>
      <c r="P1630" s="16" t="s">
        <v>626</v>
      </c>
      <c r="Q1630" s="1">
        <f t="shared" si="58"/>
        <v>1</v>
      </c>
      <c r="R1630" s="1">
        <v>271</v>
      </c>
      <c r="T1630" s="1" t="s">
        <v>792</v>
      </c>
      <c r="U1630" s="8">
        <v>44374</v>
      </c>
    </row>
    <row r="1631" spans="1:21" x14ac:dyDescent="0.25">
      <c r="A1631" s="2">
        <v>27</v>
      </c>
      <c r="B1631" s="30" t="s">
        <v>1016</v>
      </c>
      <c r="C1631" s="1"/>
      <c r="D1631" s="1"/>
      <c r="E1631" s="1"/>
      <c r="F1631" s="1"/>
      <c r="G1631" s="1"/>
      <c r="H1631" s="1"/>
      <c r="I1631" s="1"/>
      <c r="J1631" s="1"/>
      <c r="M1631" t="s">
        <v>15</v>
      </c>
      <c r="N1631" t="str">
        <f>IFERROR(VLOOKUP(B1631,'[1]All Player'!$B$2:$C$1992,2,0),"")</f>
        <v/>
      </c>
      <c r="O1631" s="2" t="s">
        <v>625</v>
      </c>
      <c r="P1631" s="14" t="s">
        <v>1016</v>
      </c>
      <c r="Q1631" s="1">
        <f t="shared" si="58"/>
        <v>1</v>
      </c>
      <c r="R1631" s="1">
        <v>272</v>
      </c>
      <c r="T1631" s="1" t="s">
        <v>672</v>
      </c>
      <c r="U1631" s="8">
        <v>44374</v>
      </c>
    </row>
    <row r="1632" spans="1:21" x14ac:dyDescent="0.25">
      <c r="A1632" s="2">
        <v>27</v>
      </c>
      <c r="B1632" t="s">
        <v>964</v>
      </c>
      <c r="C1632" s="1">
        <v>13</v>
      </c>
      <c r="D1632" s="1">
        <v>314</v>
      </c>
      <c r="E1632" s="1">
        <v>22</v>
      </c>
      <c r="F1632" s="1">
        <v>19</v>
      </c>
      <c r="G1632" s="1">
        <v>3</v>
      </c>
      <c r="H1632" s="1">
        <v>36</v>
      </c>
      <c r="I1632" s="1">
        <v>13</v>
      </c>
      <c r="J1632" s="1">
        <v>0</v>
      </c>
      <c r="K1632" s="1">
        <v>3</v>
      </c>
      <c r="L1632" s="1">
        <v>3</v>
      </c>
      <c r="M1632" t="s">
        <v>15</v>
      </c>
      <c r="N1632" t="str">
        <f>IFERROR(VLOOKUP(B1632,'[1]All Player'!$B$2:$C$1992,2,0),"")</f>
        <v>MD Kamal Hossain Kamal</v>
      </c>
      <c r="O1632" s="2" t="s">
        <v>625</v>
      </c>
      <c r="P1632" s="16" t="s">
        <v>1016</v>
      </c>
      <c r="Q1632" s="1">
        <f t="shared" si="58"/>
        <v>1</v>
      </c>
      <c r="R1632" s="1">
        <v>272</v>
      </c>
      <c r="T1632" s="1" t="s">
        <v>672</v>
      </c>
      <c r="U1632" s="8">
        <v>44374</v>
      </c>
    </row>
    <row r="1633" spans="1:23" x14ac:dyDescent="0.25">
      <c r="A1633" s="2">
        <v>27</v>
      </c>
      <c r="B1633" t="s">
        <v>960</v>
      </c>
      <c r="C1633" s="1">
        <v>13</v>
      </c>
      <c r="D1633" s="1">
        <v>274</v>
      </c>
      <c r="E1633" s="1">
        <v>15</v>
      </c>
      <c r="F1633" s="1">
        <v>22</v>
      </c>
      <c r="G1633" s="1">
        <v>2</v>
      </c>
      <c r="H1633" s="1">
        <v>24</v>
      </c>
      <c r="I1633" s="1">
        <v>15</v>
      </c>
      <c r="J1633" s="1">
        <v>1</v>
      </c>
      <c r="K1633" s="1">
        <v>0.5</v>
      </c>
      <c r="L1633" s="1">
        <v>2</v>
      </c>
      <c r="M1633" t="s">
        <v>15</v>
      </c>
      <c r="N1633" t="str">
        <f>IFERROR(VLOOKUP(B1633,'[1]All Player'!$B$2:$C$1992,2,0),"")</f>
        <v>Shahriar Khokon</v>
      </c>
      <c r="O1633" s="2" t="s">
        <v>625</v>
      </c>
      <c r="P1633" s="16" t="s">
        <v>1016</v>
      </c>
      <c r="Q1633" s="1">
        <f t="shared" si="58"/>
        <v>1</v>
      </c>
      <c r="R1633" s="1">
        <v>272</v>
      </c>
      <c r="T1633" s="1" t="s">
        <v>672</v>
      </c>
      <c r="U1633" s="8">
        <v>44374</v>
      </c>
    </row>
    <row r="1634" spans="1:23" x14ac:dyDescent="0.25">
      <c r="A1634" s="2">
        <v>27</v>
      </c>
      <c r="B1634" t="s">
        <v>66</v>
      </c>
      <c r="C1634" s="1">
        <v>13</v>
      </c>
      <c r="D1634" s="1">
        <v>141</v>
      </c>
      <c r="E1634" s="1">
        <v>23</v>
      </c>
      <c r="F1634" s="1">
        <v>15</v>
      </c>
      <c r="G1634" s="1">
        <v>1</v>
      </c>
      <c r="H1634" s="1">
        <v>9</v>
      </c>
      <c r="I1634" s="1">
        <v>10</v>
      </c>
      <c r="J1634" s="1">
        <v>0</v>
      </c>
      <c r="K1634" s="1">
        <v>0</v>
      </c>
      <c r="L1634" s="1">
        <v>1.5</v>
      </c>
      <c r="M1634" t="s">
        <v>15</v>
      </c>
      <c r="N1634" t="str">
        <f>IFERROR(VLOOKUP(B1634,'[1]All Player'!$B$2:$C$1992,2,0),"")</f>
        <v>Ahmad Sakib Abdullah</v>
      </c>
      <c r="O1634" s="2" t="s">
        <v>625</v>
      </c>
      <c r="P1634" s="16" t="s">
        <v>1016</v>
      </c>
      <c r="Q1634" s="1">
        <f t="shared" si="58"/>
        <v>1</v>
      </c>
      <c r="R1634" s="1">
        <v>272</v>
      </c>
      <c r="T1634" s="1" t="s">
        <v>672</v>
      </c>
      <c r="U1634" s="8">
        <v>44374</v>
      </c>
    </row>
    <row r="1635" spans="1:23" x14ac:dyDescent="0.25">
      <c r="A1635" s="2">
        <v>27</v>
      </c>
      <c r="B1635" t="s">
        <v>1004</v>
      </c>
      <c r="C1635" s="1">
        <v>12</v>
      </c>
      <c r="D1635" s="1">
        <v>226</v>
      </c>
      <c r="E1635" s="1">
        <v>14</v>
      </c>
      <c r="F1635" s="1">
        <v>14</v>
      </c>
      <c r="G1635" s="1">
        <v>1</v>
      </c>
      <c r="H1635" s="1">
        <v>19</v>
      </c>
      <c r="I1635" s="1">
        <v>16</v>
      </c>
      <c r="J1635" s="1">
        <v>1</v>
      </c>
      <c r="K1635" s="1">
        <v>3</v>
      </c>
      <c r="L1635" s="1">
        <v>0</v>
      </c>
      <c r="M1635" t="s">
        <v>15</v>
      </c>
      <c r="N1635" t="str">
        <f>IFERROR(VLOOKUP(B1635,'[1]All Player'!$B$2:$C$1992,2,0),"")</f>
        <v>Kamil Ahmed</v>
      </c>
      <c r="O1635" s="2" t="s">
        <v>625</v>
      </c>
      <c r="P1635" s="16" t="s">
        <v>1016</v>
      </c>
      <c r="Q1635" s="1">
        <f t="shared" si="58"/>
        <v>1</v>
      </c>
      <c r="R1635" s="1">
        <v>272</v>
      </c>
      <c r="T1635" s="1" t="s">
        <v>672</v>
      </c>
      <c r="U1635" s="8">
        <v>44374</v>
      </c>
    </row>
    <row r="1636" spans="1:23" x14ac:dyDescent="0.25">
      <c r="A1636" s="2">
        <v>27</v>
      </c>
      <c r="B1636" t="s">
        <v>680</v>
      </c>
      <c r="C1636" s="1">
        <v>3</v>
      </c>
      <c r="D1636" s="1">
        <v>23</v>
      </c>
      <c r="E1636" s="1">
        <v>1</v>
      </c>
      <c r="F1636" s="1">
        <v>3</v>
      </c>
      <c r="G1636" s="1">
        <v>0</v>
      </c>
      <c r="H1636" s="1">
        <v>3</v>
      </c>
      <c r="I1636" s="1">
        <v>0</v>
      </c>
      <c r="J1636" s="1">
        <v>0</v>
      </c>
      <c r="K1636" s="1">
        <v>0</v>
      </c>
      <c r="L1636" s="1">
        <v>0</v>
      </c>
      <c r="M1636" t="s">
        <v>15</v>
      </c>
      <c r="N1636" t="str">
        <f>IFERROR(VLOOKUP(B1636,'[1]All Player'!$B$2:$C$1992,2,0),"")</f>
        <v>Rayhan Rahman</v>
      </c>
      <c r="O1636" s="2" t="s">
        <v>625</v>
      </c>
      <c r="P1636" s="16" t="s">
        <v>1016</v>
      </c>
      <c r="Q1636" s="1">
        <f t="shared" si="58"/>
        <v>1</v>
      </c>
      <c r="R1636" s="1">
        <v>272</v>
      </c>
      <c r="T1636" s="1" t="s">
        <v>672</v>
      </c>
      <c r="U1636" s="8">
        <v>44374</v>
      </c>
    </row>
    <row r="1637" spans="1:23" x14ac:dyDescent="0.25">
      <c r="A1637" s="2">
        <v>27</v>
      </c>
      <c r="B1637" t="s">
        <v>1017</v>
      </c>
      <c r="C1637" s="1">
        <v>10</v>
      </c>
      <c r="D1637" s="1">
        <v>207</v>
      </c>
      <c r="E1637" s="1">
        <v>10</v>
      </c>
      <c r="F1637" s="1">
        <v>11</v>
      </c>
      <c r="G1637" s="1">
        <v>1</v>
      </c>
      <c r="H1637" s="1">
        <v>13</v>
      </c>
      <c r="I1637" s="1">
        <v>11</v>
      </c>
      <c r="J1637" s="1">
        <v>0</v>
      </c>
      <c r="K1637" s="1">
        <v>0</v>
      </c>
      <c r="L1637" s="1">
        <v>1</v>
      </c>
      <c r="M1637" t="s">
        <v>15</v>
      </c>
      <c r="N1637" t="str">
        <f>IFERROR(VLOOKUP(B1637,'[1]All Player'!$B$2:$C$1992,2,0),"")</f>
        <v>Sobuz Al Setu</v>
      </c>
      <c r="O1637" s="2" t="s">
        <v>625</v>
      </c>
      <c r="P1637" s="16" t="s">
        <v>1016</v>
      </c>
      <c r="Q1637" s="1">
        <f t="shared" si="58"/>
        <v>1</v>
      </c>
      <c r="R1637" s="1">
        <v>272</v>
      </c>
      <c r="T1637" s="1" t="s">
        <v>672</v>
      </c>
      <c r="U1637" s="8">
        <v>44374</v>
      </c>
    </row>
    <row r="1638" spans="1:23" x14ac:dyDescent="0.25">
      <c r="A1638" s="2">
        <v>27</v>
      </c>
      <c r="B1638" s="30" t="s">
        <v>1018</v>
      </c>
      <c r="C1638" s="1"/>
      <c r="D1638" s="1"/>
      <c r="E1638" s="1"/>
      <c r="F1638" s="1"/>
      <c r="G1638" s="1"/>
      <c r="H1638" s="1"/>
      <c r="I1638" s="1"/>
      <c r="J1638" s="1"/>
      <c r="M1638" t="s">
        <v>15</v>
      </c>
      <c r="N1638" t="str">
        <f>IFERROR(VLOOKUP(B1638,'[1]All Player'!$B$2:$C$1992,2,0),"")</f>
        <v/>
      </c>
      <c r="O1638" s="2" t="s">
        <v>625</v>
      </c>
      <c r="P1638" s="14" t="s">
        <v>1018</v>
      </c>
      <c r="Q1638" s="1">
        <f t="shared" si="58"/>
        <v>1</v>
      </c>
      <c r="R1638" s="1">
        <v>273</v>
      </c>
      <c r="U1638" s="8">
        <v>44374</v>
      </c>
    </row>
    <row r="1639" spans="1:23" x14ac:dyDescent="0.25">
      <c r="A1639" s="2">
        <v>27</v>
      </c>
      <c r="B1639" t="s">
        <v>978</v>
      </c>
      <c r="C1639" s="1">
        <v>11</v>
      </c>
      <c r="D1639" s="1">
        <v>123</v>
      </c>
      <c r="E1639" s="21">
        <v>27</v>
      </c>
      <c r="F1639" s="1">
        <v>12</v>
      </c>
      <c r="G1639" s="1">
        <v>0</v>
      </c>
      <c r="H1639" s="1">
        <v>9</v>
      </c>
      <c r="I1639" s="1">
        <v>8</v>
      </c>
      <c r="J1639" s="1">
        <v>2</v>
      </c>
      <c r="K1639" s="1">
        <v>1</v>
      </c>
      <c r="L1639" s="1">
        <v>3</v>
      </c>
      <c r="M1639" t="s">
        <v>15</v>
      </c>
      <c r="N1639" t="str">
        <f>IFERROR(VLOOKUP(B1639,'[1]All Player'!$B$2:$C$1992,2,0),"")</f>
        <v>Faisal Ahmed Jhony</v>
      </c>
      <c r="O1639" s="2" t="s">
        <v>625</v>
      </c>
      <c r="P1639" s="16" t="s">
        <v>939</v>
      </c>
      <c r="Q1639" s="1">
        <f t="shared" si="58"/>
        <v>1</v>
      </c>
      <c r="R1639" s="1">
        <v>273</v>
      </c>
      <c r="U1639" s="8">
        <v>44374</v>
      </c>
      <c r="W1639" s="1">
        <v>1</v>
      </c>
    </row>
    <row r="1640" spans="1:23" x14ac:dyDescent="0.25">
      <c r="A1640" s="2">
        <v>27</v>
      </c>
      <c r="B1640" t="s">
        <v>979</v>
      </c>
      <c r="C1640" s="1">
        <v>11</v>
      </c>
      <c r="D1640" s="1">
        <v>270</v>
      </c>
      <c r="E1640" s="1">
        <v>19</v>
      </c>
      <c r="F1640" s="1">
        <v>18</v>
      </c>
      <c r="G1640" s="1">
        <v>3</v>
      </c>
      <c r="H1640" s="1">
        <v>29</v>
      </c>
      <c r="I1640" s="1">
        <v>15</v>
      </c>
      <c r="J1640" s="1">
        <v>0</v>
      </c>
      <c r="K1640" s="1">
        <v>4</v>
      </c>
      <c r="L1640" s="1">
        <v>1</v>
      </c>
      <c r="M1640" t="s">
        <v>15</v>
      </c>
      <c r="N1640" t="str">
        <f>IFERROR(VLOOKUP(B1640,'[1]All Player'!$B$2:$C$1992,2,0),"")</f>
        <v>Niamul Habib Setu</v>
      </c>
      <c r="O1640" s="2" t="s">
        <v>625</v>
      </c>
      <c r="P1640" s="16" t="s">
        <v>1018</v>
      </c>
      <c r="Q1640" s="1">
        <f t="shared" si="58"/>
        <v>1</v>
      </c>
      <c r="R1640" s="1">
        <v>273</v>
      </c>
      <c r="U1640" s="8">
        <v>44374</v>
      </c>
    </row>
    <row r="1641" spans="1:23" x14ac:dyDescent="0.25">
      <c r="A1641" s="2">
        <v>27</v>
      </c>
      <c r="B1641" t="s">
        <v>87</v>
      </c>
      <c r="C1641" s="1">
        <v>11</v>
      </c>
      <c r="D1641" s="1">
        <v>120</v>
      </c>
      <c r="E1641" s="1">
        <v>14</v>
      </c>
      <c r="F1641" s="1">
        <v>15</v>
      </c>
      <c r="G1641" s="1">
        <v>2</v>
      </c>
      <c r="H1641" s="1">
        <v>9</v>
      </c>
      <c r="I1641" s="1">
        <v>7</v>
      </c>
      <c r="J1641" s="1">
        <v>0</v>
      </c>
      <c r="K1641" s="1">
        <v>0</v>
      </c>
      <c r="L1641" s="1">
        <v>1.5</v>
      </c>
      <c r="M1641" t="s">
        <v>15</v>
      </c>
      <c r="N1641" t="str">
        <f>IFERROR(VLOOKUP(B1641,'[1]All Player'!$B$2:$C$1992,2,0),"")</f>
        <v>Anisur Islam (Rubel Hossain)</v>
      </c>
      <c r="O1641" s="2" t="s">
        <v>625</v>
      </c>
      <c r="P1641" s="16" t="s">
        <v>1018</v>
      </c>
      <c r="Q1641" s="1">
        <f t="shared" si="58"/>
        <v>1</v>
      </c>
      <c r="R1641" s="1">
        <v>273</v>
      </c>
      <c r="U1641" s="8">
        <v>44374</v>
      </c>
    </row>
    <row r="1642" spans="1:23" x14ac:dyDescent="0.25">
      <c r="A1642" s="2">
        <v>27</v>
      </c>
      <c r="B1642" t="s">
        <v>990</v>
      </c>
      <c r="C1642" s="1">
        <v>8</v>
      </c>
      <c r="D1642" s="1">
        <v>56</v>
      </c>
      <c r="E1642" s="1">
        <v>5</v>
      </c>
      <c r="F1642" s="1">
        <v>10</v>
      </c>
      <c r="G1642" s="1">
        <v>0</v>
      </c>
      <c r="H1642" s="1">
        <v>4</v>
      </c>
      <c r="I1642" s="1">
        <v>1</v>
      </c>
      <c r="J1642" s="1">
        <v>0</v>
      </c>
      <c r="K1642" s="1">
        <v>0</v>
      </c>
      <c r="L1642" s="1">
        <v>0</v>
      </c>
      <c r="M1642" t="s">
        <v>15</v>
      </c>
      <c r="N1642" t="str">
        <f>IFERROR(VLOOKUP(B1642,'[1]All Player'!$B$2:$C$1992,2,0),"")</f>
        <v>Meer Sher Ali</v>
      </c>
      <c r="O1642" s="2" t="s">
        <v>625</v>
      </c>
      <c r="P1642" s="16" t="s">
        <v>1018</v>
      </c>
      <c r="Q1642" s="1">
        <f t="shared" si="58"/>
        <v>1</v>
      </c>
      <c r="R1642" s="1">
        <v>273</v>
      </c>
      <c r="U1642" s="8">
        <v>44374</v>
      </c>
    </row>
    <row r="1643" spans="1:23" x14ac:dyDescent="0.25">
      <c r="A1643" s="2">
        <v>27</v>
      </c>
      <c r="B1643" t="s">
        <v>970</v>
      </c>
      <c r="C1643" s="1">
        <v>11</v>
      </c>
      <c r="D1643" s="1">
        <v>164</v>
      </c>
      <c r="E1643" s="1">
        <v>9</v>
      </c>
      <c r="F1643" s="1">
        <v>16</v>
      </c>
      <c r="G1643" s="1">
        <v>0</v>
      </c>
      <c r="H1643" s="1">
        <v>15</v>
      </c>
      <c r="I1643" s="1">
        <v>7</v>
      </c>
      <c r="J1643" s="1">
        <v>0</v>
      </c>
      <c r="K1643" s="1">
        <v>1</v>
      </c>
      <c r="L1643" s="1">
        <v>1</v>
      </c>
      <c r="M1643" t="s">
        <v>15</v>
      </c>
      <c r="N1643" t="str">
        <f>IFERROR(VLOOKUP(B1643,'[1]All Player'!$B$2:$C$1992,2,0),"")</f>
        <v>Mohammed Al Mamun</v>
      </c>
      <c r="O1643" s="2" t="s">
        <v>625</v>
      </c>
      <c r="P1643" s="16" t="s">
        <v>1018</v>
      </c>
      <c r="Q1643" s="1">
        <f t="shared" si="58"/>
        <v>1</v>
      </c>
      <c r="R1643" s="1">
        <v>273</v>
      </c>
      <c r="U1643" s="8">
        <v>44374</v>
      </c>
    </row>
    <row r="1644" spans="1:23" x14ac:dyDescent="0.25">
      <c r="A1644" s="2">
        <v>27</v>
      </c>
      <c r="B1644" t="s">
        <v>1019</v>
      </c>
      <c r="C1644" s="1">
        <v>6</v>
      </c>
      <c r="D1644" s="1">
        <v>75</v>
      </c>
      <c r="E1644" s="1">
        <v>3</v>
      </c>
      <c r="F1644" s="1">
        <v>5</v>
      </c>
      <c r="G1644" s="1">
        <v>0</v>
      </c>
      <c r="H1644" s="1">
        <v>4</v>
      </c>
      <c r="I1644" s="1">
        <v>5</v>
      </c>
      <c r="J1644" s="1">
        <v>0</v>
      </c>
      <c r="K1644" s="1">
        <v>0</v>
      </c>
      <c r="L1644" s="1">
        <v>0</v>
      </c>
      <c r="M1644" t="s">
        <v>15</v>
      </c>
      <c r="N1644" t="str">
        <f>IFERROR(VLOOKUP(B1644,'[1]All Player'!$B$2:$C$1992,2,0),"")</f>
        <v>Monsur Rahman</v>
      </c>
      <c r="O1644" s="2" t="s">
        <v>625</v>
      </c>
      <c r="P1644" s="16" t="s">
        <v>1018</v>
      </c>
      <c r="Q1644" s="1">
        <f t="shared" si="58"/>
        <v>1</v>
      </c>
      <c r="R1644" s="1">
        <v>273</v>
      </c>
      <c r="U1644" s="8">
        <v>44374</v>
      </c>
    </row>
    <row r="1645" spans="1:23" x14ac:dyDescent="0.25">
      <c r="A1645" s="2">
        <v>27</v>
      </c>
      <c r="B1645" s="30" t="s">
        <v>627</v>
      </c>
      <c r="C1645" s="1"/>
      <c r="D1645" s="1"/>
      <c r="E1645" s="1"/>
      <c r="F1645" s="1"/>
      <c r="G1645" s="1"/>
      <c r="H1645" s="1"/>
      <c r="I1645" s="1"/>
      <c r="J1645" s="1"/>
      <c r="M1645" t="s">
        <v>15</v>
      </c>
      <c r="N1645" t="str">
        <f>IFERROR(VLOOKUP(B1645,'[1]All Player'!$B$2:$C$1992,2,0),"")</f>
        <v/>
      </c>
      <c r="O1645" s="2" t="s">
        <v>625</v>
      </c>
      <c r="P1645" s="14" t="s">
        <v>627</v>
      </c>
      <c r="Q1645" s="1">
        <f t="shared" si="58"/>
        <v>1</v>
      </c>
      <c r="R1645" s="1">
        <v>274</v>
      </c>
      <c r="U1645" s="8">
        <v>44374</v>
      </c>
    </row>
    <row r="1646" spans="1:23" x14ac:dyDescent="0.25">
      <c r="A1646" s="2">
        <v>27</v>
      </c>
      <c r="B1646" t="s">
        <v>996</v>
      </c>
      <c r="C1646" s="1">
        <v>11</v>
      </c>
      <c r="D1646" s="1">
        <v>164</v>
      </c>
      <c r="E1646" s="1">
        <v>15</v>
      </c>
      <c r="F1646" s="1">
        <v>16</v>
      </c>
      <c r="G1646" s="1">
        <v>2</v>
      </c>
      <c r="H1646" s="1">
        <v>16</v>
      </c>
      <c r="I1646" s="1">
        <v>8</v>
      </c>
      <c r="J1646" s="1">
        <v>1</v>
      </c>
      <c r="K1646" s="1">
        <v>1</v>
      </c>
      <c r="L1646" s="1">
        <v>2</v>
      </c>
      <c r="M1646" t="s">
        <v>15</v>
      </c>
      <c r="N1646" t="str">
        <f>IFERROR(VLOOKUP(B1646,'[1]All Player'!$B$2:$C$1992,2,0),"")</f>
        <v>Shahriar Khan Shovon</v>
      </c>
      <c r="O1646" s="2" t="s">
        <v>625</v>
      </c>
      <c r="P1646" s="16" t="s">
        <v>627</v>
      </c>
      <c r="Q1646" s="1">
        <f t="shared" si="58"/>
        <v>1</v>
      </c>
      <c r="R1646" s="1">
        <v>274</v>
      </c>
      <c r="U1646" s="8">
        <v>44374</v>
      </c>
    </row>
    <row r="1647" spans="1:23" x14ac:dyDescent="0.25">
      <c r="A1647" s="2">
        <v>27</v>
      </c>
      <c r="B1647" t="s">
        <v>981</v>
      </c>
      <c r="C1647" s="1">
        <v>11</v>
      </c>
      <c r="D1647" s="1">
        <v>143</v>
      </c>
      <c r="E1647" s="1">
        <v>20</v>
      </c>
      <c r="F1647" s="1">
        <v>15</v>
      </c>
      <c r="G1647" s="1">
        <v>0</v>
      </c>
      <c r="H1647" s="1">
        <v>12</v>
      </c>
      <c r="I1647" s="1">
        <v>9</v>
      </c>
      <c r="J1647" s="1">
        <v>0</v>
      </c>
      <c r="K1647" s="1">
        <v>2</v>
      </c>
      <c r="L1647" s="1">
        <v>0</v>
      </c>
      <c r="M1647" t="s">
        <v>15</v>
      </c>
      <c r="N1647" t="str">
        <f>IFERROR(VLOOKUP(B1647,'[1]All Player'!$B$2:$C$1992,2,0),"")</f>
        <v>Laisul Morshed</v>
      </c>
      <c r="O1647" s="2" t="s">
        <v>625</v>
      </c>
      <c r="P1647" s="16" t="s">
        <v>627</v>
      </c>
      <c r="Q1647" s="1">
        <f t="shared" si="58"/>
        <v>1</v>
      </c>
      <c r="R1647" s="1">
        <v>274</v>
      </c>
      <c r="U1647" s="8">
        <v>44374</v>
      </c>
    </row>
    <row r="1648" spans="1:23" x14ac:dyDescent="0.25">
      <c r="A1648" s="2">
        <v>27</v>
      </c>
      <c r="B1648" t="s">
        <v>997</v>
      </c>
      <c r="C1648" s="1">
        <v>11</v>
      </c>
      <c r="D1648" s="1">
        <v>72</v>
      </c>
      <c r="E1648" s="1">
        <v>9</v>
      </c>
      <c r="F1648" s="1">
        <v>9</v>
      </c>
      <c r="G1648" s="1">
        <v>2</v>
      </c>
      <c r="H1648" s="1">
        <v>4</v>
      </c>
      <c r="I1648" s="1">
        <v>4</v>
      </c>
      <c r="J1648" s="1">
        <v>0</v>
      </c>
      <c r="K1648" s="1">
        <v>1</v>
      </c>
      <c r="L1648" s="1">
        <v>0</v>
      </c>
      <c r="M1648" t="s">
        <v>15</v>
      </c>
      <c r="N1648" t="str">
        <f>IFERROR(VLOOKUP(B1648,'[1]All Player'!$B$2:$C$1992,2,0),"")</f>
        <v>Shafiqul Islam</v>
      </c>
      <c r="O1648" s="2" t="s">
        <v>625</v>
      </c>
      <c r="P1648" s="16" t="s">
        <v>627</v>
      </c>
      <c r="Q1648" s="1">
        <f t="shared" si="58"/>
        <v>1</v>
      </c>
      <c r="R1648" s="1">
        <v>274</v>
      </c>
      <c r="U1648" s="8">
        <v>44374</v>
      </c>
    </row>
    <row r="1649" spans="1:23" x14ac:dyDescent="0.25">
      <c r="A1649" s="2">
        <v>27</v>
      </c>
      <c r="B1649" t="s">
        <v>1020</v>
      </c>
      <c r="C1649" s="1">
        <v>8</v>
      </c>
      <c r="D1649" s="1">
        <v>166</v>
      </c>
      <c r="E1649" s="1">
        <v>6</v>
      </c>
      <c r="F1649" s="1">
        <v>13</v>
      </c>
      <c r="G1649" s="1">
        <v>1</v>
      </c>
      <c r="H1649" s="1">
        <v>14</v>
      </c>
      <c r="I1649" s="1">
        <v>12</v>
      </c>
      <c r="J1649" s="1">
        <v>0</v>
      </c>
      <c r="K1649" s="1">
        <v>1</v>
      </c>
      <c r="L1649" s="1">
        <v>1</v>
      </c>
      <c r="M1649" t="s">
        <v>15</v>
      </c>
      <c r="N1649" t="str">
        <f>IFERROR(VLOOKUP(B1649,'[1]All Player'!$B$2:$C$1992,2,0),"")</f>
        <v>Meyaz Al Emon</v>
      </c>
      <c r="O1649" s="2" t="s">
        <v>625</v>
      </c>
      <c r="P1649" s="16" t="s">
        <v>627</v>
      </c>
      <c r="Q1649" s="1">
        <f t="shared" si="58"/>
        <v>1</v>
      </c>
      <c r="R1649" s="1">
        <v>274</v>
      </c>
      <c r="U1649" s="8">
        <v>44374</v>
      </c>
    </row>
    <row r="1650" spans="1:23" x14ac:dyDescent="0.25">
      <c r="A1650" s="2">
        <v>27</v>
      </c>
      <c r="B1650" t="s">
        <v>972</v>
      </c>
      <c r="C1650" s="1">
        <v>10</v>
      </c>
      <c r="D1650" s="1">
        <v>88</v>
      </c>
      <c r="E1650" s="1">
        <v>6</v>
      </c>
      <c r="F1650" s="1">
        <v>9</v>
      </c>
      <c r="G1650" s="1">
        <v>0</v>
      </c>
      <c r="H1650" s="1">
        <v>3</v>
      </c>
      <c r="I1650" s="1">
        <v>7</v>
      </c>
      <c r="J1650" s="1">
        <v>0</v>
      </c>
      <c r="K1650" s="1">
        <v>0</v>
      </c>
      <c r="L1650" s="1">
        <v>0</v>
      </c>
      <c r="M1650" t="s">
        <v>15</v>
      </c>
      <c r="N1650" t="str">
        <f>IFERROR(VLOOKUP(B1650,'[1]All Player'!$B$2:$C$1992,2,0),"")</f>
        <v>Naieem Islam Durjoy</v>
      </c>
      <c r="O1650" s="2" t="s">
        <v>625</v>
      </c>
      <c r="P1650" s="16" t="s">
        <v>627</v>
      </c>
      <c r="Q1650" s="1">
        <f t="shared" si="58"/>
        <v>1</v>
      </c>
      <c r="R1650" s="1">
        <v>274</v>
      </c>
      <c r="U1650" s="8">
        <v>44374</v>
      </c>
    </row>
    <row r="1651" spans="1:23" x14ac:dyDescent="0.25">
      <c r="A1651" s="2">
        <v>27</v>
      </c>
      <c r="B1651" t="s">
        <v>1021</v>
      </c>
      <c r="C1651" s="1">
        <v>9</v>
      </c>
      <c r="D1651" s="1">
        <v>177</v>
      </c>
      <c r="E1651" s="1">
        <v>13</v>
      </c>
      <c r="F1651" s="1">
        <v>11</v>
      </c>
      <c r="G1651" s="1">
        <v>1</v>
      </c>
      <c r="H1651" s="1">
        <v>13</v>
      </c>
      <c r="I1651" s="1">
        <v>11</v>
      </c>
      <c r="J1651" s="1">
        <v>2</v>
      </c>
      <c r="K1651" s="1">
        <v>1</v>
      </c>
      <c r="L1651" s="1">
        <v>2</v>
      </c>
      <c r="M1651" t="s">
        <v>15</v>
      </c>
      <c r="N1651" t="str">
        <f>IFERROR(VLOOKUP(B1651,'[1]All Player'!$B$2:$C$1992,2,0),"")</f>
        <v>Md Ridoy AR</v>
      </c>
      <c r="O1651" s="2" t="s">
        <v>625</v>
      </c>
      <c r="P1651" s="16" t="s">
        <v>627</v>
      </c>
      <c r="Q1651" s="1">
        <f t="shared" si="58"/>
        <v>1</v>
      </c>
      <c r="R1651" s="1">
        <v>274</v>
      </c>
      <c r="U1651" s="8">
        <v>44374</v>
      </c>
    </row>
    <row r="1652" spans="1:23" x14ac:dyDescent="0.25">
      <c r="A1652" s="2">
        <v>27</v>
      </c>
      <c r="B1652" s="30" t="s">
        <v>1022</v>
      </c>
      <c r="C1652" s="1"/>
      <c r="D1652" s="1"/>
      <c r="E1652" s="1"/>
      <c r="F1652" s="1"/>
      <c r="G1652" s="1"/>
      <c r="H1652" s="1"/>
      <c r="I1652" s="1"/>
      <c r="J1652" s="1"/>
      <c r="M1652" t="s">
        <v>15</v>
      </c>
      <c r="N1652" t="str">
        <f>IFERROR(VLOOKUP(B1652,'[1]All Player'!$B$2:$C$1992,2,0),"")</f>
        <v/>
      </c>
      <c r="O1652" s="2" t="s">
        <v>625</v>
      </c>
      <c r="P1652" s="14" t="s">
        <v>1022</v>
      </c>
      <c r="Q1652" s="1">
        <f t="shared" si="58"/>
        <v>1</v>
      </c>
      <c r="R1652" s="1">
        <v>275</v>
      </c>
      <c r="U1652" s="8">
        <v>44374</v>
      </c>
    </row>
    <row r="1653" spans="1:23" x14ac:dyDescent="0.25">
      <c r="A1653" s="2">
        <v>27</v>
      </c>
      <c r="B1653" t="s">
        <v>986</v>
      </c>
      <c r="C1653" s="1">
        <v>11</v>
      </c>
      <c r="D1653" s="1">
        <v>169</v>
      </c>
      <c r="E1653" s="1">
        <v>20</v>
      </c>
      <c r="F1653" s="1">
        <v>19</v>
      </c>
      <c r="G1653" s="1">
        <v>2</v>
      </c>
      <c r="H1653" s="1">
        <v>13</v>
      </c>
      <c r="I1653" s="1">
        <v>11</v>
      </c>
      <c r="J1653" s="1">
        <v>0</v>
      </c>
      <c r="K1653" s="1">
        <v>2</v>
      </c>
      <c r="L1653" s="1">
        <v>1</v>
      </c>
      <c r="M1653" t="s">
        <v>15</v>
      </c>
      <c r="N1653" t="str">
        <f>IFERROR(VLOOKUP(B1653,'[1]All Player'!$B$2:$C$1992,2,0),"")</f>
        <v>MD Tofayel Ahmed</v>
      </c>
      <c r="O1653" s="2" t="s">
        <v>625</v>
      </c>
      <c r="P1653" s="16" t="s">
        <v>1022</v>
      </c>
      <c r="Q1653" s="1">
        <f t="shared" si="58"/>
        <v>1</v>
      </c>
      <c r="R1653" s="1">
        <v>275</v>
      </c>
      <c r="U1653" s="8">
        <v>44374</v>
      </c>
    </row>
    <row r="1654" spans="1:23" x14ac:dyDescent="0.25">
      <c r="A1654" s="2">
        <v>27</v>
      </c>
      <c r="B1654" t="s">
        <v>974</v>
      </c>
      <c r="C1654" s="1">
        <v>11</v>
      </c>
      <c r="D1654" s="1">
        <v>198</v>
      </c>
      <c r="E1654" s="1">
        <v>15</v>
      </c>
      <c r="F1654" s="1">
        <v>19</v>
      </c>
      <c r="G1654" s="1">
        <v>0</v>
      </c>
      <c r="H1654" s="1">
        <v>17</v>
      </c>
      <c r="I1654" s="1">
        <v>7</v>
      </c>
      <c r="J1654" s="1">
        <v>1</v>
      </c>
      <c r="K1654" s="1">
        <v>1</v>
      </c>
      <c r="L1654" s="1">
        <v>2</v>
      </c>
      <c r="M1654" t="s">
        <v>15</v>
      </c>
      <c r="N1654" t="str">
        <f>IFERROR(VLOOKUP(B1654,'[1]All Player'!$B$2:$C$1992,2,0),"")</f>
        <v>Mahbubur Rahman Akash</v>
      </c>
      <c r="O1654" s="2" t="s">
        <v>625</v>
      </c>
      <c r="P1654" s="16" t="s">
        <v>1022</v>
      </c>
      <c r="Q1654" s="1">
        <f t="shared" si="58"/>
        <v>1</v>
      </c>
      <c r="R1654" s="1">
        <v>275</v>
      </c>
      <c r="U1654" s="8">
        <v>44374</v>
      </c>
    </row>
    <row r="1655" spans="1:23" x14ac:dyDescent="0.25">
      <c r="A1655" s="2">
        <v>27</v>
      </c>
      <c r="B1655" t="s">
        <v>746</v>
      </c>
      <c r="C1655" s="1">
        <v>1</v>
      </c>
      <c r="D1655" s="1">
        <v>0</v>
      </c>
      <c r="E1655" s="1">
        <v>0</v>
      </c>
      <c r="F1655" s="1">
        <v>2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t="s">
        <v>15</v>
      </c>
      <c r="N1655" t="str">
        <f>IFERROR(VLOOKUP(B1655,'[1]All Player'!$B$2:$C$1992,2,0),"")</f>
        <v>Sakib Arafat</v>
      </c>
      <c r="O1655" s="2" t="s">
        <v>625</v>
      </c>
      <c r="P1655" s="16" t="s">
        <v>1022</v>
      </c>
      <c r="Q1655" s="1">
        <f t="shared" si="58"/>
        <v>1</v>
      </c>
      <c r="R1655" s="1">
        <v>275</v>
      </c>
      <c r="U1655" s="8">
        <v>44374</v>
      </c>
    </row>
    <row r="1656" spans="1:23" x14ac:dyDescent="0.25">
      <c r="A1656" s="2">
        <v>27</v>
      </c>
      <c r="B1656" t="s">
        <v>989</v>
      </c>
      <c r="C1656" s="1">
        <v>8</v>
      </c>
      <c r="D1656" s="1">
        <v>106</v>
      </c>
      <c r="E1656" s="1">
        <v>9</v>
      </c>
      <c r="F1656" s="1">
        <v>11</v>
      </c>
      <c r="G1656" s="1">
        <v>0</v>
      </c>
      <c r="H1656" s="1">
        <v>4</v>
      </c>
      <c r="I1656" s="1">
        <v>7</v>
      </c>
      <c r="J1656" s="1">
        <v>0</v>
      </c>
      <c r="K1656" s="1">
        <v>0</v>
      </c>
      <c r="L1656" s="1">
        <v>0</v>
      </c>
      <c r="M1656" t="s">
        <v>15</v>
      </c>
      <c r="N1656" t="str">
        <f>IFERROR(VLOOKUP(B1656,'[1]All Player'!$B$2:$C$1992,2,0),"")</f>
        <v>Mohammad Faruque</v>
      </c>
      <c r="O1656" s="2" t="s">
        <v>625</v>
      </c>
      <c r="P1656" s="16" t="s">
        <v>1022</v>
      </c>
      <c r="Q1656" s="1">
        <f t="shared" si="58"/>
        <v>1</v>
      </c>
      <c r="R1656" s="1">
        <v>275</v>
      </c>
      <c r="U1656" s="8">
        <v>44374</v>
      </c>
    </row>
    <row r="1657" spans="1:23" x14ac:dyDescent="0.25">
      <c r="A1657" s="2">
        <v>27</v>
      </c>
      <c r="B1657" t="s">
        <v>245</v>
      </c>
      <c r="C1657" s="1">
        <v>9</v>
      </c>
      <c r="D1657" s="1">
        <v>146</v>
      </c>
      <c r="E1657" s="1">
        <v>10</v>
      </c>
      <c r="F1657" s="1">
        <v>14</v>
      </c>
      <c r="G1657" s="1">
        <v>0</v>
      </c>
      <c r="H1657" s="1">
        <v>11</v>
      </c>
      <c r="I1657" s="1">
        <v>8</v>
      </c>
      <c r="J1657" s="1">
        <v>0</v>
      </c>
      <c r="K1657" s="1">
        <v>0</v>
      </c>
      <c r="L1657" s="1">
        <v>0</v>
      </c>
      <c r="M1657" t="s">
        <v>15</v>
      </c>
      <c r="N1657" t="str">
        <f>IFERROR(VLOOKUP(B1657,'[1]All Player'!$B$2:$C$1992,2,0),"")</f>
        <v>Akram Hosen Himal</v>
      </c>
      <c r="O1657" s="2" t="s">
        <v>625</v>
      </c>
      <c r="P1657" s="16" t="s">
        <v>1022</v>
      </c>
      <c r="Q1657" s="1">
        <f t="shared" si="58"/>
        <v>1</v>
      </c>
      <c r="R1657" s="1">
        <v>275</v>
      </c>
      <c r="U1657" s="8">
        <v>44374</v>
      </c>
    </row>
    <row r="1658" spans="1:23" x14ac:dyDescent="0.25">
      <c r="A1658" s="2">
        <v>27</v>
      </c>
      <c r="B1658" t="s">
        <v>1023</v>
      </c>
      <c r="C1658" s="1">
        <v>10</v>
      </c>
      <c r="D1658" s="1">
        <v>186</v>
      </c>
      <c r="E1658" s="1">
        <v>11</v>
      </c>
      <c r="F1658" s="1">
        <v>19</v>
      </c>
      <c r="G1658" s="1">
        <v>1</v>
      </c>
      <c r="H1658" s="1">
        <v>13</v>
      </c>
      <c r="I1658" s="1">
        <v>11</v>
      </c>
      <c r="J1658" s="1">
        <v>1</v>
      </c>
      <c r="K1658" s="1">
        <v>1</v>
      </c>
      <c r="L1658" s="1">
        <v>1</v>
      </c>
      <c r="M1658" t="s">
        <v>15</v>
      </c>
      <c r="N1658" t="str">
        <f>IFERROR(VLOOKUP(B1658,'[1]All Player'!$B$2:$C$1992,2,0),"")</f>
        <v>Rana Md Masud</v>
      </c>
      <c r="O1658" s="2" t="s">
        <v>625</v>
      </c>
      <c r="P1658" s="16" t="s">
        <v>1022</v>
      </c>
      <c r="Q1658" s="1">
        <f t="shared" si="58"/>
        <v>1</v>
      </c>
      <c r="R1658" s="1">
        <v>275</v>
      </c>
      <c r="U1658" s="8">
        <v>44374</v>
      </c>
    </row>
    <row r="1659" spans="1:23" x14ac:dyDescent="0.25">
      <c r="A1659" s="2">
        <v>27</v>
      </c>
      <c r="B1659" s="30" t="s">
        <v>1024</v>
      </c>
      <c r="C1659" s="1"/>
      <c r="D1659" s="1"/>
      <c r="E1659" s="1"/>
      <c r="F1659" s="1"/>
      <c r="G1659" s="1"/>
      <c r="H1659" s="1"/>
      <c r="I1659" s="1"/>
      <c r="J1659" s="1"/>
      <c r="M1659" t="s">
        <v>15</v>
      </c>
      <c r="N1659" t="str">
        <f>IFERROR(VLOOKUP(B1659,'[1]All Player'!$B$2:$C$1992,2,0),"")</f>
        <v/>
      </c>
      <c r="O1659" s="2" t="s">
        <v>625</v>
      </c>
      <c r="P1659" s="14" t="s">
        <v>1024</v>
      </c>
      <c r="Q1659" s="1">
        <f t="shared" si="58"/>
        <v>1</v>
      </c>
      <c r="R1659" s="1">
        <v>276</v>
      </c>
      <c r="T1659" s="1" t="s">
        <v>947</v>
      </c>
      <c r="U1659" s="8">
        <v>44374</v>
      </c>
    </row>
    <row r="1660" spans="1:23" x14ac:dyDescent="0.25">
      <c r="A1660" s="2">
        <v>27</v>
      </c>
      <c r="B1660" t="s">
        <v>1025</v>
      </c>
      <c r="C1660" s="1">
        <v>14</v>
      </c>
      <c r="D1660" s="1">
        <v>221</v>
      </c>
      <c r="E1660" s="1">
        <v>16</v>
      </c>
      <c r="F1660" s="1">
        <v>14</v>
      </c>
      <c r="G1660" s="1">
        <v>2</v>
      </c>
      <c r="H1660" s="1">
        <v>13</v>
      </c>
      <c r="I1660" s="1">
        <v>19</v>
      </c>
      <c r="J1660" s="1">
        <v>0</v>
      </c>
      <c r="K1660" s="1">
        <v>2</v>
      </c>
      <c r="L1660" s="1">
        <v>2</v>
      </c>
      <c r="M1660" t="s">
        <v>15</v>
      </c>
      <c r="N1660" t="str">
        <f>IFERROR(VLOOKUP(B1660,'[1]All Player'!$B$2:$C$1992,2,0),"")</f>
        <v>Asif Iqbal Khan</v>
      </c>
      <c r="O1660" s="2" t="s">
        <v>625</v>
      </c>
      <c r="P1660" s="16" t="s">
        <v>1024</v>
      </c>
      <c r="Q1660" s="1">
        <f t="shared" si="58"/>
        <v>1</v>
      </c>
      <c r="R1660" s="1">
        <v>276</v>
      </c>
      <c r="T1660" s="1" t="s">
        <v>947</v>
      </c>
      <c r="U1660" s="8">
        <v>44374</v>
      </c>
    </row>
    <row r="1661" spans="1:23" x14ac:dyDescent="0.25">
      <c r="A1661" s="2">
        <v>27</v>
      </c>
      <c r="B1661" t="s">
        <v>730</v>
      </c>
      <c r="C1661" s="1">
        <v>14</v>
      </c>
      <c r="D1661" s="1">
        <v>222</v>
      </c>
      <c r="E1661" s="21">
        <v>27</v>
      </c>
      <c r="F1661" s="1">
        <v>21</v>
      </c>
      <c r="G1661" s="1">
        <v>1</v>
      </c>
      <c r="H1661" s="1">
        <v>22</v>
      </c>
      <c r="I1661" s="1">
        <v>10</v>
      </c>
      <c r="J1661" s="1">
        <v>0</v>
      </c>
      <c r="K1661" s="1">
        <v>2</v>
      </c>
      <c r="L1661" s="1">
        <v>1.5</v>
      </c>
      <c r="M1661" t="s">
        <v>15</v>
      </c>
      <c r="N1661" t="str">
        <f>IFERROR(VLOOKUP(B1661,'[1]All Player'!$B$2:$C$1992,2,0),"")</f>
        <v>Nahid Saifullah</v>
      </c>
      <c r="O1661" s="2" t="s">
        <v>625</v>
      </c>
      <c r="P1661" s="16" t="s">
        <v>1026</v>
      </c>
      <c r="Q1661" s="1">
        <f t="shared" si="58"/>
        <v>1</v>
      </c>
      <c r="R1661" s="1">
        <v>276</v>
      </c>
      <c r="T1661" s="1" t="s">
        <v>947</v>
      </c>
      <c r="U1661" s="8">
        <v>44374</v>
      </c>
      <c r="W1661" s="1">
        <v>1</v>
      </c>
    </row>
    <row r="1662" spans="1:23" x14ac:dyDescent="0.25">
      <c r="A1662" s="2">
        <v>27</v>
      </c>
      <c r="B1662" t="s">
        <v>711</v>
      </c>
      <c r="C1662" s="1">
        <v>14</v>
      </c>
      <c r="D1662" s="1">
        <v>288</v>
      </c>
      <c r="E1662" s="1">
        <v>23</v>
      </c>
      <c r="F1662" s="1">
        <v>23</v>
      </c>
      <c r="G1662" s="1">
        <v>5</v>
      </c>
      <c r="H1662" s="1">
        <v>24</v>
      </c>
      <c r="I1662" s="1">
        <v>15</v>
      </c>
      <c r="J1662" s="1">
        <v>0</v>
      </c>
      <c r="K1662" s="1">
        <v>2</v>
      </c>
      <c r="L1662" s="1">
        <v>1.5</v>
      </c>
      <c r="M1662" t="s">
        <v>15</v>
      </c>
      <c r="N1662" t="str">
        <f>IFERROR(VLOOKUP(B1662,'[1]All Player'!$B$2:$C$1992,2,0),"")</f>
        <v>Sabbir Ahmed</v>
      </c>
      <c r="O1662" s="2" t="s">
        <v>625</v>
      </c>
      <c r="P1662" s="16" t="s">
        <v>1024</v>
      </c>
      <c r="Q1662" s="1">
        <f t="shared" si="58"/>
        <v>1</v>
      </c>
      <c r="R1662" s="1">
        <v>276</v>
      </c>
      <c r="S1662" s="2" t="s">
        <v>658</v>
      </c>
      <c r="T1662" s="1" t="s">
        <v>947</v>
      </c>
      <c r="U1662" s="8">
        <v>44374</v>
      </c>
    </row>
    <row r="1663" spans="1:23" x14ac:dyDescent="0.25">
      <c r="A1663" s="2">
        <v>27</v>
      </c>
      <c r="B1663" t="s">
        <v>1027</v>
      </c>
      <c r="C1663" s="1">
        <v>12</v>
      </c>
      <c r="D1663" s="1">
        <v>209</v>
      </c>
      <c r="E1663" s="1">
        <v>10</v>
      </c>
      <c r="F1663" s="1">
        <v>14</v>
      </c>
      <c r="G1663" s="1">
        <v>0</v>
      </c>
      <c r="H1663" s="1">
        <v>16</v>
      </c>
      <c r="I1663" s="1">
        <v>11</v>
      </c>
      <c r="J1663" s="1">
        <v>1</v>
      </c>
      <c r="K1663" s="1">
        <v>1</v>
      </c>
      <c r="L1663" s="1">
        <v>2</v>
      </c>
      <c r="M1663" t="s">
        <v>15</v>
      </c>
      <c r="N1663" t="str">
        <f>IFERROR(VLOOKUP(B1663,'[1]All Player'!$B$2:$C$1992,2,0),"")</f>
        <v>Shahriar Shuvro</v>
      </c>
      <c r="O1663" s="2" t="s">
        <v>625</v>
      </c>
      <c r="P1663" s="16" t="s">
        <v>1024</v>
      </c>
      <c r="Q1663" s="1">
        <f t="shared" si="58"/>
        <v>1</v>
      </c>
      <c r="R1663" s="1">
        <v>276</v>
      </c>
      <c r="T1663" s="1" t="s">
        <v>947</v>
      </c>
      <c r="U1663" s="8">
        <v>44374</v>
      </c>
    </row>
    <row r="1664" spans="1:23" x14ac:dyDescent="0.25">
      <c r="A1664" s="2">
        <v>27</v>
      </c>
      <c r="B1664" t="s">
        <v>1003</v>
      </c>
      <c r="C1664" s="1">
        <v>10</v>
      </c>
      <c r="D1664" s="1">
        <v>81</v>
      </c>
      <c r="E1664" s="1">
        <v>4</v>
      </c>
      <c r="F1664" s="1">
        <v>10</v>
      </c>
      <c r="G1664" s="1">
        <v>1</v>
      </c>
      <c r="H1664" s="1">
        <v>9</v>
      </c>
      <c r="I1664" s="1">
        <v>2</v>
      </c>
      <c r="J1664" s="1">
        <v>0</v>
      </c>
      <c r="K1664" s="1">
        <v>0</v>
      </c>
      <c r="L1664" s="1">
        <v>0</v>
      </c>
      <c r="M1664" t="s">
        <v>15</v>
      </c>
      <c r="N1664" t="str">
        <f>IFERROR(VLOOKUP(B1664,'[1]All Player'!$B$2:$C$1992,2,0),"")</f>
        <v>Sanju Pritom</v>
      </c>
      <c r="O1664" s="2" t="s">
        <v>625</v>
      </c>
      <c r="P1664" s="16" t="s">
        <v>1024</v>
      </c>
      <c r="Q1664" s="1">
        <f t="shared" si="58"/>
        <v>1</v>
      </c>
      <c r="R1664" s="1">
        <v>276</v>
      </c>
      <c r="T1664" s="1" t="s">
        <v>947</v>
      </c>
      <c r="U1664" s="8">
        <v>44374</v>
      </c>
    </row>
    <row r="1665" spans="1:21" x14ac:dyDescent="0.25">
      <c r="A1665" s="2">
        <v>27</v>
      </c>
      <c r="B1665" t="s">
        <v>403</v>
      </c>
      <c r="C1665" s="1">
        <v>14</v>
      </c>
      <c r="D1665" s="1">
        <v>170</v>
      </c>
      <c r="E1665" s="1">
        <v>17</v>
      </c>
      <c r="F1665" s="1">
        <v>15</v>
      </c>
      <c r="G1665" s="1">
        <v>0</v>
      </c>
      <c r="H1665" s="1">
        <v>16</v>
      </c>
      <c r="I1665" s="1">
        <v>7</v>
      </c>
      <c r="J1665" s="1">
        <v>0</v>
      </c>
      <c r="K1665" s="1">
        <v>1</v>
      </c>
      <c r="L1665" s="1">
        <v>1</v>
      </c>
      <c r="M1665" t="s">
        <v>15</v>
      </c>
      <c r="N1665" t="str">
        <f>IFERROR(VLOOKUP(B1665,'[1]All Player'!$B$2:$C$1992,2,0),"")</f>
        <v>Md Siyam Islam</v>
      </c>
      <c r="O1665" s="2" t="s">
        <v>625</v>
      </c>
      <c r="P1665" s="16" t="s">
        <v>1024</v>
      </c>
      <c r="Q1665" s="1">
        <f t="shared" si="58"/>
        <v>1</v>
      </c>
      <c r="R1665" s="1">
        <v>276</v>
      </c>
      <c r="T1665" s="1" t="s">
        <v>947</v>
      </c>
      <c r="U1665" s="8">
        <v>44374</v>
      </c>
    </row>
    <row r="1666" spans="1:21" x14ac:dyDescent="0.25">
      <c r="A1666" s="2">
        <v>28</v>
      </c>
      <c r="B1666" s="17" t="s">
        <v>633</v>
      </c>
      <c r="J1666" s="1"/>
      <c r="N1666" t="str">
        <f>IFERROR(VLOOKUP(B1666,'[1]All Player'!$B$2:$C$1992,2,0),"")</f>
        <v/>
      </c>
      <c r="O1666" s="2" t="s">
        <v>632</v>
      </c>
      <c r="P1666" s="31" t="s">
        <v>633</v>
      </c>
      <c r="Q1666" s="1">
        <f t="shared" ref="Q1666:Q1705" si="59">IF(B1666="","",1)</f>
        <v>1</v>
      </c>
      <c r="R1666" s="1">
        <v>277</v>
      </c>
      <c r="U1666" s="8">
        <v>44949</v>
      </c>
    </row>
    <row r="1667" spans="1:21" x14ac:dyDescent="0.25">
      <c r="A1667" s="2">
        <v>28</v>
      </c>
      <c r="B1667" t="s">
        <v>979</v>
      </c>
      <c r="C1667" s="2">
        <v>4</v>
      </c>
      <c r="D1667" s="2">
        <v>70</v>
      </c>
      <c r="E1667" s="2">
        <v>6</v>
      </c>
      <c r="F1667" s="2">
        <v>6</v>
      </c>
      <c r="G1667" s="2">
        <v>1</v>
      </c>
      <c r="H1667" s="2">
        <v>4</v>
      </c>
      <c r="I1667" s="2">
        <v>8</v>
      </c>
      <c r="J1667" s="1">
        <v>1</v>
      </c>
      <c r="K1667" s="1">
        <v>1</v>
      </c>
      <c r="L1667" s="1">
        <v>1</v>
      </c>
      <c r="M1667" t="s">
        <v>15</v>
      </c>
      <c r="N1667" t="str">
        <f>IFERROR(VLOOKUP(B1667,'[1]All Player'!$B$2:$C$1992,2,0),"")</f>
        <v>Niamul Habib Setu</v>
      </c>
      <c r="O1667" s="2" t="s">
        <v>632</v>
      </c>
      <c r="P1667" s="31" t="s">
        <v>633</v>
      </c>
      <c r="Q1667" s="1">
        <f t="shared" si="59"/>
        <v>1</v>
      </c>
      <c r="R1667" s="1">
        <v>277</v>
      </c>
      <c r="U1667" s="8">
        <v>44949</v>
      </c>
    </row>
    <row r="1668" spans="1:21" x14ac:dyDescent="0.25">
      <c r="A1668" s="2">
        <v>28</v>
      </c>
      <c r="B1668" t="s">
        <v>975</v>
      </c>
      <c r="C1668" s="2">
        <v>4</v>
      </c>
      <c r="D1668" s="2">
        <v>51</v>
      </c>
      <c r="E1668" s="2">
        <v>2</v>
      </c>
      <c r="F1668" s="2">
        <v>4</v>
      </c>
      <c r="G1668" s="2">
        <v>1</v>
      </c>
      <c r="H1668" s="2">
        <v>6</v>
      </c>
      <c r="I1668" s="2">
        <v>4</v>
      </c>
      <c r="J1668" s="1">
        <v>0</v>
      </c>
      <c r="K1668" s="1">
        <v>1</v>
      </c>
      <c r="L1668" s="1">
        <v>0</v>
      </c>
      <c r="M1668" t="s">
        <v>15</v>
      </c>
      <c r="N1668" t="str">
        <f>IFERROR(VLOOKUP(B1668,'[1]All Player'!$B$2:$C$1992,2,0),"")</f>
        <v>Sayed Anowar Shanto</v>
      </c>
      <c r="O1668" s="2" t="s">
        <v>632</v>
      </c>
      <c r="P1668" s="32" t="s">
        <v>633</v>
      </c>
      <c r="Q1668" s="1">
        <f t="shared" si="59"/>
        <v>1</v>
      </c>
      <c r="R1668" s="1">
        <v>277</v>
      </c>
      <c r="U1668" s="8">
        <v>44949</v>
      </c>
    </row>
    <row r="1669" spans="1:21" x14ac:dyDescent="0.25">
      <c r="A1669" s="2">
        <v>28</v>
      </c>
      <c r="B1669" t="s">
        <v>1028</v>
      </c>
      <c r="C1669" s="2">
        <v>3</v>
      </c>
      <c r="D1669" s="2">
        <v>28</v>
      </c>
      <c r="E1669" s="2">
        <v>0</v>
      </c>
      <c r="F1669" s="2">
        <v>3</v>
      </c>
      <c r="G1669" s="2">
        <v>0</v>
      </c>
      <c r="H1669" s="2">
        <v>1</v>
      </c>
      <c r="I1669" s="2">
        <v>2</v>
      </c>
      <c r="J1669" s="1">
        <v>0</v>
      </c>
      <c r="K1669" s="1">
        <v>0</v>
      </c>
      <c r="L1669" s="1">
        <v>0</v>
      </c>
      <c r="M1669" t="s">
        <v>15</v>
      </c>
      <c r="N1669" t="str">
        <f>IFERROR(VLOOKUP(B1669,'[1]All Player'!$B$2:$C$1992,2,0),"")</f>
        <v>Md Naeem</v>
      </c>
      <c r="O1669" s="2" t="s">
        <v>632</v>
      </c>
      <c r="P1669" s="32" t="s">
        <v>633</v>
      </c>
      <c r="Q1669" s="1">
        <f t="shared" si="59"/>
        <v>1</v>
      </c>
      <c r="R1669" s="1">
        <v>277</v>
      </c>
      <c r="U1669" s="8">
        <v>44949</v>
      </c>
    </row>
    <row r="1670" spans="1:21" x14ac:dyDescent="0.25">
      <c r="A1670" s="2">
        <v>28</v>
      </c>
      <c r="B1670" t="s">
        <v>726</v>
      </c>
      <c r="C1670" s="2">
        <v>4</v>
      </c>
      <c r="D1670" s="2">
        <v>22</v>
      </c>
      <c r="E1670" s="2">
        <v>7</v>
      </c>
      <c r="F1670" s="2">
        <v>4</v>
      </c>
      <c r="G1670" s="2">
        <v>0</v>
      </c>
      <c r="H1670" s="2">
        <v>1</v>
      </c>
      <c r="I1670" s="2">
        <v>2</v>
      </c>
      <c r="J1670" s="1">
        <v>0</v>
      </c>
      <c r="K1670" s="1">
        <v>0</v>
      </c>
      <c r="L1670" s="1">
        <v>0</v>
      </c>
      <c r="M1670" t="s">
        <v>15</v>
      </c>
      <c r="N1670" t="str">
        <f>IFERROR(VLOOKUP(B1670,'[1]All Player'!$B$2:$C$1992,2,0),"")</f>
        <v>Sadrul Anam</v>
      </c>
      <c r="O1670" s="2" t="s">
        <v>632</v>
      </c>
      <c r="P1670" s="32" t="s">
        <v>633</v>
      </c>
      <c r="Q1670" s="1">
        <f t="shared" si="59"/>
        <v>1</v>
      </c>
      <c r="R1670" s="1">
        <v>277</v>
      </c>
      <c r="U1670" s="8">
        <v>44949</v>
      </c>
    </row>
    <row r="1671" spans="1:21" x14ac:dyDescent="0.25">
      <c r="A1671" s="2">
        <v>28</v>
      </c>
      <c r="B1671" s="17" t="s">
        <v>1029</v>
      </c>
      <c r="J1671" s="1"/>
      <c r="N1671" t="str">
        <f>IFERROR(VLOOKUP(B1671,'[1]All Player'!$B$2:$C$1992,2,0),"")</f>
        <v/>
      </c>
      <c r="O1671" s="2" t="s">
        <v>632</v>
      </c>
      <c r="P1671" s="31" t="s">
        <v>1029</v>
      </c>
      <c r="Q1671" s="1">
        <f t="shared" si="59"/>
        <v>1</v>
      </c>
      <c r="R1671" s="1">
        <v>278</v>
      </c>
      <c r="T1671" s="1" t="s">
        <v>947</v>
      </c>
      <c r="U1671" s="8">
        <v>44949</v>
      </c>
    </row>
    <row r="1672" spans="1:21" x14ac:dyDescent="0.25">
      <c r="A1672" s="2">
        <v>28</v>
      </c>
      <c r="B1672" t="s">
        <v>1030</v>
      </c>
      <c r="C1672" s="2">
        <v>5</v>
      </c>
      <c r="D1672" s="2">
        <v>77</v>
      </c>
      <c r="E1672" s="2">
        <v>3</v>
      </c>
      <c r="F1672" s="2">
        <v>6</v>
      </c>
      <c r="G1672" s="2">
        <v>1</v>
      </c>
      <c r="H1672" s="2">
        <v>1</v>
      </c>
      <c r="I1672" s="2">
        <v>8</v>
      </c>
      <c r="J1672" s="1">
        <v>1</v>
      </c>
      <c r="K1672" s="1">
        <v>1</v>
      </c>
      <c r="L1672" s="1">
        <v>0</v>
      </c>
      <c r="M1672" t="s">
        <v>15</v>
      </c>
      <c r="N1672" t="str">
        <f>IFERROR(VLOOKUP(B1672,'[1]All Player'!$B$2:$C$1992,2,0),"")</f>
        <v>Mahin Rahman</v>
      </c>
      <c r="O1672" s="2" t="s">
        <v>632</v>
      </c>
      <c r="P1672" s="31" t="s">
        <v>1029</v>
      </c>
      <c r="Q1672" s="1">
        <f t="shared" si="59"/>
        <v>1</v>
      </c>
      <c r="R1672" s="1">
        <v>278</v>
      </c>
      <c r="T1672" s="1" t="s">
        <v>947</v>
      </c>
      <c r="U1672" s="8">
        <v>44949</v>
      </c>
    </row>
    <row r="1673" spans="1:21" x14ac:dyDescent="0.25">
      <c r="A1673" s="2">
        <v>28</v>
      </c>
      <c r="B1673" t="s">
        <v>732</v>
      </c>
      <c r="C1673" s="2">
        <v>5</v>
      </c>
      <c r="D1673" s="2">
        <v>36</v>
      </c>
      <c r="E1673" s="2">
        <v>6</v>
      </c>
      <c r="F1673" s="2">
        <v>3</v>
      </c>
      <c r="G1673" s="2">
        <v>0</v>
      </c>
      <c r="H1673" s="2">
        <v>1</v>
      </c>
      <c r="I1673" s="2">
        <v>3</v>
      </c>
      <c r="J1673" s="1">
        <v>1</v>
      </c>
      <c r="K1673" s="1">
        <v>1</v>
      </c>
      <c r="L1673" s="1">
        <v>0</v>
      </c>
      <c r="M1673" t="s">
        <v>15</v>
      </c>
      <c r="N1673" t="str">
        <f>IFERROR(VLOOKUP(B1673,'[1]All Player'!$B$2:$C$1992,2,0),"")</f>
        <v>Rakib Hasan</v>
      </c>
      <c r="O1673" s="2" t="s">
        <v>632</v>
      </c>
      <c r="P1673" s="32" t="s">
        <v>1029</v>
      </c>
      <c r="Q1673" s="1">
        <f t="shared" si="59"/>
        <v>1</v>
      </c>
      <c r="R1673" s="1">
        <v>278</v>
      </c>
      <c r="T1673" s="1" t="s">
        <v>947</v>
      </c>
      <c r="U1673" s="8">
        <v>44949</v>
      </c>
    </row>
    <row r="1674" spans="1:21" x14ac:dyDescent="0.25">
      <c r="A1674" s="2">
        <v>28</v>
      </c>
      <c r="B1674" t="s">
        <v>1002</v>
      </c>
      <c r="C1674" s="2">
        <v>5</v>
      </c>
      <c r="D1674" s="2">
        <v>34</v>
      </c>
      <c r="E1674" s="2">
        <v>8</v>
      </c>
      <c r="F1674" s="2">
        <v>4</v>
      </c>
      <c r="G1674" s="2">
        <v>1</v>
      </c>
      <c r="H1674" s="2">
        <v>1</v>
      </c>
      <c r="I1674" s="2">
        <v>5</v>
      </c>
      <c r="J1674" s="1">
        <v>0</v>
      </c>
      <c r="K1674" s="1">
        <v>0</v>
      </c>
      <c r="L1674" s="1">
        <v>0</v>
      </c>
      <c r="M1674" t="s">
        <v>15</v>
      </c>
      <c r="N1674" t="str">
        <f>IFERROR(VLOOKUP(B1674,'[1]All Player'!$B$2:$C$1992,2,0),"")</f>
        <v>ShiShir Hossain</v>
      </c>
      <c r="O1674" s="2" t="s">
        <v>632</v>
      </c>
      <c r="P1674" s="32" t="s">
        <v>1029</v>
      </c>
      <c r="Q1674" s="1">
        <f t="shared" si="59"/>
        <v>1</v>
      </c>
      <c r="R1674" s="1">
        <v>278</v>
      </c>
      <c r="T1674" s="1" t="s">
        <v>947</v>
      </c>
      <c r="U1674" s="8">
        <v>44949</v>
      </c>
    </row>
    <row r="1675" spans="1:21" x14ac:dyDescent="0.25">
      <c r="A1675" s="2">
        <v>28</v>
      </c>
      <c r="B1675" t="s">
        <v>228</v>
      </c>
      <c r="C1675" s="2">
        <v>5</v>
      </c>
      <c r="D1675" s="2">
        <v>71</v>
      </c>
      <c r="E1675" s="2">
        <v>5</v>
      </c>
      <c r="F1675" s="2">
        <v>6</v>
      </c>
      <c r="G1675" s="2">
        <v>2</v>
      </c>
      <c r="H1675" s="2">
        <v>4</v>
      </c>
      <c r="I1675" s="2">
        <v>6</v>
      </c>
      <c r="J1675" s="1">
        <v>0</v>
      </c>
      <c r="K1675" s="1">
        <v>1</v>
      </c>
      <c r="L1675" s="1">
        <v>2</v>
      </c>
      <c r="M1675" t="s">
        <v>15</v>
      </c>
      <c r="N1675" t="str">
        <f>IFERROR(VLOOKUP(B1675,'[1]All Player'!$B$2:$C$1992,2,0),"")</f>
        <v>Arif Ziad</v>
      </c>
      <c r="O1675" s="2" t="s">
        <v>632</v>
      </c>
      <c r="P1675" s="32" t="s">
        <v>1029</v>
      </c>
      <c r="Q1675" s="1">
        <f t="shared" si="59"/>
        <v>1</v>
      </c>
      <c r="R1675" s="1">
        <v>278</v>
      </c>
      <c r="S1675" s="2" t="s">
        <v>658</v>
      </c>
      <c r="T1675" s="1" t="s">
        <v>947</v>
      </c>
      <c r="U1675" s="8">
        <v>44949</v>
      </c>
    </row>
    <row r="1676" spans="1:21" x14ac:dyDescent="0.25">
      <c r="A1676" s="2">
        <v>28</v>
      </c>
      <c r="B1676" s="17" t="s">
        <v>1031</v>
      </c>
      <c r="J1676" s="1"/>
      <c r="N1676" t="str">
        <f>IFERROR(VLOOKUP(B1676,'[1]All Player'!$B$2:$C$1992,2,0),"")</f>
        <v/>
      </c>
      <c r="O1676" s="2" t="s">
        <v>632</v>
      </c>
      <c r="P1676" s="31" t="s">
        <v>1031</v>
      </c>
      <c r="Q1676" s="1">
        <f t="shared" si="59"/>
        <v>1</v>
      </c>
      <c r="R1676" s="1">
        <v>279</v>
      </c>
      <c r="U1676" s="8">
        <v>44949</v>
      </c>
    </row>
    <row r="1677" spans="1:21" x14ac:dyDescent="0.25">
      <c r="A1677" s="2">
        <v>28</v>
      </c>
      <c r="B1677" t="s">
        <v>74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1">
        <v>0</v>
      </c>
      <c r="K1677" s="1">
        <v>0</v>
      </c>
      <c r="L1677" s="1">
        <v>0</v>
      </c>
      <c r="M1677" t="s">
        <v>15</v>
      </c>
      <c r="N1677" t="str">
        <f>IFERROR(VLOOKUP(B1677,'[1]All Player'!$B$2:$C$1992,2,0),"")</f>
        <v>Sakib Arafat</v>
      </c>
      <c r="O1677" s="2" t="s">
        <v>632</v>
      </c>
      <c r="P1677" s="31" t="s">
        <v>1031</v>
      </c>
      <c r="Q1677" s="1">
        <f t="shared" si="59"/>
        <v>1</v>
      </c>
      <c r="R1677" s="1">
        <v>279</v>
      </c>
      <c r="U1677" s="8">
        <v>44949</v>
      </c>
    </row>
    <row r="1678" spans="1:21" x14ac:dyDescent="0.25">
      <c r="A1678" s="2">
        <v>28</v>
      </c>
      <c r="B1678" t="s">
        <v>962</v>
      </c>
      <c r="C1678" s="2">
        <v>2</v>
      </c>
      <c r="D1678" s="2">
        <v>29</v>
      </c>
      <c r="E1678" s="2">
        <v>0</v>
      </c>
      <c r="F1678" s="2">
        <v>3</v>
      </c>
      <c r="G1678" s="2">
        <v>0</v>
      </c>
      <c r="H1678" s="2">
        <v>1</v>
      </c>
      <c r="I1678" s="2">
        <v>1</v>
      </c>
      <c r="J1678" s="1">
        <v>0</v>
      </c>
      <c r="K1678" s="1">
        <v>0</v>
      </c>
      <c r="L1678" s="1">
        <v>0</v>
      </c>
      <c r="M1678" t="s">
        <v>15</v>
      </c>
      <c r="N1678" t="str">
        <f>IFERROR(VLOOKUP(B1678,'[1]All Player'!$B$2:$C$1992,2,0),"")</f>
        <v>Monowar Hossain Munna</v>
      </c>
      <c r="O1678" s="2" t="s">
        <v>632</v>
      </c>
      <c r="P1678" s="32" t="s">
        <v>1031</v>
      </c>
      <c r="Q1678" s="1">
        <f t="shared" si="59"/>
        <v>1</v>
      </c>
      <c r="R1678" s="1">
        <v>279</v>
      </c>
      <c r="U1678" s="8">
        <v>44949</v>
      </c>
    </row>
    <row r="1679" spans="1:21" x14ac:dyDescent="0.25">
      <c r="A1679" s="2">
        <v>28</v>
      </c>
      <c r="B1679" t="s">
        <v>960</v>
      </c>
      <c r="C1679" s="2">
        <v>3</v>
      </c>
      <c r="D1679" s="2">
        <v>25</v>
      </c>
      <c r="E1679" s="2">
        <v>6</v>
      </c>
      <c r="F1679" s="2">
        <v>5</v>
      </c>
      <c r="G1679" s="2">
        <v>0</v>
      </c>
      <c r="H1679" s="2">
        <v>1</v>
      </c>
      <c r="I1679" s="2">
        <v>3</v>
      </c>
      <c r="J1679" s="1">
        <v>1</v>
      </c>
      <c r="K1679" s="1">
        <v>1</v>
      </c>
      <c r="L1679" s="1">
        <v>0</v>
      </c>
      <c r="M1679" t="s">
        <v>15</v>
      </c>
      <c r="N1679" t="str">
        <f>IFERROR(VLOOKUP(B1679,'[1]All Player'!$B$2:$C$1992,2,0),"")</f>
        <v>Shahriar Khokon</v>
      </c>
      <c r="O1679" s="2" t="s">
        <v>632</v>
      </c>
      <c r="P1679" s="32" t="s">
        <v>1031</v>
      </c>
      <c r="Q1679" s="1">
        <f t="shared" si="59"/>
        <v>1</v>
      </c>
      <c r="R1679" s="1">
        <v>279</v>
      </c>
      <c r="U1679" s="8">
        <v>44949</v>
      </c>
    </row>
    <row r="1680" spans="1:21" x14ac:dyDescent="0.25">
      <c r="A1680" s="2">
        <v>28</v>
      </c>
      <c r="B1680" t="s">
        <v>1025</v>
      </c>
      <c r="C1680" s="2">
        <v>3</v>
      </c>
      <c r="D1680" s="2">
        <v>63</v>
      </c>
      <c r="E1680" s="2">
        <v>1</v>
      </c>
      <c r="F1680" s="2">
        <v>7</v>
      </c>
      <c r="G1680" s="2">
        <v>1</v>
      </c>
      <c r="H1680" s="2">
        <v>8</v>
      </c>
      <c r="I1680" s="2">
        <v>3</v>
      </c>
      <c r="J1680" s="1">
        <v>0</v>
      </c>
      <c r="K1680" s="1">
        <v>0</v>
      </c>
      <c r="L1680" s="1">
        <v>1</v>
      </c>
      <c r="M1680" t="s">
        <v>15</v>
      </c>
      <c r="N1680" t="str">
        <f>IFERROR(VLOOKUP(B1680,'[1]All Player'!$B$2:$C$1992,2,0),"")</f>
        <v>Asif Iqbal Khan</v>
      </c>
      <c r="O1680" s="2" t="s">
        <v>632</v>
      </c>
      <c r="P1680" s="32" t="s">
        <v>1031</v>
      </c>
      <c r="Q1680" s="1">
        <f t="shared" si="59"/>
        <v>1</v>
      </c>
      <c r="R1680" s="1">
        <v>279</v>
      </c>
      <c r="U1680" s="8">
        <v>44949</v>
      </c>
    </row>
    <row r="1681" spans="1:23" x14ac:dyDescent="0.25">
      <c r="A1681" s="2">
        <v>28</v>
      </c>
      <c r="B1681" s="17" t="s">
        <v>1032</v>
      </c>
      <c r="J1681" s="1"/>
      <c r="N1681" t="str">
        <f>IFERROR(VLOOKUP(B1681,'[1]All Player'!$B$2:$C$1992,2,0),"")</f>
        <v/>
      </c>
      <c r="O1681" s="2" t="s">
        <v>632</v>
      </c>
      <c r="P1681" s="31" t="s">
        <v>1032</v>
      </c>
      <c r="Q1681" s="1">
        <f t="shared" si="59"/>
        <v>1</v>
      </c>
      <c r="R1681" s="1">
        <v>280</v>
      </c>
      <c r="U1681" s="8">
        <v>44949</v>
      </c>
    </row>
    <row r="1682" spans="1:23" x14ac:dyDescent="0.25">
      <c r="A1682" s="2">
        <v>28</v>
      </c>
      <c r="B1682" t="s">
        <v>193</v>
      </c>
      <c r="C1682" s="2">
        <v>2</v>
      </c>
      <c r="D1682" s="2">
        <v>2</v>
      </c>
      <c r="E1682" s="2">
        <v>0</v>
      </c>
      <c r="F1682" s="2">
        <v>1</v>
      </c>
      <c r="G1682" s="2">
        <v>0</v>
      </c>
      <c r="H1682" s="2">
        <v>0</v>
      </c>
      <c r="I1682" s="2">
        <v>0</v>
      </c>
      <c r="J1682" s="1">
        <v>0</v>
      </c>
      <c r="K1682" s="1">
        <v>0</v>
      </c>
      <c r="L1682" s="1">
        <v>0</v>
      </c>
      <c r="M1682" t="s">
        <v>15</v>
      </c>
      <c r="N1682" t="str">
        <f>IFERROR(VLOOKUP(B1682,'[1]All Player'!$B$2:$C$1992,2,0),"")</f>
        <v>Mostafizur Rahman Mithu</v>
      </c>
      <c r="O1682" s="2" t="s">
        <v>632</v>
      </c>
      <c r="P1682" s="31" t="s">
        <v>1032</v>
      </c>
      <c r="Q1682" s="1">
        <f t="shared" si="59"/>
        <v>1</v>
      </c>
      <c r="R1682" s="1">
        <v>280</v>
      </c>
      <c r="U1682" s="8">
        <v>44949</v>
      </c>
    </row>
    <row r="1683" spans="1:23" x14ac:dyDescent="0.25">
      <c r="A1683" s="2">
        <v>28</v>
      </c>
      <c r="B1683" t="s">
        <v>1009</v>
      </c>
      <c r="C1683" s="2">
        <v>3</v>
      </c>
      <c r="D1683" s="2">
        <v>52</v>
      </c>
      <c r="E1683" s="2">
        <v>2</v>
      </c>
      <c r="F1683" s="2">
        <v>5</v>
      </c>
      <c r="G1683" s="2">
        <v>0</v>
      </c>
      <c r="H1683" s="2">
        <v>3</v>
      </c>
      <c r="I1683" s="2">
        <v>6</v>
      </c>
      <c r="J1683" s="1">
        <v>0</v>
      </c>
      <c r="K1683" s="1">
        <v>0</v>
      </c>
      <c r="L1683" s="1">
        <v>0</v>
      </c>
      <c r="M1683" t="s">
        <v>15</v>
      </c>
      <c r="N1683" t="str">
        <f>IFERROR(VLOOKUP(B1683,'[1]All Player'!$B$2:$C$1992,2,0),"")</f>
        <v>Rakibul Islam</v>
      </c>
      <c r="O1683" s="2" t="s">
        <v>632</v>
      </c>
      <c r="P1683" s="32" t="s">
        <v>1032</v>
      </c>
      <c r="Q1683" s="1">
        <f t="shared" si="59"/>
        <v>1</v>
      </c>
      <c r="R1683" s="1">
        <v>280</v>
      </c>
      <c r="U1683" s="8">
        <v>44949</v>
      </c>
    </row>
    <row r="1684" spans="1:23" x14ac:dyDescent="0.25">
      <c r="A1684" s="2">
        <v>28</v>
      </c>
      <c r="B1684" t="s">
        <v>983</v>
      </c>
      <c r="C1684" s="2">
        <v>3</v>
      </c>
      <c r="D1684" s="2">
        <v>41</v>
      </c>
      <c r="E1684" s="2">
        <v>6</v>
      </c>
      <c r="F1684" s="2">
        <v>4</v>
      </c>
      <c r="G1684" s="2">
        <v>1</v>
      </c>
      <c r="H1684" s="2">
        <v>4</v>
      </c>
      <c r="I1684" s="2">
        <v>2</v>
      </c>
      <c r="J1684" s="1">
        <v>1</v>
      </c>
      <c r="K1684" s="1">
        <v>1</v>
      </c>
      <c r="L1684" s="1">
        <v>1</v>
      </c>
      <c r="M1684" t="s">
        <v>15</v>
      </c>
      <c r="N1684" t="str">
        <f>IFERROR(VLOOKUP(B1684,'[1]All Player'!$B$2:$C$1992,2,0),"")</f>
        <v>Ahammed Ariful Haq</v>
      </c>
      <c r="O1684" s="2" t="s">
        <v>632</v>
      </c>
      <c r="P1684" s="32" t="s">
        <v>1032</v>
      </c>
      <c r="Q1684" s="1">
        <f t="shared" si="59"/>
        <v>1</v>
      </c>
      <c r="R1684" s="1">
        <v>280</v>
      </c>
      <c r="U1684" s="8">
        <v>44949</v>
      </c>
    </row>
    <row r="1685" spans="1:23" x14ac:dyDescent="0.25">
      <c r="A1685" s="2">
        <v>28</v>
      </c>
      <c r="B1685" t="s">
        <v>730</v>
      </c>
      <c r="C1685" s="2">
        <v>3</v>
      </c>
      <c r="D1685" s="2">
        <v>23</v>
      </c>
      <c r="E1685" s="2">
        <v>4</v>
      </c>
      <c r="F1685" s="2">
        <v>5</v>
      </c>
      <c r="G1685" s="2">
        <v>0</v>
      </c>
      <c r="H1685" s="2">
        <v>3</v>
      </c>
      <c r="I1685" s="2">
        <v>1</v>
      </c>
      <c r="J1685" s="1">
        <v>0</v>
      </c>
      <c r="K1685" s="1">
        <v>0</v>
      </c>
      <c r="L1685" s="1">
        <v>1</v>
      </c>
      <c r="M1685" t="s">
        <v>15</v>
      </c>
      <c r="N1685" t="str">
        <f>IFERROR(VLOOKUP(B1685,'[1]All Player'!$B$2:$C$1992,2,0),"")</f>
        <v>Nahid Saifullah</v>
      </c>
      <c r="O1685" s="2" t="s">
        <v>632</v>
      </c>
      <c r="P1685" s="32" t="s">
        <v>1032</v>
      </c>
      <c r="Q1685" s="1">
        <f t="shared" si="59"/>
        <v>1</v>
      </c>
      <c r="R1685" s="1">
        <v>280</v>
      </c>
      <c r="U1685" s="8">
        <v>44949</v>
      </c>
    </row>
    <row r="1686" spans="1:23" x14ac:dyDescent="0.25">
      <c r="A1686" s="2">
        <v>28</v>
      </c>
      <c r="B1686" s="17" t="s">
        <v>939</v>
      </c>
      <c r="J1686" s="1"/>
      <c r="N1686" t="str">
        <f>IFERROR(VLOOKUP(B1686,'[1]All Player'!$B$2:$C$1992,2,0),"")</f>
        <v/>
      </c>
      <c r="O1686" s="2" t="s">
        <v>632</v>
      </c>
      <c r="P1686" s="31" t="s">
        <v>939</v>
      </c>
      <c r="Q1686" s="1">
        <f t="shared" si="59"/>
        <v>1</v>
      </c>
      <c r="R1686" s="1">
        <v>281</v>
      </c>
      <c r="T1686" s="1" t="s">
        <v>659</v>
      </c>
      <c r="U1686" s="8">
        <v>44949</v>
      </c>
    </row>
    <row r="1687" spans="1:23" x14ac:dyDescent="0.25">
      <c r="A1687" s="2">
        <v>28</v>
      </c>
      <c r="B1687" t="s">
        <v>972</v>
      </c>
      <c r="C1687" s="2">
        <v>4</v>
      </c>
      <c r="D1687" s="2">
        <v>48</v>
      </c>
      <c r="E1687" s="2">
        <v>2</v>
      </c>
      <c r="F1687" s="2">
        <v>4</v>
      </c>
      <c r="G1687" s="2">
        <v>1</v>
      </c>
      <c r="H1687" s="2">
        <v>3</v>
      </c>
      <c r="I1687" s="2">
        <v>5</v>
      </c>
      <c r="J1687" s="1">
        <v>0</v>
      </c>
      <c r="K1687" s="1">
        <v>0</v>
      </c>
      <c r="L1687" s="1">
        <v>2</v>
      </c>
      <c r="M1687" t="s">
        <v>15</v>
      </c>
      <c r="N1687" t="str">
        <f>IFERROR(VLOOKUP(B1687,'[1]All Player'!$B$2:$C$1992,2,0),"")</f>
        <v>Naieem Islam Durjoy</v>
      </c>
      <c r="O1687" s="2" t="s">
        <v>632</v>
      </c>
      <c r="P1687" s="31" t="s">
        <v>939</v>
      </c>
      <c r="Q1687" s="1">
        <f t="shared" si="59"/>
        <v>1</v>
      </c>
      <c r="R1687" s="1">
        <v>281</v>
      </c>
      <c r="T1687" s="1" t="s">
        <v>659</v>
      </c>
      <c r="U1687" s="8">
        <v>44949</v>
      </c>
    </row>
    <row r="1688" spans="1:23" x14ac:dyDescent="0.25">
      <c r="A1688" s="2">
        <v>28</v>
      </c>
      <c r="B1688" t="s">
        <v>1004</v>
      </c>
      <c r="C1688" s="2">
        <v>5</v>
      </c>
      <c r="D1688" s="2">
        <v>114</v>
      </c>
      <c r="E1688" s="2">
        <v>5</v>
      </c>
      <c r="F1688" s="2">
        <v>5</v>
      </c>
      <c r="G1688" s="2">
        <v>0</v>
      </c>
      <c r="H1688" s="2">
        <v>11</v>
      </c>
      <c r="I1688" s="2">
        <v>10</v>
      </c>
      <c r="J1688" s="1">
        <v>0</v>
      </c>
      <c r="K1688" s="1">
        <v>1</v>
      </c>
      <c r="L1688" s="1">
        <v>1</v>
      </c>
      <c r="M1688" t="s">
        <v>15</v>
      </c>
      <c r="N1688" t="str">
        <f>IFERROR(VLOOKUP(B1688,'[1]All Player'!$B$2:$C$1992,2,0),"")</f>
        <v>Kamil Ahmed</v>
      </c>
      <c r="O1688" s="2" t="s">
        <v>632</v>
      </c>
      <c r="P1688" s="32" t="s">
        <v>939</v>
      </c>
      <c r="Q1688" s="1">
        <f t="shared" si="59"/>
        <v>1</v>
      </c>
      <c r="R1688" s="1">
        <v>281</v>
      </c>
      <c r="T1688" s="1" t="s">
        <v>659</v>
      </c>
      <c r="U1688" s="8">
        <v>44949</v>
      </c>
      <c r="V1688" s="1">
        <v>1</v>
      </c>
    </row>
    <row r="1689" spans="1:23" x14ac:dyDescent="0.25">
      <c r="A1689" s="2">
        <v>28</v>
      </c>
      <c r="B1689" t="s">
        <v>714</v>
      </c>
      <c r="C1689" s="2">
        <v>5</v>
      </c>
      <c r="D1689" s="2">
        <v>104</v>
      </c>
      <c r="E1689" s="2">
        <v>9</v>
      </c>
      <c r="F1689" s="2">
        <v>8</v>
      </c>
      <c r="G1689" s="2">
        <v>0</v>
      </c>
      <c r="H1689" s="2">
        <v>12</v>
      </c>
      <c r="I1689" s="2">
        <v>7</v>
      </c>
      <c r="J1689" s="1">
        <v>0</v>
      </c>
      <c r="K1689" s="1">
        <v>2</v>
      </c>
      <c r="L1689" s="1">
        <v>1</v>
      </c>
      <c r="M1689" t="s">
        <v>15</v>
      </c>
      <c r="N1689" t="str">
        <f>IFERROR(VLOOKUP(B1689,'[1]All Player'!$B$2:$C$1992,2,0),"")</f>
        <v>Zaheed Hasan</v>
      </c>
      <c r="O1689" s="2" t="s">
        <v>632</v>
      </c>
      <c r="P1689" s="32" t="s">
        <v>939</v>
      </c>
      <c r="Q1689" s="1">
        <f t="shared" si="59"/>
        <v>1</v>
      </c>
      <c r="R1689" s="1">
        <v>281</v>
      </c>
      <c r="S1689" s="2" t="s">
        <v>660</v>
      </c>
      <c r="T1689" s="1" t="s">
        <v>659</v>
      </c>
      <c r="U1689" s="8">
        <v>44949</v>
      </c>
      <c r="W1689" s="1">
        <v>1</v>
      </c>
    </row>
    <row r="1690" spans="1:23" x14ac:dyDescent="0.25">
      <c r="A1690" s="2">
        <v>28</v>
      </c>
      <c r="B1690" t="s">
        <v>978</v>
      </c>
      <c r="C1690" s="2">
        <v>3</v>
      </c>
      <c r="D1690" s="2">
        <v>38</v>
      </c>
      <c r="E1690" s="2">
        <v>5</v>
      </c>
      <c r="F1690" s="2">
        <v>4</v>
      </c>
      <c r="G1690" s="2">
        <v>1</v>
      </c>
      <c r="H1690" s="2">
        <v>6</v>
      </c>
      <c r="I1690" s="2">
        <v>1</v>
      </c>
      <c r="J1690" s="1">
        <v>0</v>
      </c>
      <c r="K1690" s="1">
        <v>0</v>
      </c>
      <c r="L1690" s="1">
        <v>0</v>
      </c>
      <c r="M1690" t="s">
        <v>15</v>
      </c>
      <c r="N1690" t="str">
        <f>IFERROR(VLOOKUP(B1690,'[1]All Player'!$B$2:$C$1992,2,0),"")</f>
        <v>Faisal Ahmed Jhony</v>
      </c>
      <c r="O1690" s="2" t="s">
        <v>632</v>
      </c>
      <c r="P1690" s="32" t="s">
        <v>939</v>
      </c>
      <c r="Q1690" s="1">
        <f t="shared" si="59"/>
        <v>1</v>
      </c>
      <c r="R1690" s="1">
        <v>281</v>
      </c>
      <c r="T1690" s="1" t="s">
        <v>659</v>
      </c>
      <c r="U1690" s="8">
        <v>44949</v>
      </c>
    </row>
    <row r="1691" spans="1:23" x14ac:dyDescent="0.25">
      <c r="A1691" s="2">
        <v>28</v>
      </c>
      <c r="B1691" s="17" t="s">
        <v>1033</v>
      </c>
      <c r="J1691" s="1"/>
      <c r="N1691" t="str">
        <f>IFERROR(VLOOKUP(B1691,'[1]All Player'!$B$2:$C$1992,2,0),"")</f>
        <v/>
      </c>
      <c r="O1691" s="2" t="s">
        <v>632</v>
      </c>
      <c r="P1691" s="31" t="s">
        <v>1033</v>
      </c>
      <c r="Q1691" s="1">
        <f t="shared" si="59"/>
        <v>1</v>
      </c>
      <c r="R1691" s="1">
        <v>282</v>
      </c>
      <c r="U1691" s="8">
        <v>44949</v>
      </c>
    </row>
    <row r="1692" spans="1:23" x14ac:dyDescent="0.25">
      <c r="A1692" s="2">
        <v>28</v>
      </c>
      <c r="B1692" t="s">
        <v>1021</v>
      </c>
      <c r="C1692" s="2">
        <v>3</v>
      </c>
      <c r="D1692" s="2">
        <v>21</v>
      </c>
      <c r="E1692" s="2">
        <v>2</v>
      </c>
      <c r="F1692" s="2">
        <v>3</v>
      </c>
      <c r="G1692" s="2">
        <v>0</v>
      </c>
      <c r="H1692" s="2">
        <v>3</v>
      </c>
      <c r="I1692" s="2">
        <v>1</v>
      </c>
      <c r="J1692" s="1">
        <v>0</v>
      </c>
      <c r="K1692" s="1">
        <v>0</v>
      </c>
      <c r="L1692" s="1">
        <v>0</v>
      </c>
      <c r="M1692" t="s">
        <v>15</v>
      </c>
      <c r="N1692" t="str">
        <f>IFERROR(VLOOKUP(B1692,'[1]All Player'!$B$2:$C$1992,2,0),"")</f>
        <v>Md Ridoy AR</v>
      </c>
      <c r="O1692" s="2" t="s">
        <v>632</v>
      </c>
      <c r="P1692" s="31" t="s">
        <v>1033</v>
      </c>
      <c r="Q1692" s="1">
        <f t="shared" si="59"/>
        <v>1</v>
      </c>
      <c r="R1692" s="1">
        <v>282</v>
      </c>
      <c r="U1692" s="8">
        <v>44949</v>
      </c>
    </row>
    <row r="1693" spans="1:23" x14ac:dyDescent="0.25">
      <c r="A1693" s="2">
        <v>28</v>
      </c>
      <c r="B1693" t="s">
        <v>976</v>
      </c>
      <c r="C1693" s="2">
        <v>3</v>
      </c>
      <c r="D1693" s="2">
        <v>54</v>
      </c>
      <c r="E1693" s="2">
        <v>1</v>
      </c>
      <c r="F1693" s="2">
        <v>3</v>
      </c>
      <c r="G1693" s="2">
        <v>0</v>
      </c>
      <c r="H1693" s="2">
        <v>4</v>
      </c>
      <c r="I1693" s="2">
        <v>4</v>
      </c>
      <c r="J1693" s="1">
        <v>0</v>
      </c>
      <c r="K1693" s="1">
        <v>1</v>
      </c>
      <c r="L1693" s="1">
        <v>0</v>
      </c>
      <c r="M1693" t="s">
        <v>15</v>
      </c>
      <c r="N1693" t="str">
        <f>IFERROR(VLOOKUP(B1693,'[1]All Player'!$B$2:$C$1992,2,0),"")</f>
        <v>Mehedi Hasan Joy</v>
      </c>
      <c r="O1693" s="2" t="s">
        <v>632</v>
      </c>
      <c r="P1693" s="32" t="s">
        <v>1033</v>
      </c>
      <c r="Q1693" s="1">
        <f t="shared" si="59"/>
        <v>1</v>
      </c>
      <c r="R1693" s="1">
        <v>282</v>
      </c>
      <c r="U1693" s="8">
        <v>44949</v>
      </c>
    </row>
    <row r="1694" spans="1:23" x14ac:dyDescent="0.25">
      <c r="A1694" s="2">
        <v>28</v>
      </c>
      <c r="B1694" t="s">
        <v>956</v>
      </c>
      <c r="C1694" s="2">
        <v>3</v>
      </c>
      <c r="D1694" s="2">
        <v>55</v>
      </c>
      <c r="E1694" s="2">
        <v>3</v>
      </c>
      <c r="F1694" s="2">
        <v>4</v>
      </c>
      <c r="G1694" s="2">
        <v>0</v>
      </c>
      <c r="H1694" s="2">
        <v>5</v>
      </c>
      <c r="I1694" s="2">
        <v>5</v>
      </c>
      <c r="J1694" s="1">
        <v>0</v>
      </c>
      <c r="K1694" s="1">
        <v>0</v>
      </c>
      <c r="L1694" s="1">
        <v>0</v>
      </c>
      <c r="M1694" t="s">
        <v>15</v>
      </c>
      <c r="N1694" t="str">
        <f>IFERROR(VLOOKUP(B1694,'[1]All Player'!$B$2:$C$1992,2,0),"")</f>
        <v>Tanvir Shakib</v>
      </c>
      <c r="O1694" s="2" t="s">
        <v>632</v>
      </c>
      <c r="P1694" s="32" t="s">
        <v>1033</v>
      </c>
      <c r="Q1694" s="1">
        <f t="shared" si="59"/>
        <v>1</v>
      </c>
      <c r="R1694" s="1">
        <v>282</v>
      </c>
      <c r="U1694" s="8">
        <v>44949</v>
      </c>
    </row>
    <row r="1695" spans="1:23" x14ac:dyDescent="0.25">
      <c r="A1695" s="2">
        <v>28</v>
      </c>
      <c r="B1695" t="s">
        <v>965</v>
      </c>
      <c r="C1695" s="2">
        <v>3</v>
      </c>
      <c r="D1695" s="2">
        <v>56</v>
      </c>
      <c r="E1695" s="2">
        <v>4</v>
      </c>
      <c r="F1695" s="2">
        <v>2</v>
      </c>
      <c r="G1695" s="2">
        <v>1</v>
      </c>
      <c r="H1695" s="2">
        <v>11</v>
      </c>
      <c r="I1695" s="2">
        <v>2</v>
      </c>
      <c r="J1695" s="1">
        <v>0</v>
      </c>
      <c r="K1695" s="1">
        <v>1</v>
      </c>
      <c r="L1695" s="1">
        <v>0</v>
      </c>
      <c r="M1695" t="s">
        <v>15</v>
      </c>
      <c r="N1695" t="str">
        <f>IFERROR(VLOOKUP(B1695,'[1]All Player'!$B$2:$C$1992,2,0),"")</f>
        <v>Nur Muhammad</v>
      </c>
      <c r="O1695" s="2" t="s">
        <v>632</v>
      </c>
      <c r="P1695" s="32" t="s">
        <v>1033</v>
      </c>
      <c r="Q1695" s="1">
        <f t="shared" si="59"/>
        <v>1</v>
      </c>
      <c r="R1695" s="1">
        <v>282</v>
      </c>
      <c r="U1695" s="8">
        <v>44949</v>
      </c>
    </row>
    <row r="1696" spans="1:23" x14ac:dyDescent="0.25">
      <c r="A1696" s="2">
        <v>28</v>
      </c>
      <c r="B1696" s="17" t="s">
        <v>1034</v>
      </c>
      <c r="J1696" s="1"/>
      <c r="O1696" s="2" t="s">
        <v>632</v>
      </c>
      <c r="P1696" s="31" t="s">
        <v>1034</v>
      </c>
      <c r="Q1696" s="1">
        <f t="shared" si="59"/>
        <v>1</v>
      </c>
      <c r="R1696" s="1">
        <v>283</v>
      </c>
      <c r="U1696" s="8">
        <v>44949</v>
      </c>
    </row>
    <row r="1697" spans="1:23" x14ac:dyDescent="0.25">
      <c r="A1697" s="2">
        <v>28</v>
      </c>
      <c r="B1697" s="33" t="s">
        <v>403</v>
      </c>
      <c r="C1697" s="2">
        <v>3</v>
      </c>
      <c r="D1697" s="2">
        <v>66</v>
      </c>
      <c r="E1697" s="2">
        <v>7</v>
      </c>
      <c r="F1697" s="2">
        <v>5</v>
      </c>
      <c r="G1697" s="2">
        <v>1</v>
      </c>
      <c r="H1697" s="2">
        <v>10</v>
      </c>
      <c r="I1697" s="2">
        <v>2</v>
      </c>
      <c r="J1697" s="1">
        <v>1</v>
      </c>
      <c r="K1697" s="1">
        <v>0</v>
      </c>
      <c r="L1697" s="1">
        <v>0</v>
      </c>
      <c r="M1697" t="s">
        <v>15</v>
      </c>
      <c r="N1697" t="str">
        <f>IFERROR(VLOOKUP(B1697,'[1]All Player'!$B$2:$C$1992,2,0),"")</f>
        <v>Md Siyam Islam</v>
      </c>
      <c r="O1697" s="2" t="s">
        <v>632</v>
      </c>
      <c r="P1697" s="31" t="s">
        <v>1034</v>
      </c>
      <c r="Q1697" s="1">
        <f t="shared" si="59"/>
        <v>1</v>
      </c>
      <c r="R1697" s="1">
        <v>283</v>
      </c>
      <c r="U1697" s="8">
        <v>44949</v>
      </c>
    </row>
    <row r="1698" spans="1:23" x14ac:dyDescent="0.25">
      <c r="A1698" s="2">
        <v>28</v>
      </c>
      <c r="B1698" t="s">
        <v>974</v>
      </c>
      <c r="C1698" s="2">
        <v>2</v>
      </c>
      <c r="D1698" s="2">
        <v>20</v>
      </c>
      <c r="E1698" s="2">
        <v>0</v>
      </c>
      <c r="F1698" s="2">
        <v>2</v>
      </c>
      <c r="G1698" s="2">
        <v>0</v>
      </c>
      <c r="H1698" s="2">
        <v>3</v>
      </c>
      <c r="I1698" s="2">
        <v>0</v>
      </c>
      <c r="J1698" s="1">
        <v>0</v>
      </c>
      <c r="K1698" s="1">
        <v>0</v>
      </c>
      <c r="L1698" s="1">
        <v>0</v>
      </c>
      <c r="M1698" t="s">
        <v>15</v>
      </c>
      <c r="N1698" t="str">
        <f>IFERROR(VLOOKUP(B1698,'[1]All Player'!$B$2:$C$1992,2,0),"")</f>
        <v>Mahbubur Rahman Akash</v>
      </c>
      <c r="O1698" s="2" t="s">
        <v>632</v>
      </c>
      <c r="P1698" s="32" t="s">
        <v>1034</v>
      </c>
      <c r="Q1698" s="1">
        <f t="shared" si="59"/>
        <v>1</v>
      </c>
      <c r="R1698" s="1">
        <v>283</v>
      </c>
      <c r="U1698" s="8">
        <v>44949</v>
      </c>
    </row>
    <row r="1699" spans="1:23" x14ac:dyDescent="0.25">
      <c r="A1699" s="2">
        <v>28</v>
      </c>
      <c r="B1699" t="s">
        <v>970</v>
      </c>
      <c r="C1699" s="2">
        <v>3</v>
      </c>
      <c r="D1699" s="2">
        <v>18</v>
      </c>
      <c r="E1699" s="2">
        <v>2</v>
      </c>
      <c r="F1699" s="2">
        <v>5</v>
      </c>
      <c r="G1699" s="2">
        <v>0</v>
      </c>
      <c r="H1699" s="2">
        <v>4</v>
      </c>
      <c r="I1699" s="2">
        <v>0</v>
      </c>
      <c r="J1699" s="1">
        <v>0</v>
      </c>
      <c r="K1699" s="1">
        <v>0</v>
      </c>
      <c r="L1699" s="1">
        <v>0</v>
      </c>
      <c r="M1699" t="s">
        <v>15</v>
      </c>
      <c r="N1699" t="str">
        <f>IFERROR(VLOOKUP(B1699,'[1]All Player'!$B$2:$C$1992,2,0),"")</f>
        <v>Mohammed Al Mamun</v>
      </c>
      <c r="O1699" s="2" t="s">
        <v>632</v>
      </c>
      <c r="P1699" s="32" t="s">
        <v>1034</v>
      </c>
      <c r="Q1699" s="1">
        <f t="shared" si="59"/>
        <v>1</v>
      </c>
      <c r="R1699" s="1">
        <v>283</v>
      </c>
      <c r="U1699" s="8">
        <v>44949</v>
      </c>
    </row>
    <row r="1700" spans="1:23" x14ac:dyDescent="0.25">
      <c r="A1700" s="2">
        <v>28</v>
      </c>
      <c r="B1700" t="s">
        <v>722</v>
      </c>
      <c r="C1700" s="2">
        <v>3</v>
      </c>
      <c r="D1700" s="2">
        <v>38</v>
      </c>
      <c r="E1700" s="2">
        <v>4</v>
      </c>
      <c r="F1700" s="2">
        <v>3</v>
      </c>
      <c r="G1700" s="2">
        <v>0</v>
      </c>
      <c r="H1700" s="2">
        <v>5</v>
      </c>
      <c r="I1700" s="2">
        <v>3</v>
      </c>
      <c r="J1700" s="1">
        <v>0</v>
      </c>
      <c r="K1700" s="1">
        <v>0</v>
      </c>
      <c r="L1700" s="1">
        <v>2</v>
      </c>
      <c r="M1700" t="s">
        <v>15</v>
      </c>
      <c r="N1700" t="str">
        <f>IFERROR(VLOOKUP(B1700,'[1]All Player'!$B$2:$C$1992,2,0),"")</f>
        <v>Susmoy Paul</v>
      </c>
      <c r="O1700" s="2" t="s">
        <v>632</v>
      </c>
      <c r="P1700" s="32" t="s">
        <v>1034</v>
      </c>
      <c r="Q1700" s="1">
        <f t="shared" si="59"/>
        <v>1</v>
      </c>
      <c r="R1700" s="1">
        <v>283</v>
      </c>
      <c r="U1700" s="8">
        <v>44949</v>
      </c>
    </row>
    <row r="1701" spans="1:23" x14ac:dyDescent="0.25">
      <c r="A1701" s="2">
        <v>28</v>
      </c>
      <c r="B1701" s="17" t="s">
        <v>1035</v>
      </c>
      <c r="J1701" s="1"/>
      <c r="N1701" t="str">
        <f>IFERROR(VLOOKUP(B1701,'[1]All Player'!$B$2:$C$1992,2,0),"")</f>
        <v/>
      </c>
      <c r="O1701" s="2" t="s">
        <v>632</v>
      </c>
      <c r="P1701" s="31" t="s">
        <v>1035</v>
      </c>
      <c r="Q1701" s="1">
        <f t="shared" si="59"/>
        <v>1</v>
      </c>
      <c r="R1701" s="1">
        <v>284</v>
      </c>
      <c r="U1701" s="8">
        <v>44949</v>
      </c>
    </row>
    <row r="1702" spans="1:23" x14ac:dyDescent="0.25">
      <c r="A1702" s="2">
        <v>28</v>
      </c>
      <c r="B1702" t="s">
        <v>967</v>
      </c>
      <c r="C1702" s="2">
        <v>4</v>
      </c>
      <c r="D1702" s="2">
        <v>23</v>
      </c>
      <c r="E1702" s="2">
        <v>6</v>
      </c>
      <c r="F1702" s="2">
        <v>4</v>
      </c>
      <c r="G1702" s="2">
        <v>0</v>
      </c>
      <c r="H1702" s="2">
        <v>3</v>
      </c>
      <c r="I1702" s="2">
        <v>0</v>
      </c>
      <c r="J1702" s="1">
        <v>0</v>
      </c>
      <c r="K1702" s="1">
        <v>0</v>
      </c>
      <c r="L1702" s="1">
        <v>0</v>
      </c>
      <c r="M1702" t="s">
        <v>15</v>
      </c>
      <c r="N1702" t="str">
        <f>IFERROR(VLOOKUP(B1702,'[1]All Player'!$B$2:$C$1992,2,0),"")</f>
        <v>Hj Himel</v>
      </c>
      <c r="O1702" s="2" t="s">
        <v>632</v>
      </c>
      <c r="P1702" s="31" t="s">
        <v>1035</v>
      </c>
      <c r="Q1702" s="1">
        <f t="shared" si="59"/>
        <v>1</v>
      </c>
      <c r="R1702" s="1">
        <v>284</v>
      </c>
      <c r="U1702" s="8">
        <v>44949</v>
      </c>
    </row>
    <row r="1703" spans="1:23" x14ac:dyDescent="0.25">
      <c r="A1703" s="2">
        <v>28</v>
      </c>
      <c r="B1703" t="s">
        <v>955</v>
      </c>
      <c r="C1703" s="2">
        <v>4</v>
      </c>
      <c r="D1703" s="2">
        <v>14</v>
      </c>
      <c r="E1703" s="2">
        <v>4</v>
      </c>
      <c r="F1703" s="2">
        <v>4</v>
      </c>
      <c r="G1703" s="2">
        <v>0</v>
      </c>
      <c r="H1703" s="2">
        <v>2</v>
      </c>
      <c r="I1703" s="2">
        <v>1</v>
      </c>
      <c r="J1703" s="1">
        <v>0</v>
      </c>
      <c r="K1703" s="1">
        <v>1</v>
      </c>
      <c r="L1703" s="1">
        <v>0</v>
      </c>
      <c r="M1703" t="s">
        <v>15</v>
      </c>
      <c r="N1703" t="str">
        <f>IFERROR(VLOOKUP(B1703,'[1]All Player'!$B$2:$C$1992,2,0),"")</f>
        <v>Asik Hassan Tonmoy</v>
      </c>
      <c r="O1703" s="2" t="s">
        <v>632</v>
      </c>
      <c r="P1703" s="31" t="s">
        <v>1035</v>
      </c>
      <c r="Q1703" s="1">
        <f t="shared" si="59"/>
        <v>1</v>
      </c>
      <c r="R1703" s="1">
        <v>284</v>
      </c>
      <c r="U1703" s="8">
        <v>44949</v>
      </c>
    </row>
    <row r="1704" spans="1:23" x14ac:dyDescent="0.25">
      <c r="A1704" s="2">
        <v>28</v>
      </c>
      <c r="B1704" t="s">
        <v>1036</v>
      </c>
      <c r="C1704" s="2">
        <v>3</v>
      </c>
      <c r="D1704" s="2">
        <v>80</v>
      </c>
      <c r="E1704" s="2">
        <v>3</v>
      </c>
      <c r="F1704" s="2">
        <v>4</v>
      </c>
      <c r="G1704" s="2">
        <v>1</v>
      </c>
      <c r="H1704" s="2">
        <v>12</v>
      </c>
      <c r="I1704" s="2">
        <v>4</v>
      </c>
      <c r="J1704" s="1">
        <v>0</v>
      </c>
      <c r="K1704" s="1">
        <v>1</v>
      </c>
      <c r="L1704" s="1">
        <v>0</v>
      </c>
      <c r="M1704" t="s">
        <v>15</v>
      </c>
      <c r="N1704" t="str">
        <f>IFERROR(VLOOKUP(B1704,'[1]All Player'!$B$2:$C$1992,2,0),"")</f>
        <v>Anisur Islam (Rubel Hossain)</v>
      </c>
      <c r="O1704" s="2" t="s">
        <v>632</v>
      </c>
      <c r="P1704" s="31" t="s">
        <v>1035</v>
      </c>
      <c r="Q1704" s="1">
        <f t="shared" si="59"/>
        <v>1</v>
      </c>
      <c r="R1704" s="1">
        <v>284</v>
      </c>
      <c r="U1704" s="8">
        <v>44949</v>
      </c>
    </row>
    <row r="1705" spans="1:23" x14ac:dyDescent="0.25">
      <c r="A1705" s="2">
        <v>28</v>
      </c>
      <c r="B1705" t="s">
        <v>964</v>
      </c>
      <c r="C1705" s="2">
        <v>4</v>
      </c>
      <c r="D1705" s="2">
        <v>98</v>
      </c>
      <c r="E1705" s="2">
        <v>4</v>
      </c>
      <c r="F1705" s="2">
        <v>6</v>
      </c>
      <c r="G1705" s="2">
        <v>2</v>
      </c>
      <c r="H1705" s="2">
        <v>9</v>
      </c>
      <c r="I1705" s="2">
        <v>6</v>
      </c>
      <c r="J1705" s="1">
        <v>0</v>
      </c>
      <c r="K1705" s="1">
        <v>1</v>
      </c>
      <c r="L1705" s="1">
        <v>2</v>
      </c>
      <c r="M1705" t="s">
        <v>15</v>
      </c>
      <c r="N1705" t="str">
        <f>IFERROR(VLOOKUP(B1705,'[1]All Player'!$B$2:$C$1992,2,0),"")</f>
        <v>MD Kamal Hossain Kamal</v>
      </c>
      <c r="O1705" s="2" t="s">
        <v>632</v>
      </c>
      <c r="P1705" s="31" t="s">
        <v>1035</v>
      </c>
      <c r="Q1705" s="1">
        <f t="shared" si="59"/>
        <v>1</v>
      </c>
      <c r="R1705" s="1">
        <v>284</v>
      </c>
      <c r="U1705" s="8">
        <v>44949</v>
      </c>
    </row>
    <row r="1706" spans="1:23" x14ac:dyDescent="0.25">
      <c r="A1706" s="2" t="s">
        <v>1037</v>
      </c>
      <c r="B1706" t="s">
        <v>52</v>
      </c>
      <c r="C1706" s="2">
        <v>3</v>
      </c>
      <c r="D1706" s="2">
        <v>32</v>
      </c>
      <c r="E1706" s="2">
        <v>3</v>
      </c>
      <c r="F1706" s="2">
        <v>4</v>
      </c>
      <c r="G1706" s="2">
        <v>0</v>
      </c>
      <c r="H1706" s="2">
        <v>3</v>
      </c>
      <c r="I1706" s="2">
        <v>3</v>
      </c>
      <c r="J1706" s="1">
        <v>0</v>
      </c>
      <c r="K1706" s="1">
        <v>0</v>
      </c>
      <c r="L1706" s="1">
        <v>0</v>
      </c>
      <c r="M1706" t="s">
        <v>15</v>
      </c>
      <c r="N1706" t="str">
        <f>IFERROR(VLOOKUP(B1706,'[1]All Player'!$B$2:$C$1992,2,0),"")</f>
        <v>Mohammed Al Mamun</v>
      </c>
      <c r="O1706" s="2" t="s">
        <v>1038</v>
      </c>
      <c r="P1706" s="16" t="s">
        <v>1039</v>
      </c>
      <c r="Q1706" s="1">
        <v>1</v>
      </c>
      <c r="R1706" s="1">
        <v>285</v>
      </c>
      <c r="U1706" s="8">
        <v>45925</v>
      </c>
    </row>
    <row r="1707" spans="1:23" x14ac:dyDescent="0.25">
      <c r="A1707" s="2" t="s">
        <v>1040</v>
      </c>
      <c r="B1707" t="s">
        <v>29</v>
      </c>
      <c r="C1707" s="2">
        <v>3</v>
      </c>
      <c r="D1707" s="2">
        <v>25</v>
      </c>
      <c r="E1707" s="2">
        <v>3</v>
      </c>
      <c r="F1707" s="2">
        <v>3</v>
      </c>
      <c r="G1707" s="2">
        <v>0</v>
      </c>
      <c r="H1707" s="2">
        <v>2</v>
      </c>
      <c r="I1707" s="2">
        <v>2</v>
      </c>
      <c r="J1707" s="1">
        <v>0</v>
      </c>
      <c r="K1707" s="1">
        <v>1</v>
      </c>
      <c r="L1707" s="1">
        <v>0</v>
      </c>
      <c r="M1707" t="s">
        <v>15</v>
      </c>
      <c r="N1707" t="str">
        <f>IFERROR(VLOOKUP(B1707,'[1]All Player'!$B$2:$C$1992,2,0),"")</f>
        <v>Foysal Ahmed Jumon</v>
      </c>
      <c r="O1707" s="2" t="s">
        <v>1038</v>
      </c>
      <c r="P1707" s="16" t="s">
        <v>1039</v>
      </c>
      <c r="Q1707" s="1">
        <v>1</v>
      </c>
      <c r="R1707" s="1">
        <v>285</v>
      </c>
      <c r="U1707" s="8">
        <v>45925</v>
      </c>
    </row>
    <row r="1708" spans="1:23" x14ac:dyDescent="0.25">
      <c r="A1708" s="2" t="s">
        <v>1041</v>
      </c>
      <c r="B1708" t="s">
        <v>116</v>
      </c>
      <c r="C1708" s="2">
        <v>3</v>
      </c>
      <c r="D1708" s="2">
        <v>64</v>
      </c>
      <c r="E1708" s="2">
        <v>3</v>
      </c>
      <c r="F1708" s="2">
        <v>5</v>
      </c>
      <c r="G1708" s="2">
        <v>2</v>
      </c>
      <c r="H1708" s="2">
        <v>2</v>
      </c>
      <c r="I1708" s="2">
        <v>6</v>
      </c>
      <c r="J1708" s="1">
        <v>0</v>
      </c>
      <c r="K1708" s="1">
        <v>0</v>
      </c>
      <c r="L1708" s="1">
        <v>1</v>
      </c>
      <c r="M1708" t="s">
        <v>15</v>
      </c>
      <c r="N1708" t="str">
        <f>IFERROR(VLOOKUP(B1708,'[1]All Player'!$B$2:$C$1992,2,0),"")</f>
        <v>Ahammed Ariful Haq</v>
      </c>
      <c r="O1708" s="2" t="s">
        <v>1038</v>
      </c>
      <c r="P1708" s="16" t="s">
        <v>1039</v>
      </c>
      <c r="Q1708" s="1">
        <v>1</v>
      </c>
      <c r="R1708" s="1">
        <v>285</v>
      </c>
      <c r="U1708" s="8">
        <v>45925</v>
      </c>
    </row>
    <row r="1709" spans="1:23" x14ac:dyDescent="0.25">
      <c r="A1709" s="2" t="s">
        <v>1042</v>
      </c>
      <c r="B1709" t="s">
        <v>33</v>
      </c>
      <c r="C1709" s="2">
        <v>3</v>
      </c>
      <c r="D1709" s="2">
        <v>44</v>
      </c>
      <c r="E1709" s="2">
        <v>2</v>
      </c>
      <c r="F1709" s="2">
        <v>4</v>
      </c>
      <c r="G1709" s="2">
        <v>0</v>
      </c>
      <c r="H1709" s="2">
        <v>1</v>
      </c>
      <c r="I1709" s="2">
        <v>6</v>
      </c>
      <c r="J1709" s="1">
        <v>0</v>
      </c>
      <c r="K1709" s="1">
        <v>0</v>
      </c>
      <c r="L1709" s="1">
        <v>0</v>
      </c>
      <c r="M1709" t="s">
        <v>15</v>
      </c>
      <c r="N1709" t="str">
        <f>IFERROR(VLOOKUP(B1709,'[1]All Player'!$B$2:$C$1992,2,0),"")</f>
        <v>Rakib Hasan</v>
      </c>
      <c r="O1709" s="2" t="s">
        <v>1038</v>
      </c>
      <c r="P1709" s="16" t="s">
        <v>1039</v>
      </c>
      <c r="Q1709" s="1">
        <v>1</v>
      </c>
      <c r="R1709" s="1">
        <v>285</v>
      </c>
      <c r="U1709" s="8">
        <v>45925</v>
      </c>
    </row>
    <row r="1710" spans="1:23" x14ac:dyDescent="0.25">
      <c r="A1710" s="2" t="s">
        <v>1043</v>
      </c>
      <c r="B1710" t="s">
        <v>64</v>
      </c>
      <c r="C1710" s="2">
        <v>5</v>
      </c>
      <c r="D1710" s="2">
        <v>49</v>
      </c>
      <c r="E1710" s="2">
        <v>13</v>
      </c>
      <c r="F1710" s="2">
        <v>6</v>
      </c>
      <c r="G1710" s="2">
        <v>0</v>
      </c>
      <c r="H1710" s="2">
        <v>5</v>
      </c>
      <c r="I1710" s="2">
        <v>4</v>
      </c>
      <c r="J1710" s="1">
        <v>2</v>
      </c>
      <c r="K1710" s="1">
        <v>2</v>
      </c>
      <c r="L1710" s="1">
        <v>1</v>
      </c>
      <c r="M1710" t="s">
        <v>15</v>
      </c>
      <c r="N1710" t="str">
        <f>IFERROR(VLOOKUP(B1710,'[1]All Player'!$B$2:$C$1992,2,0),"")</f>
        <v>Sumon Ab</v>
      </c>
      <c r="O1710" s="2" t="s">
        <v>1038</v>
      </c>
      <c r="P1710" s="16" t="s">
        <v>1044</v>
      </c>
      <c r="Q1710" s="1">
        <v>1</v>
      </c>
      <c r="R1710" s="1">
        <v>286</v>
      </c>
      <c r="T1710" s="1" t="s">
        <v>792</v>
      </c>
      <c r="U1710" s="8">
        <v>45925</v>
      </c>
      <c r="W1710" s="1">
        <v>1</v>
      </c>
    </row>
    <row r="1711" spans="1:23" x14ac:dyDescent="0.25">
      <c r="A1711" s="2" t="s">
        <v>1045</v>
      </c>
      <c r="B1711" t="s">
        <v>132</v>
      </c>
      <c r="C1711" s="2">
        <v>5</v>
      </c>
      <c r="D1711" s="2">
        <v>65</v>
      </c>
      <c r="E1711" s="2">
        <v>5</v>
      </c>
      <c r="F1711" s="2">
        <v>5</v>
      </c>
      <c r="G1711" s="2">
        <v>1</v>
      </c>
      <c r="H1711" s="2">
        <v>5</v>
      </c>
      <c r="I1711" s="2">
        <v>3</v>
      </c>
      <c r="J1711" s="1">
        <v>0</v>
      </c>
      <c r="K1711" s="1">
        <v>0</v>
      </c>
      <c r="L1711" s="1">
        <v>1</v>
      </c>
      <c r="M1711" t="s">
        <v>15</v>
      </c>
      <c r="N1711" t="str">
        <f>IFERROR(VLOOKUP(B1711,'[1]All Player'!$B$2:$C$1992,2,0),"")</f>
        <v>ShiShir Hossain</v>
      </c>
      <c r="O1711" s="2" t="s">
        <v>1038</v>
      </c>
      <c r="P1711" s="16" t="s">
        <v>1044</v>
      </c>
      <c r="Q1711" s="1">
        <v>1</v>
      </c>
      <c r="R1711" s="1">
        <v>286</v>
      </c>
      <c r="T1711" s="1" t="s">
        <v>792</v>
      </c>
      <c r="U1711" s="8">
        <v>45925</v>
      </c>
    </row>
    <row r="1712" spans="1:23" x14ac:dyDescent="0.25">
      <c r="A1712" s="2" t="s">
        <v>1046</v>
      </c>
      <c r="B1712" t="s">
        <v>130</v>
      </c>
      <c r="C1712" s="2">
        <v>5</v>
      </c>
      <c r="D1712" s="2">
        <v>65</v>
      </c>
      <c r="E1712" s="2">
        <v>6</v>
      </c>
      <c r="F1712" s="2">
        <v>5</v>
      </c>
      <c r="G1712" s="2">
        <v>0</v>
      </c>
      <c r="H1712" s="2">
        <v>5</v>
      </c>
      <c r="I1712" s="2">
        <v>6</v>
      </c>
      <c r="J1712" s="1">
        <v>0</v>
      </c>
      <c r="K1712" s="1">
        <v>0</v>
      </c>
      <c r="L1712" s="1">
        <v>1</v>
      </c>
      <c r="M1712" t="s">
        <v>15</v>
      </c>
      <c r="N1712" t="str">
        <f>IFERROR(VLOOKUP(B1712,'[1]All Player'!$B$2:$C$1992,2,0),"")</f>
        <v>Shahriar Khokon</v>
      </c>
      <c r="O1712" s="2" t="s">
        <v>1038</v>
      </c>
      <c r="P1712" s="16" t="s">
        <v>1044</v>
      </c>
      <c r="Q1712" s="1">
        <v>1</v>
      </c>
      <c r="R1712" s="1">
        <v>286</v>
      </c>
      <c r="T1712" s="1" t="s">
        <v>792</v>
      </c>
      <c r="U1712" s="8">
        <v>45925</v>
      </c>
    </row>
    <row r="1713" spans="1:21" x14ac:dyDescent="0.25">
      <c r="A1713" s="2" t="s">
        <v>1047</v>
      </c>
      <c r="B1713" t="s">
        <v>78</v>
      </c>
      <c r="C1713" s="2">
        <v>5</v>
      </c>
      <c r="D1713" s="2">
        <v>48</v>
      </c>
      <c r="E1713" s="2">
        <v>3</v>
      </c>
      <c r="F1713" s="2">
        <v>5</v>
      </c>
      <c r="G1713" s="2">
        <v>1</v>
      </c>
      <c r="H1713" s="2">
        <v>4</v>
      </c>
      <c r="I1713" s="2">
        <v>4</v>
      </c>
      <c r="J1713" s="1">
        <v>0</v>
      </c>
      <c r="K1713" s="1">
        <v>0</v>
      </c>
      <c r="L1713" s="1">
        <v>1</v>
      </c>
      <c r="M1713" t="s">
        <v>15</v>
      </c>
      <c r="N1713" t="str">
        <f>IFERROR(VLOOKUP(B1713,'[1]All Player'!$B$2:$C$1992,2,0),"")</f>
        <v>KM Rashedul Islam Rashed</v>
      </c>
      <c r="O1713" s="2" t="s">
        <v>1038</v>
      </c>
      <c r="P1713" s="16" t="s">
        <v>1044</v>
      </c>
      <c r="Q1713" s="1">
        <v>1</v>
      </c>
      <c r="R1713" s="1">
        <v>286</v>
      </c>
      <c r="T1713" s="1" t="s">
        <v>792</v>
      </c>
      <c r="U1713" s="8">
        <v>45925</v>
      </c>
    </row>
    <row r="1714" spans="1:21" x14ac:dyDescent="0.25">
      <c r="A1714" s="2" t="s">
        <v>1048</v>
      </c>
      <c r="B1714" t="s">
        <v>446</v>
      </c>
      <c r="C1714" s="2">
        <v>3</v>
      </c>
      <c r="D1714" s="2">
        <v>4</v>
      </c>
      <c r="E1714" s="2">
        <v>4</v>
      </c>
      <c r="F1714" s="2">
        <v>4</v>
      </c>
      <c r="G1714" s="2">
        <v>0</v>
      </c>
      <c r="H1714" s="2">
        <v>1</v>
      </c>
      <c r="I1714" s="2">
        <v>0</v>
      </c>
      <c r="J1714" s="1">
        <v>0</v>
      </c>
      <c r="K1714" s="1">
        <v>0</v>
      </c>
      <c r="L1714" s="1">
        <v>0</v>
      </c>
      <c r="M1714" t="s">
        <v>15</v>
      </c>
      <c r="N1714" t="str">
        <f>IFERROR(VLOOKUP(B1714,'[1]All Player'!$B$2:$C$1992,2,0),"")</f>
        <v>Rakibul Islam</v>
      </c>
      <c r="O1714" s="2" t="s">
        <v>1038</v>
      </c>
      <c r="P1714" s="16" t="s">
        <v>1049</v>
      </c>
      <c r="Q1714" s="1">
        <v>1</v>
      </c>
      <c r="R1714" s="1">
        <v>287</v>
      </c>
      <c r="U1714" s="8">
        <v>45925</v>
      </c>
    </row>
    <row r="1715" spans="1:21" x14ac:dyDescent="0.25">
      <c r="A1715" s="2" t="s">
        <v>1050</v>
      </c>
      <c r="B1715" t="s">
        <v>114</v>
      </c>
      <c r="C1715" s="2">
        <v>3</v>
      </c>
      <c r="D1715" s="2">
        <v>138</v>
      </c>
      <c r="E1715" s="2">
        <v>3</v>
      </c>
      <c r="F1715" s="2">
        <v>6</v>
      </c>
      <c r="G1715" s="2">
        <v>0</v>
      </c>
      <c r="H1715" s="2">
        <v>15</v>
      </c>
      <c r="I1715" s="2">
        <v>10</v>
      </c>
      <c r="J1715" s="1">
        <v>0</v>
      </c>
      <c r="K1715" s="1">
        <v>0</v>
      </c>
      <c r="L1715" s="1">
        <v>2</v>
      </c>
      <c r="M1715" t="s">
        <v>15</v>
      </c>
      <c r="N1715" t="str">
        <f>IFERROR(VLOOKUP(B1715,'[1]All Player'!$B$2:$C$1992,2,0),"")</f>
        <v>Tanvir Shakib</v>
      </c>
      <c r="O1715" s="2" t="s">
        <v>1038</v>
      </c>
      <c r="P1715" s="16" t="s">
        <v>1049</v>
      </c>
      <c r="Q1715" s="1">
        <v>1</v>
      </c>
      <c r="R1715" s="1">
        <v>287</v>
      </c>
      <c r="U1715" s="8">
        <v>45925</v>
      </c>
    </row>
    <row r="1716" spans="1:21" x14ac:dyDescent="0.25">
      <c r="A1716" s="2" t="s">
        <v>1051</v>
      </c>
      <c r="B1716" t="s">
        <v>24</v>
      </c>
      <c r="C1716" s="2">
        <v>3</v>
      </c>
      <c r="D1716" s="2">
        <v>46</v>
      </c>
      <c r="E1716" s="2">
        <v>2</v>
      </c>
      <c r="F1716" s="2">
        <v>4</v>
      </c>
      <c r="G1716" s="2">
        <v>0</v>
      </c>
      <c r="H1716" s="2">
        <v>5</v>
      </c>
      <c r="I1716" s="2">
        <v>3</v>
      </c>
      <c r="J1716" s="1">
        <v>0</v>
      </c>
      <c r="K1716" s="1">
        <v>0</v>
      </c>
      <c r="L1716" s="1">
        <v>0</v>
      </c>
      <c r="M1716" t="s">
        <v>15</v>
      </c>
      <c r="N1716" t="str">
        <f>IFERROR(VLOOKUP(B1716,'[1]All Player'!$B$2:$C$1992,2,0),"")</f>
        <v>Nur Muhammad</v>
      </c>
      <c r="O1716" s="2" t="s">
        <v>1038</v>
      </c>
      <c r="P1716" s="16" t="s">
        <v>1049</v>
      </c>
      <c r="Q1716" s="1">
        <v>1</v>
      </c>
      <c r="R1716" s="1">
        <v>287</v>
      </c>
      <c r="U1716" s="8">
        <v>45925</v>
      </c>
    </row>
    <row r="1717" spans="1:21" x14ac:dyDescent="0.25">
      <c r="A1717" s="2" t="s">
        <v>1052</v>
      </c>
      <c r="B1717" t="s">
        <v>140</v>
      </c>
      <c r="C1717" s="2">
        <v>3</v>
      </c>
      <c r="D1717" s="2">
        <v>14</v>
      </c>
      <c r="E1717" s="2">
        <v>4</v>
      </c>
      <c r="F1717" s="2">
        <v>4</v>
      </c>
      <c r="G1717" s="2">
        <v>0</v>
      </c>
      <c r="H1717" s="2">
        <v>2</v>
      </c>
      <c r="I1717" s="2">
        <v>1</v>
      </c>
      <c r="J1717" s="1">
        <v>0</v>
      </c>
      <c r="K1717" s="1">
        <v>0</v>
      </c>
      <c r="L1717" s="1">
        <v>0</v>
      </c>
      <c r="M1717" t="s">
        <v>15</v>
      </c>
      <c r="N1717" t="str">
        <f>IFERROR(VLOOKUP(B1717,'[1]All Player'!$B$2:$C$1992,2,0),"")</f>
        <v>Monowar Hossain Munna</v>
      </c>
      <c r="O1717" s="2" t="s">
        <v>1038</v>
      </c>
      <c r="P1717" s="16" t="s">
        <v>1049</v>
      </c>
      <c r="Q1717" s="1">
        <v>1</v>
      </c>
      <c r="R1717" s="1">
        <v>287</v>
      </c>
      <c r="U1717" s="8">
        <v>45925</v>
      </c>
    </row>
    <row r="1718" spans="1:21" x14ac:dyDescent="0.25">
      <c r="A1718" s="2" t="s">
        <v>1053</v>
      </c>
      <c r="B1718" t="s">
        <v>228</v>
      </c>
      <c r="C1718" s="2">
        <v>5</v>
      </c>
      <c r="D1718" s="2">
        <v>123</v>
      </c>
      <c r="E1718" s="2">
        <v>4</v>
      </c>
      <c r="F1718" s="2">
        <v>9</v>
      </c>
      <c r="G1718" s="2">
        <v>1</v>
      </c>
      <c r="H1718" s="2">
        <v>10</v>
      </c>
      <c r="I1718" s="2">
        <v>6</v>
      </c>
      <c r="J1718" s="1">
        <v>1</v>
      </c>
      <c r="K1718" s="1">
        <v>2</v>
      </c>
      <c r="L1718" s="1">
        <v>0</v>
      </c>
      <c r="M1718" t="s">
        <v>15</v>
      </c>
      <c r="N1718" t="str">
        <f>IFERROR(VLOOKUP(B1718,'[1]All Player'!$B$2:$C$1992,2,0),"")</f>
        <v>Arif Ziad</v>
      </c>
      <c r="O1718" s="2" t="s">
        <v>1038</v>
      </c>
      <c r="P1718" s="16" t="s">
        <v>1054</v>
      </c>
      <c r="Q1718" s="1">
        <v>1</v>
      </c>
      <c r="R1718" s="1">
        <v>288</v>
      </c>
      <c r="T1718" s="1" t="s">
        <v>672</v>
      </c>
      <c r="U1718" s="8">
        <v>45925</v>
      </c>
    </row>
    <row r="1719" spans="1:21" x14ac:dyDescent="0.25">
      <c r="A1719" s="2" t="s">
        <v>1055</v>
      </c>
      <c r="B1719" t="s">
        <v>102</v>
      </c>
      <c r="C1719" s="2">
        <v>5</v>
      </c>
      <c r="D1719" s="2">
        <v>40</v>
      </c>
      <c r="E1719" s="2">
        <v>5</v>
      </c>
      <c r="F1719" s="2">
        <v>4</v>
      </c>
      <c r="G1719" s="2">
        <v>0</v>
      </c>
      <c r="H1719" s="2">
        <v>4</v>
      </c>
      <c r="I1719" s="2">
        <v>2</v>
      </c>
      <c r="J1719" s="1">
        <v>0</v>
      </c>
      <c r="K1719" s="1">
        <v>0</v>
      </c>
      <c r="L1719" s="1">
        <v>1</v>
      </c>
      <c r="M1719" t="s">
        <v>15</v>
      </c>
      <c r="N1719" t="str">
        <f>IFERROR(VLOOKUP(B1719,'[1]All Player'!$B$2:$C$1992,2,0),"")</f>
        <v>Mustofa Muddassir Mahmud Mashuk</v>
      </c>
      <c r="O1719" s="2" t="s">
        <v>1038</v>
      </c>
      <c r="P1719" s="16" t="s">
        <v>1054</v>
      </c>
      <c r="Q1719" s="1">
        <v>1</v>
      </c>
      <c r="R1719" s="1">
        <v>288</v>
      </c>
      <c r="T1719" s="1" t="s">
        <v>672</v>
      </c>
      <c r="U1719" s="8">
        <v>45925</v>
      </c>
    </row>
    <row r="1720" spans="1:21" x14ac:dyDescent="0.25">
      <c r="A1720" s="2" t="s">
        <v>1056</v>
      </c>
      <c r="B1720" t="s">
        <v>239</v>
      </c>
      <c r="C1720" s="2">
        <v>5</v>
      </c>
      <c r="D1720" s="2">
        <v>26</v>
      </c>
      <c r="E1720" s="2">
        <v>7</v>
      </c>
      <c r="F1720" s="2">
        <v>8</v>
      </c>
      <c r="G1720" s="2">
        <v>1</v>
      </c>
      <c r="H1720" s="2">
        <v>3</v>
      </c>
      <c r="I1720" s="2">
        <v>2</v>
      </c>
      <c r="J1720" s="1">
        <v>1</v>
      </c>
      <c r="K1720" s="1">
        <v>0</v>
      </c>
      <c r="L1720" s="1">
        <v>0</v>
      </c>
      <c r="M1720" t="s">
        <v>15</v>
      </c>
      <c r="N1720" t="str">
        <f>IFERROR(VLOOKUP(B1720,'[1]All Player'!$B$2:$C$1992,2,0),"")</f>
        <v>GM Manik</v>
      </c>
      <c r="O1720" s="2" t="s">
        <v>1038</v>
      </c>
      <c r="P1720" s="16" t="s">
        <v>1054</v>
      </c>
      <c r="Q1720" s="1">
        <v>1</v>
      </c>
      <c r="R1720" s="1">
        <v>288</v>
      </c>
      <c r="T1720" s="1" t="s">
        <v>672</v>
      </c>
      <c r="U1720" s="8">
        <v>45925</v>
      </c>
    </row>
    <row r="1721" spans="1:21" x14ac:dyDescent="0.25">
      <c r="A1721" s="2" t="s">
        <v>1057</v>
      </c>
      <c r="B1721" t="s">
        <v>31</v>
      </c>
      <c r="C1721" s="2">
        <v>5</v>
      </c>
      <c r="D1721" s="2">
        <v>78</v>
      </c>
      <c r="E1721" s="2">
        <v>4</v>
      </c>
      <c r="F1721" s="2">
        <v>8</v>
      </c>
      <c r="G1721" s="2">
        <v>0</v>
      </c>
      <c r="H1721" s="2">
        <v>3</v>
      </c>
      <c r="I1721" s="2">
        <v>7</v>
      </c>
      <c r="J1721" s="1">
        <v>0</v>
      </c>
      <c r="K1721" s="1">
        <v>1</v>
      </c>
      <c r="L1721" s="1">
        <v>0</v>
      </c>
      <c r="M1721" t="s">
        <v>15</v>
      </c>
      <c r="N1721" t="str">
        <f>IFERROR(VLOOKUP(B1721,'[1]All Player'!$B$2:$C$1992,2,0),"")</f>
        <v>Hetlar Shohag</v>
      </c>
      <c r="O1721" s="2" t="s">
        <v>1038</v>
      </c>
      <c r="P1721" s="16" t="s">
        <v>1054</v>
      </c>
      <c r="Q1721" s="1">
        <v>1</v>
      </c>
      <c r="R1721" s="1">
        <v>288</v>
      </c>
      <c r="T1721" s="1" t="s">
        <v>672</v>
      </c>
      <c r="U1721" s="8">
        <v>45925</v>
      </c>
    </row>
    <row r="1722" spans="1:21" x14ac:dyDescent="0.25">
      <c r="A1722" s="2" t="s">
        <v>1058</v>
      </c>
      <c r="B1722" t="s">
        <v>95</v>
      </c>
      <c r="C1722" s="2">
        <v>3</v>
      </c>
      <c r="D1722" s="2">
        <v>40</v>
      </c>
      <c r="E1722" s="2">
        <v>4</v>
      </c>
      <c r="F1722" s="2">
        <v>3</v>
      </c>
      <c r="G1722" s="2">
        <v>1</v>
      </c>
      <c r="H1722" s="2">
        <v>2</v>
      </c>
      <c r="I1722" s="2">
        <v>5</v>
      </c>
      <c r="J1722" s="1">
        <v>0</v>
      </c>
      <c r="K1722" s="1">
        <v>1</v>
      </c>
      <c r="L1722" s="1">
        <v>0</v>
      </c>
      <c r="M1722" t="s">
        <v>15</v>
      </c>
      <c r="N1722" t="str">
        <f>IFERROR(VLOOKUP(B1722,'[1]All Player'!$B$2:$C$1992,2,0),"")</f>
        <v>Sadrul Anam</v>
      </c>
      <c r="O1722" s="2" t="s">
        <v>1038</v>
      </c>
      <c r="P1722" s="16" t="s">
        <v>1059</v>
      </c>
      <c r="Q1722" s="1">
        <v>1</v>
      </c>
      <c r="R1722" s="1">
        <v>289</v>
      </c>
      <c r="U1722" s="8">
        <v>45925</v>
      </c>
    </row>
    <row r="1723" spans="1:21" x14ac:dyDescent="0.25">
      <c r="A1723" s="2" t="s">
        <v>1060</v>
      </c>
      <c r="B1723" t="s">
        <v>152</v>
      </c>
      <c r="C1723" s="2">
        <v>3</v>
      </c>
      <c r="D1723" s="2">
        <v>87</v>
      </c>
      <c r="E1723" s="2">
        <v>4</v>
      </c>
      <c r="F1723" s="2">
        <v>6</v>
      </c>
      <c r="G1723" s="2">
        <v>1</v>
      </c>
      <c r="H1723" s="2">
        <v>9</v>
      </c>
      <c r="I1723" s="2">
        <v>6</v>
      </c>
      <c r="J1723" s="1">
        <v>0</v>
      </c>
      <c r="K1723" s="1">
        <v>1</v>
      </c>
      <c r="L1723" s="1">
        <v>0</v>
      </c>
      <c r="M1723" t="s">
        <v>15</v>
      </c>
      <c r="N1723" t="str">
        <f>IFERROR(VLOOKUP(B1723,'[1]All Player'!$B$2:$C$1992,2,0),"")</f>
        <v>Niamul Habib Setu</v>
      </c>
      <c r="O1723" s="2" t="s">
        <v>1038</v>
      </c>
      <c r="P1723" s="16" t="s">
        <v>1059</v>
      </c>
      <c r="Q1723" s="1">
        <v>1</v>
      </c>
      <c r="R1723" s="1">
        <v>289</v>
      </c>
      <c r="U1723" s="8">
        <v>45925</v>
      </c>
    </row>
    <row r="1724" spans="1:21" x14ac:dyDescent="0.25">
      <c r="A1724" s="2" t="s">
        <v>1061</v>
      </c>
      <c r="B1724" t="s">
        <v>136</v>
      </c>
      <c r="C1724" s="2">
        <v>3</v>
      </c>
      <c r="D1724" s="2">
        <v>28</v>
      </c>
      <c r="E1724" s="2">
        <v>5</v>
      </c>
      <c r="F1724" s="2">
        <v>4</v>
      </c>
      <c r="G1724" s="2">
        <v>0</v>
      </c>
      <c r="H1724" s="2">
        <v>1</v>
      </c>
      <c r="I1724" s="2">
        <v>1</v>
      </c>
      <c r="J1724" s="1">
        <v>0</v>
      </c>
      <c r="K1724" s="1">
        <v>0</v>
      </c>
      <c r="L1724" s="1">
        <v>0</v>
      </c>
      <c r="M1724" t="s">
        <v>15</v>
      </c>
      <c r="N1724" t="str">
        <f>IFERROR(VLOOKUP(B1724,'[1]All Player'!$B$2:$C$1992,2,0),"")</f>
        <v>MD Kamal Hossain Kamal</v>
      </c>
      <c r="O1724" s="2" t="s">
        <v>1038</v>
      </c>
      <c r="P1724" s="16" t="s">
        <v>1059</v>
      </c>
      <c r="Q1724" s="1">
        <v>1</v>
      </c>
      <c r="R1724" s="1">
        <v>289</v>
      </c>
      <c r="U1724" s="8">
        <v>45925</v>
      </c>
    </row>
    <row r="1725" spans="1:21" x14ac:dyDescent="0.25">
      <c r="A1725" s="2" t="s">
        <v>1062</v>
      </c>
      <c r="B1725" t="s">
        <v>148</v>
      </c>
      <c r="C1725" s="2">
        <v>3</v>
      </c>
      <c r="D1725" s="2">
        <v>14</v>
      </c>
      <c r="E1725" s="2">
        <v>3</v>
      </c>
      <c r="F1725" s="2">
        <v>3</v>
      </c>
      <c r="G1725" s="2">
        <v>0</v>
      </c>
      <c r="H1725" s="2">
        <v>2</v>
      </c>
      <c r="I1725" s="2">
        <v>1</v>
      </c>
      <c r="J1725" s="1">
        <v>0</v>
      </c>
      <c r="K1725" s="1">
        <v>0</v>
      </c>
      <c r="L1725" s="1">
        <v>0</v>
      </c>
      <c r="M1725" t="s">
        <v>15</v>
      </c>
      <c r="N1725" t="str">
        <f>IFERROR(VLOOKUP(B1725,'[1]All Player'!$B$2:$C$1992,2,0),"")</f>
        <v>AB Saaj</v>
      </c>
      <c r="O1725" s="2" t="s">
        <v>1038</v>
      </c>
      <c r="P1725" s="16" t="s">
        <v>1059</v>
      </c>
      <c r="Q1725" s="1">
        <v>1</v>
      </c>
      <c r="R1725" s="1">
        <v>289</v>
      </c>
      <c r="U1725" s="8">
        <v>45925</v>
      </c>
    </row>
    <row r="1726" spans="1:21" x14ac:dyDescent="0.25">
      <c r="A1726" s="2" t="s">
        <v>1063</v>
      </c>
      <c r="B1726" t="s">
        <v>442</v>
      </c>
      <c r="C1726" s="2">
        <v>3</v>
      </c>
      <c r="D1726" s="2">
        <v>25</v>
      </c>
      <c r="E1726" s="2">
        <v>5</v>
      </c>
      <c r="F1726" s="2">
        <v>5</v>
      </c>
      <c r="G1726" s="2">
        <v>0</v>
      </c>
      <c r="H1726" s="2">
        <v>3</v>
      </c>
      <c r="I1726" s="2">
        <v>1</v>
      </c>
      <c r="J1726" s="1">
        <v>0</v>
      </c>
      <c r="K1726" s="1">
        <v>0</v>
      </c>
      <c r="L1726" s="1">
        <v>1</v>
      </c>
      <c r="M1726" t="s">
        <v>15</v>
      </c>
      <c r="N1726" t="str">
        <f>IFERROR(VLOOKUP(B1726,'[1]All Player'!$B$2:$C$1992,2,0),"")</f>
        <v>Md Ridoy AR</v>
      </c>
      <c r="O1726" s="2" t="s">
        <v>1038</v>
      </c>
      <c r="P1726" s="16" t="s">
        <v>830</v>
      </c>
      <c r="Q1726" s="1">
        <v>1</v>
      </c>
      <c r="R1726" s="1">
        <v>290</v>
      </c>
      <c r="U1726" s="8">
        <v>45925</v>
      </c>
    </row>
    <row r="1727" spans="1:21" x14ac:dyDescent="0.25">
      <c r="A1727" s="2" t="s">
        <v>1064</v>
      </c>
      <c r="B1727" t="s">
        <v>62</v>
      </c>
      <c r="C1727" s="2">
        <v>3</v>
      </c>
      <c r="D1727" s="2">
        <v>26</v>
      </c>
      <c r="E1727" s="2">
        <v>3</v>
      </c>
      <c r="F1727" s="2">
        <v>3</v>
      </c>
      <c r="G1727" s="2">
        <v>0</v>
      </c>
      <c r="H1727" s="2">
        <v>2</v>
      </c>
      <c r="I1727" s="2">
        <v>2</v>
      </c>
      <c r="J1727" s="1">
        <v>0</v>
      </c>
      <c r="K1727" s="1">
        <v>0</v>
      </c>
      <c r="L1727" s="1">
        <v>0</v>
      </c>
      <c r="M1727" t="s">
        <v>15</v>
      </c>
      <c r="N1727" t="str">
        <f>IFERROR(VLOOKUP(B1727,'[1]All Player'!$B$2:$C$1992,2,0),"")</f>
        <v>MD Tofayel Ahmed</v>
      </c>
      <c r="O1727" s="2" t="s">
        <v>1038</v>
      </c>
      <c r="P1727" s="16" t="s">
        <v>830</v>
      </c>
      <c r="Q1727" s="1">
        <v>1</v>
      </c>
      <c r="R1727" s="1">
        <v>290</v>
      </c>
      <c r="U1727" s="8">
        <v>45925</v>
      </c>
    </row>
    <row r="1728" spans="1:21" x14ac:dyDescent="0.25">
      <c r="A1728" s="2" t="s">
        <v>1065</v>
      </c>
      <c r="B1728" t="s">
        <v>93</v>
      </c>
      <c r="C1728" s="2">
        <v>3</v>
      </c>
      <c r="D1728" s="2">
        <v>71</v>
      </c>
      <c r="E1728" s="2">
        <v>4</v>
      </c>
      <c r="F1728" s="2">
        <v>5</v>
      </c>
      <c r="G1728" s="2">
        <v>1</v>
      </c>
      <c r="H1728" s="2">
        <v>5</v>
      </c>
      <c r="I1728" s="2">
        <v>6</v>
      </c>
      <c r="J1728" s="1">
        <v>0</v>
      </c>
      <c r="K1728" s="1">
        <v>1</v>
      </c>
      <c r="L1728" s="1">
        <v>0</v>
      </c>
      <c r="M1728" t="s">
        <v>15</v>
      </c>
      <c r="N1728" t="str">
        <f>IFERROR(VLOOKUP(B1728,'[1]All Player'!$B$2:$C$1992,2,0),"")</f>
        <v>Zaheed Hasan</v>
      </c>
      <c r="O1728" s="2" t="s">
        <v>1038</v>
      </c>
      <c r="P1728" s="16" t="s">
        <v>830</v>
      </c>
      <c r="Q1728" s="1">
        <v>1</v>
      </c>
      <c r="R1728" s="1">
        <v>290</v>
      </c>
      <c r="U1728" s="8">
        <v>45925</v>
      </c>
    </row>
    <row r="1729" spans="1:22" x14ac:dyDescent="0.25">
      <c r="A1729" s="2" t="s">
        <v>1066</v>
      </c>
      <c r="B1729" t="s">
        <v>87</v>
      </c>
      <c r="C1729" s="2">
        <v>3</v>
      </c>
      <c r="D1729" s="2">
        <v>43</v>
      </c>
      <c r="E1729" s="2">
        <v>4</v>
      </c>
      <c r="F1729" s="2">
        <v>4</v>
      </c>
      <c r="G1729" s="2">
        <v>0</v>
      </c>
      <c r="H1729" s="2">
        <v>5</v>
      </c>
      <c r="I1729" s="2">
        <v>2</v>
      </c>
      <c r="J1729" s="1">
        <v>0</v>
      </c>
      <c r="K1729" s="1">
        <v>0</v>
      </c>
      <c r="L1729" s="1">
        <v>1</v>
      </c>
      <c r="M1729" t="s">
        <v>15</v>
      </c>
      <c r="N1729" t="str">
        <f>IFERROR(VLOOKUP(B1729,'[1]All Player'!$B$2:$C$1992,2,0),"")</f>
        <v>Anisur Islam (Rubel Hossain)</v>
      </c>
      <c r="O1729" s="2" t="s">
        <v>1038</v>
      </c>
      <c r="P1729" s="16" t="s">
        <v>830</v>
      </c>
      <c r="Q1729" s="1">
        <v>1</v>
      </c>
      <c r="R1729" s="1">
        <v>290</v>
      </c>
      <c r="U1729" s="8">
        <v>45925</v>
      </c>
    </row>
    <row r="1730" spans="1:22" x14ac:dyDescent="0.25">
      <c r="A1730" s="2" t="s">
        <v>1067</v>
      </c>
      <c r="B1730" t="s">
        <v>146</v>
      </c>
      <c r="C1730" s="2">
        <v>5</v>
      </c>
      <c r="D1730" s="2">
        <v>62</v>
      </c>
      <c r="E1730" s="2">
        <v>5</v>
      </c>
      <c r="F1730" s="2">
        <v>6</v>
      </c>
      <c r="G1730" s="2">
        <v>1</v>
      </c>
      <c r="H1730" s="2">
        <v>10</v>
      </c>
      <c r="I1730" s="2">
        <v>3</v>
      </c>
      <c r="J1730" s="1">
        <v>0</v>
      </c>
      <c r="K1730" s="1">
        <v>1</v>
      </c>
      <c r="L1730" s="1">
        <v>0</v>
      </c>
      <c r="M1730" t="s">
        <v>15</v>
      </c>
      <c r="N1730" t="str">
        <f>IFERROR(VLOOKUP(B1730,'[1]All Player'!$B$2:$C$1992,2,0),"")</f>
        <v>Nahid Saifullah</v>
      </c>
      <c r="O1730" s="2" t="s">
        <v>1038</v>
      </c>
      <c r="P1730" s="16" t="s">
        <v>1068</v>
      </c>
      <c r="Q1730" s="1">
        <v>1</v>
      </c>
      <c r="R1730" s="1">
        <v>291</v>
      </c>
      <c r="T1730" s="1" t="s">
        <v>657</v>
      </c>
      <c r="U1730" s="8">
        <v>45925</v>
      </c>
    </row>
    <row r="1731" spans="1:22" x14ac:dyDescent="0.25">
      <c r="A1731" s="2" t="s">
        <v>1069</v>
      </c>
      <c r="B1731" t="s">
        <v>403</v>
      </c>
      <c r="C1731" s="2">
        <v>5</v>
      </c>
      <c r="D1731" s="2">
        <v>80</v>
      </c>
      <c r="E1731" s="2">
        <v>12</v>
      </c>
      <c r="F1731" s="2">
        <v>7</v>
      </c>
      <c r="G1731" s="2">
        <v>0</v>
      </c>
      <c r="H1731" s="2">
        <v>11</v>
      </c>
      <c r="I1731" s="2">
        <v>3</v>
      </c>
      <c r="J1731" s="1">
        <v>1</v>
      </c>
      <c r="K1731" s="1">
        <v>1</v>
      </c>
      <c r="L1731" s="1">
        <v>2</v>
      </c>
      <c r="M1731" t="s">
        <v>15</v>
      </c>
      <c r="N1731" t="str">
        <f>IFERROR(VLOOKUP(B1731,'[1]All Player'!$B$2:$C$1992,2,0),"")</f>
        <v>Md Siyam Islam</v>
      </c>
      <c r="O1731" s="2" t="s">
        <v>1038</v>
      </c>
      <c r="P1731" s="16" t="s">
        <v>1068</v>
      </c>
      <c r="Q1731" s="1">
        <v>1</v>
      </c>
      <c r="R1731" s="1">
        <v>291</v>
      </c>
      <c r="T1731" s="1" t="s">
        <v>657</v>
      </c>
      <c r="U1731" s="8">
        <v>45925</v>
      </c>
    </row>
    <row r="1732" spans="1:22" x14ac:dyDescent="0.25">
      <c r="A1732" s="2" t="s">
        <v>1070</v>
      </c>
      <c r="B1732" t="s">
        <v>106</v>
      </c>
      <c r="C1732" s="2">
        <v>4</v>
      </c>
      <c r="D1732" s="2">
        <v>37</v>
      </c>
      <c r="E1732" s="2">
        <v>7</v>
      </c>
      <c r="F1732" s="2">
        <v>5</v>
      </c>
      <c r="G1732" s="2">
        <v>1</v>
      </c>
      <c r="H1732" s="2">
        <v>4</v>
      </c>
      <c r="I1732" s="2">
        <v>2</v>
      </c>
      <c r="J1732" s="1">
        <v>1</v>
      </c>
      <c r="K1732" s="1">
        <v>1</v>
      </c>
      <c r="L1732" s="1">
        <v>0</v>
      </c>
      <c r="M1732" t="s">
        <v>15</v>
      </c>
      <c r="N1732" t="str">
        <f>IFERROR(VLOOKUP(B1732,'[1]All Player'!$B$2:$C$1992,2,0),"")</f>
        <v>Sayed Anowar Shanto</v>
      </c>
      <c r="O1732" s="2" t="s">
        <v>1038</v>
      </c>
      <c r="P1732" s="16" t="s">
        <v>1068</v>
      </c>
      <c r="Q1732" s="1">
        <v>1</v>
      </c>
      <c r="R1732" s="1">
        <v>291</v>
      </c>
      <c r="T1732" s="1" t="s">
        <v>657</v>
      </c>
      <c r="U1732" s="8">
        <v>45925</v>
      </c>
    </row>
    <row r="1733" spans="1:22" x14ac:dyDescent="0.25">
      <c r="A1733" s="2" t="s">
        <v>1071</v>
      </c>
      <c r="B1733" t="s">
        <v>142</v>
      </c>
      <c r="C1733" s="2">
        <v>5</v>
      </c>
      <c r="D1733" s="2">
        <v>189</v>
      </c>
      <c r="E1733" s="2">
        <v>4</v>
      </c>
      <c r="F1733" s="2">
        <v>7</v>
      </c>
      <c r="G1733" s="2">
        <v>2</v>
      </c>
      <c r="H1733" s="2">
        <v>16</v>
      </c>
      <c r="I1733" s="2">
        <v>13</v>
      </c>
      <c r="J1733" s="1">
        <v>0</v>
      </c>
      <c r="K1733" s="1">
        <v>1</v>
      </c>
      <c r="L1733" s="1">
        <v>2</v>
      </c>
      <c r="M1733" t="s">
        <v>15</v>
      </c>
      <c r="N1733" t="str">
        <f>IFERROR(VLOOKUP(B1733,'[1]All Player'!$B$2:$C$1992,2,0),"")</f>
        <v>Mehedi Hasan Joy</v>
      </c>
      <c r="O1733" s="2" t="s">
        <v>1038</v>
      </c>
      <c r="P1733" s="16" t="s">
        <v>1068</v>
      </c>
      <c r="Q1733" s="1">
        <v>1</v>
      </c>
      <c r="R1733" s="1">
        <v>291</v>
      </c>
      <c r="S1733" s="2" t="s">
        <v>660</v>
      </c>
      <c r="T1733" s="1" t="s">
        <v>657</v>
      </c>
      <c r="U1733" s="8">
        <v>45925</v>
      </c>
      <c r="V1733" s="1">
        <v>1</v>
      </c>
    </row>
    <row r="1734" spans="1:22" x14ac:dyDescent="0.25">
      <c r="A1734" s="2" t="s">
        <v>1072</v>
      </c>
      <c r="B1734" t="s">
        <v>138</v>
      </c>
      <c r="C1734" s="2">
        <v>5</v>
      </c>
      <c r="D1734" s="2">
        <v>74</v>
      </c>
      <c r="E1734" s="2">
        <v>6</v>
      </c>
      <c r="F1734" s="2">
        <v>7</v>
      </c>
      <c r="G1734" s="2">
        <v>0</v>
      </c>
      <c r="H1734" s="2">
        <v>8</v>
      </c>
      <c r="I1734" s="2">
        <v>6</v>
      </c>
      <c r="J1734" s="1">
        <v>0</v>
      </c>
      <c r="K1734" s="1">
        <v>2</v>
      </c>
      <c r="L1734" s="1">
        <v>0</v>
      </c>
      <c r="M1734" t="s">
        <v>15</v>
      </c>
      <c r="N1734" t="str">
        <f>IFERROR(VLOOKUP(B1734,'[1]All Player'!$B$2:$C$1992,2,0),"")</f>
        <v>Asif Iqbal Khan</v>
      </c>
      <c r="O1734" s="2" t="s">
        <v>1038</v>
      </c>
      <c r="P1734" s="16" t="s">
        <v>1073</v>
      </c>
      <c r="Q1734" s="1">
        <v>1</v>
      </c>
      <c r="R1734" s="1">
        <v>292</v>
      </c>
      <c r="T1734" s="1" t="s">
        <v>659</v>
      </c>
      <c r="U1734" s="8">
        <v>45925</v>
      </c>
    </row>
    <row r="1735" spans="1:22" x14ac:dyDescent="0.25">
      <c r="A1735" s="2" t="s">
        <v>1074</v>
      </c>
      <c r="B1735" t="s">
        <v>112</v>
      </c>
      <c r="C1735" s="2">
        <v>5</v>
      </c>
      <c r="D1735" s="2">
        <v>52</v>
      </c>
      <c r="E1735" s="2">
        <v>12</v>
      </c>
      <c r="F1735" s="2">
        <v>10</v>
      </c>
      <c r="G1735" s="2">
        <v>0</v>
      </c>
      <c r="H1735" s="2">
        <v>3</v>
      </c>
      <c r="I1735" s="2">
        <v>3</v>
      </c>
      <c r="J1735" s="1">
        <v>1</v>
      </c>
      <c r="K1735" s="1">
        <v>0</v>
      </c>
      <c r="L1735" s="1">
        <v>1</v>
      </c>
      <c r="M1735" t="s">
        <v>15</v>
      </c>
      <c r="N1735" t="str">
        <f>IFERROR(VLOOKUP(B1735,'[1]All Player'!$B$2:$C$1992,2,0),"")</f>
        <v>Shahriar Khan Shovon</v>
      </c>
      <c r="O1735" s="2" t="s">
        <v>1038</v>
      </c>
      <c r="P1735" s="16" t="s">
        <v>1073</v>
      </c>
      <c r="Q1735" s="1">
        <v>1</v>
      </c>
      <c r="R1735" s="1">
        <v>292</v>
      </c>
      <c r="T1735" s="1" t="s">
        <v>659</v>
      </c>
      <c r="U1735" s="8">
        <v>45925</v>
      </c>
    </row>
    <row r="1736" spans="1:22" x14ac:dyDescent="0.25">
      <c r="A1736" s="2" t="s">
        <v>1075</v>
      </c>
      <c r="B1736" t="s">
        <v>156</v>
      </c>
      <c r="C1736" s="2">
        <v>3</v>
      </c>
      <c r="D1736" s="2">
        <v>0</v>
      </c>
      <c r="E1736" s="2">
        <v>1</v>
      </c>
      <c r="F1736" s="2">
        <v>2</v>
      </c>
      <c r="G1736" s="2">
        <v>0</v>
      </c>
      <c r="H1736" s="2">
        <v>0</v>
      </c>
      <c r="I1736" s="2">
        <v>0</v>
      </c>
      <c r="J1736" s="1">
        <v>0</v>
      </c>
      <c r="K1736" s="1">
        <v>0</v>
      </c>
      <c r="L1736" s="1">
        <v>0</v>
      </c>
      <c r="M1736" t="s">
        <v>15</v>
      </c>
      <c r="N1736" t="str">
        <f>IFERROR(VLOOKUP(B1736,'[1]All Player'!$B$2:$C$1992,2,0),"")</f>
        <v>Prince Tarek</v>
      </c>
      <c r="O1736" s="2" t="s">
        <v>1038</v>
      </c>
      <c r="P1736" s="16" t="s">
        <v>1073</v>
      </c>
      <c r="Q1736" s="1">
        <v>1</v>
      </c>
      <c r="R1736" s="1">
        <v>292</v>
      </c>
      <c r="T1736" s="1" t="s">
        <v>659</v>
      </c>
      <c r="U1736" s="8">
        <v>45925</v>
      </c>
    </row>
    <row r="1737" spans="1:22" x14ac:dyDescent="0.25">
      <c r="A1737" s="2" t="s">
        <v>1076</v>
      </c>
      <c r="B1737" t="s">
        <v>85</v>
      </c>
      <c r="C1737" s="2">
        <v>5</v>
      </c>
      <c r="D1737" s="2">
        <v>183</v>
      </c>
      <c r="E1737" s="2">
        <v>6</v>
      </c>
      <c r="F1737" s="2">
        <v>10</v>
      </c>
      <c r="G1737" s="2">
        <v>2</v>
      </c>
      <c r="H1737" s="2">
        <v>17</v>
      </c>
      <c r="I1737" s="2">
        <v>11</v>
      </c>
      <c r="J1737" s="1">
        <v>1</v>
      </c>
      <c r="K1737" s="1">
        <v>1</v>
      </c>
      <c r="L1737" s="1">
        <v>1</v>
      </c>
      <c r="M1737" t="s">
        <v>15</v>
      </c>
      <c r="N1737" t="str">
        <f>IFERROR(VLOOKUP(B1737,'[1]All Player'!$B$2:$C$1992,2,0),"")</f>
        <v>Asik Hassan Tonmoy</v>
      </c>
      <c r="O1737" s="2" t="s">
        <v>1038</v>
      </c>
      <c r="P1737" s="16" t="s">
        <v>1073</v>
      </c>
      <c r="Q1737" s="1">
        <v>1</v>
      </c>
      <c r="R1737" s="1">
        <v>292</v>
      </c>
      <c r="S1737" s="2" t="s">
        <v>658</v>
      </c>
      <c r="T1737" s="1" t="s">
        <v>659</v>
      </c>
      <c r="U1737" s="8">
        <v>45925</v>
      </c>
    </row>
    <row r="1738" spans="1:22" x14ac:dyDescent="0.25">
      <c r="A1738" s="2">
        <v>1</v>
      </c>
      <c r="B1738" t="s">
        <v>228</v>
      </c>
      <c r="C1738" s="2">
        <v>5</v>
      </c>
      <c r="D1738" s="2">
        <v>66</v>
      </c>
      <c r="E1738" s="2">
        <v>5</v>
      </c>
      <c r="F1738" s="2">
        <v>8</v>
      </c>
      <c r="G1738" s="2">
        <v>1</v>
      </c>
      <c r="H1738" s="2">
        <v>4</v>
      </c>
      <c r="I1738" s="2">
        <v>3</v>
      </c>
      <c r="J1738" s="1">
        <v>0</v>
      </c>
      <c r="K1738" s="1">
        <v>1</v>
      </c>
      <c r="M1738" t="s">
        <v>15</v>
      </c>
      <c r="N1738" t="str">
        <f>IFERROR(VLOOKUP(B1738,'[1]All Player'!$B$2:$C$1992,2,0),"")</f>
        <v>Arif Ziad</v>
      </c>
      <c r="O1738" s="2" t="s">
        <v>1077</v>
      </c>
      <c r="P1738" s="16" t="s">
        <v>1078</v>
      </c>
      <c r="Q1738" s="1">
        <v>1</v>
      </c>
      <c r="R1738" s="1">
        <v>293</v>
      </c>
      <c r="U1738" s="8">
        <v>46023</v>
      </c>
    </row>
    <row r="1739" spans="1:22" x14ac:dyDescent="0.25">
      <c r="A1739" s="2">
        <v>2</v>
      </c>
      <c r="B1739" t="s">
        <v>120</v>
      </c>
      <c r="C1739" s="2">
        <v>4</v>
      </c>
      <c r="D1739" s="2">
        <v>43</v>
      </c>
      <c r="E1739" s="2">
        <v>5</v>
      </c>
      <c r="F1739" s="2">
        <v>3</v>
      </c>
      <c r="G1739" s="2">
        <v>0</v>
      </c>
      <c r="H1739" s="2">
        <v>2</v>
      </c>
      <c r="I1739" s="2">
        <v>4</v>
      </c>
      <c r="J1739" s="1">
        <v>0</v>
      </c>
      <c r="M1739" t="s">
        <v>15</v>
      </c>
      <c r="N1739" t="str">
        <f>IFERROR(VLOOKUP(B1739,'[1]All Player'!$B$2:$C$1992,2,0),"")</f>
        <v>Kamrul Hasan Hridoy</v>
      </c>
      <c r="O1739" s="2" t="s">
        <v>1077</v>
      </c>
      <c r="P1739" s="16" t="s">
        <v>1078</v>
      </c>
      <c r="Q1739" s="1">
        <v>1</v>
      </c>
      <c r="R1739" s="1">
        <f t="shared" ref="R1739:R1742" si="60">R1738</f>
        <v>293</v>
      </c>
      <c r="U1739" s="8">
        <v>46023</v>
      </c>
    </row>
    <row r="1740" spans="1:22" x14ac:dyDescent="0.25">
      <c r="A1740" s="2">
        <v>3</v>
      </c>
      <c r="B1740" t="s">
        <v>31</v>
      </c>
      <c r="C1740" s="2">
        <v>3</v>
      </c>
      <c r="D1740" s="2">
        <v>6</v>
      </c>
      <c r="E1740" s="2">
        <v>3</v>
      </c>
      <c r="F1740" s="2">
        <v>2</v>
      </c>
      <c r="G1740" s="2">
        <v>0</v>
      </c>
      <c r="H1740" s="2">
        <v>1</v>
      </c>
      <c r="I1740" s="2">
        <v>0</v>
      </c>
      <c r="J1740" s="1">
        <v>0</v>
      </c>
      <c r="M1740" t="s">
        <v>15</v>
      </c>
      <c r="N1740" t="str">
        <f>IFERROR(VLOOKUP(B1740,'[1]All Player'!$B$2:$C$1992,2,0),"")</f>
        <v>Hetlar Shohag</v>
      </c>
      <c r="O1740" s="2" t="s">
        <v>1077</v>
      </c>
      <c r="P1740" s="16" t="s">
        <v>1078</v>
      </c>
      <c r="Q1740" s="1">
        <v>1</v>
      </c>
      <c r="R1740" s="1">
        <f t="shared" si="60"/>
        <v>293</v>
      </c>
      <c r="U1740" s="8">
        <v>46023</v>
      </c>
    </row>
    <row r="1741" spans="1:22" x14ac:dyDescent="0.25">
      <c r="A1741" s="2">
        <v>4</v>
      </c>
      <c r="B1741" t="s">
        <v>136</v>
      </c>
      <c r="C1741" s="2">
        <v>5</v>
      </c>
      <c r="D1741" s="2">
        <v>168</v>
      </c>
      <c r="E1741" s="2">
        <v>10</v>
      </c>
      <c r="F1741" s="2">
        <v>10</v>
      </c>
      <c r="G1741" s="2">
        <v>2</v>
      </c>
      <c r="H1741" s="2">
        <v>15</v>
      </c>
      <c r="I1741" s="2">
        <v>13</v>
      </c>
      <c r="J1741" s="1">
        <v>0</v>
      </c>
      <c r="K1741" s="1">
        <v>1</v>
      </c>
      <c r="L1741" s="1">
        <v>3</v>
      </c>
      <c r="M1741" t="s">
        <v>15</v>
      </c>
      <c r="N1741" t="str">
        <f>IFERROR(VLOOKUP(B1741,'[1]All Player'!$B$2:$C$1992,2,0),"")</f>
        <v>MD Kamal Hossain Kamal</v>
      </c>
      <c r="O1741" s="2" t="s">
        <v>1077</v>
      </c>
      <c r="P1741" s="16" t="s">
        <v>1078</v>
      </c>
      <c r="Q1741" s="1">
        <v>1</v>
      </c>
      <c r="R1741" s="1">
        <f t="shared" si="60"/>
        <v>293</v>
      </c>
      <c r="S1741" s="2" t="s">
        <v>660</v>
      </c>
      <c r="U1741" s="8">
        <v>46023</v>
      </c>
      <c r="V1741" s="1">
        <v>1</v>
      </c>
    </row>
    <row r="1742" spans="1:22" x14ac:dyDescent="0.25">
      <c r="A1742" s="2">
        <v>5</v>
      </c>
      <c r="B1742" t="s">
        <v>24</v>
      </c>
      <c r="C1742" s="2">
        <v>5</v>
      </c>
      <c r="D1742" s="2">
        <v>53</v>
      </c>
      <c r="E1742" s="2">
        <v>9</v>
      </c>
      <c r="F1742" s="2">
        <v>9</v>
      </c>
      <c r="G1742" s="2">
        <v>0</v>
      </c>
      <c r="H1742" s="2">
        <v>4</v>
      </c>
      <c r="I1742" s="2">
        <v>2</v>
      </c>
      <c r="J1742" s="1">
        <v>0</v>
      </c>
      <c r="M1742" t="s">
        <v>15</v>
      </c>
      <c r="N1742" t="str">
        <f>IFERROR(VLOOKUP(B1742,'[1]All Player'!$B$2:$C$1992,2,0),"")</f>
        <v>Nur Muhammad</v>
      </c>
      <c r="O1742" s="2" t="s">
        <v>1077</v>
      </c>
      <c r="P1742" s="16" t="s">
        <v>1078</v>
      </c>
      <c r="Q1742" s="1">
        <v>1</v>
      </c>
      <c r="R1742" s="1">
        <f t="shared" si="60"/>
        <v>293</v>
      </c>
      <c r="U1742" s="8">
        <v>46023</v>
      </c>
    </row>
    <row r="1743" spans="1:22" x14ac:dyDescent="0.25">
      <c r="A1743" s="2">
        <v>6</v>
      </c>
      <c r="B1743" t="s">
        <v>85</v>
      </c>
      <c r="C1743" s="2">
        <v>6</v>
      </c>
      <c r="D1743" s="2">
        <v>85</v>
      </c>
      <c r="E1743" s="2">
        <v>9</v>
      </c>
      <c r="F1743" s="2">
        <v>11</v>
      </c>
      <c r="G1743" s="2">
        <v>1</v>
      </c>
      <c r="H1743" s="2">
        <v>9</v>
      </c>
      <c r="I1743" s="2">
        <v>5</v>
      </c>
      <c r="J1743" s="1">
        <v>0</v>
      </c>
      <c r="K1743" s="1">
        <v>1</v>
      </c>
      <c r="L1743" s="1">
        <v>0.5</v>
      </c>
      <c r="M1743" t="s">
        <v>15</v>
      </c>
      <c r="N1743" t="str">
        <f>IFERROR(VLOOKUP(B1743,'[1]All Player'!$B$2:$C$1992,2,0),"")</f>
        <v>Asik Hassan Tonmoy</v>
      </c>
      <c r="O1743" s="2" t="s">
        <v>1077</v>
      </c>
      <c r="P1743" s="16" t="s">
        <v>1079</v>
      </c>
      <c r="Q1743" s="1">
        <v>1</v>
      </c>
      <c r="R1743" s="1">
        <v>294</v>
      </c>
      <c r="T1743" s="1" t="s">
        <v>659</v>
      </c>
      <c r="U1743" s="8">
        <v>46023</v>
      </c>
    </row>
    <row r="1744" spans="1:22" x14ac:dyDescent="0.25">
      <c r="A1744" s="2">
        <v>7</v>
      </c>
      <c r="B1744" t="s">
        <v>72</v>
      </c>
      <c r="C1744" s="2">
        <v>6</v>
      </c>
      <c r="D1744" s="2">
        <v>148</v>
      </c>
      <c r="E1744" s="2">
        <v>6</v>
      </c>
      <c r="F1744" s="2">
        <v>11</v>
      </c>
      <c r="G1744" s="2">
        <v>1</v>
      </c>
      <c r="H1744" s="2">
        <v>11</v>
      </c>
      <c r="I1744" s="2">
        <v>11</v>
      </c>
      <c r="J1744" s="1">
        <v>0</v>
      </c>
      <c r="K1744" s="1">
        <v>1</v>
      </c>
      <c r="L1744" s="1">
        <v>1</v>
      </c>
      <c r="M1744" t="s">
        <v>15</v>
      </c>
      <c r="N1744" t="str">
        <f>IFERROR(VLOOKUP(B1744,'[1]All Player'!$B$2:$C$1992,2,0),"")</f>
        <v>Akram Husan (Washim)</v>
      </c>
      <c r="O1744" s="2" t="s">
        <v>1077</v>
      </c>
      <c r="P1744" s="16" t="s">
        <v>1079</v>
      </c>
      <c r="Q1744" s="1">
        <v>1</v>
      </c>
      <c r="R1744" s="1">
        <f t="shared" ref="R1744:R1747" si="61">R1743</f>
        <v>294</v>
      </c>
      <c r="T1744" s="1" t="s">
        <v>659</v>
      </c>
      <c r="U1744" s="8">
        <v>46023</v>
      </c>
    </row>
    <row r="1745" spans="1:21" x14ac:dyDescent="0.25">
      <c r="A1745" s="2">
        <v>8</v>
      </c>
      <c r="B1745" t="s">
        <v>438</v>
      </c>
      <c r="C1745" s="2">
        <v>6</v>
      </c>
      <c r="D1745" s="2">
        <v>53</v>
      </c>
      <c r="E1745" s="2">
        <v>8</v>
      </c>
      <c r="F1745" s="2">
        <v>5</v>
      </c>
      <c r="G1745" s="2">
        <v>0</v>
      </c>
      <c r="H1745" s="2">
        <v>2</v>
      </c>
      <c r="I1745" s="2">
        <v>3</v>
      </c>
      <c r="J1745" s="1">
        <v>0</v>
      </c>
      <c r="K1745" s="1">
        <v>1</v>
      </c>
      <c r="M1745" t="s">
        <v>15</v>
      </c>
      <c r="N1745" t="str">
        <f>IFERROR(VLOOKUP(B1745,'[1]All Player'!$B$2:$C$1992,2,0),"")</f>
        <v>Naieem Islam Durjoy</v>
      </c>
      <c r="O1745" s="2" t="s">
        <v>1077</v>
      </c>
      <c r="P1745" s="16" t="s">
        <v>1079</v>
      </c>
      <c r="Q1745" s="1">
        <v>1</v>
      </c>
      <c r="R1745" s="1">
        <f t="shared" si="61"/>
        <v>294</v>
      </c>
      <c r="T1745" s="1" t="s">
        <v>659</v>
      </c>
      <c r="U1745" s="8">
        <v>46023</v>
      </c>
    </row>
    <row r="1746" spans="1:21" x14ac:dyDescent="0.25">
      <c r="A1746" s="2">
        <v>9</v>
      </c>
      <c r="B1746" t="s">
        <v>442</v>
      </c>
      <c r="C1746" s="2">
        <v>6</v>
      </c>
      <c r="D1746" s="2">
        <v>75</v>
      </c>
      <c r="E1746" s="2">
        <v>7</v>
      </c>
      <c r="F1746" s="2">
        <v>5</v>
      </c>
      <c r="G1746" s="2">
        <v>1</v>
      </c>
      <c r="H1746" s="2">
        <v>6</v>
      </c>
      <c r="I1746" s="2">
        <v>5</v>
      </c>
      <c r="J1746" s="1">
        <v>1</v>
      </c>
      <c r="K1746" s="1">
        <v>1</v>
      </c>
      <c r="M1746" t="s">
        <v>15</v>
      </c>
      <c r="N1746" t="str">
        <f>IFERROR(VLOOKUP(B1746,'[1]All Player'!$B$2:$C$1992,2,0),"")</f>
        <v>Md Ridoy AR</v>
      </c>
      <c r="O1746" s="2" t="s">
        <v>1077</v>
      </c>
      <c r="P1746" s="16" t="s">
        <v>1079</v>
      </c>
      <c r="Q1746" s="1">
        <v>1</v>
      </c>
      <c r="R1746" s="1">
        <f t="shared" si="61"/>
        <v>294</v>
      </c>
      <c r="T1746" s="1" t="s">
        <v>659</v>
      </c>
      <c r="U1746" s="8">
        <v>46023</v>
      </c>
    </row>
    <row r="1747" spans="1:21" x14ac:dyDescent="0.25">
      <c r="A1747" s="2">
        <v>10</v>
      </c>
      <c r="B1747" t="s">
        <v>95</v>
      </c>
      <c r="C1747" s="2">
        <v>6</v>
      </c>
      <c r="D1747" s="2">
        <v>70</v>
      </c>
      <c r="E1747" s="2">
        <v>7</v>
      </c>
      <c r="F1747" s="2">
        <v>7</v>
      </c>
      <c r="G1747" s="2">
        <v>0</v>
      </c>
      <c r="H1747" s="2">
        <v>6</v>
      </c>
      <c r="I1747" s="2">
        <v>4</v>
      </c>
      <c r="J1747" s="1">
        <v>0</v>
      </c>
      <c r="K1747" s="1">
        <v>1</v>
      </c>
      <c r="M1747" t="s">
        <v>15</v>
      </c>
      <c r="N1747" t="str">
        <f>IFERROR(VLOOKUP(B1747,'[1]All Player'!$B$2:$C$1992,2,0),"")</f>
        <v>Sadrul Anam</v>
      </c>
      <c r="O1747" s="2" t="s">
        <v>1077</v>
      </c>
      <c r="P1747" s="16" t="s">
        <v>1079</v>
      </c>
      <c r="Q1747" s="1">
        <v>1</v>
      </c>
      <c r="R1747" s="1">
        <f t="shared" si="61"/>
        <v>294</v>
      </c>
      <c r="T1747" s="1" t="s">
        <v>659</v>
      </c>
      <c r="U1747" s="8">
        <v>46023</v>
      </c>
    </row>
    <row r="1748" spans="1:21" x14ac:dyDescent="0.25">
      <c r="A1748" s="2">
        <v>11</v>
      </c>
      <c r="B1748" t="s">
        <v>124</v>
      </c>
      <c r="C1748" s="2">
        <v>4</v>
      </c>
      <c r="D1748" s="2">
        <v>111</v>
      </c>
      <c r="E1748" s="2">
        <v>7</v>
      </c>
      <c r="F1748" s="2">
        <v>6</v>
      </c>
      <c r="G1748" s="2">
        <v>0</v>
      </c>
      <c r="H1748" s="2">
        <v>9</v>
      </c>
      <c r="I1748" s="2">
        <v>9</v>
      </c>
      <c r="J1748" s="1">
        <v>0</v>
      </c>
      <c r="K1748" s="1">
        <v>1</v>
      </c>
      <c r="L1748" s="1">
        <v>1</v>
      </c>
      <c r="M1748" t="s">
        <v>15</v>
      </c>
      <c r="N1748" t="str">
        <f>IFERROR(VLOOKUP(B1748,'[1]All Player'!$B$2:$C$1992,2,0),"")</f>
        <v>Mahbubur Rahman Akash</v>
      </c>
      <c r="O1748" s="2" t="s">
        <v>1077</v>
      </c>
      <c r="P1748" s="16" t="s">
        <v>1080</v>
      </c>
      <c r="Q1748" s="1">
        <v>1</v>
      </c>
      <c r="R1748" s="1">
        <v>295</v>
      </c>
      <c r="U1748" s="8">
        <v>46023</v>
      </c>
    </row>
    <row r="1749" spans="1:21" x14ac:dyDescent="0.25">
      <c r="A1749" s="2">
        <v>12</v>
      </c>
      <c r="B1749" t="s">
        <v>68</v>
      </c>
      <c r="C1749" s="2">
        <v>3</v>
      </c>
      <c r="D1749" s="2">
        <v>41</v>
      </c>
      <c r="E1749" s="2">
        <v>6</v>
      </c>
      <c r="F1749" s="2">
        <v>4</v>
      </c>
      <c r="G1749" s="2">
        <v>0</v>
      </c>
      <c r="H1749" s="2">
        <v>3</v>
      </c>
      <c r="I1749" s="2">
        <v>4</v>
      </c>
      <c r="J1749" s="1">
        <v>0</v>
      </c>
      <c r="M1749" t="s">
        <v>15</v>
      </c>
      <c r="N1749" t="str">
        <f>IFERROR(VLOOKUP(B1749,'[1]All Player'!$B$2:$C$1992,2,0),"")</f>
        <v>Ahmad Sajid Abdullah</v>
      </c>
      <c r="O1749" s="2" t="s">
        <v>1077</v>
      </c>
      <c r="P1749" s="16" t="s">
        <v>1080</v>
      </c>
      <c r="Q1749" s="1">
        <v>1</v>
      </c>
      <c r="R1749" s="1">
        <f t="shared" ref="R1749:R1753" si="62">R1748</f>
        <v>295</v>
      </c>
      <c r="U1749" s="8">
        <v>46023</v>
      </c>
    </row>
    <row r="1750" spans="1:21" x14ac:dyDescent="0.25">
      <c r="A1750" s="2">
        <v>13</v>
      </c>
      <c r="B1750" t="s">
        <v>118</v>
      </c>
      <c r="C1750" s="2">
        <v>3</v>
      </c>
      <c r="D1750" s="2">
        <v>36</v>
      </c>
      <c r="E1750" s="2">
        <v>1</v>
      </c>
      <c r="F1750" s="2">
        <v>3</v>
      </c>
      <c r="G1750" s="2">
        <v>1</v>
      </c>
      <c r="H1750" s="2">
        <v>3</v>
      </c>
      <c r="I1750" s="2">
        <v>2</v>
      </c>
      <c r="J1750" s="1">
        <v>0</v>
      </c>
      <c r="L1750" s="1">
        <v>1</v>
      </c>
      <c r="M1750" t="s">
        <v>15</v>
      </c>
      <c r="N1750" t="str">
        <f>IFERROR(VLOOKUP(B1750,'[1]All Player'!$B$2:$C$1992,2,0),"")</f>
        <v>Rinkon Khan</v>
      </c>
      <c r="O1750" s="2" t="s">
        <v>1077</v>
      </c>
      <c r="P1750" s="16" t="s">
        <v>1080</v>
      </c>
      <c r="Q1750" s="1">
        <v>1</v>
      </c>
      <c r="R1750" s="1">
        <f t="shared" si="62"/>
        <v>295</v>
      </c>
      <c r="U1750" s="8">
        <v>46023</v>
      </c>
    </row>
    <row r="1751" spans="1:21" x14ac:dyDescent="0.25">
      <c r="A1751" s="2">
        <v>14</v>
      </c>
      <c r="B1751" t="s">
        <v>102</v>
      </c>
      <c r="C1751" s="2">
        <v>3</v>
      </c>
      <c r="D1751" s="2">
        <v>8</v>
      </c>
      <c r="E1751" s="2">
        <v>3</v>
      </c>
      <c r="F1751" s="2">
        <v>3</v>
      </c>
      <c r="G1751" s="2">
        <v>0</v>
      </c>
      <c r="H1751" s="2">
        <v>1</v>
      </c>
      <c r="I1751" s="2">
        <v>0</v>
      </c>
      <c r="J1751" s="1">
        <v>0</v>
      </c>
      <c r="L1751" s="1">
        <v>1</v>
      </c>
      <c r="M1751" t="s">
        <v>15</v>
      </c>
      <c r="N1751" t="str">
        <f>IFERROR(VLOOKUP(B1751,'[1]All Player'!$B$2:$C$1992,2,0),"")</f>
        <v>Mustofa Muddassir Mahmud Mashuk</v>
      </c>
      <c r="O1751" s="2" t="s">
        <v>1077</v>
      </c>
      <c r="P1751" s="16" t="s">
        <v>1080</v>
      </c>
      <c r="Q1751" s="1">
        <v>1</v>
      </c>
      <c r="R1751" s="1">
        <f t="shared" si="62"/>
        <v>295</v>
      </c>
      <c r="U1751" s="8">
        <v>46023</v>
      </c>
    </row>
    <row r="1752" spans="1:21" x14ac:dyDescent="0.25">
      <c r="A1752" s="2">
        <v>15</v>
      </c>
      <c r="B1752" t="s">
        <v>33</v>
      </c>
      <c r="C1752" s="2">
        <v>4</v>
      </c>
      <c r="D1752" s="2">
        <v>56</v>
      </c>
      <c r="E1752" s="2">
        <v>4</v>
      </c>
      <c r="F1752" s="2">
        <v>5</v>
      </c>
      <c r="G1752" s="2">
        <v>1</v>
      </c>
      <c r="H1752" s="2">
        <v>1</v>
      </c>
      <c r="I1752" s="2">
        <v>4</v>
      </c>
      <c r="J1752" s="1">
        <v>0</v>
      </c>
      <c r="M1752" t="s">
        <v>15</v>
      </c>
      <c r="N1752" t="str">
        <f>IFERROR(VLOOKUP(B1752,'[1]All Player'!$B$2:$C$1992,2,0),"")</f>
        <v>Rakib Hasan</v>
      </c>
      <c r="O1752" s="2" t="s">
        <v>1077</v>
      </c>
      <c r="P1752" s="16" t="s">
        <v>1080</v>
      </c>
      <c r="Q1752" s="1">
        <v>1</v>
      </c>
      <c r="R1752" s="1">
        <f t="shared" si="62"/>
        <v>295</v>
      </c>
      <c r="U1752" s="8">
        <v>46023</v>
      </c>
    </row>
    <row r="1753" spans="1:21" x14ac:dyDescent="0.25">
      <c r="A1753" s="2">
        <v>16</v>
      </c>
      <c r="B1753" t="s">
        <v>52</v>
      </c>
      <c r="C1753" s="2">
        <v>4</v>
      </c>
      <c r="D1753" s="2">
        <v>57</v>
      </c>
      <c r="E1753" s="2">
        <v>2</v>
      </c>
      <c r="F1753" s="2">
        <v>5</v>
      </c>
      <c r="G1753" s="2">
        <v>0</v>
      </c>
      <c r="H1753" s="2">
        <v>7</v>
      </c>
      <c r="I1753" s="2">
        <v>3</v>
      </c>
      <c r="J1753" s="1">
        <v>0</v>
      </c>
      <c r="M1753" t="s">
        <v>15</v>
      </c>
      <c r="N1753" t="str">
        <f>IFERROR(VLOOKUP(B1753,'[1]All Player'!$B$2:$C$1992,2,0),"")</f>
        <v>Mohammed Al Mamun</v>
      </c>
      <c r="O1753" s="2" t="s">
        <v>1077</v>
      </c>
      <c r="P1753" s="16" t="s">
        <v>1080</v>
      </c>
      <c r="Q1753" s="1">
        <v>1</v>
      </c>
      <c r="R1753" s="1">
        <f t="shared" si="62"/>
        <v>295</v>
      </c>
      <c r="U1753" s="8">
        <v>46023</v>
      </c>
    </row>
    <row r="1754" spans="1:21" x14ac:dyDescent="0.25">
      <c r="A1754" s="2">
        <v>17</v>
      </c>
      <c r="B1754" t="s">
        <v>93</v>
      </c>
      <c r="C1754" s="2">
        <v>4</v>
      </c>
      <c r="D1754" s="2">
        <v>55</v>
      </c>
      <c r="E1754" s="2">
        <v>5</v>
      </c>
      <c r="F1754" s="2">
        <v>4</v>
      </c>
      <c r="G1754" s="2">
        <v>0</v>
      </c>
      <c r="H1754" s="2">
        <v>4</v>
      </c>
      <c r="I1754" s="2">
        <v>3</v>
      </c>
      <c r="J1754" s="1">
        <v>0</v>
      </c>
      <c r="L1754" s="1">
        <v>1</v>
      </c>
      <c r="M1754" t="s">
        <v>15</v>
      </c>
      <c r="N1754" t="str">
        <f>IFERROR(VLOOKUP(B1754,'[1]All Player'!$B$2:$C$1992,2,0),"")</f>
        <v>Zaheed Hasan</v>
      </c>
      <c r="O1754" s="2" t="s">
        <v>1077</v>
      </c>
      <c r="P1754" s="16" t="s">
        <v>1081</v>
      </c>
      <c r="Q1754" s="1">
        <v>1</v>
      </c>
      <c r="R1754" s="1">
        <v>296</v>
      </c>
      <c r="U1754" s="8">
        <v>46023</v>
      </c>
    </row>
    <row r="1755" spans="1:21" x14ac:dyDescent="0.25">
      <c r="A1755" s="2">
        <v>18</v>
      </c>
      <c r="B1755" t="s">
        <v>298</v>
      </c>
      <c r="C1755" s="2">
        <v>4</v>
      </c>
      <c r="D1755" s="2">
        <v>34</v>
      </c>
      <c r="E1755" s="2">
        <v>3</v>
      </c>
      <c r="F1755" s="2">
        <v>3</v>
      </c>
      <c r="G1755" s="2">
        <v>0</v>
      </c>
      <c r="H1755" s="2">
        <v>2</v>
      </c>
      <c r="I1755" s="2">
        <v>3</v>
      </c>
      <c r="J1755" s="1">
        <v>0</v>
      </c>
      <c r="M1755" t="s">
        <v>15</v>
      </c>
      <c r="N1755" t="str">
        <f>IFERROR(VLOOKUP(B1755,'[1]All Player'!$B$2:$C$1992,2,0),"")</f>
        <v>Sahed Hossain Masum</v>
      </c>
      <c r="O1755" s="2" t="s">
        <v>1077</v>
      </c>
      <c r="P1755" s="16" t="s">
        <v>1081</v>
      </c>
      <c r="Q1755" s="1">
        <v>1</v>
      </c>
      <c r="R1755" s="1">
        <f t="shared" ref="R1755:R1758" si="63">R1754</f>
        <v>296</v>
      </c>
      <c r="U1755" s="8">
        <v>46023</v>
      </c>
    </row>
    <row r="1756" spans="1:21" x14ac:dyDescent="0.25">
      <c r="A1756" s="2">
        <v>19</v>
      </c>
      <c r="B1756" t="s">
        <v>197</v>
      </c>
      <c r="C1756" s="2">
        <v>4</v>
      </c>
      <c r="D1756" s="2">
        <v>29</v>
      </c>
      <c r="E1756" s="2">
        <v>5</v>
      </c>
      <c r="F1756" s="2">
        <v>5</v>
      </c>
      <c r="G1756" s="2">
        <v>0</v>
      </c>
      <c r="H1756" s="2">
        <v>1</v>
      </c>
      <c r="I1756" s="2">
        <v>2</v>
      </c>
      <c r="J1756" s="1">
        <v>0</v>
      </c>
      <c r="M1756" t="s">
        <v>15</v>
      </c>
      <c r="N1756" t="str">
        <f>IFERROR(VLOOKUP(B1756,'[1]All Player'!$B$2:$C$1992,2,0),"")</f>
        <v>Noushed Mijan</v>
      </c>
      <c r="O1756" s="2" t="s">
        <v>1077</v>
      </c>
      <c r="P1756" s="16" t="s">
        <v>1081</v>
      </c>
      <c r="Q1756" s="1">
        <v>1</v>
      </c>
      <c r="R1756" s="1">
        <f t="shared" si="63"/>
        <v>296</v>
      </c>
      <c r="U1756" s="8">
        <v>46023</v>
      </c>
    </row>
    <row r="1757" spans="1:21" x14ac:dyDescent="0.25">
      <c r="A1757" s="2">
        <v>20</v>
      </c>
      <c r="B1757" t="s">
        <v>29</v>
      </c>
      <c r="C1757" s="2">
        <v>4</v>
      </c>
      <c r="D1757" s="2">
        <v>107</v>
      </c>
      <c r="E1757" s="2">
        <v>3</v>
      </c>
      <c r="F1757" s="2">
        <v>8</v>
      </c>
      <c r="G1757" s="2">
        <v>1</v>
      </c>
      <c r="H1757" s="2">
        <v>10</v>
      </c>
      <c r="I1757" s="2">
        <v>4</v>
      </c>
      <c r="J1757" s="1">
        <v>0</v>
      </c>
      <c r="L1757" s="1">
        <v>1</v>
      </c>
      <c r="M1757" t="s">
        <v>15</v>
      </c>
      <c r="N1757" t="str">
        <f>IFERROR(VLOOKUP(B1757,'[1]All Player'!$B$2:$C$1992,2,0),"")</f>
        <v>Foysal Ahmed Jumon</v>
      </c>
      <c r="O1757" s="2" t="s">
        <v>1077</v>
      </c>
      <c r="P1757" s="16" t="s">
        <v>1081</v>
      </c>
      <c r="Q1757" s="1">
        <v>1</v>
      </c>
      <c r="R1757" s="1">
        <f t="shared" si="63"/>
        <v>296</v>
      </c>
      <c r="U1757" s="8">
        <v>46023</v>
      </c>
    </row>
    <row r="1758" spans="1:21" x14ac:dyDescent="0.25">
      <c r="A1758" s="2">
        <v>21</v>
      </c>
      <c r="B1758" t="s">
        <v>266</v>
      </c>
      <c r="C1758" s="2">
        <v>4</v>
      </c>
      <c r="D1758" s="2">
        <v>64</v>
      </c>
      <c r="E1758" s="2">
        <v>4</v>
      </c>
      <c r="F1758" s="2">
        <v>8</v>
      </c>
      <c r="G1758" s="2">
        <v>0</v>
      </c>
      <c r="H1758" s="2">
        <v>4</v>
      </c>
      <c r="I1758" s="2">
        <v>7</v>
      </c>
      <c r="J1758" s="1">
        <v>0</v>
      </c>
      <c r="K1758" s="1">
        <v>1</v>
      </c>
      <c r="M1758" t="s">
        <v>15</v>
      </c>
      <c r="N1758" t="str">
        <f>IFERROR(VLOOKUP(B1758,'[1]All Player'!$B$2:$C$1992,2,0),"")</f>
        <v>Raian Jabir</v>
      </c>
      <c r="O1758" s="2" t="s">
        <v>1077</v>
      </c>
      <c r="P1758" s="16" t="s">
        <v>1081</v>
      </c>
      <c r="Q1758" s="1">
        <v>1</v>
      </c>
      <c r="R1758" s="1">
        <f t="shared" si="63"/>
        <v>296</v>
      </c>
      <c r="U1758" s="8">
        <v>46023</v>
      </c>
    </row>
    <row r="1759" spans="1:21" x14ac:dyDescent="0.25">
      <c r="A1759" s="2">
        <v>22</v>
      </c>
      <c r="B1759" t="s">
        <v>64</v>
      </c>
      <c r="C1759" s="2">
        <v>4</v>
      </c>
      <c r="D1759" s="2">
        <v>59</v>
      </c>
      <c r="E1759" s="2">
        <v>9</v>
      </c>
      <c r="F1759" s="2">
        <v>6</v>
      </c>
      <c r="G1759" s="2">
        <v>0</v>
      </c>
      <c r="H1759" s="2">
        <v>5</v>
      </c>
      <c r="I1759" s="2">
        <v>5</v>
      </c>
      <c r="J1759" s="1">
        <v>1</v>
      </c>
      <c r="K1759" s="1">
        <v>1</v>
      </c>
      <c r="M1759" t="s">
        <v>15</v>
      </c>
      <c r="N1759" t="str">
        <f>IFERROR(VLOOKUP(B1759,'[1]All Player'!$B$2:$C$1992,2,0),"")</f>
        <v>Sumon Ab</v>
      </c>
      <c r="O1759" s="2" t="s">
        <v>1077</v>
      </c>
      <c r="P1759" s="16" t="s">
        <v>1082</v>
      </c>
      <c r="Q1759" s="1">
        <v>1</v>
      </c>
      <c r="R1759" s="1">
        <v>297</v>
      </c>
      <c r="U1759" s="8">
        <v>46023</v>
      </c>
    </row>
    <row r="1760" spans="1:21" x14ac:dyDescent="0.25">
      <c r="A1760" s="2">
        <v>23</v>
      </c>
      <c r="B1760" t="s">
        <v>66</v>
      </c>
      <c r="C1760" s="2">
        <v>4</v>
      </c>
      <c r="D1760" s="2">
        <v>89</v>
      </c>
      <c r="E1760" s="2">
        <v>5</v>
      </c>
      <c r="F1760" s="2">
        <v>6</v>
      </c>
      <c r="G1760" s="2">
        <v>0</v>
      </c>
      <c r="H1760" s="2">
        <v>10</v>
      </c>
      <c r="I1760" s="2">
        <v>3</v>
      </c>
      <c r="J1760" s="1">
        <v>0</v>
      </c>
      <c r="L1760" s="1">
        <v>1</v>
      </c>
      <c r="M1760" t="s">
        <v>15</v>
      </c>
      <c r="N1760" t="str">
        <f>IFERROR(VLOOKUP(B1760,'[1]All Player'!$B$2:$C$1992,2,0),"")</f>
        <v>Ahmad Sakib Abdullah</v>
      </c>
      <c r="O1760" s="2" t="s">
        <v>1077</v>
      </c>
      <c r="P1760" s="16" t="s">
        <v>1082</v>
      </c>
      <c r="Q1760" s="1">
        <v>1</v>
      </c>
      <c r="R1760" s="1">
        <f t="shared" ref="R1760:R1763" si="64">R1759</f>
        <v>297</v>
      </c>
      <c r="U1760" s="8">
        <v>46023</v>
      </c>
    </row>
    <row r="1761" spans="1:23" x14ac:dyDescent="0.25">
      <c r="A1761" s="2">
        <v>24</v>
      </c>
      <c r="B1761" t="s">
        <v>130</v>
      </c>
      <c r="C1761" s="2">
        <v>4</v>
      </c>
      <c r="D1761" s="2">
        <v>79</v>
      </c>
      <c r="E1761" s="2">
        <v>4</v>
      </c>
      <c r="F1761" s="2">
        <v>5</v>
      </c>
      <c r="G1761" s="2">
        <v>1</v>
      </c>
      <c r="H1761" s="2">
        <v>6</v>
      </c>
      <c r="I1761" s="2">
        <v>5</v>
      </c>
      <c r="J1761" s="1">
        <v>0</v>
      </c>
      <c r="K1761" s="1">
        <v>1</v>
      </c>
      <c r="M1761" t="s">
        <v>15</v>
      </c>
      <c r="N1761" t="str">
        <f>IFERROR(VLOOKUP(B1761,'[1]All Player'!$B$2:$C$1992,2,0),"")</f>
        <v>Shahriar Khokon</v>
      </c>
      <c r="O1761" s="2" t="s">
        <v>1077</v>
      </c>
      <c r="P1761" s="16" t="s">
        <v>1082</v>
      </c>
      <c r="Q1761" s="1">
        <v>1</v>
      </c>
      <c r="R1761" s="1">
        <f t="shared" si="64"/>
        <v>297</v>
      </c>
      <c r="U1761" s="8">
        <v>46023</v>
      </c>
    </row>
    <row r="1762" spans="1:23" x14ac:dyDescent="0.25">
      <c r="A1762" s="2">
        <v>25</v>
      </c>
      <c r="B1762" t="s">
        <v>132</v>
      </c>
      <c r="C1762" s="2">
        <v>3</v>
      </c>
      <c r="D1762" s="2">
        <v>15</v>
      </c>
      <c r="E1762" s="2">
        <v>3</v>
      </c>
      <c r="F1762" s="2">
        <v>4</v>
      </c>
      <c r="G1762" s="2">
        <v>0</v>
      </c>
      <c r="H1762" s="2">
        <v>0</v>
      </c>
      <c r="I1762" s="2">
        <v>2</v>
      </c>
      <c r="J1762" s="1">
        <v>0</v>
      </c>
      <c r="M1762" t="s">
        <v>15</v>
      </c>
      <c r="N1762" t="str">
        <f>IFERROR(VLOOKUP(B1762,'[1]All Player'!$B$2:$C$1992,2,0),"")</f>
        <v>ShiShir Hossain</v>
      </c>
      <c r="O1762" s="2" t="s">
        <v>1077</v>
      </c>
      <c r="P1762" s="16" t="s">
        <v>1082</v>
      </c>
      <c r="Q1762" s="1">
        <v>1</v>
      </c>
      <c r="R1762" s="1">
        <f t="shared" si="64"/>
        <v>297</v>
      </c>
      <c r="U1762" s="8">
        <v>46023</v>
      </c>
    </row>
    <row r="1763" spans="1:23" x14ac:dyDescent="0.25">
      <c r="A1763" s="2">
        <v>26</v>
      </c>
      <c r="B1763" t="s">
        <v>403</v>
      </c>
      <c r="C1763" s="2">
        <v>4</v>
      </c>
      <c r="D1763" s="2">
        <v>49</v>
      </c>
      <c r="E1763" s="2">
        <v>2</v>
      </c>
      <c r="F1763" s="2">
        <v>5</v>
      </c>
      <c r="G1763" s="2">
        <v>1</v>
      </c>
      <c r="H1763" s="2">
        <v>4</v>
      </c>
      <c r="I1763" s="2">
        <v>3</v>
      </c>
      <c r="J1763" s="1">
        <v>0</v>
      </c>
      <c r="M1763" t="s">
        <v>15</v>
      </c>
      <c r="N1763" t="str">
        <f>IFERROR(VLOOKUP(B1763,'[1]All Player'!$B$2:$C$1992,2,0),"")</f>
        <v>Md Siyam Islam</v>
      </c>
      <c r="O1763" s="2" t="s">
        <v>1077</v>
      </c>
      <c r="P1763" s="16" t="s">
        <v>1082</v>
      </c>
      <c r="Q1763" s="1">
        <v>1</v>
      </c>
      <c r="R1763" s="1">
        <f t="shared" si="64"/>
        <v>297</v>
      </c>
      <c r="U1763" s="8">
        <v>46023</v>
      </c>
    </row>
    <row r="1764" spans="1:23" x14ac:dyDescent="0.25">
      <c r="A1764" s="2">
        <v>27</v>
      </c>
      <c r="B1764" t="s">
        <v>146</v>
      </c>
      <c r="C1764" s="2">
        <v>5</v>
      </c>
      <c r="D1764" s="2">
        <v>51</v>
      </c>
      <c r="E1764" s="2">
        <v>12</v>
      </c>
      <c r="F1764" s="2">
        <v>6</v>
      </c>
      <c r="G1764" s="2">
        <v>0</v>
      </c>
      <c r="H1764" s="2">
        <v>4</v>
      </c>
      <c r="I1764" s="2">
        <v>4</v>
      </c>
      <c r="J1764" s="1">
        <v>0</v>
      </c>
      <c r="L1764" s="1">
        <v>1.5</v>
      </c>
      <c r="M1764" t="s">
        <v>15</v>
      </c>
      <c r="N1764" t="str">
        <f>IFERROR(VLOOKUP(B1764,'[1]All Player'!$B$2:$C$1992,2,0),"")</f>
        <v>Nahid Saifullah</v>
      </c>
      <c r="O1764" s="2" t="s">
        <v>1077</v>
      </c>
      <c r="P1764" s="16" t="s">
        <v>1083</v>
      </c>
      <c r="Q1764" s="1">
        <v>1</v>
      </c>
      <c r="R1764" s="1">
        <v>298</v>
      </c>
      <c r="U1764" s="8">
        <v>46023</v>
      </c>
      <c r="W1764" s="1">
        <v>1</v>
      </c>
    </row>
    <row r="1765" spans="1:23" x14ac:dyDescent="0.25">
      <c r="A1765" s="2">
        <v>28</v>
      </c>
      <c r="B1765" t="s">
        <v>158</v>
      </c>
      <c r="C1765" s="2">
        <v>5</v>
      </c>
      <c r="D1765" s="2">
        <v>21</v>
      </c>
      <c r="E1765" s="2">
        <v>5</v>
      </c>
      <c r="F1765" s="2">
        <v>4</v>
      </c>
      <c r="G1765" s="2">
        <v>1</v>
      </c>
      <c r="H1765" s="2">
        <v>0</v>
      </c>
      <c r="I1765" s="2">
        <v>1</v>
      </c>
      <c r="J1765" s="1">
        <v>0</v>
      </c>
      <c r="M1765" t="s">
        <v>15</v>
      </c>
      <c r="N1765" t="str">
        <f>IFERROR(VLOOKUP(B1765,'[1]All Player'!$B$2:$C$1992,2,0),"")</f>
        <v>Sabbir Ahmed</v>
      </c>
      <c r="O1765" s="2" t="s">
        <v>1077</v>
      </c>
      <c r="P1765" s="16" t="s">
        <v>1083</v>
      </c>
      <c r="Q1765" s="1">
        <v>1</v>
      </c>
      <c r="R1765" s="1">
        <f t="shared" ref="R1765:R1768" si="65">R1764</f>
        <v>298</v>
      </c>
      <c r="U1765" s="8">
        <v>46023</v>
      </c>
    </row>
    <row r="1766" spans="1:23" x14ac:dyDescent="0.25">
      <c r="A1766" s="2">
        <v>29</v>
      </c>
      <c r="B1766" t="s">
        <v>448</v>
      </c>
      <c r="C1766" s="2">
        <v>5</v>
      </c>
      <c r="D1766" s="2">
        <v>76</v>
      </c>
      <c r="E1766" s="2">
        <v>9</v>
      </c>
      <c r="F1766" s="2">
        <v>6</v>
      </c>
      <c r="G1766" s="2">
        <v>1</v>
      </c>
      <c r="H1766" s="2">
        <v>8</v>
      </c>
      <c r="I1766" s="2">
        <v>4</v>
      </c>
      <c r="J1766" s="1">
        <v>0</v>
      </c>
      <c r="K1766" s="1">
        <v>1</v>
      </c>
      <c r="M1766" t="s">
        <v>15</v>
      </c>
      <c r="N1766" t="str">
        <f>IFERROR(VLOOKUP(B1766,'[1]All Player'!$B$2:$C$1992,2,0),"")</f>
        <v>Mahin Rahman</v>
      </c>
      <c r="O1766" s="2" t="s">
        <v>1077</v>
      </c>
      <c r="P1766" s="16" t="s">
        <v>1083</v>
      </c>
      <c r="Q1766" s="1">
        <v>1</v>
      </c>
      <c r="R1766" s="1">
        <f t="shared" si="65"/>
        <v>298</v>
      </c>
      <c r="U1766" s="8">
        <v>46023</v>
      </c>
    </row>
    <row r="1767" spans="1:23" x14ac:dyDescent="0.25">
      <c r="A1767" s="2">
        <v>30</v>
      </c>
      <c r="B1767" t="s">
        <v>156</v>
      </c>
      <c r="C1767" s="2">
        <v>2</v>
      </c>
      <c r="D1767" s="2">
        <v>42</v>
      </c>
      <c r="E1767" s="2">
        <v>1</v>
      </c>
      <c r="F1767" s="2">
        <v>2</v>
      </c>
      <c r="G1767" s="2">
        <v>1</v>
      </c>
      <c r="H1767" s="2">
        <v>2</v>
      </c>
      <c r="I1767" s="2">
        <v>4</v>
      </c>
      <c r="J1767" s="1">
        <v>0</v>
      </c>
      <c r="K1767" s="1">
        <v>1</v>
      </c>
      <c r="M1767" t="s">
        <v>15</v>
      </c>
      <c r="N1767" t="str">
        <f>IFERROR(VLOOKUP(B1767,'[1]All Player'!$B$2:$C$1992,2,0),"")</f>
        <v>Prince Tarek</v>
      </c>
      <c r="O1767" s="2" t="s">
        <v>1077</v>
      </c>
      <c r="P1767" s="16" t="s">
        <v>1083</v>
      </c>
      <c r="Q1767" s="1">
        <v>1</v>
      </c>
      <c r="R1767" s="1">
        <f t="shared" si="65"/>
        <v>298</v>
      </c>
      <c r="U1767" s="8">
        <v>46023</v>
      </c>
    </row>
    <row r="1768" spans="1:23" x14ac:dyDescent="0.25">
      <c r="A1768" s="2">
        <v>31</v>
      </c>
      <c r="B1768" t="s">
        <v>138</v>
      </c>
      <c r="C1768" s="2">
        <v>5</v>
      </c>
      <c r="D1768" s="2">
        <v>105</v>
      </c>
      <c r="E1768" s="2">
        <v>7</v>
      </c>
      <c r="F1768" s="2">
        <v>9</v>
      </c>
      <c r="G1768" s="2">
        <v>0</v>
      </c>
      <c r="H1768" s="2">
        <v>11</v>
      </c>
      <c r="I1768" s="2">
        <v>7</v>
      </c>
      <c r="J1768" s="1">
        <v>0</v>
      </c>
      <c r="L1768" s="1">
        <v>1</v>
      </c>
      <c r="M1768" t="s">
        <v>15</v>
      </c>
      <c r="N1768" t="str">
        <f>IFERROR(VLOOKUP(B1768,'[1]All Player'!$B$2:$C$1992,2,0),"")</f>
        <v>Asif Iqbal Khan</v>
      </c>
      <c r="O1768" s="2" t="s">
        <v>1077</v>
      </c>
      <c r="P1768" s="16" t="s">
        <v>1083</v>
      </c>
      <c r="Q1768" s="1">
        <v>1</v>
      </c>
      <c r="R1768" s="1">
        <f t="shared" si="65"/>
        <v>298</v>
      </c>
      <c r="U1768" s="8">
        <v>46023</v>
      </c>
    </row>
    <row r="1769" spans="1:23" x14ac:dyDescent="0.25">
      <c r="A1769" s="2">
        <v>32</v>
      </c>
      <c r="B1769" t="s">
        <v>148</v>
      </c>
      <c r="C1769" s="2">
        <v>6</v>
      </c>
      <c r="D1769" s="2">
        <v>84</v>
      </c>
      <c r="E1769" s="2">
        <v>7</v>
      </c>
      <c r="F1769" s="2">
        <v>7</v>
      </c>
      <c r="G1769" s="2">
        <v>0</v>
      </c>
      <c r="H1769" s="2">
        <v>6</v>
      </c>
      <c r="I1769" s="2">
        <v>6</v>
      </c>
      <c r="J1769" s="1">
        <v>0</v>
      </c>
      <c r="L1769" s="1">
        <v>2</v>
      </c>
      <c r="M1769" t="s">
        <v>15</v>
      </c>
      <c r="N1769" t="str">
        <f>IFERROR(VLOOKUP(B1769,'[1]All Player'!$B$2:$C$1992,2,0),"")</f>
        <v>AB Saaj</v>
      </c>
      <c r="O1769" s="2" t="s">
        <v>1077</v>
      </c>
      <c r="P1769" s="16" t="s">
        <v>1084</v>
      </c>
      <c r="Q1769" s="1">
        <v>1</v>
      </c>
      <c r="R1769" s="1">
        <v>299</v>
      </c>
      <c r="T1769" s="1" t="s">
        <v>947</v>
      </c>
      <c r="U1769" s="8">
        <v>46023</v>
      </c>
    </row>
    <row r="1770" spans="1:23" x14ac:dyDescent="0.25">
      <c r="A1770" s="2">
        <v>33</v>
      </c>
      <c r="B1770" t="s">
        <v>191</v>
      </c>
      <c r="C1770" s="2">
        <v>6</v>
      </c>
      <c r="D1770" s="2">
        <v>104</v>
      </c>
      <c r="E1770" s="2">
        <v>3</v>
      </c>
      <c r="F1770" s="2">
        <v>6</v>
      </c>
      <c r="G1770" s="2">
        <v>1</v>
      </c>
      <c r="H1770" s="2">
        <v>12</v>
      </c>
      <c r="I1770" s="2">
        <v>4</v>
      </c>
      <c r="J1770" s="1">
        <v>0</v>
      </c>
      <c r="K1770" s="1">
        <v>1</v>
      </c>
      <c r="L1770" s="1">
        <v>1</v>
      </c>
      <c r="M1770" t="s">
        <v>15</v>
      </c>
      <c r="N1770" t="str">
        <f>IFERROR(VLOOKUP(B1770,'[1]All Player'!$B$2:$C$1992,2,0),"")</f>
        <v>Mohammad Haris Mullah</v>
      </c>
      <c r="O1770" s="2" t="s">
        <v>1077</v>
      </c>
      <c r="P1770" s="16" t="s">
        <v>1084</v>
      </c>
      <c r="Q1770" s="1">
        <v>1</v>
      </c>
      <c r="R1770" s="1">
        <f t="shared" ref="R1770:R1773" si="66">R1769</f>
        <v>299</v>
      </c>
      <c r="T1770" s="1" t="s">
        <v>947</v>
      </c>
      <c r="U1770" s="8">
        <v>46023</v>
      </c>
    </row>
    <row r="1771" spans="1:23" x14ac:dyDescent="0.25">
      <c r="A1771" s="2">
        <v>34</v>
      </c>
      <c r="B1771" t="s">
        <v>173</v>
      </c>
      <c r="C1771" s="2">
        <v>5</v>
      </c>
      <c r="D1771" s="2">
        <v>86</v>
      </c>
      <c r="E1771" s="2">
        <v>4</v>
      </c>
      <c r="F1771" s="2">
        <v>6</v>
      </c>
      <c r="G1771" s="2">
        <v>0</v>
      </c>
      <c r="H1771" s="2">
        <v>6</v>
      </c>
      <c r="I1771" s="2">
        <v>6</v>
      </c>
      <c r="J1771" s="1">
        <v>0</v>
      </c>
      <c r="K1771" s="1">
        <v>1</v>
      </c>
      <c r="M1771" t="s">
        <v>15</v>
      </c>
      <c r="N1771" t="str">
        <f>IFERROR(VLOOKUP(B1771,'[1]All Player'!$B$2:$C$1992,2,0),"")</f>
        <v>Sajjadul Haque Sagar</v>
      </c>
      <c r="O1771" s="2" t="s">
        <v>1077</v>
      </c>
      <c r="P1771" s="16" t="s">
        <v>1084</v>
      </c>
      <c r="Q1771" s="1">
        <v>1</v>
      </c>
      <c r="R1771" s="1">
        <f t="shared" si="66"/>
        <v>299</v>
      </c>
      <c r="T1771" s="1" t="s">
        <v>947</v>
      </c>
      <c r="U1771" s="8">
        <v>46023</v>
      </c>
    </row>
    <row r="1772" spans="1:23" x14ac:dyDescent="0.25">
      <c r="A1772" s="2">
        <v>35</v>
      </c>
      <c r="B1772" t="s">
        <v>142</v>
      </c>
      <c r="C1772" s="2">
        <v>6</v>
      </c>
      <c r="D1772" s="2">
        <v>99</v>
      </c>
      <c r="E1772" s="2">
        <v>11</v>
      </c>
      <c r="F1772" s="2">
        <v>8</v>
      </c>
      <c r="G1772" s="2">
        <v>0</v>
      </c>
      <c r="H1772" s="2">
        <v>4</v>
      </c>
      <c r="I1772" s="2">
        <v>9</v>
      </c>
      <c r="J1772" s="1">
        <v>0</v>
      </c>
      <c r="K1772" s="1">
        <v>1.5</v>
      </c>
      <c r="L1772" s="1">
        <v>1</v>
      </c>
      <c r="M1772" t="s">
        <v>15</v>
      </c>
      <c r="N1772" t="str">
        <f>IFERROR(VLOOKUP(B1772,'[1]All Player'!$B$2:$C$1992,2,0),"")</f>
        <v>Mehedi Hasan Joy</v>
      </c>
      <c r="O1772" s="2" t="s">
        <v>1077</v>
      </c>
      <c r="P1772" s="16" t="s">
        <v>1084</v>
      </c>
      <c r="Q1772" s="1">
        <v>1</v>
      </c>
      <c r="R1772" s="1">
        <f t="shared" si="66"/>
        <v>299</v>
      </c>
      <c r="S1772" s="2" t="s">
        <v>658</v>
      </c>
      <c r="T1772" s="1" t="s">
        <v>947</v>
      </c>
      <c r="U1772" s="8">
        <v>46023</v>
      </c>
    </row>
    <row r="1773" spans="1:23" x14ac:dyDescent="0.25">
      <c r="A1773" s="2">
        <v>36</v>
      </c>
      <c r="B1773" t="s">
        <v>446</v>
      </c>
      <c r="C1773" s="2">
        <v>6</v>
      </c>
      <c r="D1773" s="2">
        <v>88</v>
      </c>
      <c r="E1773" s="2">
        <v>11</v>
      </c>
      <c r="F1773" s="2">
        <v>8</v>
      </c>
      <c r="G1773" s="2">
        <v>3</v>
      </c>
      <c r="H1773" s="2">
        <v>7</v>
      </c>
      <c r="I1773" s="2">
        <v>6</v>
      </c>
      <c r="J1773" s="1">
        <v>0</v>
      </c>
      <c r="K1773" s="1">
        <v>1.5</v>
      </c>
      <c r="L1773" s="1">
        <v>1</v>
      </c>
      <c r="M1773" t="s">
        <v>15</v>
      </c>
      <c r="N1773" t="str">
        <f>IFERROR(VLOOKUP(B1773,'[1]All Player'!$B$2:$C$1992,2,0),"")</f>
        <v>Rakibul Islam</v>
      </c>
      <c r="O1773" s="2" t="s">
        <v>1077</v>
      </c>
      <c r="P1773" s="16" t="s">
        <v>1084</v>
      </c>
      <c r="Q1773" s="1">
        <v>1</v>
      </c>
      <c r="R1773" s="1">
        <f t="shared" si="66"/>
        <v>299</v>
      </c>
      <c r="T1773" s="1" t="s">
        <v>947</v>
      </c>
      <c r="U1773" s="8">
        <v>46023</v>
      </c>
    </row>
    <row r="1774" spans="1:23" x14ac:dyDescent="0.25">
      <c r="A1774" s="2">
        <v>37</v>
      </c>
      <c r="B1774" t="s">
        <v>112</v>
      </c>
      <c r="C1774" s="2">
        <v>4</v>
      </c>
      <c r="D1774" s="2">
        <v>65</v>
      </c>
      <c r="E1774" s="2">
        <v>9</v>
      </c>
      <c r="F1774" s="2">
        <v>5</v>
      </c>
      <c r="G1774" s="2">
        <v>0</v>
      </c>
      <c r="H1774" s="2">
        <v>3</v>
      </c>
      <c r="I1774" s="2">
        <v>4</v>
      </c>
      <c r="J1774" s="1">
        <v>0</v>
      </c>
      <c r="K1774" s="1">
        <v>2</v>
      </c>
      <c r="M1774" t="s">
        <v>15</v>
      </c>
      <c r="N1774" t="str">
        <f>IFERROR(VLOOKUP(B1774,'[1]All Player'!$B$2:$C$1992,2,0),"")</f>
        <v>Shahriar Khan Shovon</v>
      </c>
      <c r="O1774" s="2" t="s">
        <v>1077</v>
      </c>
      <c r="P1774" s="16" t="s">
        <v>1085</v>
      </c>
      <c r="Q1774" s="1">
        <v>1</v>
      </c>
      <c r="R1774" s="1">
        <v>300</v>
      </c>
      <c r="U1774" s="8">
        <v>46023</v>
      </c>
    </row>
    <row r="1775" spans="1:23" x14ac:dyDescent="0.25">
      <c r="A1775" s="2">
        <v>38</v>
      </c>
      <c r="B1775" t="s">
        <v>126</v>
      </c>
      <c r="C1775" s="2">
        <v>2</v>
      </c>
      <c r="D1775" s="2">
        <v>12</v>
      </c>
      <c r="E1775" s="2">
        <v>3</v>
      </c>
      <c r="F1775" s="2">
        <v>2</v>
      </c>
      <c r="G1775" s="2">
        <v>0</v>
      </c>
      <c r="H1775" s="2">
        <v>0</v>
      </c>
      <c r="I1775" s="2">
        <v>2</v>
      </c>
      <c r="J1775" s="1">
        <v>0</v>
      </c>
      <c r="M1775" t="s">
        <v>15</v>
      </c>
      <c r="N1775" t="str">
        <f>IFERROR(VLOOKUP(B1775,'[1]All Player'!$B$2:$C$1992,2,0),"")</f>
        <v>M R Shakil</v>
      </c>
      <c r="O1775" s="2" t="s">
        <v>1077</v>
      </c>
      <c r="P1775" s="16" t="s">
        <v>1085</v>
      </c>
      <c r="Q1775" s="1">
        <v>1</v>
      </c>
      <c r="R1775" s="1">
        <f t="shared" ref="R1775:R1778" si="67">R1774</f>
        <v>300</v>
      </c>
      <c r="U1775" s="8">
        <v>46023</v>
      </c>
    </row>
    <row r="1776" spans="1:23" x14ac:dyDescent="0.25">
      <c r="A1776" s="2">
        <v>39</v>
      </c>
      <c r="B1776" t="s">
        <v>108</v>
      </c>
      <c r="C1776" s="2">
        <v>4</v>
      </c>
      <c r="D1776" s="2">
        <v>71</v>
      </c>
      <c r="E1776" s="2">
        <v>1</v>
      </c>
      <c r="F1776" s="2">
        <v>5</v>
      </c>
      <c r="G1776" s="2">
        <v>1</v>
      </c>
      <c r="H1776" s="2">
        <v>3</v>
      </c>
      <c r="I1776" s="2">
        <v>5</v>
      </c>
      <c r="J1776" s="1">
        <v>0</v>
      </c>
      <c r="M1776" t="s">
        <v>15</v>
      </c>
      <c r="N1776" t="str">
        <f>IFERROR(VLOOKUP(B1776,'[1]All Player'!$B$2:$C$1992,2,0),"")</f>
        <v>Shafiqul Islam</v>
      </c>
      <c r="O1776" s="2" t="s">
        <v>1077</v>
      </c>
      <c r="P1776" s="16" t="s">
        <v>1085</v>
      </c>
      <c r="Q1776" s="1">
        <v>1</v>
      </c>
      <c r="R1776" s="1">
        <f t="shared" si="67"/>
        <v>300</v>
      </c>
      <c r="U1776" s="8">
        <v>46023</v>
      </c>
    </row>
    <row r="1777" spans="1:21" x14ac:dyDescent="0.25">
      <c r="A1777" s="2">
        <v>40</v>
      </c>
      <c r="B1777" t="s">
        <v>87</v>
      </c>
      <c r="C1777" s="2">
        <v>4</v>
      </c>
      <c r="D1777" s="2">
        <v>51</v>
      </c>
      <c r="E1777" s="2">
        <v>3</v>
      </c>
      <c r="F1777" s="2">
        <v>6</v>
      </c>
      <c r="G1777" s="2">
        <v>0</v>
      </c>
      <c r="H1777" s="2">
        <v>6</v>
      </c>
      <c r="I1777" s="2">
        <v>1</v>
      </c>
      <c r="J1777" s="1">
        <v>0</v>
      </c>
      <c r="M1777" t="s">
        <v>15</v>
      </c>
      <c r="N1777" t="str">
        <f>IFERROR(VLOOKUP(B1777,'[1]All Player'!$B$2:$C$1992,2,0),"")</f>
        <v>Anisur Islam (Rubel Hossain)</v>
      </c>
      <c r="O1777" s="2" t="s">
        <v>1077</v>
      </c>
      <c r="P1777" s="16" t="s">
        <v>1085</v>
      </c>
      <c r="Q1777" s="1">
        <v>1</v>
      </c>
      <c r="R1777" s="1">
        <f t="shared" si="67"/>
        <v>300</v>
      </c>
      <c r="U1777" s="8">
        <v>46023</v>
      </c>
    </row>
    <row r="1778" spans="1:21" x14ac:dyDescent="0.25">
      <c r="A1778" s="2">
        <v>41</v>
      </c>
      <c r="B1778" t="s">
        <v>62</v>
      </c>
      <c r="C1778" s="2">
        <v>4</v>
      </c>
      <c r="D1778" s="2">
        <v>100</v>
      </c>
      <c r="E1778" s="2">
        <v>9</v>
      </c>
      <c r="F1778" s="2">
        <v>5</v>
      </c>
      <c r="G1778" s="2">
        <v>1</v>
      </c>
      <c r="H1778" s="2">
        <v>10</v>
      </c>
      <c r="I1778" s="2">
        <v>7</v>
      </c>
      <c r="J1778" s="1">
        <v>0</v>
      </c>
      <c r="L1778" s="1">
        <v>2</v>
      </c>
      <c r="M1778" t="s">
        <v>15</v>
      </c>
      <c r="N1778" t="str">
        <f>IFERROR(VLOOKUP(B1778,'[1]All Player'!$B$2:$C$1992,2,0),"")</f>
        <v>MD Tofayel Ahmed</v>
      </c>
      <c r="O1778" s="2" t="s">
        <v>1077</v>
      </c>
      <c r="P1778" s="16" t="s">
        <v>1085</v>
      </c>
      <c r="Q1778" s="1">
        <v>1</v>
      </c>
      <c r="R1778" s="1">
        <f t="shared" si="67"/>
        <v>300</v>
      </c>
      <c r="U1778" s="8">
        <v>46023</v>
      </c>
    </row>
    <row r="1779" spans="1:21" x14ac:dyDescent="0.25">
      <c r="A1779" s="2">
        <v>42</v>
      </c>
      <c r="B1779" t="s">
        <v>114</v>
      </c>
      <c r="C1779" s="2">
        <v>4</v>
      </c>
      <c r="D1779" s="2">
        <v>98</v>
      </c>
      <c r="E1779" s="2">
        <v>4</v>
      </c>
      <c r="F1779" s="2">
        <v>7</v>
      </c>
      <c r="G1779" s="2">
        <v>0</v>
      </c>
      <c r="H1779" s="2">
        <v>12</v>
      </c>
      <c r="I1779" s="2">
        <v>3</v>
      </c>
      <c r="J1779" s="1">
        <v>0</v>
      </c>
      <c r="L1779" s="1">
        <v>1</v>
      </c>
      <c r="M1779" t="s">
        <v>15</v>
      </c>
      <c r="N1779" t="str">
        <f>IFERROR(VLOOKUP(B1779,'[1]All Player'!$B$2:$C$1992,2,0),"")</f>
        <v>Tanvir Shakib</v>
      </c>
      <c r="O1779" s="2" t="s">
        <v>1077</v>
      </c>
      <c r="P1779" s="16" t="s">
        <v>1086</v>
      </c>
      <c r="Q1779" s="1">
        <v>1</v>
      </c>
      <c r="R1779" s="1">
        <v>301</v>
      </c>
      <c r="U1779" s="8">
        <v>46023</v>
      </c>
    </row>
    <row r="1780" spans="1:21" x14ac:dyDescent="0.25">
      <c r="A1780" s="2">
        <v>43</v>
      </c>
      <c r="B1780" t="s">
        <v>60</v>
      </c>
      <c r="C1780" s="2">
        <v>4</v>
      </c>
      <c r="D1780" s="2">
        <v>99</v>
      </c>
      <c r="E1780" s="2">
        <v>1</v>
      </c>
      <c r="F1780" s="2">
        <v>7</v>
      </c>
      <c r="G1780" s="2">
        <v>0</v>
      </c>
      <c r="H1780" s="2">
        <v>7</v>
      </c>
      <c r="I1780" s="2">
        <v>6</v>
      </c>
      <c r="J1780" s="1">
        <v>0</v>
      </c>
      <c r="M1780" t="s">
        <v>15</v>
      </c>
      <c r="N1780" t="str">
        <f>IFERROR(VLOOKUP(B1780,'[1]All Player'!$B$2:$C$1992,2,0),"")</f>
        <v>Jahin Shahriar Chowdhury</v>
      </c>
      <c r="O1780" s="2" t="s">
        <v>1077</v>
      </c>
      <c r="P1780" s="16" t="s">
        <v>1086</v>
      </c>
      <c r="Q1780" s="1">
        <v>1</v>
      </c>
      <c r="R1780" s="1">
        <f t="shared" ref="R1780:R1783" si="68">R1779</f>
        <v>301</v>
      </c>
      <c r="U1780" s="8">
        <v>46023</v>
      </c>
    </row>
    <row r="1781" spans="1:21" x14ac:dyDescent="0.25">
      <c r="A1781" s="2">
        <v>44</v>
      </c>
      <c r="B1781" t="s">
        <v>380</v>
      </c>
      <c r="C1781" s="2">
        <v>4</v>
      </c>
      <c r="D1781" s="2">
        <v>32</v>
      </c>
      <c r="E1781" s="2">
        <v>7</v>
      </c>
      <c r="F1781" s="2">
        <v>3</v>
      </c>
      <c r="G1781" s="2">
        <v>0</v>
      </c>
      <c r="H1781" s="2">
        <v>3</v>
      </c>
      <c r="I1781" s="2">
        <v>2</v>
      </c>
      <c r="J1781" s="1">
        <v>0</v>
      </c>
      <c r="M1781" t="s">
        <v>15</v>
      </c>
      <c r="N1781" t="str">
        <f>IFERROR(VLOOKUP(B1781,'[1]All Player'!$B$2:$C$1992,2,0),"")</f>
        <v>Mridul Haque</v>
      </c>
      <c r="O1781" s="2" t="s">
        <v>1077</v>
      </c>
      <c r="P1781" s="16" t="s">
        <v>1086</v>
      </c>
      <c r="Q1781" s="1">
        <v>1</v>
      </c>
      <c r="R1781" s="1">
        <f t="shared" si="68"/>
        <v>301</v>
      </c>
      <c r="U1781" s="8">
        <v>46023</v>
      </c>
    </row>
    <row r="1782" spans="1:21" x14ac:dyDescent="0.25">
      <c r="A1782" s="2">
        <v>45</v>
      </c>
      <c r="B1782" t="s">
        <v>140</v>
      </c>
      <c r="C1782" s="2">
        <v>4</v>
      </c>
      <c r="D1782" s="2">
        <v>46</v>
      </c>
      <c r="E1782" s="2">
        <v>4</v>
      </c>
      <c r="F1782" s="2">
        <v>4</v>
      </c>
      <c r="G1782" s="2">
        <v>0</v>
      </c>
      <c r="H1782" s="2">
        <v>2</v>
      </c>
      <c r="I1782" s="2">
        <v>4</v>
      </c>
      <c r="J1782" s="1">
        <v>0</v>
      </c>
      <c r="K1782" s="1">
        <v>1</v>
      </c>
      <c r="M1782" t="s">
        <v>15</v>
      </c>
      <c r="N1782" t="str">
        <f>IFERROR(VLOOKUP(B1782,'[1]All Player'!$B$2:$C$1992,2,0),"")</f>
        <v>Monowar Hossain Munna</v>
      </c>
      <c r="O1782" s="2" t="s">
        <v>1077</v>
      </c>
      <c r="P1782" s="16" t="s">
        <v>1086</v>
      </c>
      <c r="Q1782" s="1">
        <v>1</v>
      </c>
      <c r="R1782" s="1">
        <f t="shared" si="68"/>
        <v>301</v>
      </c>
      <c r="U1782" s="8">
        <v>46023</v>
      </c>
    </row>
    <row r="1783" spans="1:21" x14ac:dyDescent="0.25">
      <c r="A1783" s="2">
        <v>46</v>
      </c>
      <c r="B1783" t="s">
        <v>116</v>
      </c>
      <c r="C1783" s="2">
        <v>4</v>
      </c>
      <c r="D1783" s="2">
        <v>16</v>
      </c>
      <c r="E1783" s="2">
        <v>7</v>
      </c>
      <c r="F1783" s="2">
        <v>5</v>
      </c>
      <c r="G1783" s="2">
        <v>1</v>
      </c>
      <c r="H1783" s="2">
        <v>1</v>
      </c>
      <c r="I1783" s="2">
        <v>1</v>
      </c>
      <c r="J1783" s="1">
        <v>1</v>
      </c>
      <c r="K1783" s="1">
        <v>1</v>
      </c>
      <c r="M1783" t="s">
        <v>15</v>
      </c>
      <c r="N1783" t="str">
        <f>IFERROR(VLOOKUP(B1783,'[1]All Player'!$B$2:$C$1992,2,0),"")</f>
        <v>Ahammed Ariful Haq</v>
      </c>
      <c r="O1783" s="2" t="s">
        <v>1077</v>
      </c>
      <c r="P1783" s="16" t="s">
        <v>1086</v>
      </c>
      <c r="Q1783" s="1">
        <v>1</v>
      </c>
      <c r="R1783" s="1">
        <f t="shared" si="68"/>
        <v>301</v>
      </c>
      <c r="U1783" s="8">
        <v>46023</v>
      </c>
    </row>
    <row r="1784" spans="1:21" x14ac:dyDescent="0.25">
      <c r="A1784" s="2">
        <v>47</v>
      </c>
      <c r="B1784" t="s">
        <v>27</v>
      </c>
      <c r="C1784" s="2">
        <v>4</v>
      </c>
      <c r="D1784" s="2">
        <v>59</v>
      </c>
      <c r="E1784" s="2">
        <v>2</v>
      </c>
      <c r="F1784" s="2">
        <v>7</v>
      </c>
      <c r="G1784" s="2">
        <v>0</v>
      </c>
      <c r="H1784" s="2">
        <v>7</v>
      </c>
      <c r="I1784" s="2">
        <v>3</v>
      </c>
      <c r="J1784" s="1">
        <v>0</v>
      </c>
      <c r="M1784" t="s">
        <v>15</v>
      </c>
      <c r="N1784" t="str">
        <f>IFERROR(VLOOKUP(B1784,'[1]All Player'!$B$2:$C$1992,2,0),"")</f>
        <v>Susmoy Paul</v>
      </c>
      <c r="O1784" s="2" t="s">
        <v>1077</v>
      </c>
      <c r="P1784" s="16" t="s">
        <v>1087</v>
      </c>
      <c r="Q1784" s="1">
        <v>1</v>
      </c>
      <c r="R1784" s="1">
        <v>302</v>
      </c>
      <c r="U1784" s="8">
        <v>46023</v>
      </c>
    </row>
    <row r="1785" spans="1:21" x14ac:dyDescent="0.25">
      <c r="A1785" s="2">
        <v>48</v>
      </c>
      <c r="B1785" t="s">
        <v>282</v>
      </c>
      <c r="C1785" s="2">
        <v>2</v>
      </c>
      <c r="D1785" s="2">
        <v>30</v>
      </c>
      <c r="E1785" s="2">
        <v>1</v>
      </c>
      <c r="F1785" s="2">
        <v>2</v>
      </c>
      <c r="G1785" s="2">
        <v>0</v>
      </c>
      <c r="H1785" s="2">
        <v>1</v>
      </c>
      <c r="I1785" s="2">
        <v>2</v>
      </c>
      <c r="J1785" s="1">
        <v>0</v>
      </c>
      <c r="M1785" t="s">
        <v>15</v>
      </c>
      <c r="N1785" t="str">
        <f>IFERROR(VLOOKUP(B1785,'[1]All Player'!$B$2:$C$1992,2,0),"")</f>
        <v>Mohammad Asif</v>
      </c>
      <c r="O1785" s="2" t="s">
        <v>1077</v>
      </c>
      <c r="P1785" s="16" t="s">
        <v>1087</v>
      </c>
      <c r="Q1785" s="1">
        <v>1</v>
      </c>
      <c r="R1785" s="1">
        <f t="shared" ref="R1785:R1788" si="69">R1784</f>
        <v>302</v>
      </c>
      <c r="U1785" s="8">
        <v>46023</v>
      </c>
    </row>
    <row r="1786" spans="1:21" x14ac:dyDescent="0.25">
      <c r="A1786" s="2">
        <v>49</v>
      </c>
      <c r="B1786" t="s">
        <v>152</v>
      </c>
      <c r="C1786" s="2">
        <v>4</v>
      </c>
      <c r="D1786" s="2">
        <v>39</v>
      </c>
      <c r="E1786" s="2">
        <v>1</v>
      </c>
      <c r="F1786" s="2">
        <v>4</v>
      </c>
      <c r="G1786" s="2">
        <v>0</v>
      </c>
      <c r="H1786" s="2">
        <v>3</v>
      </c>
      <c r="I1786" s="2">
        <v>1</v>
      </c>
      <c r="J1786" s="1">
        <v>0</v>
      </c>
      <c r="M1786" t="s">
        <v>15</v>
      </c>
      <c r="N1786" t="str">
        <f>IFERROR(VLOOKUP(B1786,'[1]All Player'!$B$2:$C$1992,2,0),"")</f>
        <v>Niamul Habib Setu</v>
      </c>
      <c r="O1786" s="2" t="s">
        <v>1077</v>
      </c>
      <c r="P1786" s="16" t="s">
        <v>1087</v>
      </c>
      <c r="Q1786" s="1">
        <v>1</v>
      </c>
      <c r="R1786" s="1">
        <f t="shared" si="69"/>
        <v>302</v>
      </c>
      <c r="U1786" s="8">
        <v>46023</v>
      </c>
    </row>
    <row r="1787" spans="1:21" x14ac:dyDescent="0.25">
      <c r="A1787" s="2">
        <v>50</v>
      </c>
      <c r="B1787" t="s">
        <v>76</v>
      </c>
      <c r="C1787" s="2">
        <v>4</v>
      </c>
      <c r="D1787" s="2">
        <v>28</v>
      </c>
      <c r="E1787" s="2">
        <v>5</v>
      </c>
      <c r="F1787" s="2">
        <v>7</v>
      </c>
      <c r="G1787" s="2">
        <v>0</v>
      </c>
      <c r="H1787" s="2">
        <v>2</v>
      </c>
      <c r="I1787" s="2">
        <v>0</v>
      </c>
      <c r="J1787" s="1">
        <v>0</v>
      </c>
      <c r="M1787" t="s">
        <v>15</v>
      </c>
      <c r="N1787" t="str">
        <f>IFERROR(VLOOKUP(B1787,'[1]All Player'!$B$2:$C$1992,2,0),"")</f>
        <v>Kamil Ahmed</v>
      </c>
      <c r="O1787" s="2" t="s">
        <v>1077</v>
      </c>
      <c r="P1787" s="16" t="s">
        <v>1087</v>
      </c>
      <c r="Q1787" s="1">
        <v>1</v>
      </c>
      <c r="R1787" s="1">
        <f t="shared" si="69"/>
        <v>302</v>
      </c>
      <c r="U1787" s="8">
        <v>46023</v>
      </c>
    </row>
    <row r="1788" spans="1:21" x14ac:dyDescent="0.25">
      <c r="A1788" s="2">
        <v>51</v>
      </c>
      <c r="B1788" t="s">
        <v>78</v>
      </c>
      <c r="C1788" s="2">
        <v>4</v>
      </c>
      <c r="D1788" s="2">
        <v>113</v>
      </c>
      <c r="E1788" s="2">
        <v>5</v>
      </c>
      <c r="F1788" s="2">
        <v>8</v>
      </c>
      <c r="G1788" s="2">
        <v>1</v>
      </c>
      <c r="H1788" s="2">
        <v>12</v>
      </c>
      <c r="I1788" s="2">
        <v>9</v>
      </c>
      <c r="J1788" s="1">
        <v>0</v>
      </c>
      <c r="K1788" s="1">
        <v>1</v>
      </c>
      <c r="L1788" s="1">
        <v>2</v>
      </c>
      <c r="M1788" t="s">
        <v>15</v>
      </c>
      <c r="N1788" t="str">
        <f>IFERROR(VLOOKUP(B1788,'[1]All Player'!$B$2:$C$1992,2,0),"")</f>
        <v>KM Rashedul Islam Rashed</v>
      </c>
      <c r="O1788" s="2" t="s">
        <v>1077</v>
      </c>
      <c r="P1788" s="16" t="s">
        <v>1087</v>
      </c>
      <c r="Q1788" s="1">
        <v>1</v>
      </c>
      <c r="R1788" s="1">
        <f t="shared" si="69"/>
        <v>302</v>
      </c>
      <c r="U1788" s="8">
        <v>46023</v>
      </c>
    </row>
    <row r="1789" spans="1:21" x14ac:dyDescent="0.25">
      <c r="J1789" s="1"/>
      <c r="M1789" t="s">
        <v>15</v>
      </c>
      <c r="N1789" t="str">
        <f>IFERROR(VLOOKUP(B1789,'[1]All Player'!$B$2:$C$1992,2,0),"")</f>
        <v/>
      </c>
      <c r="Q1789" s="1" t="str">
        <f t="shared" ref="Q1789:Q1852" si="70">IF(B1789="","",1)</f>
        <v/>
      </c>
    </row>
    <row r="1790" spans="1:21" x14ac:dyDescent="0.25">
      <c r="J1790" s="1"/>
      <c r="M1790" t="s">
        <v>15</v>
      </c>
      <c r="N1790" t="str">
        <f>IFERROR(VLOOKUP(B1790,'[1]All Player'!$B$2:$C$1992,2,0),"")</f>
        <v/>
      </c>
      <c r="Q1790" s="1" t="str">
        <f t="shared" si="70"/>
        <v/>
      </c>
    </row>
    <row r="1791" spans="1:21" x14ac:dyDescent="0.25">
      <c r="J1791" s="1"/>
      <c r="M1791" t="s">
        <v>15</v>
      </c>
      <c r="N1791" t="str">
        <f>IFERROR(VLOOKUP(B1791,'[1]All Player'!$B$2:$C$1992,2,0),"")</f>
        <v/>
      </c>
      <c r="Q1791" s="1" t="str">
        <f t="shared" si="70"/>
        <v/>
      </c>
    </row>
    <row r="1792" spans="1:21" x14ac:dyDescent="0.25">
      <c r="J1792" s="1"/>
      <c r="M1792" t="s">
        <v>15</v>
      </c>
      <c r="N1792" t="str">
        <f>IFERROR(VLOOKUP(B1792,'[1]All Player'!$B$2:$C$1992,2,0),"")</f>
        <v/>
      </c>
      <c r="Q1792" s="1" t="str">
        <f t="shared" si="70"/>
        <v/>
      </c>
    </row>
    <row r="1793" spans="10:17" x14ac:dyDescent="0.25">
      <c r="J1793" s="1"/>
      <c r="M1793" t="s">
        <v>15</v>
      </c>
      <c r="N1793" t="str">
        <f>IFERROR(VLOOKUP(B1793,'[1]All Player'!$B$2:$C$1992,2,0),"")</f>
        <v/>
      </c>
      <c r="Q1793" s="1" t="str">
        <f t="shared" si="70"/>
        <v/>
      </c>
    </row>
    <row r="1794" spans="10:17" x14ac:dyDescent="0.25">
      <c r="J1794" s="1"/>
      <c r="M1794" t="s">
        <v>15</v>
      </c>
      <c r="N1794" t="str">
        <f>IFERROR(VLOOKUP(B1794,'[1]All Player'!$B$2:$C$1992,2,0),"")</f>
        <v/>
      </c>
      <c r="Q1794" s="1" t="str">
        <f t="shared" si="70"/>
        <v/>
      </c>
    </row>
    <row r="1795" spans="10:17" x14ac:dyDescent="0.25">
      <c r="J1795" s="1"/>
      <c r="M1795" t="s">
        <v>15</v>
      </c>
      <c r="N1795" t="str">
        <f>IFERROR(VLOOKUP(B1795,'[1]All Player'!$B$2:$C$1992,2,0),"")</f>
        <v/>
      </c>
      <c r="Q1795" s="1" t="str">
        <f t="shared" si="70"/>
        <v/>
      </c>
    </row>
    <row r="1796" spans="10:17" x14ac:dyDescent="0.25">
      <c r="J1796" s="1"/>
      <c r="M1796" t="s">
        <v>15</v>
      </c>
      <c r="N1796" t="str">
        <f>IFERROR(VLOOKUP(B1796,'[1]All Player'!$B$2:$C$1992,2,0),"")</f>
        <v/>
      </c>
      <c r="Q1796" s="1" t="str">
        <f t="shared" si="70"/>
        <v/>
      </c>
    </row>
    <row r="1797" spans="10:17" x14ac:dyDescent="0.25">
      <c r="J1797" s="1"/>
      <c r="M1797" t="s">
        <v>15</v>
      </c>
      <c r="N1797" t="str">
        <f>IFERROR(VLOOKUP(B1797,'[1]All Player'!$B$2:$C$1992,2,0),"")</f>
        <v/>
      </c>
      <c r="Q1797" s="1" t="str">
        <f t="shared" si="70"/>
        <v/>
      </c>
    </row>
    <row r="1798" spans="10:17" x14ac:dyDescent="0.25">
      <c r="J1798" s="1"/>
      <c r="M1798" t="s">
        <v>15</v>
      </c>
      <c r="N1798" t="str">
        <f>IFERROR(VLOOKUP(B1798,'[1]All Player'!$B$2:$C$1992,2,0),"")</f>
        <v/>
      </c>
      <c r="Q1798" s="1" t="str">
        <f t="shared" si="70"/>
        <v/>
      </c>
    </row>
    <row r="1799" spans="10:17" x14ac:dyDescent="0.25">
      <c r="J1799" s="1"/>
      <c r="M1799" t="s">
        <v>15</v>
      </c>
      <c r="N1799" t="str">
        <f>IFERROR(VLOOKUP(B1799,'[1]All Player'!$B$2:$C$1992,2,0),"")</f>
        <v/>
      </c>
      <c r="Q1799" s="1" t="str">
        <f t="shared" si="70"/>
        <v/>
      </c>
    </row>
    <row r="1800" spans="10:17" x14ac:dyDescent="0.25">
      <c r="J1800" s="1"/>
      <c r="M1800" t="s">
        <v>15</v>
      </c>
      <c r="N1800" t="str">
        <f>IFERROR(VLOOKUP(B1800,'[1]All Player'!$B$2:$C$1992,2,0),"")</f>
        <v/>
      </c>
      <c r="Q1800" s="1" t="str">
        <f t="shared" si="70"/>
        <v/>
      </c>
    </row>
    <row r="1801" spans="10:17" x14ac:dyDescent="0.25">
      <c r="J1801" s="1"/>
      <c r="M1801" t="s">
        <v>15</v>
      </c>
      <c r="N1801" t="str">
        <f>IFERROR(VLOOKUP(B1801,'[1]All Player'!$B$2:$C$1992,2,0),"")</f>
        <v/>
      </c>
      <c r="Q1801" s="1" t="str">
        <f t="shared" si="70"/>
        <v/>
      </c>
    </row>
    <row r="1802" spans="10:17" x14ac:dyDescent="0.25">
      <c r="J1802" s="1"/>
      <c r="M1802" t="s">
        <v>15</v>
      </c>
      <c r="N1802" t="str">
        <f>IFERROR(VLOOKUP(B1802,'[1]All Player'!$B$2:$C$1992,2,0),"")</f>
        <v/>
      </c>
      <c r="Q1802" s="1" t="str">
        <f t="shared" si="70"/>
        <v/>
      </c>
    </row>
    <row r="1803" spans="10:17" x14ac:dyDescent="0.25">
      <c r="J1803" s="1"/>
      <c r="M1803" t="s">
        <v>15</v>
      </c>
      <c r="N1803" t="str">
        <f>IFERROR(VLOOKUP(B1803,'[1]All Player'!$B$2:$C$1992,2,0),"")</f>
        <v/>
      </c>
      <c r="Q1803" s="1" t="str">
        <f t="shared" si="70"/>
        <v/>
      </c>
    </row>
    <row r="1804" spans="10:17" x14ac:dyDescent="0.25">
      <c r="J1804" s="1"/>
      <c r="M1804" t="s">
        <v>15</v>
      </c>
      <c r="N1804" t="str">
        <f>IFERROR(VLOOKUP(B1804,'[1]All Player'!$B$2:$C$1992,2,0),"")</f>
        <v/>
      </c>
      <c r="Q1804" s="1" t="str">
        <f t="shared" si="70"/>
        <v/>
      </c>
    </row>
    <row r="1805" spans="10:17" x14ac:dyDescent="0.25">
      <c r="J1805" s="1"/>
      <c r="M1805" t="s">
        <v>15</v>
      </c>
      <c r="N1805" t="str">
        <f>IFERROR(VLOOKUP(B1805,'[1]All Player'!$B$2:$C$1992,2,0),"")</f>
        <v/>
      </c>
      <c r="Q1805" s="1" t="str">
        <f t="shared" si="70"/>
        <v/>
      </c>
    </row>
    <row r="1806" spans="10:17" x14ac:dyDescent="0.25">
      <c r="J1806" s="1"/>
      <c r="M1806" t="s">
        <v>15</v>
      </c>
      <c r="N1806" t="str">
        <f>IFERROR(VLOOKUP(B1806,'[1]All Player'!$B$2:$C$1992,2,0),"")</f>
        <v/>
      </c>
      <c r="Q1806" s="1" t="str">
        <f t="shared" si="70"/>
        <v/>
      </c>
    </row>
    <row r="1807" spans="10:17" x14ac:dyDescent="0.25">
      <c r="J1807" s="1"/>
      <c r="M1807" t="s">
        <v>15</v>
      </c>
      <c r="N1807" t="str">
        <f>IFERROR(VLOOKUP(B1807,'[1]All Player'!$B$2:$C$1992,2,0),"")</f>
        <v/>
      </c>
      <c r="Q1807" s="1" t="str">
        <f t="shared" si="70"/>
        <v/>
      </c>
    </row>
    <row r="1808" spans="10:17" x14ac:dyDescent="0.25">
      <c r="J1808" s="1"/>
      <c r="M1808" t="s">
        <v>15</v>
      </c>
      <c r="N1808" t="str">
        <f>IFERROR(VLOOKUP(B1808,'[1]All Player'!$B$2:$C$1992,2,0),"")</f>
        <v/>
      </c>
      <c r="Q1808" s="1" t="str">
        <f t="shared" si="70"/>
        <v/>
      </c>
    </row>
    <row r="1809" spans="10:17" x14ac:dyDescent="0.25">
      <c r="J1809" s="1"/>
      <c r="M1809" t="s">
        <v>15</v>
      </c>
      <c r="N1809" t="str">
        <f>IFERROR(VLOOKUP(B1809,'[1]All Player'!$B$2:$C$1992,2,0),"")</f>
        <v/>
      </c>
      <c r="Q1809" s="1" t="str">
        <f t="shared" si="70"/>
        <v/>
      </c>
    </row>
    <row r="1810" spans="10:17" x14ac:dyDescent="0.25">
      <c r="J1810" s="1"/>
      <c r="M1810" t="s">
        <v>15</v>
      </c>
      <c r="N1810" t="str">
        <f>IFERROR(VLOOKUP(B1810,'[1]All Player'!$B$2:$C$1992,2,0),"")</f>
        <v/>
      </c>
      <c r="Q1810" s="1" t="str">
        <f t="shared" si="70"/>
        <v/>
      </c>
    </row>
    <row r="1811" spans="10:17" x14ac:dyDescent="0.25">
      <c r="J1811" s="1"/>
      <c r="M1811" t="s">
        <v>15</v>
      </c>
      <c r="N1811" t="str">
        <f>IFERROR(VLOOKUP(B1811,'[1]All Player'!$B$2:$C$1992,2,0),"")</f>
        <v/>
      </c>
      <c r="Q1811" s="1" t="str">
        <f t="shared" si="70"/>
        <v/>
      </c>
    </row>
    <row r="1812" spans="10:17" x14ac:dyDescent="0.25">
      <c r="J1812" s="1"/>
      <c r="M1812" t="s">
        <v>15</v>
      </c>
      <c r="N1812" t="str">
        <f>IFERROR(VLOOKUP(B1812,'[1]All Player'!$B$2:$C$1992,2,0),"")</f>
        <v/>
      </c>
      <c r="Q1812" s="1" t="str">
        <f t="shared" si="70"/>
        <v/>
      </c>
    </row>
    <row r="1813" spans="10:17" x14ac:dyDescent="0.25">
      <c r="J1813" s="1"/>
      <c r="M1813" t="s">
        <v>15</v>
      </c>
      <c r="N1813" t="str">
        <f>IFERROR(VLOOKUP(B1813,'[1]All Player'!$B$2:$C$1992,2,0),"")</f>
        <v/>
      </c>
      <c r="Q1813" s="1" t="str">
        <f t="shared" si="70"/>
        <v/>
      </c>
    </row>
    <row r="1814" spans="10:17" x14ac:dyDescent="0.25">
      <c r="J1814" s="1"/>
      <c r="Q1814" s="1" t="str">
        <f t="shared" si="70"/>
        <v/>
      </c>
    </row>
    <row r="1815" spans="10:17" x14ac:dyDescent="0.25">
      <c r="J1815" s="1"/>
      <c r="Q1815" s="1" t="str">
        <f t="shared" si="70"/>
        <v/>
      </c>
    </row>
    <row r="1816" spans="10:17" x14ac:dyDescent="0.25">
      <c r="J1816" s="1"/>
      <c r="Q1816" s="1" t="str">
        <f t="shared" si="70"/>
        <v/>
      </c>
    </row>
    <row r="1817" spans="10:17" x14ac:dyDescent="0.25">
      <c r="J1817" s="1"/>
      <c r="Q1817" s="1" t="str">
        <f t="shared" si="70"/>
        <v/>
      </c>
    </row>
    <row r="1818" spans="10:17" x14ac:dyDescent="0.25">
      <c r="J1818" s="1"/>
      <c r="Q1818" s="1" t="str">
        <f t="shared" si="70"/>
        <v/>
      </c>
    </row>
    <row r="1819" spans="10:17" x14ac:dyDescent="0.25">
      <c r="J1819" s="1"/>
      <c r="Q1819" s="1" t="str">
        <f t="shared" si="70"/>
        <v/>
      </c>
    </row>
    <row r="1820" spans="10:17" x14ac:dyDescent="0.25">
      <c r="J1820" s="1"/>
      <c r="Q1820" s="1" t="str">
        <f t="shared" si="70"/>
        <v/>
      </c>
    </row>
    <row r="1821" spans="10:17" x14ac:dyDescent="0.25">
      <c r="J1821" s="1"/>
      <c r="Q1821" s="1" t="str">
        <f t="shared" si="70"/>
        <v/>
      </c>
    </row>
    <row r="1822" spans="10:17" x14ac:dyDescent="0.25">
      <c r="J1822" s="1"/>
      <c r="Q1822" s="1" t="str">
        <f t="shared" si="70"/>
        <v/>
      </c>
    </row>
    <row r="1823" spans="10:17" x14ac:dyDescent="0.25">
      <c r="J1823" s="1"/>
      <c r="Q1823" s="1" t="str">
        <f t="shared" si="70"/>
        <v/>
      </c>
    </row>
    <row r="1824" spans="10:17" x14ac:dyDescent="0.25">
      <c r="J1824" s="1"/>
      <c r="Q1824" s="1" t="str">
        <f t="shared" si="70"/>
        <v/>
      </c>
    </row>
    <row r="1825" spans="10:17" x14ac:dyDescent="0.25">
      <c r="J1825" s="1"/>
      <c r="Q1825" s="1" t="str">
        <f t="shared" si="70"/>
        <v/>
      </c>
    </row>
    <row r="1826" spans="10:17" x14ac:dyDescent="0.25">
      <c r="J1826" s="1"/>
      <c r="Q1826" s="1" t="str">
        <f t="shared" si="70"/>
        <v/>
      </c>
    </row>
    <row r="1827" spans="10:17" x14ac:dyDescent="0.25">
      <c r="J1827" s="1"/>
      <c r="Q1827" s="1" t="str">
        <f t="shared" si="70"/>
        <v/>
      </c>
    </row>
    <row r="1828" spans="10:17" x14ac:dyDescent="0.25">
      <c r="J1828" s="1"/>
      <c r="Q1828" s="1" t="str">
        <f t="shared" si="70"/>
        <v/>
      </c>
    </row>
    <row r="1829" spans="10:17" x14ac:dyDescent="0.25">
      <c r="J1829" s="1"/>
      <c r="Q1829" s="1" t="str">
        <f t="shared" si="70"/>
        <v/>
      </c>
    </row>
    <row r="1830" spans="10:17" x14ac:dyDescent="0.25">
      <c r="J1830" s="1"/>
      <c r="Q1830" s="1" t="str">
        <f t="shared" si="70"/>
        <v/>
      </c>
    </row>
    <row r="1831" spans="10:17" x14ac:dyDescent="0.25">
      <c r="J1831" s="1"/>
      <c r="Q1831" s="1" t="str">
        <f t="shared" si="70"/>
        <v/>
      </c>
    </row>
    <row r="1832" spans="10:17" x14ac:dyDescent="0.25">
      <c r="J1832" s="1"/>
      <c r="Q1832" s="1" t="str">
        <f t="shared" si="70"/>
        <v/>
      </c>
    </row>
    <row r="1833" spans="10:17" x14ac:dyDescent="0.25">
      <c r="J1833" s="1"/>
      <c r="Q1833" s="1" t="str">
        <f t="shared" si="70"/>
        <v/>
      </c>
    </row>
    <row r="1834" spans="10:17" x14ac:dyDescent="0.25">
      <c r="J1834" s="1"/>
      <c r="Q1834" s="1" t="str">
        <f t="shared" si="70"/>
        <v/>
      </c>
    </row>
    <row r="1835" spans="10:17" x14ac:dyDescent="0.25">
      <c r="J1835" s="1"/>
      <c r="Q1835" s="1" t="str">
        <f t="shared" si="70"/>
        <v/>
      </c>
    </row>
    <row r="1836" spans="10:17" x14ac:dyDescent="0.25">
      <c r="J1836" s="1"/>
      <c r="Q1836" s="1" t="str">
        <f t="shared" si="70"/>
        <v/>
      </c>
    </row>
    <row r="1837" spans="10:17" x14ac:dyDescent="0.25">
      <c r="J1837" s="1"/>
      <c r="Q1837" s="1" t="str">
        <f t="shared" si="70"/>
        <v/>
      </c>
    </row>
    <row r="1838" spans="10:17" x14ac:dyDescent="0.25">
      <c r="J1838" s="1"/>
      <c r="Q1838" s="1" t="str">
        <f t="shared" si="70"/>
        <v/>
      </c>
    </row>
    <row r="1839" spans="10:17" x14ac:dyDescent="0.25">
      <c r="J1839" s="1"/>
      <c r="Q1839" s="1" t="str">
        <f t="shared" si="70"/>
        <v/>
      </c>
    </row>
    <row r="1840" spans="10:17" x14ac:dyDescent="0.25">
      <c r="J1840" s="1"/>
      <c r="Q1840" s="1" t="str">
        <f t="shared" si="70"/>
        <v/>
      </c>
    </row>
    <row r="1841" spans="10:17" x14ac:dyDescent="0.25">
      <c r="J1841" s="1"/>
      <c r="Q1841" s="1" t="str">
        <f t="shared" si="70"/>
        <v/>
      </c>
    </row>
    <row r="1842" spans="10:17" x14ac:dyDescent="0.25">
      <c r="J1842" s="1"/>
      <c r="Q1842" s="1" t="str">
        <f t="shared" si="70"/>
        <v/>
      </c>
    </row>
    <row r="1843" spans="10:17" x14ac:dyDescent="0.25">
      <c r="J1843" s="1"/>
      <c r="Q1843" s="1" t="str">
        <f t="shared" si="70"/>
        <v/>
      </c>
    </row>
    <row r="1844" spans="10:17" x14ac:dyDescent="0.25">
      <c r="J1844" s="1"/>
      <c r="Q1844" s="1" t="str">
        <f t="shared" si="70"/>
        <v/>
      </c>
    </row>
    <row r="1845" spans="10:17" x14ac:dyDescent="0.25">
      <c r="J1845" s="1"/>
      <c r="Q1845" s="1" t="str">
        <f t="shared" si="70"/>
        <v/>
      </c>
    </row>
    <row r="1846" spans="10:17" x14ac:dyDescent="0.25">
      <c r="J1846" s="1"/>
      <c r="Q1846" s="1" t="str">
        <f t="shared" si="70"/>
        <v/>
      </c>
    </row>
    <row r="1847" spans="10:17" x14ac:dyDescent="0.25">
      <c r="J1847" s="1"/>
      <c r="Q1847" s="1" t="str">
        <f t="shared" si="70"/>
        <v/>
      </c>
    </row>
    <row r="1848" spans="10:17" x14ac:dyDescent="0.25">
      <c r="J1848" s="1"/>
      <c r="Q1848" s="1" t="str">
        <f t="shared" si="70"/>
        <v/>
      </c>
    </row>
    <row r="1849" spans="10:17" x14ac:dyDescent="0.25">
      <c r="J1849" s="1"/>
      <c r="Q1849" s="1" t="str">
        <f t="shared" si="70"/>
        <v/>
      </c>
    </row>
    <row r="1850" spans="10:17" x14ac:dyDescent="0.25">
      <c r="J1850" s="1"/>
      <c r="Q1850" s="1" t="str">
        <f t="shared" si="70"/>
        <v/>
      </c>
    </row>
    <row r="1851" spans="10:17" x14ac:dyDescent="0.25">
      <c r="J1851" s="1"/>
      <c r="Q1851" s="1" t="str">
        <f t="shared" si="70"/>
        <v/>
      </c>
    </row>
    <row r="1852" spans="10:17" x14ac:dyDescent="0.25">
      <c r="J1852" s="1"/>
      <c r="Q1852" s="1" t="str">
        <f t="shared" si="70"/>
        <v/>
      </c>
    </row>
    <row r="1853" spans="10:17" x14ac:dyDescent="0.25">
      <c r="J1853" s="1"/>
      <c r="Q1853" s="1" t="str">
        <f t="shared" ref="Q1853:Q1916" si="71">IF(B1853="","",1)</f>
        <v/>
      </c>
    </row>
    <row r="1854" spans="10:17" x14ac:dyDescent="0.25">
      <c r="J1854" s="1"/>
      <c r="Q1854" s="1" t="str">
        <f t="shared" si="71"/>
        <v/>
      </c>
    </row>
    <row r="1855" spans="10:17" x14ac:dyDescent="0.25">
      <c r="J1855" s="1"/>
      <c r="Q1855" s="1" t="str">
        <f t="shared" si="71"/>
        <v/>
      </c>
    </row>
    <row r="1856" spans="10:17" x14ac:dyDescent="0.25">
      <c r="J1856" s="1"/>
      <c r="Q1856" s="1" t="str">
        <f t="shared" si="71"/>
        <v/>
      </c>
    </row>
    <row r="1857" spans="10:17" x14ac:dyDescent="0.25">
      <c r="J1857" s="1"/>
      <c r="Q1857" s="1" t="str">
        <f t="shared" si="71"/>
        <v/>
      </c>
    </row>
    <row r="1858" spans="10:17" x14ac:dyDescent="0.25">
      <c r="J1858" s="1"/>
      <c r="Q1858" s="1" t="str">
        <f t="shared" si="71"/>
        <v/>
      </c>
    </row>
    <row r="1859" spans="10:17" x14ac:dyDescent="0.25">
      <c r="J1859" s="1"/>
      <c r="Q1859" s="1" t="str">
        <f t="shared" si="71"/>
        <v/>
      </c>
    </row>
    <row r="1860" spans="10:17" x14ac:dyDescent="0.25">
      <c r="J1860" s="1"/>
      <c r="Q1860" s="1" t="str">
        <f t="shared" si="71"/>
        <v/>
      </c>
    </row>
    <row r="1861" spans="10:17" x14ac:dyDescent="0.25">
      <c r="J1861" s="1"/>
      <c r="Q1861" s="1" t="str">
        <f t="shared" si="71"/>
        <v/>
      </c>
    </row>
    <row r="1862" spans="10:17" x14ac:dyDescent="0.25">
      <c r="J1862" s="1"/>
      <c r="Q1862" s="1" t="str">
        <f t="shared" si="71"/>
        <v/>
      </c>
    </row>
    <row r="1863" spans="10:17" x14ac:dyDescent="0.25">
      <c r="J1863" s="1"/>
      <c r="Q1863" s="1" t="str">
        <f t="shared" si="71"/>
        <v/>
      </c>
    </row>
    <row r="1864" spans="10:17" x14ac:dyDescent="0.25">
      <c r="J1864" s="1"/>
      <c r="Q1864" s="1" t="str">
        <f t="shared" si="71"/>
        <v/>
      </c>
    </row>
    <row r="1865" spans="10:17" x14ac:dyDescent="0.25">
      <c r="J1865" s="1"/>
      <c r="Q1865" s="1" t="str">
        <f t="shared" si="71"/>
        <v/>
      </c>
    </row>
    <row r="1866" spans="10:17" x14ac:dyDescent="0.25">
      <c r="J1866" s="1"/>
      <c r="Q1866" s="1" t="str">
        <f t="shared" si="71"/>
        <v/>
      </c>
    </row>
    <row r="1867" spans="10:17" x14ac:dyDescent="0.25">
      <c r="J1867" s="1"/>
      <c r="Q1867" s="1" t="str">
        <f t="shared" si="71"/>
        <v/>
      </c>
    </row>
    <row r="1868" spans="10:17" x14ac:dyDescent="0.25">
      <c r="J1868" s="1"/>
      <c r="Q1868" s="1" t="str">
        <f t="shared" si="71"/>
        <v/>
      </c>
    </row>
    <row r="1869" spans="10:17" x14ac:dyDescent="0.25">
      <c r="J1869" s="1"/>
      <c r="Q1869" s="1" t="str">
        <f t="shared" si="71"/>
        <v/>
      </c>
    </row>
    <row r="1870" spans="10:17" x14ac:dyDescent="0.25">
      <c r="J1870" s="1"/>
      <c r="Q1870" s="1" t="str">
        <f t="shared" si="71"/>
        <v/>
      </c>
    </row>
    <row r="1871" spans="10:17" x14ac:dyDescent="0.25">
      <c r="J1871" s="1"/>
      <c r="Q1871" s="1" t="str">
        <f t="shared" si="71"/>
        <v/>
      </c>
    </row>
    <row r="1872" spans="10:17" x14ac:dyDescent="0.25">
      <c r="J1872" s="1"/>
      <c r="Q1872" s="1" t="str">
        <f t="shared" si="71"/>
        <v/>
      </c>
    </row>
    <row r="1873" spans="10:17" x14ac:dyDescent="0.25">
      <c r="J1873" s="1"/>
      <c r="Q1873" s="1" t="str">
        <f t="shared" si="71"/>
        <v/>
      </c>
    </row>
    <row r="1874" spans="10:17" x14ac:dyDescent="0.25">
      <c r="J1874" s="1"/>
      <c r="Q1874" s="1" t="str">
        <f t="shared" si="71"/>
        <v/>
      </c>
    </row>
    <row r="1875" spans="10:17" x14ac:dyDescent="0.25">
      <c r="J1875" s="1"/>
      <c r="Q1875" s="1" t="str">
        <f t="shared" si="71"/>
        <v/>
      </c>
    </row>
    <row r="1876" spans="10:17" x14ac:dyDescent="0.25">
      <c r="J1876" s="1"/>
      <c r="Q1876" s="1" t="str">
        <f t="shared" si="71"/>
        <v/>
      </c>
    </row>
    <row r="1877" spans="10:17" x14ac:dyDescent="0.25">
      <c r="J1877" s="1"/>
      <c r="Q1877" s="1" t="str">
        <f t="shared" si="71"/>
        <v/>
      </c>
    </row>
    <row r="1878" spans="10:17" x14ac:dyDescent="0.25">
      <c r="J1878" s="1"/>
      <c r="Q1878" s="1" t="str">
        <f t="shared" si="71"/>
        <v/>
      </c>
    </row>
    <row r="1879" spans="10:17" x14ac:dyDescent="0.25">
      <c r="J1879" s="1"/>
      <c r="Q1879" s="1" t="str">
        <f t="shared" si="71"/>
        <v/>
      </c>
    </row>
    <row r="1880" spans="10:17" x14ac:dyDescent="0.25">
      <c r="J1880" s="1"/>
      <c r="Q1880" s="1" t="str">
        <f t="shared" si="71"/>
        <v/>
      </c>
    </row>
    <row r="1881" spans="10:17" x14ac:dyDescent="0.25">
      <c r="J1881" s="1"/>
      <c r="Q1881" s="1" t="str">
        <f t="shared" si="71"/>
        <v/>
      </c>
    </row>
    <row r="1882" spans="10:17" x14ac:dyDescent="0.25">
      <c r="J1882" s="1"/>
      <c r="Q1882" s="1" t="str">
        <f t="shared" si="71"/>
        <v/>
      </c>
    </row>
    <row r="1883" spans="10:17" x14ac:dyDescent="0.25">
      <c r="J1883" s="1"/>
      <c r="Q1883" s="1" t="str">
        <f t="shared" si="71"/>
        <v/>
      </c>
    </row>
    <row r="1884" spans="10:17" x14ac:dyDescent="0.25">
      <c r="J1884" s="1"/>
      <c r="Q1884" s="1" t="str">
        <f t="shared" si="71"/>
        <v/>
      </c>
    </row>
    <row r="1885" spans="10:17" x14ac:dyDescent="0.25">
      <c r="J1885" s="1"/>
      <c r="Q1885" s="1" t="str">
        <f t="shared" si="71"/>
        <v/>
      </c>
    </row>
    <row r="1886" spans="10:17" x14ac:dyDescent="0.25">
      <c r="J1886" s="1"/>
      <c r="Q1886" s="1" t="str">
        <f t="shared" si="71"/>
        <v/>
      </c>
    </row>
    <row r="1887" spans="10:17" x14ac:dyDescent="0.25">
      <c r="J1887" s="1"/>
      <c r="Q1887" s="1" t="str">
        <f t="shared" si="71"/>
        <v/>
      </c>
    </row>
    <row r="1888" spans="10:17" x14ac:dyDescent="0.25">
      <c r="J1888" s="1"/>
      <c r="Q1888" s="1" t="str">
        <f t="shared" si="71"/>
        <v/>
      </c>
    </row>
    <row r="1889" spans="10:17" x14ac:dyDescent="0.25">
      <c r="J1889" s="1"/>
      <c r="Q1889" s="1" t="str">
        <f t="shared" si="71"/>
        <v/>
      </c>
    </row>
    <row r="1890" spans="10:17" x14ac:dyDescent="0.25">
      <c r="J1890" s="1"/>
      <c r="Q1890" s="1" t="str">
        <f t="shared" si="71"/>
        <v/>
      </c>
    </row>
    <row r="1891" spans="10:17" x14ac:dyDescent="0.25">
      <c r="J1891" s="1"/>
      <c r="Q1891" s="1" t="str">
        <f t="shared" si="71"/>
        <v/>
      </c>
    </row>
    <row r="1892" spans="10:17" x14ac:dyDescent="0.25">
      <c r="J1892" s="1"/>
      <c r="Q1892" s="1" t="str">
        <f t="shared" si="71"/>
        <v/>
      </c>
    </row>
    <row r="1893" spans="10:17" x14ac:dyDescent="0.25">
      <c r="J1893" s="1"/>
      <c r="Q1893" s="1" t="str">
        <f t="shared" si="71"/>
        <v/>
      </c>
    </row>
    <row r="1894" spans="10:17" x14ac:dyDescent="0.25">
      <c r="J1894" s="1"/>
      <c r="Q1894" s="1" t="str">
        <f t="shared" si="71"/>
        <v/>
      </c>
    </row>
    <row r="1895" spans="10:17" x14ac:dyDescent="0.25">
      <c r="J1895" s="1"/>
      <c r="Q1895" s="1" t="str">
        <f t="shared" si="71"/>
        <v/>
      </c>
    </row>
    <row r="1896" spans="10:17" x14ac:dyDescent="0.25">
      <c r="J1896" s="1"/>
      <c r="Q1896" s="1" t="str">
        <f t="shared" si="71"/>
        <v/>
      </c>
    </row>
    <row r="1897" spans="10:17" x14ac:dyDescent="0.25">
      <c r="J1897" s="1"/>
      <c r="Q1897" s="1" t="str">
        <f t="shared" si="71"/>
        <v/>
      </c>
    </row>
    <row r="1898" spans="10:17" x14ac:dyDescent="0.25">
      <c r="J1898" s="1"/>
      <c r="Q1898" s="1" t="str">
        <f t="shared" si="71"/>
        <v/>
      </c>
    </row>
    <row r="1899" spans="10:17" x14ac:dyDescent="0.25">
      <c r="J1899" s="1"/>
      <c r="Q1899" s="1" t="str">
        <f t="shared" si="71"/>
        <v/>
      </c>
    </row>
    <row r="1900" spans="10:17" x14ac:dyDescent="0.25">
      <c r="J1900" s="1"/>
      <c r="Q1900" s="1" t="str">
        <f t="shared" si="71"/>
        <v/>
      </c>
    </row>
    <row r="1901" spans="10:17" x14ac:dyDescent="0.25">
      <c r="J1901" s="1"/>
      <c r="Q1901" s="1" t="str">
        <f t="shared" si="71"/>
        <v/>
      </c>
    </row>
    <row r="1902" spans="10:17" x14ac:dyDescent="0.25">
      <c r="J1902" s="1"/>
      <c r="Q1902" s="1" t="str">
        <f t="shared" si="71"/>
        <v/>
      </c>
    </row>
    <row r="1903" spans="10:17" x14ac:dyDescent="0.25">
      <c r="J1903" s="1"/>
      <c r="Q1903" s="1" t="str">
        <f t="shared" si="71"/>
        <v/>
      </c>
    </row>
    <row r="1904" spans="10:17" x14ac:dyDescent="0.25">
      <c r="J1904" s="1"/>
      <c r="Q1904" s="1" t="str">
        <f t="shared" si="71"/>
        <v/>
      </c>
    </row>
    <row r="1905" spans="10:17" x14ac:dyDescent="0.25">
      <c r="J1905" s="1"/>
      <c r="Q1905" s="1" t="str">
        <f t="shared" si="71"/>
        <v/>
      </c>
    </row>
    <row r="1906" spans="10:17" x14ac:dyDescent="0.25">
      <c r="J1906" s="1"/>
      <c r="Q1906" s="1" t="str">
        <f t="shared" si="71"/>
        <v/>
      </c>
    </row>
    <row r="1907" spans="10:17" x14ac:dyDescent="0.25">
      <c r="J1907" s="1"/>
      <c r="Q1907" s="1" t="str">
        <f t="shared" si="71"/>
        <v/>
      </c>
    </row>
    <row r="1908" spans="10:17" x14ac:dyDescent="0.25">
      <c r="J1908" s="1"/>
      <c r="Q1908" s="1" t="str">
        <f t="shared" si="71"/>
        <v/>
      </c>
    </row>
    <row r="1909" spans="10:17" x14ac:dyDescent="0.25">
      <c r="J1909" s="1"/>
      <c r="Q1909" s="1" t="str">
        <f t="shared" si="71"/>
        <v/>
      </c>
    </row>
    <row r="1910" spans="10:17" x14ac:dyDescent="0.25">
      <c r="J1910" s="1"/>
      <c r="Q1910" s="1" t="str">
        <f t="shared" si="71"/>
        <v/>
      </c>
    </row>
    <row r="1911" spans="10:17" x14ac:dyDescent="0.25">
      <c r="J1911" s="1"/>
      <c r="Q1911" s="1" t="str">
        <f t="shared" si="71"/>
        <v/>
      </c>
    </row>
    <row r="1912" spans="10:17" x14ac:dyDescent="0.25">
      <c r="J1912" s="1"/>
      <c r="Q1912" s="1" t="str">
        <f t="shared" si="71"/>
        <v/>
      </c>
    </row>
    <row r="1913" spans="10:17" x14ac:dyDescent="0.25">
      <c r="J1913" s="1"/>
      <c r="Q1913" s="1" t="str">
        <f t="shared" si="71"/>
        <v/>
      </c>
    </row>
    <row r="1914" spans="10:17" x14ac:dyDescent="0.25">
      <c r="J1914" s="1"/>
      <c r="Q1914" s="1" t="str">
        <f t="shared" si="71"/>
        <v/>
      </c>
    </row>
    <row r="1915" spans="10:17" x14ac:dyDescent="0.25">
      <c r="J1915" s="1"/>
      <c r="Q1915" s="1" t="str">
        <f t="shared" si="71"/>
        <v/>
      </c>
    </row>
    <row r="1916" spans="10:17" x14ac:dyDescent="0.25">
      <c r="J1916" s="1"/>
      <c r="Q1916" s="1" t="str">
        <f t="shared" si="71"/>
        <v/>
      </c>
    </row>
    <row r="1917" spans="10:17" x14ac:dyDescent="0.25">
      <c r="J1917" s="1"/>
      <c r="Q1917" s="1" t="str">
        <f t="shared" ref="Q1917:Q1980" si="72">IF(B1917="","",1)</f>
        <v/>
      </c>
    </row>
    <row r="1918" spans="10:17" x14ac:dyDescent="0.25">
      <c r="J1918" s="1"/>
      <c r="Q1918" s="1" t="str">
        <f t="shared" si="72"/>
        <v/>
      </c>
    </row>
    <row r="1919" spans="10:17" x14ac:dyDescent="0.25">
      <c r="J1919" s="1"/>
      <c r="Q1919" s="1" t="str">
        <f t="shared" si="72"/>
        <v/>
      </c>
    </row>
    <row r="1920" spans="10:17" x14ac:dyDescent="0.25">
      <c r="J1920" s="1"/>
      <c r="Q1920" s="1" t="str">
        <f t="shared" si="72"/>
        <v/>
      </c>
    </row>
    <row r="1921" spans="10:17" x14ac:dyDescent="0.25">
      <c r="J1921" s="1"/>
      <c r="Q1921" s="1" t="str">
        <f t="shared" si="72"/>
        <v/>
      </c>
    </row>
    <row r="1922" spans="10:17" x14ac:dyDescent="0.25">
      <c r="J1922" s="1"/>
      <c r="Q1922" s="1" t="str">
        <f t="shared" si="72"/>
        <v/>
      </c>
    </row>
    <row r="1923" spans="10:17" x14ac:dyDescent="0.25">
      <c r="J1923" s="1"/>
      <c r="Q1923" s="1" t="str">
        <f t="shared" si="72"/>
        <v/>
      </c>
    </row>
    <row r="1924" spans="10:17" x14ac:dyDescent="0.25">
      <c r="J1924" s="1"/>
      <c r="Q1924" s="1" t="str">
        <f t="shared" si="72"/>
        <v/>
      </c>
    </row>
    <row r="1925" spans="10:17" x14ac:dyDescent="0.25">
      <c r="J1925" s="1"/>
      <c r="Q1925" s="1" t="str">
        <f t="shared" si="72"/>
        <v/>
      </c>
    </row>
    <row r="1926" spans="10:17" x14ac:dyDescent="0.25">
      <c r="J1926" s="1"/>
      <c r="Q1926" s="1" t="str">
        <f t="shared" si="72"/>
        <v/>
      </c>
    </row>
    <row r="1927" spans="10:17" x14ac:dyDescent="0.25">
      <c r="J1927" s="1"/>
      <c r="Q1927" s="1" t="str">
        <f t="shared" si="72"/>
        <v/>
      </c>
    </row>
    <row r="1928" spans="10:17" x14ac:dyDescent="0.25">
      <c r="J1928" s="1"/>
      <c r="Q1928" s="1" t="str">
        <f t="shared" si="72"/>
        <v/>
      </c>
    </row>
    <row r="1929" spans="10:17" x14ac:dyDescent="0.25">
      <c r="J1929" s="1"/>
      <c r="Q1929" s="1" t="str">
        <f t="shared" si="72"/>
        <v/>
      </c>
    </row>
    <row r="1930" spans="10:17" x14ac:dyDescent="0.25">
      <c r="J1930" s="1"/>
      <c r="Q1930" s="1" t="str">
        <f t="shared" si="72"/>
        <v/>
      </c>
    </row>
    <row r="1931" spans="10:17" x14ac:dyDescent="0.25">
      <c r="J1931" s="1"/>
      <c r="Q1931" s="1" t="str">
        <f t="shared" si="72"/>
        <v/>
      </c>
    </row>
    <row r="1932" spans="10:17" x14ac:dyDescent="0.25">
      <c r="J1932" s="1"/>
      <c r="Q1932" s="1" t="str">
        <f t="shared" si="72"/>
        <v/>
      </c>
    </row>
    <row r="1933" spans="10:17" x14ac:dyDescent="0.25">
      <c r="J1933" s="1"/>
      <c r="Q1933" s="1" t="str">
        <f t="shared" si="72"/>
        <v/>
      </c>
    </row>
    <row r="1934" spans="10:17" x14ac:dyDescent="0.25">
      <c r="J1934" s="1"/>
      <c r="Q1934" s="1" t="str">
        <f t="shared" si="72"/>
        <v/>
      </c>
    </row>
    <row r="1935" spans="10:17" x14ac:dyDescent="0.25">
      <c r="J1935" s="1"/>
      <c r="Q1935" s="1" t="str">
        <f t="shared" si="72"/>
        <v/>
      </c>
    </row>
    <row r="1936" spans="10:17" x14ac:dyDescent="0.25">
      <c r="J1936" s="1"/>
      <c r="Q1936" s="1" t="str">
        <f t="shared" si="72"/>
        <v/>
      </c>
    </row>
    <row r="1937" spans="10:17" x14ac:dyDescent="0.25">
      <c r="J1937" s="1"/>
      <c r="Q1937" s="1" t="str">
        <f t="shared" si="72"/>
        <v/>
      </c>
    </row>
    <row r="1938" spans="10:17" x14ac:dyDescent="0.25">
      <c r="J1938" s="1"/>
      <c r="Q1938" s="1" t="str">
        <f t="shared" si="72"/>
        <v/>
      </c>
    </row>
    <row r="1939" spans="10:17" x14ac:dyDescent="0.25">
      <c r="J1939" s="1"/>
      <c r="Q1939" s="1" t="str">
        <f t="shared" si="72"/>
        <v/>
      </c>
    </row>
    <row r="1940" spans="10:17" x14ac:dyDescent="0.25">
      <c r="J1940" s="1"/>
      <c r="Q1940" s="1" t="str">
        <f t="shared" si="72"/>
        <v/>
      </c>
    </row>
    <row r="1941" spans="10:17" x14ac:dyDescent="0.25">
      <c r="J1941" s="1"/>
      <c r="Q1941" s="1" t="str">
        <f t="shared" si="72"/>
        <v/>
      </c>
    </row>
    <row r="1942" spans="10:17" x14ac:dyDescent="0.25">
      <c r="J1942" s="1"/>
      <c r="Q1942" s="1" t="str">
        <f t="shared" si="72"/>
        <v/>
      </c>
    </row>
    <row r="1943" spans="10:17" x14ac:dyDescent="0.25">
      <c r="J1943" s="1"/>
      <c r="Q1943" s="1" t="str">
        <f t="shared" si="72"/>
        <v/>
      </c>
    </row>
    <row r="1944" spans="10:17" x14ac:dyDescent="0.25">
      <c r="J1944" s="1"/>
      <c r="Q1944" s="1" t="str">
        <f t="shared" si="72"/>
        <v/>
      </c>
    </row>
    <row r="1945" spans="10:17" x14ac:dyDescent="0.25">
      <c r="J1945" s="1"/>
      <c r="Q1945" s="1" t="str">
        <f t="shared" si="72"/>
        <v/>
      </c>
    </row>
    <row r="1946" spans="10:17" x14ac:dyDescent="0.25">
      <c r="J1946" s="1"/>
      <c r="Q1946" s="1" t="str">
        <f t="shared" si="72"/>
        <v/>
      </c>
    </row>
    <row r="1947" spans="10:17" x14ac:dyDescent="0.25">
      <c r="J1947" s="1"/>
      <c r="Q1947" s="1" t="str">
        <f t="shared" si="72"/>
        <v/>
      </c>
    </row>
    <row r="1948" spans="10:17" x14ac:dyDescent="0.25">
      <c r="J1948" s="1"/>
      <c r="Q1948" s="1" t="str">
        <f t="shared" si="72"/>
        <v/>
      </c>
    </row>
    <row r="1949" spans="10:17" x14ac:dyDescent="0.25">
      <c r="J1949" s="1"/>
      <c r="Q1949" s="1" t="str">
        <f t="shared" si="72"/>
        <v/>
      </c>
    </row>
    <row r="1950" spans="10:17" x14ac:dyDescent="0.25">
      <c r="J1950" s="1"/>
      <c r="Q1950" s="1" t="str">
        <f t="shared" si="72"/>
        <v/>
      </c>
    </row>
    <row r="1951" spans="10:17" x14ac:dyDescent="0.25">
      <c r="J1951" s="1"/>
      <c r="Q1951" s="1" t="str">
        <f t="shared" si="72"/>
        <v/>
      </c>
    </row>
    <row r="1952" spans="10:17" x14ac:dyDescent="0.25">
      <c r="J1952" s="1"/>
      <c r="Q1952" s="1" t="str">
        <f t="shared" si="72"/>
        <v/>
      </c>
    </row>
    <row r="1953" spans="10:17" x14ac:dyDescent="0.25">
      <c r="J1953" s="1"/>
      <c r="Q1953" s="1" t="str">
        <f t="shared" si="72"/>
        <v/>
      </c>
    </row>
    <row r="1954" spans="10:17" x14ac:dyDescent="0.25">
      <c r="J1954" s="1"/>
      <c r="Q1954" s="1" t="str">
        <f t="shared" si="72"/>
        <v/>
      </c>
    </row>
    <row r="1955" spans="10:17" x14ac:dyDescent="0.25">
      <c r="J1955" s="1"/>
      <c r="Q1955" s="1" t="str">
        <f t="shared" si="72"/>
        <v/>
      </c>
    </row>
    <row r="1956" spans="10:17" x14ac:dyDescent="0.25">
      <c r="J1956" s="1"/>
      <c r="Q1956" s="1" t="str">
        <f t="shared" si="72"/>
        <v/>
      </c>
    </row>
    <row r="1957" spans="10:17" x14ac:dyDescent="0.25">
      <c r="J1957" s="1"/>
      <c r="Q1957" s="1" t="str">
        <f t="shared" si="72"/>
        <v/>
      </c>
    </row>
    <row r="1958" spans="10:17" x14ac:dyDescent="0.25">
      <c r="J1958" s="1"/>
      <c r="Q1958" s="1" t="str">
        <f t="shared" si="72"/>
        <v/>
      </c>
    </row>
    <row r="1959" spans="10:17" x14ac:dyDescent="0.25">
      <c r="J1959" s="1"/>
      <c r="Q1959" s="1" t="str">
        <f t="shared" si="72"/>
        <v/>
      </c>
    </row>
    <row r="1960" spans="10:17" x14ac:dyDescent="0.25">
      <c r="J1960" s="1"/>
      <c r="Q1960" s="1" t="str">
        <f t="shared" si="72"/>
        <v/>
      </c>
    </row>
    <row r="1961" spans="10:17" x14ac:dyDescent="0.25">
      <c r="J1961" s="1"/>
      <c r="Q1961" s="1" t="str">
        <f t="shared" si="72"/>
        <v/>
      </c>
    </row>
    <row r="1962" spans="10:17" x14ac:dyDescent="0.25">
      <c r="J1962" s="1"/>
      <c r="Q1962" s="1" t="str">
        <f t="shared" si="72"/>
        <v/>
      </c>
    </row>
    <row r="1963" spans="10:17" x14ac:dyDescent="0.25">
      <c r="J1963" s="1"/>
      <c r="Q1963" s="1" t="str">
        <f t="shared" si="72"/>
        <v/>
      </c>
    </row>
    <row r="1964" spans="10:17" x14ac:dyDescent="0.25">
      <c r="J1964" s="1"/>
      <c r="Q1964" s="1" t="str">
        <f t="shared" si="72"/>
        <v/>
      </c>
    </row>
    <row r="1965" spans="10:17" x14ac:dyDescent="0.25">
      <c r="J1965" s="1"/>
      <c r="Q1965" s="1" t="str">
        <f t="shared" si="72"/>
        <v/>
      </c>
    </row>
    <row r="1966" spans="10:17" x14ac:dyDescent="0.25">
      <c r="J1966" s="1"/>
      <c r="Q1966" s="1" t="str">
        <f t="shared" si="72"/>
        <v/>
      </c>
    </row>
    <row r="1967" spans="10:17" x14ac:dyDescent="0.25">
      <c r="J1967" s="1"/>
      <c r="Q1967" s="1" t="str">
        <f t="shared" si="72"/>
        <v/>
      </c>
    </row>
    <row r="1968" spans="10:17" x14ac:dyDescent="0.25">
      <c r="J1968" s="1"/>
      <c r="Q1968" s="1" t="str">
        <f t="shared" si="72"/>
        <v/>
      </c>
    </row>
    <row r="1969" spans="10:17" x14ac:dyDescent="0.25">
      <c r="J1969" s="1"/>
      <c r="Q1969" s="1" t="str">
        <f t="shared" si="72"/>
        <v/>
      </c>
    </row>
    <row r="1970" spans="10:17" x14ac:dyDescent="0.25">
      <c r="J1970" s="1"/>
      <c r="Q1970" s="1" t="str">
        <f t="shared" si="72"/>
        <v/>
      </c>
    </row>
    <row r="1971" spans="10:17" x14ac:dyDescent="0.25">
      <c r="J1971" s="1"/>
      <c r="Q1971" s="1" t="str">
        <f t="shared" si="72"/>
        <v/>
      </c>
    </row>
    <row r="1972" spans="10:17" x14ac:dyDescent="0.25">
      <c r="J1972" s="1"/>
      <c r="Q1972" s="1" t="str">
        <f t="shared" si="72"/>
        <v/>
      </c>
    </row>
    <row r="1973" spans="10:17" x14ac:dyDescent="0.25">
      <c r="J1973" s="1"/>
      <c r="Q1973" s="1" t="str">
        <f t="shared" si="72"/>
        <v/>
      </c>
    </row>
    <row r="1974" spans="10:17" x14ac:dyDescent="0.25">
      <c r="J1974" s="1"/>
      <c r="Q1974" s="1" t="str">
        <f t="shared" si="72"/>
        <v/>
      </c>
    </row>
    <row r="1975" spans="10:17" x14ac:dyDescent="0.25">
      <c r="J1975" s="1"/>
      <c r="Q1975" s="1" t="str">
        <f t="shared" si="72"/>
        <v/>
      </c>
    </row>
    <row r="1976" spans="10:17" x14ac:dyDescent="0.25">
      <c r="J1976" s="1"/>
      <c r="Q1976" s="1" t="str">
        <f t="shared" si="72"/>
        <v/>
      </c>
    </row>
    <row r="1977" spans="10:17" x14ac:dyDescent="0.25">
      <c r="J1977" s="1"/>
      <c r="Q1977" s="1" t="str">
        <f t="shared" si="72"/>
        <v/>
      </c>
    </row>
    <row r="1978" spans="10:17" x14ac:dyDescent="0.25">
      <c r="J1978" s="1"/>
      <c r="Q1978" s="1" t="str">
        <f t="shared" si="72"/>
        <v/>
      </c>
    </row>
    <row r="1979" spans="10:17" x14ac:dyDescent="0.25">
      <c r="J1979" s="1"/>
      <c r="Q1979" s="1" t="str">
        <f t="shared" si="72"/>
        <v/>
      </c>
    </row>
    <row r="1980" spans="10:17" x14ac:dyDescent="0.25">
      <c r="J1980" s="1"/>
      <c r="Q1980" s="1" t="str">
        <f t="shared" si="72"/>
        <v/>
      </c>
    </row>
    <row r="1981" spans="10:17" x14ac:dyDescent="0.25">
      <c r="J1981" s="1"/>
      <c r="Q1981" s="1" t="str">
        <f t="shared" ref="Q1981:Q2044" si="73">IF(B1981="","",1)</f>
        <v/>
      </c>
    </row>
    <row r="1982" spans="10:17" x14ac:dyDescent="0.25">
      <c r="J1982" s="1"/>
      <c r="Q1982" s="1" t="str">
        <f t="shared" si="73"/>
        <v/>
      </c>
    </row>
    <row r="1983" spans="10:17" x14ac:dyDescent="0.25">
      <c r="J1983" s="1"/>
      <c r="Q1983" s="1" t="str">
        <f t="shared" si="73"/>
        <v/>
      </c>
    </row>
    <row r="1984" spans="10:17" x14ac:dyDescent="0.25">
      <c r="J1984" s="1"/>
      <c r="Q1984" s="1" t="str">
        <f t="shared" si="73"/>
        <v/>
      </c>
    </row>
    <row r="1985" spans="10:17" x14ac:dyDescent="0.25">
      <c r="J1985" s="1"/>
      <c r="Q1985" s="1" t="str">
        <f t="shared" si="73"/>
        <v/>
      </c>
    </row>
    <row r="1986" spans="10:17" x14ac:dyDescent="0.25">
      <c r="J1986" s="1"/>
      <c r="Q1986" s="1" t="str">
        <f t="shared" si="73"/>
        <v/>
      </c>
    </row>
    <row r="1987" spans="10:17" x14ac:dyDescent="0.25">
      <c r="J1987" s="1"/>
      <c r="Q1987" s="1" t="str">
        <f t="shared" si="73"/>
        <v/>
      </c>
    </row>
    <row r="1988" spans="10:17" x14ac:dyDescent="0.25">
      <c r="J1988" s="1"/>
      <c r="Q1988" s="1" t="str">
        <f t="shared" si="73"/>
        <v/>
      </c>
    </row>
    <row r="1989" spans="10:17" x14ac:dyDescent="0.25">
      <c r="J1989" s="1"/>
      <c r="Q1989" s="1" t="str">
        <f t="shared" si="73"/>
        <v/>
      </c>
    </row>
    <row r="1990" spans="10:17" x14ac:dyDescent="0.25">
      <c r="J1990" s="1"/>
      <c r="Q1990" s="1" t="str">
        <f t="shared" si="73"/>
        <v/>
      </c>
    </row>
    <row r="1991" spans="10:17" x14ac:dyDescent="0.25">
      <c r="J1991" s="1"/>
      <c r="Q1991" s="1" t="str">
        <f t="shared" si="73"/>
        <v/>
      </c>
    </row>
    <row r="1992" spans="10:17" x14ac:dyDescent="0.25">
      <c r="J1992" s="1"/>
      <c r="Q1992" s="1" t="str">
        <f t="shared" si="73"/>
        <v/>
      </c>
    </row>
    <row r="1993" spans="10:17" x14ac:dyDescent="0.25">
      <c r="J1993" s="1"/>
      <c r="Q1993" s="1" t="str">
        <f t="shared" si="73"/>
        <v/>
      </c>
    </row>
    <row r="1994" spans="10:17" x14ac:dyDescent="0.25">
      <c r="J1994" s="1"/>
      <c r="Q1994" s="1" t="str">
        <f t="shared" si="73"/>
        <v/>
      </c>
    </row>
    <row r="1995" spans="10:17" x14ac:dyDescent="0.25">
      <c r="J1995" s="1"/>
      <c r="Q1995" s="1" t="str">
        <f t="shared" si="73"/>
        <v/>
      </c>
    </row>
    <row r="1996" spans="10:17" x14ac:dyDescent="0.25">
      <c r="J1996" s="1"/>
      <c r="Q1996" s="1" t="str">
        <f t="shared" si="73"/>
        <v/>
      </c>
    </row>
    <row r="1997" spans="10:17" x14ac:dyDescent="0.25">
      <c r="J1997" s="1"/>
      <c r="Q1997" s="1" t="str">
        <f t="shared" si="73"/>
        <v/>
      </c>
    </row>
    <row r="1998" spans="10:17" x14ac:dyDescent="0.25">
      <c r="J1998" s="1"/>
      <c r="Q1998" s="1" t="str">
        <f t="shared" si="73"/>
        <v/>
      </c>
    </row>
    <row r="1999" spans="10:17" x14ac:dyDescent="0.25">
      <c r="J1999" s="1"/>
      <c r="Q1999" s="1" t="str">
        <f t="shared" si="73"/>
        <v/>
      </c>
    </row>
    <row r="2000" spans="10:17" x14ac:dyDescent="0.25">
      <c r="J2000" s="1"/>
      <c r="Q2000" s="1" t="str">
        <f t="shared" si="73"/>
        <v/>
      </c>
    </row>
    <row r="2001" spans="10:17" x14ac:dyDescent="0.25">
      <c r="J2001" s="1"/>
      <c r="Q2001" s="1" t="str">
        <f t="shared" si="73"/>
        <v/>
      </c>
    </row>
    <row r="2002" spans="10:17" x14ac:dyDescent="0.25">
      <c r="J2002" s="1"/>
      <c r="Q2002" s="1" t="str">
        <f t="shared" si="73"/>
        <v/>
      </c>
    </row>
    <row r="2003" spans="10:17" x14ac:dyDescent="0.25">
      <c r="J2003" s="1"/>
      <c r="Q2003" s="1" t="str">
        <f t="shared" si="73"/>
        <v/>
      </c>
    </row>
    <row r="2004" spans="10:17" x14ac:dyDescent="0.25">
      <c r="J2004" s="1"/>
      <c r="Q2004" s="1" t="str">
        <f t="shared" si="73"/>
        <v/>
      </c>
    </row>
    <row r="2005" spans="10:17" x14ac:dyDescent="0.25">
      <c r="J2005" s="1"/>
      <c r="Q2005" s="1" t="str">
        <f t="shared" si="73"/>
        <v/>
      </c>
    </row>
    <row r="2006" spans="10:17" x14ac:dyDescent="0.25">
      <c r="J2006" s="1"/>
      <c r="Q2006" s="1" t="str">
        <f t="shared" si="73"/>
        <v/>
      </c>
    </row>
    <row r="2007" spans="10:17" x14ac:dyDescent="0.25">
      <c r="J2007" s="1"/>
      <c r="Q2007" s="1" t="str">
        <f t="shared" si="73"/>
        <v/>
      </c>
    </row>
    <row r="2008" spans="10:17" x14ac:dyDescent="0.25">
      <c r="J2008" s="1"/>
      <c r="Q2008" s="1" t="str">
        <f t="shared" si="73"/>
        <v/>
      </c>
    </row>
    <row r="2009" spans="10:17" x14ac:dyDescent="0.25">
      <c r="J2009" s="1"/>
      <c r="Q2009" s="1" t="str">
        <f t="shared" si="73"/>
        <v/>
      </c>
    </row>
    <row r="2010" spans="10:17" x14ac:dyDescent="0.25">
      <c r="J2010" s="1"/>
      <c r="Q2010" s="1" t="str">
        <f t="shared" si="73"/>
        <v/>
      </c>
    </row>
    <row r="2011" spans="10:17" x14ac:dyDescent="0.25">
      <c r="J2011" s="1"/>
      <c r="Q2011" s="1" t="str">
        <f t="shared" si="73"/>
        <v/>
      </c>
    </row>
    <row r="2012" spans="10:17" x14ac:dyDescent="0.25">
      <c r="J2012" s="1"/>
      <c r="Q2012" s="1" t="str">
        <f t="shared" si="73"/>
        <v/>
      </c>
    </row>
    <row r="2013" spans="10:17" x14ac:dyDescent="0.25">
      <c r="J2013" s="1"/>
      <c r="Q2013" s="1" t="str">
        <f t="shared" si="73"/>
        <v/>
      </c>
    </row>
    <row r="2014" spans="10:17" x14ac:dyDescent="0.25">
      <c r="J2014" s="1"/>
      <c r="Q2014" s="1" t="str">
        <f t="shared" si="73"/>
        <v/>
      </c>
    </row>
    <row r="2015" spans="10:17" x14ac:dyDescent="0.25">
      <c r="J2015" s="1"/>
      <c r="Q2015" s="1" t="str">
        <f t="shared" si="73"/>
        <v/>
      </c>
    </row>
    <row r="2016" spans="10:17" x14ac:dyDescent="0.25">
      <c r="J2016" s="1"/>
      <c r="Q2016" s="1" t="str">
        <f t="shared" si="73"/>
        <v/>
      </c>
    </row>
    <row r="2017" spans="10:17" x14ac:dyDescent="0.25">
      <c r="J2017" s="1"/>
      <c r="Q2017" s="1" t="str">
        <f t="shared" si="73"/>
        <v/>
      </c>
    </row>
    <row r="2018" spans="10:17" x14ac:dyDescent="0.25">
      <c r="J2018" s="1"/>
      <c r="Q2018" s="1" t="str">
        <f t="shared" si="73"/>
        <v/>
      </c>
    </row>
    <row r="2019" spans="10:17" x14ac:dyDescent="0.25">
      <c r="J2019" s="1"/>
      <c r="Q2019" s="1" t="str">
        <f t="shared" si="73"/>
        <v/>
      </c>
    </row>
    <row r="2020" spans="10:17" x14ac:dyDescent="0.25">
      <c r="J2020" s="1"/>
      <c r="Q2020" s="1" t="str">
        <f t="shared" si="73"/>
        <v/>
      </c>
    </row>
    <row r="2021" spans="10:17" x14ac:dyDescent="0.25">
      <c r="J2021" s="1"/>
      <c r="Q2021" s="1" t="str">
        <f t="shared" si="73"/>
        <v/>
      </c>
    </row>
    <row r="2022" spans="10:17" x14ac:dyDescent="0.25">
      <c r="J2022" s="1"/>
      <c r="Q2022" s="1" t="str">
        <f t="shared" si="73"/>
        <v/>
      </c>
    </row>
    <row r="2023" spans="10:17" x14ac:dyDescent="0.25">
      <c r="J2023" s="1"/>
      <c r="Q2023" s="1" t="str">
        <f t="shared" si="73"/>
        <v/>
      </c>
    </row>
    <row r="2024" spans="10:17" x14ac:dyDescent="0.25">
      <c r="J2024" s="1"/>
      <c r="Q2024" s="1" t="str">
        <f t="shared" si="73"/>
        <v/>
      </c>
    </row>
    <row r="2025" spans="10:17" x14ac:dyDescent="0.25">
      <c r="J2025" s="1"/>
      <c r="Q2025" s="1" t="str">
        <f t="shared" si="73"/>
        <v/>
      </c>
    </row>
    <row r="2026" spans="10:17" x14ac:dyDescent="0.25">
      <c r="J2026" s="1"/>
      <c r="Q2026" s="1" t="str">
        <f t="shared" si="73"/>
        <v/>
      </c>
    </row>
    <row r="2027" spans="10:17" x14ac:dyDescent="0.25">
      <c r="J2027" s="1"/>
      <c r="Q2027" s="1" t="str">
        <f t="shared" si="73"/>
        <v/>
      </c>
    </row>
    <row r="2028" spans="10:17" x14ac:dyDescent="0.25">
      <c r="J2028" s="1"/>
      <c r="Q2028" s="1" t="str">
        <f t="shared" si="73"/>
        <v/>
      </c>
    </row>
    <row r="2029" spans="10:17" x14ac:dyDescent="0.25">
      <c r="J2029" s="1"/>
      <c r="Q2029" s="1" t="str">
        <f t="shared" si="73"/>
        <v/>
      </c>
    </row>
    <row r="2030" spans="10:17" x14ac:dyDescent="0.25">
      <c r="J2030" s="1"/>
      <c r="Q2030" s="1" t="str">
        <f t="shared" si="73"/>
        <v/>
      </c>
    </row>
    <row r="2031" spans="10:17" x14ac:dyDescent="0.25">
      <c r="J2031" s="1"/>
      <c r="Q2031" s="1" t="str">
        <f t="shared" si="73"/>
        <v/>
      </c>
    </row>
    <row r="2032" spans="10:17" x14ac:dyDescent="0.25">
      <c r="J2032" s="1"/>
      <c r="Q2032" s="1" t="str">
        <f t="shared" si="73"/>
        <v/>
      </c>
    </row>
    <row r="2033" spans="10:17" x14ac:dyDescent="0.25">
      <c r="J2033" s="1"/>
      <c r="Q2033" s="1" t="str">
        <f t="shared" si="73"/>
        <v/>
      </c>
    </row>
    <row r="2034" spans="10:17" x14ac:dyDescent="0.25">
      <c r="J2034" s="1"/>
      <c r="Q2034" s="1" t="str">
        <f t="shared" si="73"/>
        <v/>
      </c>
    </row>
    <row r="2035" spans="10:17" x14ac:dyDescent="0.25">
      <c r="J2035" s="1"/>
      <c r="Q2035" s="1" t="str">
        <f t="shared" si="73"/>
        <v/>
      </c>
    </row>
    <row r="2036" spans="10:17" x14ac:dyDescent="0.25">
      <c r="J2036" s="1"/>
      <c r="Q2036" s="1" t="str">
        <f t="shared" si="73"/>
        <v/>
      </c>
    </row>
    <row r="2037" spans="10:17" x14ac:dyDescent="0.25">
      <c r="J2037" s="1"/>
      <c r="Q2037" s="1" t="str">
        <f t="shared" si="73"/>
        <v/>
      </c>
    </row>
    <row r="2038" spans="10:17" x14ac:dyDescent="0.25">
      <c r="J2038" s="1"/>
      <c r="Q2038" s="1" t="str">
        <f t="shared" si="73"/>
        <v/>
      </c>
    </row>
    <row r="2039" spans="10:17" x14ac:dyDescent="0.25">
      <c r="J2039" s="1"/>
      <c r="Q2039" s="1" t="str">
        <f t="shared" si="73"/>
        <v/>
      </c>
    </row>
    <row r="2040" spans="10:17" x14ac:dyDescent="0.25">
      <c r="J2040" s="1"/>
      <c r="Q2040" s="1" t="str">
        <f t="shared" si="73"/>
        <v/>
      </c>
    </row>
    <row r="2041" spans="10:17" x14ac:dyDescent="0.25">
      <c r="J2041" s="1"/>
      <c r="Q2041" s="1" t="str">
        <f t="shared" si="73"/>
        <v/>
      </c>
    </row>
    <row r="2042" spans="10:17" x14ac:dyDescent="0.25">
      <c r="J2042" s="1"/>
      <c r="Q2042" s="1" t="str">
        <f t="shared" si="73"/>
        <v/>
      </c>
    </row>
    <row r="2043" spans="10:17" x14ac:dyDescent="0.25">
      <c r="J2043" s="1"/>
      <c r="Q2043" s="1" t="str">
        <f t="shared" si="73"/>
        <v/>
      </c>
    </row>
    <row r="2044" spans="10:17" x14ac:dyDescent="0.25">
      <c r="J2044" s="1"/>
      <c r="Q2044" s="1" t="str">
        <f t="shared" si="73"/>
        <v/>
      </c>
    </row>
    <row r="2045" spans="10:17" x14ac:dyDescent="0.25">
      <c r="J2045" s="1"/>
      <c r="Q2045" s="1" t="str">
        <f t="shared" ref="Q2045:Q2108" si="74">IF(B2045="","",1)</f>
        <v/>
      </c>
    </row>
    <row r="2046" spans="10:17" x14ac:dyDescent="0.25">
      <c r="J2046" s="1"/>
      <c r="Q2046" s="1" t="str">
        <f t="shared" si="74"/>
        <v/>
      </c>
    </row>
    <row r="2047" spans="10:17" x14ac:dyDescent="0.25">
      <c r="J2047" s="1"/>
      <c r="Q2047" s="1" t="str">
        <f t="shared" si="74"/>
        <v/>
      </c>
    </row>
    <row r="2048" spans="10:17" x14ac:dyDescent="0.25">
      <c r="J2048" s="1"/>
      <c r="Q2048" s="1" t="str">
        <f t="shared" si="74"/>
        <v/>
      </c>
    </row>
    <row r="2049" spans="10:17" x14ac:dyDescent="0.25">
      <c r="J2049" s="1"/>
      <c r="Q2049" s="1" t="str">
        <f t="shared" si="74"/>
        <v/>
      </c>
    </row>
    <row r="2050" spans="10:17" x14ac:dyDescent="0.25">
      <c r="J2050" s="1"/>
      <c r="Q2050" s="1" t="str">
        <f t="shared" si="74"/>
        <v/>
      </c>
    </row>
    <row r="2051" spans="10:17" x14ac:dyDescent="0.25">
      <c r="J2051" s="1"/>
      <c r="Q2051" s="1" t="str">
        <f t="shared" si="74"/>
        <v/>
      </c>
    </row>
    <row r="2052" spans="10:17" x14ac:dyDescent="0.25">
      <c r="J2052" s="1"/>
      <c r="Q2052" s="1" t="str">
        <f t="shared" si="74"/>
        <v/>
      </c>
    </row>
    <row r="2053" spans="10:17" x14ac:dyDescent="0.25">
      <c r="J2053" s="1"/>
      <c r="Q2053" s="1" t="str">
        <f t="shared" si="74"/>
        <v/>
      </c>
    </row>
    <row r="2054" spans="10:17" x14ac:dyDescent="0.25">
      <c r="J2054" s="1"/>
      <c r="Q2054" s="1" t="str">
        <f t="shared" si="74"/>
        <v/>
      </c>
    </row>
    <row r="2055" spans="10:17" x14ac:dyDescent="0.25">
      <c r="J2055" s="1"/>
      <c r="Q2055" s="1" t="str">
        <f t="shared" si="74"/>
        <v/>
      </c>
    </row>
    <row r="2056" spans="10:17" x14ac:dyDescent="0.25">
      <c r="J2056" s="1"/>
      <c r="Q2056" s="1" t="str">
        <f t="shared" si="74"/>
        <v/>
      </c>
    </row>
    <row r="2057" spans="10:17" x14ac:dyDescent="0.25">
      <c r="J2057" s="1"/>
      <c r="Q2057" s="1" t="str">
        <f t="shared" si="74"/>
        <v/>
      </c>
    </row>
    <row r="2058" spans="10:17" x14ac:dyDescent="0.25">
      <c r="J2058" s="1"/>
      <c r="Q2058" s="1" t="str">
        <f t="shared" si="74"/>
        <v/>
      </c>
    </row>
    <row r="2059" spans="10:17" x14ac:dyDescent="0.25">
      <c r="J2059" s="1"/>
      <c r="Q2059" s="1" t="str">
        <f t="shared" si="74"/>
        <v/>
      </c>
    </row>
    <row r="2060" spans="10:17" x14ac:dyDescent="0.25">
      <c r="J2060" s="1"/>
      <c r="Q2060" s="1" t="str">
        <f t="shared" si="74"/>
        <v/>
      </c>
    </row>
    <row r="2061" spans="10:17" x14ac:dyDescent="0.25">
      <c r="J2061" s="1"/>
      <c r="Q2061" s="1" t="str">
        <f t="shared" si="74"/>
        <v/>
      </c>
    </row>
    <row r="2062" spans="10:17" x14ac:dyDescent="0.25">
      <c r="J2062" s="1"/>
      <c r="Q2062" s="1" t="str">
        <f t="shared" si="74"/>
        <v/>
      </c>
    </row>
    <row r="2063" spans="10:17" x14ac:dyDescent="0.25">
      <c r="J2063" s="1"/>
      <c r="Q2063" s="1" t="str">
        <f t="shared" si="74"/>
        <v/>
      </c>
    </row>
    <row r="2064" spans="10:17" x14ac:dyDescent="0.25">
      <c r="J2064" s="1"/>
      <c r="Q2064" s="1" t="str">
        <f t="shared" si="74"/>
        <v/>
      </c>
    </row>
    <row r="2065" spans="10:17" x14ac:dyDescent="0.25">
      <c r="J2065" s="1"/>
      <c r="Q2065" s="1" t="str">
        <f t="shared" si="74"/>
        <v/>
      </c>
    </row>
    <row r="2066" spans="10:17" x14ac:dyDescent="0.25">
      <c r="J2066" s="1"/>
      <c r="Q2066" s="1" t="str">
        <f t="shared" si="74"/>
        <v/>
      </c>
    </row>
    <row r="2067" spans="10:17" x14ac:dyDescent="0.25">
      <c r="J2067" s="1"/>
      <c r="Q2067" s="1" t="str">
        <f t="shared" si="74"/>
        <v/>
      </c>
    </row>
    <row r="2068" spans="10:17" x14ac:dyDescent="0.25">
      <c r="J2068" s="1"/>
      <c r="Q2068" s="1" t="str">
        <f t="shared" si="74"/>
        <v/>
      </c>
    </row>
    <row r="2069" spans="10:17" x14ac:dyDescent="0.25">
      <c r="J2069" s="1"/>
      <c r="Q2069" s="1" t="str">
        <f t="shared" si="74"/>
        <v/>
      </c>
    </row>
    <row r="2070" spans="10:17" x14ac:dyDescent="0.25">
      <c r="J2070" s="1"/>
      <c r="Q2070" s="1" t="str">
        <f t="shared" si="74"/>
        <v/>
      </c>
    </row>
    <row r="2071" spans="10:17" x14ac:dyDescent="0.25">
      <c r="J2071" s="1"/>
      <c r="Q2071" s="1" t="str">
        <f t="shared" si="74"/>
        <v/>
      </c>
    </row>
    <row r="2072" spans="10:17" x14ac:dyDescent="0.25">
      <c r="J2072" s="1"/>
      <c r="Q2072" s="1" t="str">
        <f t="shared" si="74"/>
        <v/>
      </c>
    </row>
    <row r="2073" spans="10:17" x14ac:dyDescent="0.25">
      <c r="J2073" s="1"/>
      <c r="Q2073" s="1" t="str">
        <f t="shared" si="74"/>
        <v/>
      </c>
    </row>
    <row r="2074" spans="10:17" x14ac:dyDescent="0.25">
      <c r="J2074" s="1"/>
      <c r="Q2074" s="1" t="str">
        <f t="shared" si="74"/>
        <v/>
      </c>
    </row>
    <row r="2075" spans="10:17" x14ac:dyDescent="0.25">
      <c r="J2075" s="1"/>
      <c r="Q2075" s="1" t="str">
        <f t="shared" si="74"/>
        <v/>
      </c>
    </row>
    <row r="2076" spans="10:17" x14ac:dyDescent="0.25">
      <c r="J2076" s="1"/>
      <c r="Q2076" s="1" t="str">
        <f t="shared" si="74"/>
        <v/>
      </c>
    </row>
    <row r="2077" spans="10:17" x14ac:dyDescent="0.25">
      <c r="J2077" s="1"/>
      <c r="Q2077" s="1" t="str">
        <f t="shared" si="74"/>
        <v/>
      </c>
    </row>
    <row r="2078" spans="10:17" x14ac:dyDescent="0.25">
      <c r="J2078" s="1"/>
      <c r="Q2078" s="1" t="str">
        <f t="shared" si="74"/>
        <v/>
      </c>
    </row>
    <row r="2079" spans="10:17" x14ac:dyDescent="0.25">
      <c r="J2079" s="1"/>
      <c r="Q2079" s="1" t="str">
        <f t="shared" si="74"/>
        <v/>
      </c>
    </row>
    <row r="2080" spans="10:17" x14ac:dyDescent="0.25">
      <c r="J2080" s="1"/>
      <c r="Q2080" s="1" t="str">
        <f t="shared" si="74"/>
        <v/>
      </c>
    </row>
    <row r="2081" spans="10:17" x14ac:dyDescent="0.25">
      <c r="J2081" s="1"/>
      <c r="Q2081" s="1" t="str">
        <f t="shared" si="74"/>
        <v/>
      </c>
    </row>
    <row r="2082" spans="10:17" x14ac:dyDescent="0.25">
      <c r="J2082" s="1"/>
      <c r="Q2082" s="1" t="str">
        <f t="shared" si="74"/>
        <v/>
      </c>
    </row>
    <row r="2083" spans="10:17" x14ac:dyDescent="0.25">
      <c r="J2083" s="1"/>
      <c r="Q2083" s="1" t="str">
        <f t="shared" si="74"/>
        <v/>
      </c>
    </row>
    <row r="2084" spans="10:17" x14ac:dyDescent="0.25">
      <c r="J2084" s="1"/>
      <c r="Q2084" s="1" t="str">
        <f t="shared" si="74"/>
        <v/>
      </c>
    </row>
    <row r="2085" spans="10:17" x14ac:dyDescent="0.25">
      <c r="J2085" s="1"/>
      <c r="Q2085" s="1" t="str">
        <f t="shared" si="74"/>
        <v/>
      </c>
    </row>
    <row r="2086" spans="10:17" x14ac:dyDescent="0.25">
      <c r="J2086" s="1"/>
      <c r="Q2086" s="1" t="str">
        <f t="shared" si="74"/>
        <v/>
      </c>
    </row>
    <row r="2087" spans="10:17" x14ac:dyDescent="0.25">
      <c r="J2087" s="1"/>
      <c r="Q2087" s="1" t="str">
        <f t="shared" si="74"/>
        <v/>
      </c>
    </row>
    <row r="2088" spans="10:17" x14ac:dyDescent="0.25">
      <c r="J2088" s="1"/>
      <c r="Q2088" s="1" t="str">
        <f t="shared" si="74"/>
        <v/>
      </c>
    </row>
    <row r="2089" spans="10:17" x14ac:dyDescent="0.25">
      <c r="J2089" s="1"/>
      <c r="Q2089" s="1" t="str">
        <f t="shared" si="74"/>
        <v/>
      </c>
    </row>
    <row r="2090" spans="10:17" x14ac:dyDescent="0.25">
      <c r="J2090" s="1"/>
      <c r="Q2090" s="1" t="str">
        <f t="shared" si="74"/>
        <v/>
      </c>
    </row>
    <row r="2091" spans="10:17" x14ac:dyDescent="0.25">
      <c r="J2091" s="1"/>
      <c r="Q2091" s="1" t="str">
        <f t="shared" si="74"/>
        <v/>
      </c>
    </row>
    <row r="2092" spans="10:17" x14ac:dyDescent="0.25">
      <c r="J2092" s="1"/>
      <c r="Q2092" s="1" t="str">
        <f t="shared" si="74"/>
        <v/>
      </c>
    </row>
    <row r="2093" spans="10:17" x14ac:dyDescent="0.25">
      <c r="J2093" s="1"/>
      <c r="Q2093" s="1" t="str">
        <f t="shared" si="74"/>
        <v/>
      </c>
    </row>
    <row r="2094" spans="10:17" x14ac:dyDescent="0.25">
      <c r="J2094" s="1"/>
      <c r="Q2094" s="1" t="str">
        <f t="shared" si="74"/>
        <v/>
      </c>
    </row>
    <row r="2095" spans="10:17" x14ac:dyDescent="0.25">
      <c r="J2095" s="1"/>
      <c r="Q2095" s="1" t="str">
        <f t="shared" si="74"/>
        <v/>
      </c>
    </row>
    <row r="2096" spans="10:17" x14ac:dyDescent="0.25">
      <c r="J2096" s="1"/>
      <c r="Q2096" s="1" t="str">
        <f t="shared" si="74"/>
        <v/>
      </c>
    </row>
    <row r="2097" spans="10:17" x14ac:dyDescent="0.25">
      <c r="J2097" s="1"/>
      <c r="Q2097" s="1" t="str">
        <f t="shared" si="74"/>
        <v/>
      </c>
    </row>
    <row r="2098" spans="10:17" x14ac:dyDescent="0.25">
      <c r="J2098" s="1"/>
      <c r="Q2098" s="1" t="str">
        <f t="shared" si="74"/>
        <v/>
      </c>
    </row>
    <row r="2099" spans="10:17" x14ac:dyDescent="0.25">
      <c r="J2099" s="1"/>
      <c r="Q2099" s="1" t="str">
        <f t="shared" si="74"/>
        <v/>
      </c>
    </row>
    <row r="2100" spans="10:17" x14ac:dyDescent="0.25">
      <c r="J2100" s="1"/>
      <c r="Q2100" s="1" t="str">
        <f t="shared" si="74"/>
        <v/>
      </c>
    </row>
    <row r="2101" spans="10:17" x14ac:dyDescent="0.25">
      <c r="J2101" s="1"/>
      <c r="Q2101" s="1" t="str">
        <f t="shared" si="74"/>
        <v/>
      </c>
    </row>
    <row r="2102" spans="10:17" x14ac:dyDescent="0.25">
      <c r="J2102" s="1"/>
      <c r="Q2102" s="1" t="str">
        <f t="shared" si="74"/>
        <v/>
      </c>
    </row>
    <row r="2103" spans="10:17" x14ac:dyDescent="0.25">
      <c r="J2103" s="1"/>
      <c r="Q2103" s="1" t="str">
        <f t="shared" si="74"/>
        <v/>
      </c>
    </row>
    <row r="2104" spans="10:17" x14ac:dyDescent="0.25">
      <c r="J2104" s="1"/>
      <c r="Q2104" s="1" t="str">
        <f t="shared" si="74"/>
        <v/>
      </c>
    </row>
    <row r="2105" spans="10:17" x14ac:dyDescent="0.25">
      <c r="J2105" s="1"/>
      <c r="Q2105" s="1" t="str">
        <f t="shared" si="74"/>
        <v/>
      </c>
    </row>
    <row r="2106" spans="10:17" x14ac:dyDescent="0.25">
      <c r="J2106" s="1"/>
      <c r="Q2106" s="1" t="str">
        <f t="shared" si="74"/>
        <v/>
      </c>
    </row>
    <row r="2107" spans="10:17" x14ac:dyDescent="0.25">
      <c r="J2107" s="1"/>
      <c r="Q2107" s="1" t="str">
        <f t="shared" si="74"/>
        <v/>
      </c>
    </row>
    <row r="2108" spans="10:17" x14ac:dyDescent="0.25">
      <c r="J2108" s="1"/>
      <c r="Q2108" s="1" t="str">
        <f t="shared" si="74"/>
        <v/>
      </c>
    </row>
    <row r="2109" spans="10:17" x14ac:dyDescent="0.25">
      <c r="J2109" s="1"/>
      <c r="Q2109" s="1" t="str">
        <f t="shared" ref="Q2109:Q2172" si="75">IF(B2109="","",1)</f>
        <v/>
      </c>
    </row>
    <row r="2110" spans="10:17" x14ac:dyDescent="0.25">
      <c r="J2110" s="1"/>
      <c r="Q2110" s="1" t="str">
        <f t="shared" si="75"/>
        <v/>
      </c>
    </row>
    <row r="2111" spans="10:17" x14ac:dyDescent="0.25">
      <c r="J2111" s="1"/>
      <c r="Q2111" s="1" t="str">
        <f t="shared" si="75"/>
        <v/>
      </c>
    </row>
    <row r="2112" spans="10:17" x14ac:dyDescent="0.25">
      <c r="J2112" s="1"/>
      <c r="Q2112" s="1" t="str">
        <f t="shared" si="75"/>
        <v/>
      </c>
    </row>
    <row r="2113" spans="10:17" x14ac:dyDescent="0.25">
      <c r="J2113" s="1"/>
      <c r="Q2113" s="1" t="str">
        <f t="shared" si="75"/>
        <v/>
      </c>
    </row>
    <row r="2114" spans="10:17" x14ac:dyDescent="0.25">
      <c r="J2114" s="1"/>
      <c r="Q2114" s="1" t="str">
        <f t="shared" si="75"/>
        <v/>
      </c>
    </row>
    <row r="2115" spans="10:17" x14ac:dyDescent="0.25">
      <c r="J2115" s="1"/>
      <c r="Q2115" s="1" t="str">
        <f t="shared" si="75"/>
        <v/>
      </c>
    </row>
    <row r="2116" spans="10:17" x14ac:dyDescent="0.25">
      <c r="J2116" s="1"/>
      <c r="Q2116" s="1" t="str">
        <f t="shared" si="75"/>
        <v/>
      </c>
    </row>
    <row r="2117" spans="10:17" x14ac:dyDescent="0.25">
      <c r="J2117" s="1"/>
      <c r="Q2117" s="1" t="str">
        <f t="shared" si="75"/>
        <v/>
      </c>
    </row>
    <row r="2118" spans="10:17" x14ac:dyDescent="0.25">
      <c r="J2118" s="1"/>
      <c r="Q2118" s="1" t="str">
        <f t="shared" si="75"/>
        <v/>
      </c>
    </row>
    <row r="2119" spans="10:17" x14ac:dyDescent="0.25">
      <c r="J2119" s="1"/>
      <c r="Q2119" s="1" t="str">
        <f t="shared" si="75"/>
        <v/>
      </c>
    </row>
    <row r="2120" spans="10:17" x14ac:dyDescent="0.25">
      <c r="J2120" s="1"/>
      <c r="Q2120" s="1" t="str">
        <f t="shared" si="75"/>
        <v/>
      </c>
    </row>
    <row r="2121" spans="10:17" x14ac:dyDescent="0.25">
      <c r="J2121" s="1"/>
      <c r="Q2121" s="1" t="str">
        <f t="shared" si="75"/>
        <v/>
      </c>
    </row>
    <row r="2122" spans="10:17" x14ac:dyDescent="0.25">
      <c r="J2122" s="1"/>
      <c r="Q2122" s="1" t="str">
        <f t="shared" si="75"/>
        <v/>
      </c>
    </row>
    <row r="2123" spans="10:17" x14ac:dyDescent="0.25">
      <c r="J2123" s="1"/>
      <c r="Q2123" s="1" t="str">
        <f t="shared" si="75"/>
        <v/>
      </c>
    </row>
    <row r="2124" spans="10:17" x14ac:dyDescent="0.25">
      <c r="J2124" s="1"/>
      <c r="Q2124" s="1" t="str">
        <f t="shared" si="75"/>
        <v/>
      </c>
    </row>
    <row r="2125" spans="10:17" x14ac:dyDescent="0.25">
      <c r="J2125" s="1"/>
      <c r="Q2125" s="1" t="str">
        <f t="shared" si="75"/>
        <v/>
      </c>
    </row>
    <row r="2126" spans="10:17" x14ac:dyDescent="0.25">
      <c r="J2126" s="1"/>
      <c r="Q2126" s="1" t="str">
        <f t="shared" si="75"/>
        <v/>
      </c>
    </row>
    <row r="2127" spans="10:17" x14ac:dyDescent="0.25">
      <c r="J2127" s="1"/>
      <c r="Q2127" s="1" t="str">
        <f t="shared" si="75"/>
        <v/>
      </c>
    </row>
    <row r="2128" spans="10:17" x14ac:dyDescent="0.25">
      <c r="J2128" s="1"/>
      <c r="Q2128" s="1" t="str">
        <f t="shared" si="75"/>
        <v/>
      </c>
    </row>
    <row r="2129" spans="10:17" x14ac:dyDescent="0.25">
      <c r="J2129" s="1"/>
      <c r="Q2129" s="1" t="str">
        <f t="shared" si="75"/>
        <v/>
      </c>
    </row>
    <row r="2130" spans="10:17" x14ac:dyDescent="0.25">
      <c r="J2130" s="1"/>
      <c r="Q2130" s="1" t="str">
        <f t="shared" si="75"/>
        <v/>
      </c>
    </row>
    <row r="2131" spans="10:17" x14ac:dyDescent="0.25">
      <c r="J2131" s="1"/>
      <c r="Q2131" s="1" t="str">
        <f t="shared" si="75"/>
        <v/>
      </c>
    </row>
    <row r="2132" spans="10:17" x14ac:dyDescent="0.25">
      <c r="J2132" s="1"/>
      <c r="Q2132" s="1" t="str">
        <f t="shared" si="75"/>
        <v/>
      </c>
    </row>
    <row r="2133" spans="10:17" x14ac:dyDescent="0.25">
      <c r="J2133" s="1"/>
      <c r="Q2133" s="1" t="str">
        <f t="shared" si="75"/>
        <v/>
      </c>
    </row>
    <row r="2134" spans="10:17" x14ac:dyDescent="0.25">
      <c r="J2134" s="1"/>
      <c r="Q2134" s="1" t="str">
        <f t="shared" si="75"/>
        <v/>
      </c>
    </row>
    <row r="2135" spans="10:17" x14ac:dyDescent="0.25">
      <c r="J2135" s="1"/>
      <c r="Q2135" s="1" t="str">
        <f t="shared" si="75"/>
        <v/>
      </c>
    </row>
    <row r="2136" spans="10:17" x14ac:dyDescent="0.25">
      <c r="J2136" s="1"/>
      <c r="Q2136" s="1" t="str">
        <f t="shared" si="75"/>
        <v/>
      </c>
    </row>
    <row r="2137" spans="10:17" x14ac:dyDescent="0.25">
      <c r="J2137" s="1"/>
      <c r="Q2137" s="1" t="str">
        <f t="shared" si="75"/>
        <v/>
      </c>
    </row>
    <row r="2138" spans="10:17" x14ac:dyDescent="0.25">
      <c r="J2138" s="1"/>
      <c r="Q2138" s="1" t="str">
        <f t="shared" si="75"/>
        <v/>
      </c>
    </row>
    <row r="2139" spans="10:17" x14ac:dyDescent="0.25">
      <c r="J2139" s="1"/>
      <c r="Q2139" s="1" t="str">
        <f t="shared" si="75"/>
        <v/>
      </c>
    </row>
    <row r="2140" spans="10:17" x14ac:dyDescent="0.25">
      <c r="J2140" s="1"/>
      <c r="Q2140" s="1" t="str">
        <f t="shared" si="75"/>
        <v/>
      </c>
    </row>
    <row r="2141" spans="10:17" x14ac:dyDescent="0.25">
      <c r="J2141" s="1"/>
      <c r="Q2141" s="1" t="str">
        <f t="shared" si="75"/>
        <v/>
      </c>
    </row>
    <row r="2142" spans="10:17" x14ac:dyDescent="0.25">
      <c r="J2142" s="1"/>
      <c r="Q2142" s="1" t="str">
        <f t="shared" si="75"/>
        <v/>
      </c>
    </row>
    <row r="2143" spans="10:17" x14ac:dyDescent="0.25">
      <c r="J2143" s="1"/>
      <c r="Q2143" s="1" t="str">
        <f t="shared" si="75"/>
        <v/>
      </c>
    </row>
    <row r="2144" spans="10:17" x14ac:dyDescent="0.25">
      <c r="J2144" s="1"/>
      <c r="Q2144" s="1" t="str">
        <f t="shared" si="75"/>
        <v/>
      </c>
    </row>
    <row r="2145" spans="10:17" x14ac:dyDescent="0.25">
      <c r="J2145" s="1"/>
      <c r="Q2145" s="1" t="str">
        <f t="shared" si="75"/>
        <v/>
      </c>
    </row>
    <row r="2146" spans="10:17" x14ac:dyDescent="0.25">
      <c r="J2146" s="1"/>
      <c r="Q2146" s="1" t="str">
        <f t="shared" si="75"/>
        <v/>
      </c>
    </row>
    <row r="2147" spans="10:17" x14ac:dyDescent="0.25">
      <c r="J2147" s="1"/>
      <c r="Q2147" s="1" t="str">
        <f t="shared" si="75"/>
        <v/>
      </c>
    </row>
    <row r="2148" spans="10:17" x14ac:dyDescent="0.25">
      <c r="J2148" s="1"/>
      <c r="Q2148" s="1" t="str">
        <f t="shared" si="75"/>
        <v/>
      </c>
    </row>
    <row r="2149" spans="10:17" x14ac:dyDescent="0.25">
      <c r="J2149" s="1"/>
      <c r="Q2149" s="1" t="str">
        <f t="shared" si="75"/>
        <v/>
      </c>
    </row>
    <row r="2150" spans="10:17" x14ac:dyDescent="0.25">
      <c r="J2150" s="1"/>
      <c r="Q2150" s="1" t="str">
        <f t="shared" si="75"/>
        <v/>
      </c>
    </row>
    <row r="2151" spans="10:17" x14ac:dyDescent="0.25">
      <c r="J2151" s="1"/>
      <c r="Q2151" s="1" t="str">
        <f t="shared" si="75"/>
        <v/>
      </c>
    </row>
    <row r="2152" spans="10:17" x14ac:dyDescent="0.25">
      <c r="J2152" s="1"/>
      <c r="Q2152" s="1" t="str">
        <f t="shared" si="75"/>
        <v/>
      </c>
    </row>
    <row r="2153" spans="10:17" x14ac:dyDescent="0.25">
      <c r="J2153" s="1"/>
      <c r="Q2153" s="1" t="str">
        <f t="shared" si="75"/>
        <v/>
      </c>
    </row>
    <row r="2154" spans="10:17" x14ac:dyDescent="0.25">
      <c r="J2154" s="1"/>
      <c r="Q2154" s="1" t="str">
        <f t="shared" si="75"/>
        <v/>
      </c>
    </row>
    <row r="2155" spans="10:17" x14ac:dyDescent="0.25">
      <c r="J2155" s="1"/>
      <c r="Q2155" s="1" t="str">
        <f t="shared" si="75"/>
        <v/>
      </c>
    </row>
    <row r="2156" spans="10:17" x14ac:dyDescent="0.25">
      <c r="J2156" s="1"/>
      <c r="Q2156" s="1" t="str">
        <f t="shared" si="75"/>
        <v/>
      </c>
    </row>
    <row r="2157" spans="10:17" x14ac:dyDescent="0.25">
      <c r="J2157" s="1"/>
      <c r="Q2157" s="1" t="str">
        <f t="shared" si="75"/>
        <v/>
      </c>
    </row>
    <row r="2158" spans="10:17" x14ac:dyDescent="0.25">
      <c r="J2158" s="1"/>
      <c r="Q2158" s="1" t="str">
        <f t="shared" si="75"/>
        <v/>
      </c>
    </row>
    <row r="2159" spans="10:17" x14ac:dyDescent="0.25">
      <c r="J2159" s="1"/>
      <c r="Q2159" s="1" t="str">
        <f t="shared" si="75"/>
        <v/>
      </c>
    </row>
    <row r="2160" spans="10:17" x14ac:dyDescent="0.25">
      <c r="J2160" s="1"/>
      <c r="Q2160" s="1" t="str">
        <f t="shared" si="75"/>
        <v/>
      </c>
    </row>
    <row r="2161" spans="10:17" x14ac:dyDescent="0.25">
      <c r="J2161" s="1"/>
      <c r="Q2161" s="1" t="str">
        <f t="shared" si="75"/>
        <v/>
      </c>
    </row>
    <row r="2162" spans="10:17" x14ac:dyDescent="0.25">
      <c r="J2162" s="1"/>
      <c r="Q2162" s="1" t="str">
        <f t="shared" si="75"/>
        <v/>
      </c>
    </row>
    <row r="2163" spans="10:17" x14ac:dyDescent="0.25">
      <c r="J2163" s="1"/>
      <c r="Q2163" s="1" t="str">
        <f t="shared" si="75"/>
        <v/>
      </c>
    </row>
    <row r="2164" spans="10:17" x14ac:dyDescent="0.25">
      <c r="J2164" s="1"/>
      <c r="Q2164" s="1" t="str">
        <f t="shared" si="75"/>
        <v/>
      </c>
    </row>
    <row r="2165" spans="10:17" x14ac:dyDescent="0.25">
      <c r="J2165" s="1"/>
      <c r="Q2165" s="1" t="str">
        <f t="shared" si="75"/>
        <v/>
      </c>
    </row>
    <row r="2166" spans="10:17" x14ac:dyDescent="0.25">
      <c r="J2166" s="1"/>
      <c r="Q2166" s="1" t="str">
        <f t="shared" si="75"/>
        <v/>
      </c>
    </row>
    <row r="2167" spans="10:17" x14ac:dyDescent="0.25">
      <c r="J2167" s="1"/>
      <c r="Q2167" s="1" t="str">
        <f t="shared" si="75"/>
        <v/>
      </c>
    </row>
    <row r="2168" spans="10:17" x14ac:dyDescent="0.25">
      <c r="J2168" s="1"/>
      <c r="Q2168" s="1" t="str">
        <f t="shared" si="75"/>
        <v/>
      </c>
    </row>
    <row r="2169" spans="10:17" x14ac:dyDescent="0.25">
      <c r="J2169" s="1"/>
      <c r="Q2169" s="1" t="str">
        <f t="shared" si="75"/>
        <v/>
      </c>
    </row>
    <row r="2170" spans="10:17" x14ac:dyDescent="0.25">
      <c r="J2170" s="1"/>
      <c r="Q2170" s="1" t="str">
        <f t="shared" si="75"/>
        <v/>
      </c>
    </row>
    <row r="2171" spans="10:17" x14ac:dyDescent="0.25">
      <c r="J2171" s="1"/>
      <c r="Q2171" s="1" t="str">
        <f t="shared" si="75"/>
        <v/>
      </c>
    </row>
    <row r="2172" spans="10:17" x14ac:dyDescent="0.25">
      <c r="J2172" s="1"/>
      <c r="Q2172" s="1" t="str">
        <f t="shared" si="75"/>
        <v/>
      </c>
    </row>
    <row r="2173" spans="10:17" x14ac:dyDescent="0.25">
      <c r="J2173" s="1"/>
      <c r="Q2173" s="1" t="str">
        <f t="shared" ref="Q2173:Q2236" si="76">IF(B2173="","",1)</f>
        <v/>
      </c>
    </row>
    <row r="2174" spans="10:17" x14ac:dyDescent="0.25">
      <c r="J2174" s="1"/>
      <c r="Q2174" s="1" t="str">
        <f t="shared" si="76"/>
        <v/>
      </c>
    </row>
    <row r="2175" spans="10:17" x14ac:dyDescent="0.25">
      <c r="J2175" s="1"/>
      <c r="Q2175" s="1" t="str">
        <f t="shared" si="76"/>
        <v/>
      </c>
    </row>
    <row r="2176" spans="10:17" x14ac:dyDescent="0.25">
      <c r="J2176" s="1"/>
      <c r="Q2176" s="1" t="str">
        <f t="shared" si="76"/>
        <v/>
      </c>
    </row>
    <row r="2177" spans="10:17" x14ac:dyDescent="0.25">
      <c r="J2177" s="1"/>
      <c r="Q2177" s="1" t="str">
        <f t="shared" si="76"/>
        <v/>
      </c>
    </row>
    <row r="2178" spans="10:17" x14ac:dyDescent="0.25">
      <c r="J2178" s="1"/>
      <c r="Q2178" s="1" t="str">
        <f t="shared" si="76"/>
        <v/>
      </c>
    </row>
    <row r="2179" spans="10:17" x14ac:dyDescent="0.25">
      <c r="J2179" s="1"/>
      <c r="Q2179" s="1" t="str">
        <f t="shared" si="76"/>
        <v/>
      </c>
    </row>
    <row r="2180" spans="10:17" x14ac:dyDescent="0.25">
      <c r="J2180" s="1"/>
      <c r="Q2180" s="1" t="str">
        <f t="shared" si="76"/>
        <v/>
      </c>
    </row>
    <row r="2181" spans="10:17" x14ac:dyDescent="0.25">
      <c r="J2181" s="1"/>
      <c r="Q2181" s="1" t="str">
        <f t="shared" si="76"/>
        <v/>
      </c>
    </row>
    <row r="2182" spans="10:17" x14ac:dyDescent="0.25">
      <c r="J2182" s="1"/>
      <c r="Q2182" s="1" t="str">
        <f t="shared" si="76"/>
        <v/>
      </c>
    </row>
    <row r="2183" spans="10:17" x14ac:dyDescent="0.25">
      <c r="J2183" s="1"/>
      <c r="Q2183" s="1" t="str">
        <f t="shared" si="76"/>
        <v/>
      </c>
    </row>
    <row r="2184" spans="10:17" x14ac:dyDescent="0.25">
      <c r="J2184" s="1"/>
      <c r="Q2184" s="1" t="str">
        <f t="shared" si="76"/>
        <v/>
      </c>
    </row>
    <row r="2185" spans="10:17" x14ac:dyDescent="0.25">
      <c r="J2185" s="1"/>
      <c r="Q2185" s="1" t="str">
        <f t="shared" si="76"/>
        <v/>
      </c>
    </row>
    <row r="2186" spans="10:17" x14ac:dyDescent="0.25">
      <c r="J2186" s="1"/>
      <c r="Q2186" s="1" t="str">
        <f t="shared" si="76"/>
        <v/>
      </c>
    </row>
    <row r="2187" spans="10:17" x14ac:dyDescent="0.25">
      <c r="J2187" s="1"/>
      <c r="Q2187" s="1" t="str">
        <f t="shared" si="76"/>
        <v/>
      </c>
    </row>
    <row r="2188" spans="10:17" x14ac:dyDescent="0.25">
      <c r="J2188" s="1"/>
      <c r="Q2188" s="1" t="str">
        <f t="shared" si="76"/>
        <v/>
      </c>
    </row>
    <row r="2189" spans="10:17" x14ac:dyDescent="0.25">
      <c r="J2189" s="1"/>
      <c r="Q2189" s="1" t="str">
        <f t="shared" si="76"/>
        <v/>
      </c>
    </row>
    <row r="2190" spans="10:17" x14ac:dyDescent="0.25">
      <c r="J2190" s="1"/>
      <c r="Q2190" s="1" t="str">
        <f t="shared" si="76"/>
        <v/>
      </c>
    </row>
    <row r="2191" spans="10:17" x14ac:dyDescent="0.25">
      <c r="J2191" s="1"/>
      <c r="Q2191" s="1" t="str">
        <f t="shared" si="76"/>
        <v/>
      </c>
    </row>
    <row r="2192" spans="10:17" x14ac:dyDescent="0.25">
      <c r="J2192" s="1"/>
      <c r="Q2192" s="1" t="str">
        <f t="shared" si="76"/>
        <v/>
      </c>
    </row>
    <row r="2193" spans="10:17" x14ac:dyDescent="0.25">
      <c r="J2193" s="1"/>
      <c r="Q2193" s="1" t="str">
        <f t="shared" si="76"/>
        <v/>
      </c>
    </row>
    <row r="2194" spans="10:17" x14ac:dyDescent="0.25">
      <c r="J2194" s="1"/>
      <c r="Q2194" s="1" t="str">
        <f t="shared" si="76"/>
        <v/>
      </c>
    </row>
    <row r="2195" spans="10:17" x14ac:dyDescent="0.25">
      <c r="J2195" s="1"/>
      <c r="Q2195" s="1" t="str">
        <f t="shared" si="76"/>
        <v/>
      </c>
    </row>
    <row r="2196" spans="10:17" x14ac:dyDescent="0.25">
      <c r="J2196" s="1"/>
      <c r="Q2196" s="1" t="str">
        <f t="shared" si="76"/>
        <v/>
      </c>
    </row>
    <row r="2197" spans="10:17" x14ac:dyDescent="0.25">
      <c r="J2197" s="1"/>
      <c r="Q2197" s="1" t="str">
        <f t="shared" si="76"/>
        <v/>
      </c>
    </row>
    <row r="2198" spans="10:17" x14ac:dyDescent="0.25">
      <c r="J2198" s="1"/>
      <c r="Q2198" s="1" t="str">
        <f t="shared" si="76"/>
        <v/>
      </c>
    </row>
    <row r="2199" spans="10:17" x14ac:dyDescent="0.25">
      <c r="J2199" s="1"/>
      <c r="Q2199" s="1" t="str">
        <f t="shared" si="76"/>
        <v/>
      </c>
    </row>
    <row r="2200" spans="10:17" x14ac:dyDescent="0.25">
      <c r="J2200" s="1"/>
      <c r="Q2200" s="1" t="str">
        <f t="shared" si="76"/>
        <v/>
      </c>
    </row>
    <row r="2201" spans="10:17" x14ac:dyDescent="0.25">
      <c r="J2201" s="1"/>
      <c r="Q2201" s="1" t="str">
        <f t="shared" si="76"/>
        <v/>
      </c>
    </row>
    <row r="2202" spans="10:17" x14ac:dyDescent="0.25">
      <c r="J2202" s="1"/>
      <c r="Q2202" s="1" t="str">
        <f t="shared" si="76"/>
        <v/>
      </c>
    </row>
    <row r="2203" spans="10:17" x14ac:dyDescent="0.25">
      <c r="J2203" s="1"/>
      <c r="Q2203" s="1" t="str">
        <f t="shared" si="76"/>
        <v/>
      </c>
    </row>
    <row r="2204" spans="10:17" x14ac:dyDescent="0.25">
      <c r="J2204" s="1"/>
      <c r="Q2204" s="1" t="str">
        <f t="shared" si="76"/>
        <v/>
      </c>
    </row>
    <row r="2205" spans="10:17" x14ac:dyDescent="0.25">
      <c r="J2205" s="1"/>
      <c r="Q2205" s="1" t="str">
        <f t="shared" si="76"/>
        <v/>
      </c>
    </row>
    <row r="2206" spans="10:17" x14ac:dyDescent="0.25">
      <c r="J2206" s="1"/>
      <c r="Q2206" s="1" t="str">
        <f t="shared" si="76"/>
        <v/>
      </c>
    </row>
    <row r="2207" spans="10:17" x14ac:dyDescent="0.25">
      <c r="J2207" s="1"/>
      <c r="Q2207" s="1" t="str">
        <f t="shared" si="76"/>
        <v/>
      </c>
    </row>
    <row r="2208" spans="10:17" x14ac:dyDescent="0.25">
      <c r="J2208" s="1"/>
      <c r="Q2208" s="1" t="str">
        <f t="shared" si="76"/>
        <v/>
      </c>
    </row>
    <row r="2209" spans="10:17" x14ac:dyDescent="0.25">
      <c r="J2209" s="1"/>
      <c r="Q2209" s="1" t="str">
        <f t="shared" si="76"/>
        <v/>
      </c>
    </row>
    <row r="2210" spans="10:17" x14ac:dyDescent="0.25">
      <c r="J2210" s="1"/>
      <c r="Q2210" s="1" t="str">
        <f t="shared" si="76"/>
        <v/>
      </c>
    </row>
    <row r="2211" spans="10:17" x14ac:dyDescent="0.25">
      <c r="J2211" s="1"/>
      <c r="Q2211" s="1" t="str">
        <f t="shared" si="76"/>
        <v/>
      </c>
    </row>
    <row r="2212" spans="10:17" x14ac:dyDescent="0.25">
      <c r="J2212" s="1"/>
      <c r="Q2212" s="1" t="str">
        <f t="shared" si="76"/>
        <v/>
      </c>
    </row>
    <row r="2213" spans="10:17" x14ac:dyDescent="0.25">
      <c r="J2213" s="1"/>
      <c r="Q2213" s="1" t="str">
        <f t="shared" si="76"/>
        <v/>
      </c>
    </row>
    <row r="2214" spans="10:17" x14ac:dyDescent="0.25">
      <c r="J2214" s="1"/>
      <c r="Q2214" s="1" t="str">
        <f t="shared" si="76"/>
        <v/>
      </c>
    </row>
    <row r="2215" spans="10:17" x14ac:dyDescent="0.25">
      <c r="J2215" s="1"/>
      <c r="Q2215" s="1" t="str">
        <f t="shared" si="76"/>
        <v/>
      </c>
    </row>
    <row r="2216" spans="10:17" x14ac:dyDescent="0.25">
      <c r="J2216" s="1"/>
      <c r="Q2216" s="1" t="str">
        <f t="shared" si="76"/>
        <v/>
      </c>
    </row>
    <row r="2217" spans="10:17" x14ac:dyDescent="0.25">
      <c r="J2217" s="1"/>
      <c r="Q2217" s="1" t="str">
        <f t="shared" si="76"/>
        <v/>
      </c>
    </row>
    <row r="2218" spans="10:17" x14ac:dyDescent="0.25">
      <c r="J2218" s="1"/>
      <c r="Q2218" s="1" t="str">
        <f t="shared" si="76"/>
        <v/>
      </c>
    </row>
    <row r="2219" spans="10:17" x14ac:dyDescent="0.25">
      <c r="J2219" s="1"/>
      <c r="Q2219" s="1" t="str">
        <f t="shared" si="76"/>
        <v/>
      </c>
    </row>
    <row r="2220" spans="10:17" x14ac:dyDescent="0.25">
      <c r="J2220" s="1"/>
      <c r="Q2220" s="1" t="str">
        <f t="shared" si="76"/>
        <v/>
      </c>
    </row>
    <row r="2221" spans="10:17" x14ac:dyDescent="0.25">
      <c r="J2221" s="1"/>
      <c r="Q2221" s="1" t="str">
        <f t="shared" si="76"/>
        <v/>
      </c>
    </row>
    <row r="2222" spans="10:17" x14ac:dyDescent="0.25">
      <c r="J2222" s="1"/>
      <c r="Q2222" s="1" t="str">
        <f t="shared" si="76"/>
        <v/>
      </c>
    </row>
    <row r="2223" spans="10:17" x14ac:dyDescent="0.25">
      <c r="J2223" s="1"/>
      <c r="Q2223" s="1" t="str">
        <f t="shared" si="76"/>
        <v/>
      </c>
    </row>
    <row r="2224" spans="10:17" x14ac:dyDescent="0.25">
      <c r="J2224" s="1"/>
      <c r="Q2224" s="1" t="str">
        <f t="shared" si="76"/>
        <v/>
      </c>
    </row>
    <row r="2225" spans="10:17" x14ac:dyDescent="0.25">
      <c r="J2225" s="1"/>
      <c r="Q2225" s="1" t="str">
        <f t="shared" si="76"/>
        <v/>
      </c>
    </row>
    <row r="2226" spans="10:17" x14ac:dyDescent="0.25">
      <c r="J2226" s="1"/>
      <c r="Q2226" s="1" t="str">
        <f t="shared" si="76"/>
        <v/>
      </c>
    </row>
    <row r="2227" spans="10:17" x14ac:dyDescent="0.25">
      <c r="J2227" s="1"/>
      <c r="Q2227" s="1" t="str">
        <f t="shared" si="76"/>
        <v/>
      </c>
    </row>
    <row r="2228" spans="10:17" x14ac:dyDescent="0.25">
      <c r="J2228" s="1"/>
      <c r="Q2228" s="1" t="str">
        <f t="shared" si="76"/>
        <v/>
      </c>
    </row>
    <row r="2229" spans="10:17" x14ac:dyDescent="0.25">
      <c r="J2229" s="1"/>
      <c r="Q2229" s="1" t="str">
        <f t="shared" si="76"/>
        <v/>
      </c>
    </row>
    <row r="2230" spans="10:17" x14ac:dyDescent="0.25">
      <c r="J2230" s="1"/>
      <c r="Q2230" s="1" t="str">
        <f t="shared" si="76"/>
        <v/>
      </c>
    </row>
    <row r="2231" spans="10:17" x14ac:dyDescent="0.25">
      <c r="J2231" s="1"/>
      <c r="Q2231" s="1" t="str">
        <f t="shared" si="76"/>
        <v/>
      </c>
    </row>
    <row r="2232" spans="10:17" x14ac:dyDescent="0.25">
      <c r="J2232" s="1"/>
      <c r="Q2232" s="1" t="str">
        <f t="shared" si="76"/>
        <v/>
      </c>
    </row>
    <row r="2233" spans="10:17" x14ac:dyDescent="0.25">
      <c r="J2233" s="1"/>
      <c r="Q2233" s="1" t="str">
        <f t="shared" si="76"/>
        <v/>
      </c>
    </row>
    <row r="2234" spans="10:17" x14ac:dyDescent="0.25">
      <c r="J2234" s="1"/>
      <c r="Q2234" s="1" t="str">
        <f t="shared" si="76"/>
        <v/>
      </c>
    </row>
    <row r="2235" spans="10:17" x14ac:dyDescent="0.25">
      <c r="J2235" s="1"/>
      <c r="Q2235" s="1" t="str">
        <f t="shared" si="76"/>
        <v/>
      </c>
    </row>
    <row r="2236" spans="10:17" x14ac:dyDescent="0.25">
      <c r="J2236" s="1"/>
      <c r="Q2236" s="1" t="str">
        <f t="shared" si="76"/>
        <v/>
      </c>
    </row>
    <row r="2237" spans="10:17" x14ac:dyDescent="0.25">
      <c r="J2237" s="1"/>
      <c r="Q2237" s="1" t="str">
        <f t="shared" ref="Q2237:Q2300" si="77">IF(B2237="","",1)</f>
        <v/>
      </c>
    </row>
    <row r="2238" spans="10:17" x14ac:dyDescent="0.25">
      <c r="J2238" s="1"/>
      <c r="Q2238" s="1" t="str">
        <f t="shared" si="77"/>
        <v/>
      </c>
    </row>
    <row r="2239" spans="10:17" x14ac:dyDescent="0.25">
      <c r="J2239" s="1"/>
      <c r="Q2239" s="1" t="str">
        <f t="shared" si="77"/>
        <v/>
      </c>
    </row>
    <row r="2240" spans="10:17" x14ac:dyDescent="0.25">
      <c r="J2240" s="1"/>
      <c r="Q2240" s="1" t="str">
        <f t="shared" si="77"/>
        <v/>
      </c>
    </row>
    <row r="2241" spans="10:17" x14ac:dyDescent="0.25">
      <c r="J2241" s="1"/>
      <c r="Q2241" s="1" t="str">
        <f t="shared" si="77"/>
        <v/>
      </c>
    </row>
    <row r="2242" spans="10:17" x14ac:dyDescent="0.25">
      <c r="J2242" s="1"/>
      <c r="Q2242" s="1" t="str">
        <f t="shared" si="77"/>
        <v/>
      </c>
    </row>
    <row r="2243" spans="10:17" x14ac:dyDescent="0.25">
      <c r="J2243" s="1"/>
      <c r="Q2243" s="1" t="str">
        <f t="shared" si="77"/>
        <v/>
      </c>
    </row>
    <row r="2244" spans="10:17" x14ac:dyDescent="0.25">
      <c r="J2244" s="1"/>
      <c r="Q2244" s="1" t="str">
        <f t="shared" si="77"/>
        <v/>
      </c>
    </row>
    <row r="2245" spans="10:17" x14ac:dyDescent="0.25">
      <c r="J2245" s="1"/>
      <c r="Q2245" s="1" t="str">
        <f t="shared" si="77"/>
        <v/>
      </c>
    </row>
    <row r="2246" spans="10:17" x14ac:dyDescent="0.25">
      <c r="J2246" s="1"/>
      <c r="Q2246" s="1" t="str">
        <f t="shared" si="77"/>
        <v/>
      </c>
    </row>
    <row r="2247" spans="10:17" x14ac:dyDescent="0.25">
      <c r="J2247" s="1"/>
      <c r="Q2247" s="1" t="str">
        <f t="shared" si="77"/>
        <v/>
      </c>
    </row>
    <row r="2248" spans="10:17" x14ac:dyDescent="0.25">
      <c r="J2248" s="1"/>
      <c r="Q2248" s="1" t="str">
        <f t="shared" si="77"/>
        <v/>
      </c>
    </row>
    <row r="2249" spans="10:17" x14ac:dyDescent="0.25">
      <c r="J2249" s="1"/>
      <c r="Q2249" s="1" t="str">
        <f t="shared" si="77"/>
        <v/>
      </c>
    </row>
    <row r="2250" spans="10:17" x14ac:dyDescent="0.25">
      <c r="J2250" s="1"/>
      <c r="Q2250" s="1" t="str">
        <f t="shared" si="77"/>
        <v/>
      </c>
    </row>
    <row r="2251" spans="10:17" x14ac:dyDescent="0.25">
      <c r="J2251" s="1"/>
      <c r="Q2251" s="1" t="str">
        <f t="shared" si="77"/>
        <v/>
      </c>
    </row>
    <row r="2252" spans="10:17" x14ac:dyDescent="0.25">
      <c r="J2252" s="1"/>
      <c r="Q2252" s="1" t="str">
        <f t="shared" si="77"/>
        <v/>
      </c>
    </row>
    <row r="2253" spans="10:17" x14ac:dyDescent="0.25">
      <c r="J2253" s="1"/>
      <c r="Q2253" s="1" t="str">
        <f t="shared" si="77"/>
        <v/>
      </c>
    </row>
    <row r="2254" spans="10:17" x14ac:dyDescent="0.25">
      <c r="J2254" s="1"/>
      <c r="Q2254" s="1" t="str">
        <f t="shared" si="77"/>
        <v/>
      </c>
    </row>
    <row r="2255" spans="10:17" x14ac:dyDescent="0.25">
      <c r="J2255" s="1"/>
      <c r="Q2255" s="1" t="str">
        <f t="shared" si="77"/>
        <v/>
      </c>
    </row>
    <row r="2256" spans="10:17" x14ac:dyDescent="0.25">
      <c r="J2256" s="1"/>
      <c r="Q2256" s="1" t="str">
        <f t="shared" si="77"/>
        <v/>
      </c>
    </row>
    <row r="2257" spans="10:17" x14ac:dyDescent="0.25">
      <c r="J2257" s="1"/>
      <c r="Q2257" s="1" t="str">
        <f t="shared" si="77"/>
        <v/>
      </c>
    </row>
    <row r="2258" spans="10:17" x14ac:dyDescent="0.25">
      <c r="J2258" s="1"/>
      <c r="Q2258" s="1" t="str">
        <f t="shared" si="77"/>
        <v/>
      </c>
    </row>
    <row r="2259" spans="10:17" x14ac:dyDescent="0.25">
      <c r="J2259" s="1"/>
      <c r="Q2259" s="1" t="str">
        <f t="shared" si="77"/>
        <v/>
      </c>
    </row>
    <row r="2260" spans="10:17" x14ac:dyDescent="0.25">
      <c r="J2260" s="1"/>
      <c r="Q2260" s="1" t="str">
        <f t="shared" si="77"/>
        <v/>
      </c>
    </row>
    <row r="2261" spans="10:17" x14ac:dyDescent="0.25">
      <c r="J2261" s="1"/>
      <c r="Q2261" s="1" t="str">
        <f t="shared" si="77"/>
        <v/>
      </c>
    </row>
    <row r="2262" spans="10:17" x14ac:dyDescent="0.25">
      <c r="J2262" s="1"/>
      <c r="Q2262" s="1" t="str">
        <f t="shared" si="77"/>
        <v/>
      </c>
    </row>
    <row r="2263" spans="10:17" x14ac:dyDescent="0.25">
      <c r="J2263" s="1"/>
      <c r="Q2263" s="1" t="str">
        <f t="shared" si="77"/>
        <v/>
      </c>
    </row>
    <row r="2264" spans="10:17" x14ac:dyDescent="0.25">
      <c r="J2264" s="1"/>
      <c r="Q2264" s="1" t="str">
        <f t="shared" si="77"/>
        <v/>
      </c>
    </row>
    <row r="2265" spans="10:17" x14ac:dyDescent="0.25">
      <c r="J2265" s="1"/>
      <c r="Q2265" s="1" t="str">
        <f t="shared" si="77"/>
        <v/>
      </c>
    </row>
    <row r="2266" spans="10:17" x14ac:dyDescent="0.25">
      <c r="J2266" s="1"/>
      <c r="Q2266" s="1" t="str">
        <f t="shared" si="77"/>
        <v/>
      </c>
    </row>
    <row r="2267" spans="10:17" x14ac:dyDescent="0.25">
      <c r="J2267" s="1"/>
      <c r="Q2267" s="1" t="str">
        <f t="shared" si="77"/>
        <v/>
      </c>
    </row>
    <row r="2268" spans="10:17" x14ac:dyDescent="0.25">
      <c r="J2268" s="1"/>
      <c r="Q2268" s="1" t="str">
        <f t="shared" si="77"/>
        <v/>
      </c>
    </row>
    <row r="2269" spans="10:17" x14ac:dyDescent="0.25">
      <c r="J2269" s="1"/>
      <c r="Q2269" s="1" t="str">
        <f t="shared" si="77"/>
        <v/>
      </c>
    </row>
    <row r="2270" spans="10:17" x14ac:dyDescent="0.25">
      <c r="J2270" s="1"/>
      <c r="Q2270" s="1" t="str">
        <f t="shared" si="77"/>
        <v/>
      </c>
    </row>
    <row r="2271" spans="10:17" x14ac:dyDescent="0.25">
      <c r="J2271" s="1"/>
      <c r="Q2271" s="1" t="str">
        <f t="shared" si="77"/>
        <v/>
      </c>
    </row>
    <row r="2272" spans="10:17" x14ac:dyDescent="0.25">
      <c r="J2272" s="1"/>
      <c r="Q2272" s="1" t="str">
        <f t="shared" si="77"/>
        <v/>
      </c>
    </row>
    <row r="2273" spans="10:17" x14ac:dyDescent="0.25">
      <c r="J2273" s="1"/>
      <c r="Q2273" s="1" t="str">
        <f t="shared" si="77"/>
        <v/>
      </c>
    </row>
    <row r="2274" spans="10:17" x14ac:dyDescent="0.25">
      <c r="J2274" s="1"/>
      <c r="Q2274" s="1" t="str">
        <f t="shared" si="77"/>
        <v/>
      </c>
    </row>
    <row r="2275" spans="10:17" x14ac:dyDescent="0.25">
      <c r="J2275" s="1"/>
      <c r="Q2275" s="1" t="str">
        <f t="shared" si="77"/>
        <v/>
      </c>
    </row>
    <row r="2276" spans="10:17" x14ac:dyDescent="0.25">
      <c r="J2276" s="1"/>
      <c r="Q2276" s="1" t="str">
        <f t="shared" si="77"/>
        <v/>
      </c>
    </row>
    <row r="2277" spans="10:17" x14ac:dyDescent="0.25">
      <c r="J2277" s="1"/>
      <c r="Q2277" s="1" t="str">
        <f t="shared" si="77"/>
        <v/>
      </c>
    </row>
    <row r="2278" spans="10:17" x14ac:dyDescent="0.25">
      <c r="J2278" s="1"/>
      <c r="Q2278" s="1" t="str">
        <f t="shared" si="77"/>
        <v/>
      </c>
    </row>
    <row r="2279" spans="10:17" x14ac:dyDescent="0.25">
      <c r="J2279" s="1"/>
      <c r="Q2279" s="1" t="str">
        <f t="shared" si="77"/>
        <v/>
      </c>
    </row>
    <row r="2280" spans="10:17" x14ac:dyDescent="0.25">
      <c r="J2280" s="1"/>
      <c r="Q2280" s="1" t="str">
        <f t="shared" si="77"/>
        <v/>
      </c>
    </row>
    <row r="2281" spans="10:17" x14ac:dyDescent="0.25">
      <c r="J2281" s="1"/>
      <c r="Q2281" s="1" t="str">
        <f t="shared" si="77"/>
        <v/>
      </c>
    </row>
    <row r="2282" spans="10:17" x14ac:dyDescent="0.25">
      <c r="J2282" s="1"/>
      <c r="Q2282" s="1" t="str">
        <f t="shared" si="77"/>
        <v/>
      </c>
    </row>
    <row r="2283" spans="10:17" x14ac:dyDescent="0.25">
      <c r="J2283" s="1"/>
      <c r="Q2283" s="1" t="str">
        <f t="shared" si="77"/>
        <v/>
      </c>
    </row>
    <row r="2284" spans="10:17" x14ac:dyDescent="0.25">
      <c r="J2284" s="1"/>
      <c r="Q2284" s="1" t="str">
        <f t="shared" si="77"/>
        <v/>
      </c>
    </row>
    <row r="2285" spans="10:17" x14ac:dyDescent="0.25">
      <c r="J2285" s="1"/>
      <c r="Q2285" s="1" t="str">
        <f t="shared" si="77"/>
        <v/>
      </c>
    </row>
    <row r="2286" spans="10:17" x14ac:dyDescent="0.25">
      <c r="J2286" s="1"/>
      <c r="Q2286" s="1" t="str">
        <f t="shared" si="77"/>
        <v/>
      </c>
    </row>
    <row r="2287" spans="10:17" x14ac:dyDescent="0.25">
      <c r="J2287" s="1"/>
      <c r="Q2287" s="1" t="str">
        <f t="shared" si="77"/>
        <v/>
      </c>
    </row>
    <row r="2288" spans="10:17" x14ac:dyDescent="0.25">
      <c r="J2288" s="1"/>
      <c r="Q2288" s="1" t="str">
        <f t="shared" si="77"/>
        <v/>
      </c>
    </row>
    <row r="2289" spans="10:17" x14ac:dyDescent="0.25">
      <c r="J2289" s="1"/>
      <c r="Q2289" s="1" t="str">
        <f t="shared" si="77"/>
        <v/>
      </c>
    </row>
    <row r="2290" spans="10:17" x14ac:dyDescent="0.25">
      <c r="J2290" s="1"/>
      <c r="Q2290" s="1" t="str">
        <f t="shared" si="77"/>
        <v/>
      </c>
    </row>
    <row r="2291" spans="10:17" x14ac:dyDescent="0.25">
      <c r="J2291" s="1"/>
      <c r="Q2291" s="1" t="str">
        <f t="shared" si="77"/>
        <v/>
      </c>
    </row>
    <row r="2292" spans="10:17" x14ac:dyDescent="0.25">
      <c r="J2292" s="1"/>
      <c r="Q2292" s="1" t="str">
        <f t="shared" si="77"/>
        <v/>
      </c>
    </row>
    <row r="2293" spans="10:17" x14ac:dyDescent="0.25">
      <c r="J2293" s="1"/>
      <c r="Q2293" s="1" t="str">
        <f t="shared" si="77"/>
        <v/>
      </c>
    </row>
    <row r="2294" spans="10:17" x14ac:dyDescent="0.25">
      <c r="J2294" s="1"/>
      <c r="Q2294" s="1" t="str">
        <f t="shared" si="77"/>
        <v/>
      </c>
    </row>
    <row r="2295" spans="10:17" x14ac:dyDescent="0.25">
      <c r="J2295" s="1"/>
      <c r="Q2295" s="1" t="str">
        <f t="shared" si="77"/>
        <v/>
      </c>
    </row>
    <row r="2296" spans="10:17" x14ac:dyDescent="0.25">
      <c r="J2296" s="1"/>
      <c r="Q2296" s="1" t="str">
        <f t="shared" si="77"/>
        <v/>
      </c>
    </row>
    <row r="2297" spans="10:17" x14ac:dyDescent="0.25">
      <c r="J2297" s="1"/>
      <c r="Q2297" s="1" t="str">
        <f t="shared" si="77"/>
        <v/>
      </c>
    </row>
    <row r="2298" spans="10:17" x14ac:dyDescent="0.25">
      <c r="J2298" s="1"/>
      <c r="Q2298" s="1" t="str">
        <f t="shared" si="77"/>
        <v/>
      </c>
    </row>
    <row r="2299" spans="10:17" x14ac:dyDescent="0.25">
      <c r="J2299" s="1"/>
      <c r="Q2299" s="1" t="str">
        <f t="shared" si="77"/>
        <v/>
      </c>
    </row>
    <row r="2300" spans="10:17" x14ac:dyDescent="0.25">
      <c r="J2300" s="1"/>
      <c r="Q2300" s="1" t="str">
        <f t="shared" si="77"/>
        <v/>
      </c>
    </row>
    <row r="2301" spans="10:17" x14ac:dyDescent="0.25">
      <c r="J2301" s="1"/>
      <c r="Q2301" s="1" t="str">
        <f t="shared" ref="Q2301:Q2364" si="78">IF(B2301="","",1)</f>
        <v/>
      </c>
    </row>
    <row r="2302" spans="10:17" x14ac:dyDescent="0.25">
      <c r="J2302" s="1"/>
      <c r="Q2302" s="1" t="str">
        <f t="shared" si="78"/>
        <v/>
      </c>
    </row>
    <row r="2303" spans="10:17" x14ac:dyDescent="0.25">
      <c r="J2303" s="1"/>
      <c r="Q2303" s="1" t="str">
        <f t="shared" si="78"/>
        <v/>
      </c>
    </row>
    <row r="2304" spans="10:17" x14ac:dyDescent="0.25">
      <c r="J2304" s="1"/>
      <c r="Q2304" s="1" t="str">
        <f t="shared" si="78"/>
        <v/>
      </c>
    </row>
    <row r="2305" spans="10:17" x14ac:dyDescent="0.25">
      <c r="J2305" s="1"/>
      <c r="Q2305" s="1" t="str">
        <f t="shared" si="78"/>
        <v/>
      </c>
    </row>
    <row r="2306" spans="10:17" x14ac:dyDescent="0.25">
      <c r="J2306" s="1"/>
      <c r="Q2306" s="1" t="str">
        <f t="shared" si="78"/>
        <v/>
      </c>
    </row>
    <row r="2307" spans="10:17" x14ac:dyDescent="0.25">
      <c r="J2307" s="1"/>
      <c r="Q2307" s="1" t="str">
        <f t="shared" si="78"/>
        <v/>
      </c>
    </row>
    <row r="2308" spans="10:17" x14ac:dyDescent="0.25">
      <c r="J2308" s="1"/>
      <c r="Q2308" s="1" t="str">
        <f t="shared" si="78"/>
        <v/>
      </c>
    </row>
    <row r="2309" spans="10:17" x14ac:dyDescent="0.25">
      <c r="J2309" s="1"/>
      <c r="Q2309" s="1" t="str">
        <f t="shared" si="78"/>
        <v/>
      </c>
    </row>
    <row r="2310" spans="10:17" x14ac:dyDescent="0.25">
      <c r="J2310" s="1"/>
      <c r="Q2310" s="1" t="str">
        <f t="shared" si="78"/>
        <v/>
      </c>
    </row>
    <row r="2311" spans="10:17" x14ac:dyDescent="0.25">
      <c r="J2311" s="1"/>
      <c r="Q2311" s="1" t="str">
        <f t="shared" si="78"/>
        <v/>
      </c>
    </row>
    <row r="2312" spans="10:17" x14ac:dyDescent="0.25">
      <c r="J2312" s="1"/>
      <c r="Q2312" s="1" t="str">
        <f t="shared" si="78"/>
        <v/>
      </c>
    </row>
    <row r="2313" spans="10:17" x14ac:dyDescent="0.25">
      <c r="J2313" s="1"/>
      <c r="Q2313" s="1" t="str">
        <f t="shared" si="78"/>
        <v/>
      </c>
    </row>
    <row r="2314" spans="10:17" x14ac:dyDescent="0.25">
      <c r="J2314" s="1"/>
      <c r="Q2314" s="1" t="str">
        <f t="shared" si="78"/>
        <v/>
      </c>
    </row>
    <row r="2315" spans="10:17" x14ac:dyDescent="0.25">
      <c r="J2315" s="1"/>
      <c r="Q2315" s="1" t="str">
        <f t="shared" si="78"/>
        <v/>
      </c>
    </row>
    <row r="2316" spans="10:17" x14ac:dyDescent="0.25">
      <c r="J2316" s="1"/>
      <c r="Q2316" s="1" t="str">
        <f t="shared" si="78"/>
        <v/>
      </c>
    </row>
    <row r="2317" spans="10:17" x14ac:dyDescent="0.25">
      <c r="J2317" s="1"/>
      <c r="Q2317" s="1" t="str">
        <f t="shared" si="78"/>
        <v/>
      </c>
    </row>
    <row r="2318" spans="10:17" x14ac:dyDescent="0.25">
      <c r="J2318" s="1"/>
      <c r="Q2318" s="1" t="str">
        <f t="shared" si="78"/>
        <v/>
      </c>
    </row>
    <row r="2319" spans="10:17" x14ac:dyDescent="0.25">
      <c r="J2319" s="1"/>
      <c r="Q2319" s="1" t="str">
        <f t="shared" si="78"/>
        <v/>
      </c>
    </row>
    <row r="2320" spans="10:17" x14ac:dyDescent="0.25">
      <c r="J2320" s="1"/>
      <c r="Q2320" s="1" t="str">
        <f t="shared" si="78"/>
        <v/>
      </c>
    </row>
    <row r="2321" spans="10:17" x14ac:dyDescent="0.25">
      <c r="J2321" s="1"/>
      <c r="Q2321" s="1" t="str">
        <f t="shared" si="78"/>
        <v/>
      </c>
    </row>
    <row r="2322" spans="10:17" x14ac:dyDescent="0.25">
      <c r="J2322" s="1"/>
      <c r="Q2322" s="1" t="str">
        <f t="shared" si="78"/>
        <v/>
      </c>
    </row>
    <row r="2323" spans="10:17" x14ac:dyDescent="0.25">
      <c r="J2323" s="1"/>
      <c r="Q2323" s="1" t="str">
        <f t="shared" si="78"/>
        <v/>
      </c>
    </row>
    <row r="2324" spans="10:17" x14ac:dyDescent="0.25">
      <c r="J2324" s="1"/>
      <c r="Q2324" s="1" t="str">
        <f t="shared" si="78"/>
        <v/>
      </c>
    </row>
    <row r="2325" spans="10:17" x14ac:dyDescent="0.25">
      <c r="J2325" s="1"/>
      <c r="Q2325" s="1" t="str">
        <f t="shared" si="78"/>
        <v/>
      </c>
    </row>
    <row r="2326" spans="10:17" x14ac:dyDescent="0.25">
      <c r="J2326" s="1"/>
      <c r="Q2326" s="1" t="str">
        <f t="shared" si="78"/>
        <v/>
      </c>
    </row>
    <row r="2327" spans="10:17" x14ac:dyDescent="0.25">
      <c r="J2327" s="1"/>
      <c r="Q2327" s="1" t="str">
        <f t="shared" si="78"/>
        <v/>
      </c>
    </row>
    <row r="2328" spans="10:17" x14ac:dyDescent="0.25">
      <c r="J2328" s="1"/>
      <c r="Q2328" s="1" t="str">
        <f t="shared" si="78"/>
        <v/>
      </c>
    </row>
    <row r="2329" spans="10:17" x14ac:dyDescent="0.25">
      <c r="J2329" s="1"/>
      <c r="Q2329" s="1" t="str">
        <f t="shared" si="78"/>
        <v/>
      </c>
    </row>
    <row r="2330" spans="10:17" x14ac:dyDescent="0.25">
      <c r="J2330" s="1"/>
      <c r="Q2330" s="1" t="str">
        <f t="shared" si="78"/>
        <v/>
      </c>
    </row>
    <row r="2331" spans="10:17" x14ac:dyDescent="0.25">
      <c r="J2331" s="1"/>
      <c r="Q2331" s="1" t="str">
        <f t="shared" si="78"/>
        <v/>
      </c>
    </row>
    <row r="2332" spans="10:17" x14ac:dyDescent="0.25">
      <c r="J2332" s="1"/>
      <c r="Q2332" s="1" t="str">
        <f t="shared" si="78"/>
        <v/>
      </c>
    </row>
    <row r="2333" spans="10:17" x14ac:dyDescent="0.25">
      <c r="J2333" s="1"/>
      <c r="Q2333" s="1" t="str">
        <f t="shared" si="78"/>
        <v/>
      </c>
    </row>
    <row r="2334" spans="10:17" x14ac:dyDescent="0.25">
      <c r="J2334" s="1"/>
      <c r="Q2334" s="1" t="str">
        <f t="shared" si="78"/>
        <v/>
      </c>
    </row>
    <row r="2335" spans="10:17" x14ac:dyDescent="0.25">
      <c r="J2335" s="1"/>
      <c r="Q2335" s="1" t="str">
        <f t="shared" si="78"/>
        <v/>
      </c>
    </row>
    <row r="2336" spans="10:17" x14ac:dyDescent="0.25">
      <c r="J2336" s="1"/>
      <c r="Q2336" s="1" t="str">
        <f t="shared" si="78"/>
        <v/>
      </c>
    </row>
    <row r="2337" spans="10:17" x14ac:dyDescent="0.25">
      <c r="J2337" s="1"/>
      <c r="Q2337" s="1" t="str">
        <f t="shared" si="78"/>
        <v/>
      </c>
    </row>
    <row r="2338" spans="10:17" x14ac:dyDescent="0.25">
      <c r="J2338" s="1"/>
      <c r="Q2338" s="1" t="str">
        <f t="shared" si="78"/>
        <v/>
      </c>
    </row>
    <row r="2339" spans="10:17" x14ac:dyDescent="0.25">
      <c r="J2339" s="1"/>
      <c r="Q2339" s="1" t="str">
        <f t="shared" si="78"/>
        <v/>
      </c>
    </row>
    <row r="2340" spans="10:17" x14ac:dyDescent="0.25">
      <c r="J2340" s="1"/>
      <c r="Q2340" s="1" t="str">
        <f t="shared" si="78"/>
        <v/>
      </c>
    </row>
    <row r="2341" spans="10:17" x14ac:dyDescent="0.25">
      <c r="J2341" s="1"/>
      <c r="Q2341" s="1" t="str">
        <f t="shared" si="78"/>
        <v/>
      </c>
    </row>
    <row r="2342" spans="10:17" x14ac:dyDescent="0.25">
      <c r="J2342" s="1"/>
      <c r="Q2342" s="1" t="str">
        <f t="shared" si="78"/>
        <v/>
      </c>
    </row>
    <row r="2343" spans="10:17" x14ac:dyDescent="0.25">
      <c r="J2343" s="1"/>
      <c r="Q2343" s="1" t="str">
        <f t="shared" si="78"/>
        <v/>
      </c>
    </row>
    <row r="2344" spans="10:17" x14ac:dyDescent="0.25">
      <c r="J2344" s="1"/>
      <c r="Q2344" s="1" t="str">
        <f t="shared" si="78"/>
        <v/>
      </c>
    </row>
    <row r="2345" spans="10:17" x14ac:dyDescent="0.25">
      <c r="J2345" s="1"/>
      <c r="Q2345" s="1" t="str">
        <f t="shared" si="78"/>
        <v/>
      </c>
    </row>
    <row r="2346" spans="10:17" x14ac:dyDescent="0.25">
      <c r="J2346" s="1"/>
      <c r="Q2346" s="1" t="str">
        <f t="shared" si="78"/>
        <v/>
      </c>
    </row>
    <row r="2347" spans="10:17" x14ac:dyDescent="0.25">
      <c r="J2347" s="1"/>
      <c r="Q2347" s="1" t="str">
        <f t="shared" si="78"/>
        <v/>
      </c>
    </row>
    <row r="2348" spans="10:17" x14ac:dyDescent="0.25">
      <c r="J2348" s="1"/>
      <c r="Q2348" s="1" t="str">
        <f t="shared" si="78"/>
        <v/>
      </c>
    </row>
    <row r="2349" spans="10:17" x14ac:dyDescent="0.25">
      <c r="J2349" s="1"/>
      <c r="Q2349" s="1" t="str">
        <f t="shared" si="78"/>
        <v/>
      </c>
    </row>
    <row r="2350" spans="10:17" x14ac:dyDescent="0.25">
      <c r="J2350" s="1"/>
      <c r="Q2350" s="1" t="str">
        <f t="shared" si="78"/>
        <v/>
      </c>
    </row>
    <row r="2351" spans="10:17" x14ac:dyDescent="0.25">
      <c r="J2351" s="1"/>
      <c r="Q2351" s="1" t="str">
        <f t="shared" si="78"/>
        <v/>
      </c>
    </row>
    <row r="2352" spans="10:17" x14ac:dyDescent="0.25">
      <c r="J2352" s="1"/>
      <c r="Q2352" s="1" t="str">
        <f t="shared" si="78"/>
        <v/>
      </c>
    </row>
    <row r="2353" spans="10:17" x14ac:dyDescent="0.25">
      <c r="J2353" s="1"/>
      <c r="Q2353" s="1" t="str">
        <f t="shared" si="78"/>
        <v/>
      </c>
    </row>
    <row r="2354" spans="10:17" x14ac:dyDescent="0.25">
      <c r="J2354" s="1"/>
      <c r="Q2354" s="1" t="str">
        <f t="shared" si="78"/>
        <v/>
      </c>
    </row>
    <row r="2355" spans="10:17" x14ac:dyDescent="0.25">
      <c r="J2355" s="1"/>
      <c r="Q2355" s="1" t="str">
        <f t="shared" si="78"/>
        <v/>
      </c>
    </row>
    <row r="2356" spans="10:17" x14ac:dyDescent="0.25">
      <c r="J2356" s="1"/>
      <c r="Q2356" s="1" t="str">
        <f t="shared" si="78"/>
        <v/>
      </c>
    </row>
    <row r="2357" spans="10:17" x14ac:dyDescent="0.25">
      <c r="J2357" s="1"/>
      <c r="Q2357" s="1" t="str">
        <f t="shared" si="78"/>
        <v/>
      </c>
    </row>
    <row r="2358" spans="10:17" x14ac:dyDescent="0.25">
      <c r="J2358" s="1"/>
      <c r="Q2358" s="1" t="str">
        <f t="shared" si="78"/>
        <v/>
      </c>
    </row>
    <row r="2359" spans="10:17" x14ac:dyDescent="0.25">
      <c r="J2359" s="1"/>
      <c r="Q2359" s="1" t="str">
        <f t="shared" si="78"/>
        <v/>
      </c>
    </row>
    <row r="2360" spans="10:17" x14ac:dyDescent="0.25">
      <c r="J2360" s="1"/>
      <c r="Q2360" s="1" t="str">
        <f t="shared" si="78"/>
        <v/>
      </c>
    </row>
    <row r="2361" spans="10:17" x14ac:dyDescent="0.25">
      <c r="J2361" s="1"/>
      <c r="Q2361" s="1" t="str">
        <f t="shared" si="78"/>
        <v/>
      </c>
    </row>
    <row r="2362" spans="10:17" x14ac:dyDescent="0.25">
      <c r="J2362" s="1"/>
      <c r="Q2362" s="1" t="str">
        <f t="shared" si="78"/>
        <v/>
      </c>
    </row>
    <row r="2363" spans="10:17" x14ac:dyDescent="0.25">
      <c r="J2363" s="1"/>
      <c r="Q2363" s="1" t="str">
        <f t="shared" si="78"/>
        <v/>
      </c>
    </row>
    <row r="2364" spans="10:17" x14ac:dyDescent="0.25">
      <c r="J2364" s="1"/>
      <c r="Q2364" s="1" t="str">
        <f t="shared" si="78"/>
        <v/>
      </c>
    </row>
    <row r="2365" spans="10:17" x14ac:dyDescent="0.25">
      <c r="J2365" s="1"/>
      <c r="Q2365" s="1" t="str">
        <f t="shared" ref="Q2365:Q2428" si="79">IF(B2365="","",1)</f>
        <v/>
      </c>
    </row>
    <row r="2366" spans="10:17" x14ac:dyDescent="0.25">
      <c r="J2366" s="1"/>
      <c r="Q2366" s="1" t="str">
        <f t="shared" si="79"/>
        <v/>
      </c>
    </row>
    <row r="2367" spans="10:17" x14ac:dyDescent="0.25">
      <c r="J2367" s="1"/>
      <c r="Q2367" s="1" t="str">
        <f t="shared" si="79"/>
        <v/>
      </c>
    </row>
    <row r="2368" spans="10:17" x14ac:dyDescent="0.25">
      <c r="J2368" s="1"/>
      <c r="Q2368" s="1" t="str">
        <f t="shared" si="79"/>
        <v/>
      </c>
    </row>
    <row r="2369" spans="10:17" x14ac:dyDescent="0.25">
      <c r="J2369" s="1"/>
      <c r="Q2369" s="1" t="str">
        <f t="shared" si="79"/>
        <v/>
      </c>
    </row>
    <row r="2370" spans="10:17" x14ac:dyDescent="0.25">
      <c r="J2370" s="1"/>
      <c r="Q2370" s="1" t="str">
        <f t="shared" si="79"/>
        <v/>
      </c>
    </row>
    <row r="2371" spans="10:17" x14ac:dyDescent="0.25">
      <c r="J2371" s="1"/>
      <c r="Q2371" s="1" t="str">
        <f t="shared" si="79"/>
        <v/>
      </c>
    </row>
    <row r="2372" spans="10:17" x14ac:dyDescent="0.25">
      <c r="J2372" s="1"/>
      <c r="Q2372" s="1" t="str">
        <f t="shared" si="79"/>
        <v/>
      </c>
    </row>
    <row r="2373" spans="10:17" x14ac:dyDescent="0.25">
      <c r="J2373" s="1"/>
      <c r="Q2373" s="1" t="str">
        <f t="shared" si="79"/>
        <v/>
      </c>
    </row>
    <row r="2374" spans="10:17" x14ac:dyDescent="0.25">
      <c r="J2374" s="1"/>
      <c r="Q2374" s="1" t="str">
        <f t="shared" si="79"/>
        <v/>
      </c>
    </row>
    <row r="2375" spans="10:17" x14ac:dyDescent="0.25">
      <c r="J2375" s="1"/>
      <c r="Q2375" s="1" t="str">
        <f t="shared" si="79"/>
        <v/>
      </c>
    </row>
    <row r="2376" spans="10:17" x14ac:dyDescent="0.25">
      <c r="J2376" s="1"/>
      <c r="Q2376" s="1" t="str">
        <f t="shared" si="79"/>
        <v/>
      </c>
    </row>
    <row r="2377" spans="10:17" x14ac:dyDescent="0.25">
      <c r="J2377" s="1"/>
      <c r="Q2377" s="1" t="str">
        <f t="shared" si="79"/>
        <v/>
      </c>
    </row>
    <row r="2378" spans="10:17" x14ac:dyDescent="0.25">
      <c r="J2378" s="1"/>
      <c r="Q2378" s="1" t="str">
        <f t="shared" si="79"/>
        <v/>
      </c>
    </row>
    <row r="2379" spans="10:17" x14ac:dyDescent="0.25">
      <c r="J2379" s="1"/>
      <c r="Q2379" s="1" t="str">
        <f t="shared" si="79"/>
        <v/>
      </c>
    </row>
    <row r="2380" spans="10:17" x14ac:dyDescent="0.25">
      <c r="J2380" s="1"/>
      <c r="Q2380" s="1" t="str">
        <f t="shared" si="79"/>
        <v/>
      </c>
    </row>
    <row r="2381" spans="10:17" x14ac:dyDescent="0.25">
      <c r="J2381" s="1"/>
      <c r="Q2381" s="1" t="str">
        <f t="shared" si="79"/>
        <v/>
      </c>
    </row>
    <row r="2382" spans="10:17" x14ac:dyDescent="0.25">
      <c r="J2382" s="1"/>
      <c r="Q2382" s="1" t="str">
        <f t="shared" si="79"/>
        <v/>
      </c>
    </row>
    <row r="2383" spans="10:17" x14ac:dyDescent="0.25">
      <c r="J2383" s="1"/>
      <c r="Q2383" s="1" t="str">
        <f t="shared" si="79"/>
        <v/>
      </c>
    </row>
    <row r="2384" spans="10:17" x14ac:dyDescent="0.25">
      <c r="J2384" s="1"/>
      <c r="Q2384" s="1" t="str">
        <f t="shared" si="79"/>
        <v/>
      </c>
    </row>
    <row r="2385" spans="10:17" x14ac:dyDescent="0.25">
      <c r="J2385" s="1"/>
      <c r="Q2385" s="1" t="str">
        <f t="shared" si="79"/>
        <v/>
      </c>
    </row>
    <row r="2386" spans="10:17" x14ac:dyDescent="0.25">
      <c r="J2386" s="1"/>
      <c r="Q2386" s="1" t="str">
        <f t="shared" si="79"/>
        <v/>
      </c>
    </row>
    <row r="2387" spans="10:17" x14ac:dyDescent="0.25">
      <c r="J2387" s="1"/>
      <c r="Q2387" s="1" t="str">
        <f t="shared" si="79"/>
        <v/>
      </c>
    </row>
    <row r="2388" spans="10:17" x14ac:dyDescent="0.25">
      <c r="J2388" s="1"/>
      <c r="Q2388" s="1" t="str">
        <f t="shared" si="79"/>
        <v/>
      </c>
    </row>
    <row r="2389" spans="10:17" x14ac:dyDescent="0.25">
      <c r="J2389" s="1"/>
      <c r="Q2389" s="1" t="str">
        <f t="shared" si="79"/>
        <v/>
      </c>
    </row>
    <row r="2390" spans="10:17" x14ac:dyDescent="0.25">
      <c r="J2390" s="1"/>
      <c r="Q2390" s="1" t="str">
        <f t="shared" si="79"/>
        <v/>
      </c>
    </row>
    <row r="2391" spans="10:17" x14ac:dyDescent="0.25">
      <c r="J2391" s="1"/>
      <c r="Q2391" s="1" t="str">
        <f t="shared" si="79"/>
        <v/>
      </c>
    </row>
    <row r="2392" spans="10:17" x14ac:dyDescent="0.25">
      <c r="J2392" s="1"/>
      <c r="Q2392" s="1" t="str">
        <f t="shared" si="79"/>
        <v/>
      </c>
    </row>
    <row r="2393" spans="10:17" x14ac:dyDescent="0.25">
      <c r="J2393" s="1"/>
      <c r="Q2393" s="1" t="str">
        <f t="shared" si="79"/>
        <v/>
      </c>
    </row>
    <row r="2394" spans="10:17" x14ac:dyDescent="0.25">
      <c r="J2394" s="1"/>
      <c r="Q2394" s="1" t="str">
        <f t="shared" si="79"/>
        <v/>
      </c>
    </row>
    <row r="2395" spans="10:17" x14ac:dyDescent="0.25">
      <c r="J2395" s="1"/>
      <c r="Q2395" s="1" t="str">
        <f t="shared" si="79"/>
        <v/>
      </c>
    </row>
    <row r="2396" spans="10:17" x14ac:dyDescent="0.25">
      <c r="J2396" s="1"/>
      <c r="Q2396" s="1" t="str">
        <f t="shared" si="79"/>
        <v/>
      </c>
    </row>
    <row r="2397" spans="10:17" x14ac:dyDescent="0.25">
      <c r="J2397" s="1"/>
      <c r="Q2397" s="1" t="str">
        <f t="shared" si="79"/>
        <v/>
      </c>
    </row>
    <row r="2398" spans="10:17" x14ac:dyDescent="0.25">
      <c r="J2398" s="1"/>
      <c r="Q2398" s="1" t="str">
        <f t="shared" si="79"/>
        <v/>
      </c>
    </row>
    <row r="2399" spans="10:17" x14ac:dyDescent="0.25">
      <c r="J2399" s="1"/>
      <c r="Q2399" s="1" t="str">
        <f t="shared" si="79"/>
        <v/>
      </c>
    </row>
    <row r="2400" spans="10:17" x14ac:dyDescent="0.25">
      <c r="J2400" s="1"/>
      <c r="Q2400" s="1" t="str">
        <f t="shared" si="79"/>
        <v/>
      </c>
    </row>
    <row r="2401" spans="10:17" x14ac:dyDescent="0.25">
      <c r="J2401" s="1"/>
      <c r="Q2401" s="1" t="str">
        <f t="shared" si="79"/>
        <v/>
      </c>
    </row>
    <row r="2402" spans="10:17" x14ac:dyDescent="0.25">
      <c r="J2402" s="1"/>
      <c r="Q2402" s="1" t="str">
        <f t="shared" si="79"/>
        <v/>
      </c>
    </row>
    <row r="2403" spans="10:17" x14ac:dyDescent="0.25">
      <c r="J2403" s="1"/>
      <c r="Q2403" s="1" t="str">
        <f t="shared" si="79"/>
        <v/>
      </c>
    </row>
    <row r="2404" spans="10:17" x14ac:dyDescent="0.25">
      <c r="J2404" s="1"/>
      <c r="Q2404" s="1" t="str">
        <f t="shared" si="79"/>
        <v/>
      </c>
    </row>
    <row r="2405" spans="10:17" x14ac:dyDescent="0.25">
      <c r="J2405" s="1"/>
      <c r="Q2405" s="1" t="str">
        <f t="shared" si="79"/>
        <v/>
      </c>
    </row>
    <row r="2406" spans="10:17" x14ac:dyDescent="0.25">
      <c r="J2406" s="1"/>
      <c r="Q2406" s="1" t="str">
        <f t="shared" si="79"/>
        <v/>
      </c>
    </row>
    <row r="2407" spans="10:17" x14ac:dyDescent="0.25">
      <c r="J2407" s="1"/>
      <c r="Q2407" s="1" t="str">
        <f t="shared" si="79"/>
        <v/>
      </c>
    </row>
    <row r="2408" spans="10:17" x14ac:dyDescent="0.25">
      <c r="J2408" s="1"/>
      <c r="Q2408" s="1" t="str">
        <f t="shared" si="79"/>
        <v/>
      </c>
    </row>
    <row r="2409" spans="10:17" x14ac:dyDescent="0.25">
      <c r="J2409" s="1"/>
      <c r="Q2409" s="1" t="str">
        <f t="shared" si="79"/>
        <v/>
      </c>
    </row>
    <row r="2410" spans="10:17" x14ac:dyDescent="0.25">
      <c r="J2410" s="1"/>
      <c r="Q2410" s="1" t="str">
        <f t="shared" si="79"/>
        <v/>
      </c>
    </row>
    <row r="2411" spans="10:17" x14ac:dyDescent="0.25">
      <c r="J2411" s="1"/>
      <c r="Q2411" s="1" t="str">
        <f t="shared" si="79"/>
        <v/>
      </c>
    </row>
    <row r="2412" spans="10:17" x14ac:dyDescent="0.25">
      <c r="J2412" s="1"/>
      <c r="Q2412" s="1" t="str">
        <f t="shared" si="79"/>
        <v/>
      </c>
    </row>
    <row r="2413" spans="10:17" x14ac:dyDescent="0.25">
      <c r="J2413" s="1"/>
      <c r="Q2413" s="1" t="str">
        <f t="shared" si="79"/>
        <v/>
      </c>
    </row>
    <row r="2414" spans="10:17" x14ac:dyDescent="0.25">
      <c r="J2414" s="1"/>
      <c r="Q2414" s="1" t="str">
        <f t="shared" si="79"/>
        <v/>
      </c>
    </row>
    <row r="2415" spans="10:17" x14ac:dyDescent="0.25">
      <c r="J2415" s="1"/>
      <c r="Q2415" s="1" t="str">
        <f t="shared" si="79"/>
        <v/>
      </c>
    </row>
    <row r="2416" spans="10:17" x14ac:dyDescent="0.25">
      <c r="J2416" s="1"/>
      <c r="Q2416" s="1" t="str">
        <f t="shared" si="79"/>
        <v/>
      </c>
    </row>
    <row r="2417" spans="10:17" x14ac:dyDescent="0.25">
      <c r="J2417" s="1"/>
      <c r="Q2417" s="1" t="str">
        <f t="shared" si="79"/>
        <v/>
      </c>
    </row>
    <row r="2418" spans="10:17" x14ac:dyDescent="0.25">
      <c r="J2418" s="1"/>
      <c r="Q2418" s="1" t="str">
        <f t="shared" si="79"/>
        <v/>
      </c>
    </row>
    <row r="2419" spans="10:17" x14ac:dyDescent="0.25">
      <c r="J2419" s="1"/>
      <c r="Q2419" s="1" t="str">
        <f t="shared" si="79"/>
        <v/>
      </c>
    </row>
    <row r="2420" spans="10:17" x14ac:dyDescent="0.25">
      <c r="J2420" s="1"/>
      <c r="Q2420" s="1" t="str">
        <f t="shared" si="79"/>
        <v/>
      </c>
    </row>
    <row r="2421" spans="10:17" x14ac:dyDescent="0.25">
      <c r="J2421" s="1"/>
      <c r="Q2421" s="1" t="str">
        <f t="shared" si="79"/>
        <v/>
      </c>
    </row>
    <row r="2422" spans="10:17" x14ac:dyDescent="0.25">
      <c r="J2422" s="1"/>
      <c r="Q2422" s="1" t="str">
        <f t="shared" si="79"/>
        <v/>
      </c>
    </row>
    <row r="2423" spans="10:17" x14ac:dyDescent="0.25">
      <c r="J2423" s="1"/>
      <c r="Q2423" s="1" t="str">
        <f t="shared" si="79"/>
        <v/>
      </c>
    </row>
    <row r="2424" spans="10:17" x14ac:dyDescent="0.25">
      <c r="J2424" s="1"/>
      <c r="Q2424" s="1" t="str">
        <f t="shared" si="79"/>
        <v/>
      </c>
    </row>
    <row r="2425" spans="10:17" x14ac:dyDescent="0.25">
      <c r="J2425" s="1"/>
      <c r="Q2425" s="1" t="str">
        <f t="shared" si="79"/>
        <v/>
      </c>
    </row>
    <row r="2426" spans="10:17" x14ac:dyDescent="0.25">
      <c r="J2426" s="1"/>
      <c r="Q2426" s="1" t="str">
        <f t="shared" si="79"/>
        <v/>
      </c>
    </row>
    <row r="2427" spans="10:17" x14ac:dyDescent="0.25">
      <c r="J2427" s="1"/>
      <c r="Q2427" s="1" t="str">
        <f t="shared" si="79"/>
        <v/>
      </c>
    </row>
    <row r="2428" spans="10:17" x14ac:dyDescent="0.25">
      <c r="J2428" s="1"/>
      <c r="Q2428" s="1" t="str">
        <f t="shared" si="79"/>
        <v/>
      </c>
    </row>
    <row r="2429" spans="10:17" x14ac:dyDescent="0.25">
      <c r="J2429" s="1"/>
      <c r="Q2429" s="1" t="str">
        <f t="shared" ref="Q2429:Q2492" si="80">IF(B2429="","",1)</f>
        <v/>
      </c>
    </row>
    <row r="2430" spans="10:17" x14ac:dyDescent="0.25">
      <c r="J2430" s="1"/>
      <c r="Q2430" s="1" t="str">
        <f t="shared" si="80"/>
        <v/>
      </c>
    </row>
    <row r="2431" spans="10:17" x14ac:dyDescent="0.25">
      <c r="J2431" s="1"/>
      <c r="Q2431" s="1" t="str">
        <f t="shared" si="80"/>
        <v/>
      </c>
    </row>
    <row r="2432" spans="10:17" x14ac:dyDescent="0.25">
      <c r="J2432" s="1"/>
      <c r="Q2432" s="1" t="str">
        <f t="shared" si="80"/>
        <v/>
      </c>
    </row>
    <row r="2433" spans="10:17" x14ac:dyDescent="0.25">
      <c r="J2433" s="1"/>
      <c r="Q2433" s="1" t="str">
        <f t="shared" si="80"/>
        <v/>
      </c>
    </row>
    <row r="2434" spans="10:17" x14ac:dyDescent="0.25">
      <c r="J2434" s="1"/>
      <c r="Q2434" s="1" t="str">
        <f t="shared" si="80"/>
        <v/>
      </c>
    </row>
    <row r="2435" spans="10:17" x14ac:dyDescent="0.25">
      <c r="J2435" s="1"/>
      <c r="Q2435" s="1" t="str">
        <f t="shared" si="80"/>
        <v/>
      </c>
    </row>
    <row r="2436" spans="10:17" x14ac:dyDescent="0.25">
      <c r="J2436" s="1"/>
      <c r="Q2436" s="1" t="str">
        <f t="shared" si="80"/>
        <v/>
      </c>
    </row>
    <row r="2437" spans="10:17" x14ac:dyDescent="0.25">
      <c r="J2437" s="1"/>
      <c r="Q2437" s="1" t="str">
        <f t="shared" si="80"/>
        <v/>
      </c>
    </row>
    <row r="2438" spans="10:17" x14ac:dyDescent="0.25">
      <c r="J2438" s="1"/>
      <c r="Q2438" s="1" t="str">
        <f t="shared" si="80"/>
        <v/>
      </c>
    </row>
    <row r="2439" spans="10:17" x14ac:dyDescent="0.25">
      <c r="J2439" s="1"/>
      <c r="Q2439" s="1" t="str">
        <f t="shared" si="80"/>
        <v/>
      </c>
    </row>
    <row r="2440" spans="10:17" x14ac:dyDescent="0.25">
      <c r="J2440" s="1"/>
      <c r="Q2440" s="1" t="str">
        <f t="shared" si="80"/>
        <v/>
      </c>
    </row>
    <row r="2441" spans="10:17" x14ac:dyDescent="0.25">
      <c r="J2441" s="1"/>
      <c r="Q2441" s="1" t="str">
        <f t="shared" si="80"/>
        <v/>
      </c>
    </row>
    <row r="2442" spans="10:17" x14ac:dyDescent="0.25">
      <c r="J2442" s="1"/>
      <c r="Q2442" s="1" t="str">
        <f t="shared" si="80"/>
        <v/>
      </c>
    </row>
    <row r="2443" spans="10:17" x14ac:dyDescent="0.25">
      <c r="J2443" s="1"/>
      <c r="Q2443" s="1" t="str">
        <f t="shared" si="80"/>
        <v/>
      </c>
    </row>
    <row r="2444" spans="10:17" x14ac:dyDescent="0.25">
      <c r="J2444" s="1"/>
      <c r="Q2444" s="1" t="str">
        <f t="shared" si="80"/>
        <v/>
      </c>
    </row>
    <row r="2445" spans="10:17" x14ac:dyDescent="0.25">
      <c r="J2445" s="1"/>
      <c r="Q2445" s="1" t="str">
        <f t="shared" si="80"/>
        <v/>
      </c>
    </row>
    <row r="2446" spans="10:17" x14ac:dyDescent="0.25">
      <c r="J2446" s="1"/>
      <c r="Q2446" s="1" t="str">
        <f t="shared" si="80"/>
        <v/>
      </c>
    </row>
    <row r="2447" spans="10:17" x14ac:dyDescent="0.25">
      <c r="J2447" s="1"/>
      <c r="Q2447" s="1" t="str">
        <f t="shared" si="80"/>
        <v/>
      </c>
    </row>
    <row r="2448" spans="10:17" x14ac:dyDescent="0.25">
      <c r="J2448" s="1"/>
      <c r="Q2448" s="1" t="str">
        <f t="shared" si="80"/>
        <v/>
      </c>
    </row>
    <row r="2449" spans="10:17" x14ac:dyDescent="0.25">
      <c r="J2449" s="1"/>
      <c r="Q2449" s="1" t="str">
        <f t="shared" si="80"/>
        <v/>
      </c>
    </row>
    <row r="2450" spans="10:17" x14ac:dyDescent="0.25">
      <c r="J2450" s="1"/>
      <c r="Q2450" s="1" t="str">
        <f t="shared" si="80"/>
        <v/>
      </c>
    </row>
    <row r="2451" spans="10:17" x14ac:dyDescent="0.25">
      <c r="J2451" s="1"/>
      <c r="Q2451" s="1" t="str">
        <f t="shared" si="80"/>
        <v/>
      </c>
    </row>
    <row r="2452" spans="10:17" x14ac:dyDescent="0.25">
      <c r="J2452" s="1"/>
      <c r="Q2452" s="1" t="str">
        <f t="shared" si="80"/>
        <v/>
      </c>
    </row>
    <row r="2453" spans="10:17" x14ac:dyDescent="0.25">
      <c r="J2453" s="1"/>
      <c r="Q2453" s="1" t="str">
        <f t="shared" si="80"/>
        <v/>
      </c>
    </row>
    <row r="2454" spans="10:17" x14ac:dyDescent="0.25">
      <c r="J2454" s="1"/>
      <c r="Q2454" s="1" t="str">
        <f t="shared" si="80"/>
        <v/>
      </c>
    </row>
    <row r="2455" spans="10:17" x14ac:dyDescent="0.25">
      <c r="J2455" s="1"/>
      <c r="Q2455" s="1" t="str">
        <f t="shared" si="80"/>
        <v/>
      </c>
    </row>
    <row r="2456" spans="10:17" x14ac:dyDescent="0.25">
      <c r="J2456" s="1"/>
      <c r="Q2456" s="1" t="str">
        <f t="shared" si="80"/>
        <v/>
      </c>
    </row>
    <row r="2457" spans="10:17" x14ac:dyDescent="0.25">
      <c r="J2457" s="1"/>
      <c r="Q2457" s="1" t="str">
        <f t="shared" si="80"/>
        <v/>
      </c>
    </row>
    <row r="2458" spans="10:17" x14ac:dyDescent="0.25">
      <c r="J2458" s="1"/>
      <c r="Q2458" s="1" t="str">
        <f t="shared" si="80"/>
        <v/>
      </c>
    </row>
    <row r="2459" spans="10:17" x14ac:dyDescent="0.25">
      <c r="J2459" s="1"/>
      <c r="Q2459" s="1" t="str">
        <f t="shared" si="80"/>
        <v/>
      </c>
    </row>
    <row r="2460" spans="10:17" x14ac:dyDescent="0.25">
      <c r="J2460" s="1"/>
      <c r="Q2460" s="1" t="str">
        <f t="shared" si="80"/>
        <v/>
      </c>
    </row>
    <row r="2461" spans="10:17" x14ac:dyDescent="0.25">
      <c r="J2461" s="1"/>
      <c r="Q2461" s="1" t="str">
        <f t="shared" si="80"/>
        <v/>
      </c>
    </row>
    <row r="2462" spans="10:17" x14ac:dyDescent="0.25">
      <c r="J2462" s="1"/>
      <c r="Q2462" s="1" t="str">
        <f t="shared" si="80"/>
        <v/>
      </c>
    </row>
    <row r="2463" spans="10:17" x14ac:dyDescent="0.25">
      <c r="J2463" s="1"/>
      <c r="Q2463" s="1" t="str">
        <f t="shared" si="80"/>
        <v/>
      </c>
    </row>
    <row r="2464" spans="10:17" x14ac:dyDescent="0.25">
      <c r="J2464" s="1"/>
      <c r="Q2464" s="1" t="str">
        <f t="shared" si="80"/>
        <v/>
      </c>
    </row>
    <row r="2465" spans="10:17" x14ac:dyDescent="0.25">
      <c r="J2465" s="1"/>
      <c r="Q2465" s="1" t="str">
        <f t="shared" si="80"/>
        <v/>
      </c>
    </row>
    <row r="2466" spans="10:17" x14ac:dyDescent="0.25">
      <c r="J2466" s="1"/>
      <c r="Q2466" s="1" t="str">
        <f t="shared" si="80"/>
        <v/>
      </c>
    </row>
    <row r="2467" spans="10:17" x14ac:dyDescent="0.25">
      <c r="J2467" s="1"/>
      <c r="Q2467" s="1" t="str">
        <f t="shared" si="80"/>
        <v/>
      </c>
    </row>
    <row r="2468" spans="10:17" x14ac:dyDescent="0.25">
      <c r="J2468" s="1"/>
      <c r="Q2468" s="1" t="str">
        <f t="shared" si="80"/>
        <v/>
      </c>
    </row>
    <row r="2469" spans="10:17" x14ac:dyDescent="0.25">
      <c r="J2469" s="1"/>
      <c r="Q2469" s="1" t="str">
        <f t="shared" si="80"/>
        <v/>
      </c>
    </row>
    <row r="2470" spans="10:17" x14ac:dyDescent="0.25">
      <c r="J2470" s="1"/>
      <c r="Q2470" s="1" t="str">
        <f t="shared" si="80"/>
        <v/>
      </c>
    </row>
    <row r="2471" spans="10:17" x14ac:dyDescent="0.25">
      <c r="J2471" s="1"/>
      <c r="Q2471" s="1" t="str">
        <f t="shared" si="80"/>
        <v/>
      </c>
    </row>
    <row r="2472" spans="10:17" x14ac:dyDescent="0.25">
      <c r="J2472" s="1"/>
      <c r="Q2472" s="1" t="str">
        <f t="shared" si="80"/>
        <v/>
      </c>
    </row>
    <row r="2473" spans="10:17" x14ac:dyDescent="0.25">
      <c r="J2473" s="1"/>
      <c r="Q2473" s="1" t="str">
        <f t="shared" si="80"/>
        <v/>
      </c>
    </row>
    <row r="2474" spans="10:17" x14ac:dyDescent="0.25">
      <c r="J2474" s="1"/>
      <c r="Q2474" s="1" t="str">
        <f t="shared" si="80"/>
        <v/>
      </c>
    </row>
    <row r="2475" spans="10:17" x14ac:dyDescent="0.25">
      <c r="J2475" s="1"/>
      <c r="Q2475" s="1" t="str">
        <f t="shared" si="80"/>
        <v/>
      </c>
    </row>
    <row r="2476" spans="10:17" x14ac:dyDescent="0.25">
      <c r="J2476" s="1"/>
      <c r="Q2476" s="1" t="str">
        <f t="shared" si="80"/>
        <v/>
      </c>
    </row>
    <row r="2477" spans="10:17" x14ac:dyDescent="0.25">
      <c r="J2477" s="1"/>
      <c r="Q2477" s="1" t="str">
        <f t="shared" si="80"/>
        <v/>
      </c>
    </row>
    <row r="2478" spans="10:17" x14ac:dyDescent="0.25">
      <c r="J2478" s="1"/>
      <c r="Q2478" s="1" t="str">
        <f t="shared" si="80"/>
        <v/>
      </c>
    </row>
    <row r="2479" spans="10:17" x14ac:dyDescent="0.25">
      <c r="J2479" s="1"/>
      <c r="Q2479" s="1" t="str">
        <f t="shared" si="80"/>
        <v/>
      </c>
    </row>
    <row r="2480" spans="10:17" x14ac:dyDescent="0.25">
      <c r="J2480" s="1"/>
      <c r="Q2480" s="1" t="str">
        <f t="shared" si="80"/>
        <v/>
      </c>
    </row>
    <row r="2481" spans="10:17" x14ac:dyDescent="0.25">
      <c r="J2481" s="1"/>
      <c r="Q2481" s="1" t="str">
        <f t="shared" si="80"/>
        <v/>
      </c>
    </row>
    <row r="2482" spans="10:17" x14ac:dyDescent="0.25">
      <c r="J2482" s="1"/>
      <c r="Q2482" s="1" t="str">
        <f t="shared" si="80"/>
        <v/>
      </c>
    </row>
    <row r="2483" spans="10:17" x14ac:dyDescent="0.25">
      <c r="J2483" s="1"/>
      <c r="Q2483" s="1" t="str">
        <f t="shared" si="80"/>
        <v/>
      </c>
    </row>
    <row r="2484" spans="10:17" x14ac:dyDescent="0.25">
      <c r="J2484" s="1"/>
      <c r="Q2484" s="1" t="str">
        <f t="shared" si="80"/>
        <v/>
      </c>
    </row>
    <row r="2485" spans="10:17" x14ac:dyDescent="0.25">
      <c r="J2485" s="1"/>
      <c r="Q2485" s="1" t="str">
        <f t="shared" si="80"/>
        <v/>
      </c>
    </row>
    <row r="2486" spans="10:17" x14ac:dyDescent="0.25">
      <c r="J2486" s="1"/>
      <c r="Q2486" s="1" t="str">
        <f t="shared" si="80"/>
        <v/>
      </c>
    </row>
    <row r="2487" spans="10:17" x14ac:dyDescent="0.25">
      <c r="J2487" s="1"/>
      <c r="Q2487" s="1" t="str">
        <f t="shared" si="80"/>
        <v/>
      </c>
    </row>
    <row r="2488" spans="10:17" x14ac:dyDescent="0.25">
      <c r="J2488" s="1"/>
      <c r="Q2488" s="1" t="str">
        <f t="shared" si="80"/>
        <v/>
      </c>
    </row>
    <row r="2489" spans="10:17" x14ac:dyDescent="0.25">
      <c r="J2489" s="1"/>
      <c r="Q2489" s="1" t="str">
        <f t="shared" si="80"/>
        <v/>
      </c>
    </row>
    <row r="2490" spans="10:17" x14ac:dyDescent="0.25">
      <c r="J2490" s="1"/>
      <c r="Q2490" s="1" t="str">
        <f t="shared" si="80"/>
        <v/>
      </c>
    </row>
    <row r="2491" spans="10:17" x14ac:dyDescent="0.25">
      <c r="J2491" s="1"/>
      <c r="Q2491" s="1" t="str">
        <f t="shared" si="80"/>
        <v/>
      </c>
    </row>
    <row r="2492" spans="10:17" x14ac:dyDescent="0.25">
      <c r="J2492" s="1"/>
      <c r="Q2492" s="1" t="str">
        <f t="shared" si="80"/>
        <v/>
      </c>
    </row>
    <row r="2493" spans="10:17" x14ac:dyDescent="0.25">
      <c r="J2493" s="1"/>
      <c r="Q2493" s="1" t="str">
        <f t="shared" ref="Q2493:Q2556" si="81">IF(B2493="","",1)</f>
        <v/>
      </c>
    </row>
    <row r="2494" spans="10:17" x14ac:dyDescent="0.25">
      <c r="J2494" s="1"/>
      <c r="Q2494" s="1" t="str">
        <f t="shared" si="81"/>
        <v/>
      </c>
    </row>
    <row r="2495" spans="10:17" x14ac:dyDescent="0.25">
      <c r="J2495" s="1"/>
      <c r="Q2495" s="1" t="str">
        <f t="shared" si="81"/>
        <v/>
      </c>
    </row>
    <row r="2496" spans="10:17" x14ac:dyDescent="0.25">
      <c r="J2496" s="1"/>
      <c r="Q2496" s="1" t="str">
        <f t="shared" si="81"/>
        <v/>
      </c>
    </row>
    <row r="2497" spans="10:17" x14ac:dyDescent="0.25">
      <c r="J2497" s="1"/>
      <c r="Q2497" s="1" t="str">
        <f t="shared" si="81"/>
        <v/>
      </c>
    </row>
    <row r="2498" spans="10:17" x14ac:dyDescent="0.25">
      <c r="J2498" s="1"/>
      <c r="Q2498" s="1" t="str">
        <f t="shared" si="81"/>
        <v/>
      </c>
    </row>
    <row r="2499" spans="10:17" x14ac:dyDescent="0.25">
      <c r="J2499" s="1"/>
      <c r="Q2499" s="1" t="str">
        <f t="shared" si="81"/>
        <v/>
      </c>
    </row>
    <row r="2500" spans="10:17" x14ac:dyDescent="0.25">
      <c r="J2500" s="1"/>
      <c r="Q2500" s="1" t="str">
        <f t="shared" si="81"/>
        <v/>
      </c>
    </row>
    <row r="2501" spans="10:17" x14ac:dyDescent="0.25">
      <c r="J2501" s="1"/>
      <c r="Q2501" s="1" t="str">
        <f t="shared" si="81"/>
        <v/>
      </c>
    </row>
    <row r="2502" spans="10:17" x14ac:dyDescent="0.25">
      <c r="J2502" s="1"/>
      <c r="Q2502" s="1" t="str">
        <f t="shared" si="81"/>
        <v/>
      </c>
    </row>
    <row r="2503" spans="10:17" x14ac:dyDescent="0.25">
      <c r="J2503" s="1"/>
      <c r="Q2503" s="1" t="str">
        <f t="shared" si="81"/>
        <v/>
      </c>
    </row>
    <row r="2504" spans="10:17" x14ac:dyDescent="0.25">
      <c r="J2504" s="1"/>
      <c r="Q2504" s="1" t="str">
        <f t="shared" si="81"/>
        <v/>
      </c>
    </row>
    <row r="2505" spans="10:17" x14ac:dyDescent="0.25">
      <c r="J2505" s="1"/>
      <c r="Q2505" s="1" t="str">
        <f t="shared" si="81"/>
        <v/>
      </c>
    </row>
    <row r="2506" spans="10:17" x14ac:dyDescent="0.25">
      <c r="J2506" s="1"/>
      <c r="Q2506" s="1" t="str">
        <f t="shared" si="81"/>
        <v/>
      </c>
    </row>
    <row r="2507" spans="10:17" x14ac:dyDescent="0.25">
      <c r="J2507" s="1"/>
      <c r="Q2507" s="1" t="str">
        <f t="shared" si="81"/>
        <v/>
      </c>
    </row>
    <row r="2508" spans="10:17" x14ac:dyDescent="0.25">
      <c r="J2508" s="1"/>
      <c r="Q2508" s="1" t="str">
        <f t="shared" si="81"/>
        <v/>
      </c>
    </row>
    <row r="2509" spans="10:17" x14ac:dyDescent="0.25">
      <c r="J2509" s="1"/>
      <c r="Q2509" s="1" t="str">
        <f t="shared" si="81"/>
        <v/>
      </c>
    </row>
    <row r="2510" spans="10:17" x14ac:dyDescent="0.25">
      <c r="J2510" s="1"/>
      <c r="Q2510" s="1" t="str">
        <f t="shared" si="81"/>
        <v/>
      </c>
    </row>
    <row r="2511" spans="10:17" x14ac:dyDescent="0.25">
      <c r="J2511" s="1"/>
      <c r="Q2511" s="1" t="str">
        <f t="shared" si="81"/>
        <v/>
      </c>
    </row>
    <row r="2512" spans="10:17" x14ac:dyDescent="0.25">
      <c r="J2512" s="1"/>
      <c r="Q2512" s="1" t="str">
        <f t="shared" si="81"/>
        <v/>
      </c>
    </row>
    <row r="2513" spans="10:17" x14ac:dyDescent="0.25">
      <c r="J2513" s="1"/>
      <c r="Q2513" s="1" t="str">
        <f t="shared" si="81"/>
        <v/>
      </c>
    </row>
    <row r="2514" spans="10:17" x14ac:dyDescent="0.25">
      <c r="J2514" s="1"/>
      <c r="Q2514" s="1" t="str">
        <f t="shared" si="81"/>
        <v/>
      </c>
    </row>
    <row r="2515" spans="10:17" x14ac:dyDescent="0.25">
      <c r="J2515" s="1"/>
      <c r="Q2515" s="1" t="str">
        <f t="shared" si="81"/>
        <v/>
      </c>
    </row>
    <row r="2516" spans="10:17" x14ac:dyDescent="0.25">
      <c r="J2516" s="1"/>
      <c r="Q2516" s="1" t="str">
        <f t="shared" si="81"/>
        <v/>
      </c>
    </row>
    <row r="2517" spans="10:17" x14ac:dyDescent="0.25">
      <c r="J2517" s="1"/>
      <c r="Q2517" s="1" t="str">
        <f t="shared" si="81"/>
        <v/>
      </c>
    </row>
    <row r="2518" spans="10:17" x14ac:dyDescent="0.25">
      <c r="J2518" s="1"/>
      <c r="Q2518" s="1" t="str">
        <f t="shared" si="81"/>
        <v/>
      </c>
    </row>
    <row r="2519" spans="10:17" x14ac:dyDescent="0.25">
      <c r="J2519" s="1"/>
      <c r="Q2519" s="1" t="str">
        <f t="shared" si="81"/>
        <v/>
      </c>
    </row>
    <row r="2520" spans="10:17" x14ac:dyDescent="0.25">
      <c r="J2520" s="1"/>
      <c r="Q2520" s="1" t="str">
        <f t="shared" si="81"/>
        <v/>
      </c>
    </row>
    <row r="2521" spans="10:17" x14ac:dyDescent="0.25">
      <c r="J2521" s="1"/>
      <c r="Q2521" s="1" t="str">
        <f t="shared" si="81"/>
        <v/>
      </c>
    </row>
    <row r="2522" spans="10:17" x14ac:dyDescent="0.25">
      <c r="J2522" s="1"/>
      <c r="Q2522" s="1" t="str">
        <f t="shared" si="81"/>
        <v/>
      </c>
    </row>
    <row r="2523" spans="10:17" x14ac:dyDescent="0.25">
      <c r="J2523" s="1"/>
      <c r="Q2523" s="1" t="str">
        <f t="shared" si="81"/>
        <v/>
      </c>
    </row>
    <row r="2524" spans="10:17" x14ac:dyDescent="0.25">
      <c r="J2524" s="1"/>
      <c r="Q2524" s="1" t="str">
        <f t="shared" si="81"/>
        <v/>
      </c>
    </row>
    <row r="2525" spans="10:17" x14ac:dyDescent="0.25">
      <c r="J2525" s="1"/>
      <c r="Q2525" s="1" t="str">
        <f t="shared" si="81"/>
        <v/>
      </c>
    </row>
    <row r="2526" spans="10:17" x14ac:dyDescent="0.25">
      <c r="J2526" s="1"/>
      <c r="Q2526" s="1" t="str">
        <f t="shared" si="81"/>
        <v/>
      </c>
    </row>
    <row r="2527" spans="10:17" x14ac:dyDescent="0.25">
      <c r="J2527" s="1"/>
      <c r="Q2527" s="1" t="str">
        <f t="shared" si="81"/>
        <v/>
      </c>
    </row>
    <row r="2528" spans="10:17" x14ac:dyDescent="0.25">
      <c r="J2528" s="1"/>
      <c r="Q2528" s="1" t="str">
        <f t="shared" si="81"/>
        <v/>
      </c>
    </row>
    <row r="2529" spans="10:17" x14ac:dyDescent="0.25">
      <c r="J2529" s="1"/>
      <c r="Q2529" s="1" t="str">
        <f t="shared" si="81"/>
        <v/>
      </c>
    </row>
    <row r="2530" spans="10:17" x14ac:dyDescent="0.25">
      <c r="J2530" s="1"/>
      <c r="Q2530" s="1" t="str">
        <f t="shared" si="81"/>
        <v/>
      </c>
    </row>
    <row r="2531" spans="10:17" x14ac:dyDescent="0.25">
      <c r="J2531" s="1"/>
      <c r="Q2531" s="1" t="str">
        <f t="shared" si="81"/>
        <v/>
      </c>
    </row>
    <row r="2532" spans="10:17" x14ac:dyDescent="0.25">
      <c r="J2532" s="1"/>
      <c r="Q2532" s="1" t="str">
        <f t="shared" si="81"/>
        <v/>
      </c>
    </row>
    <row r="2533" spans="10:17" x14ac:dyDescent="0.25">
      <c r="J2533" s="1"/>
      <c r="Q2533" s="1" t="str">
        <f t="shared" si="81"/>
        <v/>
      </c>
    </row>
    <row r="2534" spans="10:17" x14ac:dyDescent="0.25">
      <c r="J2534" s="1"/>
      <c r="Q2534" s="1" t="str">
        <f t="shared" si="81"/>
        <v/>
      </c>
    </row>
    <row r="2535" spans="10:17" x14ac:dyDescent="0.25">
      <c r="J2535" s="1"/>
      <c r="Q2535" s="1" t="str">
        <f t="shared" si="81"/>
        <v/>
      </c>
    </row>
    <row r="2536" spans="10:17" x14ac:dyDescent="0.25">
      <c r="J2536" s="1"/>
      <c r="Q2536" s="1" t="str">
        <f t="shared" si="81"/>
        <v/>
      </c>
    </row>
    <row r="2537" spans="10:17" x14ac:dyDescent="0.25">
      <c r="J2537" s="1"/>
      <c r="Q2537" s="1" t="str">
        <f t="shared" si="81"/>
        <v/>
      </c>
    </row>
    <row r="2538" spans="10:17" x14ac:dyDescent="0.25">
      <c r="J2538" s="1"/>
      <c r="Q2538" s="1" t="str">
        <f t="shared" si="81"/>
        <v/>
      </c>
    </row>
    <row r="2539" spans="10:17" x14ac:dyDescent="0.25">
      <c r="J2539" s="1"/>
      <c r="Q2539" s="1" t="str">
        <f t="shared" si="81"/>
        <v/>
      </c>
    </row>
    <row r="2540" spans="10:17" x14ac:dyDescent="0.25">
      <c r="J2540" s="1"/>
      <c r="Q2540" s="1" t="str">
        <f t="shared" si="81"/>
        <v/>
      </c>
    </row>
    <row r="2541" spans="10:17" x14ac:dyDescent="0.25">
      <c r="J2541" s="1"/>
      <c r="Q2541" s="1" t="str">
        <f t="shared" si="81"/>
        <v/>
      </c>
    </row>
    <row r="2542" spans="10:17" x14ac:dyDescent="0.25">
      <c r="J2542" s="1"/>
      <c r="Q2542" s="1" t="str">
        <f t="shared" si="81"/>
        <v/>
      </c>
    </row>
    <row r="2543" spans="10:17" x14ac:dyDescent="0.25">
      <c r="J2543" s="1"/>
      <c r="Q2543" s="1" t="str">
        <f t="shared" si="81"/>
        <v/>
      </c>
    </row>
    <row r="2544" spans="10:17" x14ac:dyDescent="0.25">
      <c r="J2544" s="1"/>
      <c r="Q2544" s="1" t="str">
        <f t="shared" si="81"/>
        <v/>
      </c>
    </row>
    <row r="2545" spans="10:17" x14ac:dyDescent="0.25">
      <c r="J2545" s="1"/>
      <c r="Q2545" s="1" t="str">
        <f t="shared" si="81"/>
        <v/>
      </c>
    </row>
    <row r="2546" spans="10:17" x14ac:dyDescent="0.25">
      <c r="J2546" s="1"/>
      <c r="Q2546" s="1" t="str">
        <f t="shared" si="81"/>
        <v/>
      </c>
    </row>
    <row r="2547" spans="10:17" x14ac:dyDescent="0.25">
      <c r="J2547" s="1"/>
      <c r="Q2547" s="1" t="str">
        <f t="shared" si="81"/>
        <v/>
      </c>
    </row>
    <row r="2548" spans="10:17" x14ac:dyDescent="0.25">
      <c r="J2548" s="1"/>
      <c r="Q2548" s="1" t="str">
        <f t="shared" si="81"/>
        <v/>
      </c>
    </row>
    <row r="2549" spans="10:17" x14ac:dyDescent="0.25">
      <c r="J2549" s="1"/>
      <c r="Q2549" s="1" t="str">
        <f t="shared" si="81"/>
        <v/>
      </c>
    </row>
    <row r="2550" spans="10:17" x14ac:dyDescent="0.25">
      <c r="J2550" s="1"/>
      <c r="Q2550" s="1" t="str">
        <f t="shared" si="81"/>
        <v/>
      </c>
    </row>
    <row r="2551" spans="10:17" x14ac:dyDescent="0.25">
      <c r="J2551" s="1"/>
      <c r="Q2551" s="1" t="str">
        <f t="shared" si="81"/>
        <v/>
      </c>
    </row>
    <row r="2552" spans="10:17" x14ac:dyDescent="0.25">
      <c r="J2552" s="1"/>
      <c r="Q2552" s="1" t="str">
        <f t="shared" si="81"/>
        <v/>
      </c>
    </row>
    <row r="2553" spans="10:17" x14ac:dyDescent="0.25">
      <c r="J2553" s="1"/>
      <c r="Q2553" s="1" t="str">
        <f t="shared" si="81"/>
        <v/>
      </c>
    </row>
    <row r="2554" spans="10:17" x14ac:dyDescent="0.25">
      <c r="J2554" s="1"/>
      <c r="Q2554" s="1" t="str">
        <f t="shared" si="81"/>
        <v/>
      </c>
    </row>
    <row r="2555" spans="10:17" x14ac:dyDescent="0.25">
      <c r="J2555" s="1"/>
      <c r="Q2555" s="1" t="str">
        <f t="shared" si="81"/>
        <v/>
      </c>
    </row>
    <row r="2556" spans="10:17" x14ac:dyDescent="0.25">
      <c r="J2556" s="1"/>
      <c r="Q2556" s="1" t="str">
        <f t="shared" si="81"/>
        <v/>
      </c>
    </row>
    <row r="2557" spans="10:17" x14ac:dyDescent="0.25">
      <c r="J2557" s="1"/>
      <c r="Q2557" s="1" t="str">
        <f t="shared" ref="Q2557:Q2620" si="82">IF(B2557="","",1)</f>
        <v/>
      </c>
    </row>
    <row r="2558" spans="10:17" x14ac:dyDescent="0.25">
      <c r="J2558" s="1"/>
      <c r="Q2558" s="1" t="str">
        <f t="shared" si="82"/>
        <v/>
      </c>
    </row>
    <row r="2559" spans="10:17" x14ac:dyDescent="0.25">
      <c r="J2559" s="1"/>
      <c r="Q2559" s="1" t="str">
        <f t="shared" si="82"/>
        <v/>
      </c>
    </row>
    <row r="2560" spans="10:17" x14ac:dyDescent="0.25">
      <c r="J2560" s="1"/>
      <c r="Q2560" s="1" t="str">
        <f t="shared" si="82"/>
        <v/>
      </c>
    </row>
    <row r="2561" spans="10:17" x14ac:dyDescent="0.25">
      <c r="J2561" s="1"/>
      <c r="Q2561" s="1" t="str">
        <f t="shared" si="82"/>
        <v/>
      </c>
    </row>
    <row r="2562" spans="10:17" x14ac:dyDescent="0.25">
      <c r="J2562" s="1"/>
      <c r="Q2562" s="1" t="str">
        <f t="shared" si="82"/>
        <v/>
      </c>
    </row>
    <row r="2563" spans="10:17" x14ac:dyDescent="0.25">
      <c r="J2563" s="1"/>
      <c r="Q2563" s="1" t="str">
        <f t="shared" si="82"/>
        <v/>
      </c>
    </row>
    <row r="2564" spans="10:17" x14ac:dyDescent="0.25">
      <c r="J2564" s="1"/>
      <c r="Q2564" s="1" t="str">
        <f t="shared" si="82"/>
        <v/>
      </c>
    </row>
    <row r="2565" spans="10:17" x14ac:dyDescent="0.25">
      <c r="J2565" s="1"/>
      <c r="Q2565" s="1" t="str">
        <f t="shared" si="82"/>
        <v/>
      </c>
    </row>
    <row r="2566" spans="10:17" x14ac:dyDescent="0.25">
      <c r="J2566" s="1"/>
      <c r="Q2566" s="1" t="str">
        <f t="shared" si="82"/>
        <v/>
      </c>
    </row>
    <row r="2567" spans="10:17" x14ac:dyDescent="0.25">
      <c r="J2567" s="1"/>
      <c r="Q2567" s="1" t="str">
        <f t="shared" si="82"/>
        <v/>
      </c>
    </row>
    <row r="2568" spans="10:17" x14ac:dyDescent="0.25">
      <c r="J2568" s="1"/>
      <c r="Q2568" s="1" t="str">
        <f t="shared" si="82"/>
        <v/>
      </c>
    </row>
    <row r="2569" spans="10:17" x14ac:dyDescent="0.25">
      <c r="J2569" s="1"/>
      <c r="Q2569" s="1" t="str">
        <f t="shared" si="82"/>
        <v/>
      </c>
    </row>
    <row r="2570" spans="10:17" x14ac:dyDescent="0.25">
      <c r="J2570" s="1"/>
      <c r="Q2570" s="1" t="str">
        <f t="shared" si="82"/>
        <v/>
      </c>
    </row>
    <row r="2571" spans="10:17" x14ac:dyDescent="0.25">
      <c r="J2571" s="1"/>
      <c r="Q2571" s="1" t="str">
        <f t="shared" si="82"/>
        <v/>
      </c>
    </row>
    <row r="2572" spans="10:17" x14ac:dyDescent="0.25">
      <c r="J2572" s="1"/>
      <c r="Q2572" s="1" t="str">
        <f t="shared" si="82"/>
        <v/>
      </c>
    </row>
    <row r="2573" spans="10:17" x14ac:dyDescent="0.25">
      <c r="J2573" s="1"/>
      <c r="Q2573" s="1" t="str">
        <f t="shared" si="82"/>
        <v/>
      </c>
    </row>
    <row r="2574" spans="10:17" x14ac:dyDescent="0.25">
      <c r="J2574" s="1"/>
      <c r="Q2574" s="1" t="str">
        <f t="shared" si="82"/>
        <v/>
      </c>
    </row>
    <row r="2575" spans="10:17" x14ac:dyDescent="0.25">
      <c r="J2575" s="1"/>
      <c r="Q2575" s="1" t="str">
        <f t="shared" si="82"/>
        <v/>
      </c>
    </row>
    <row r="2576" spans="10:17" x14ac:dyDescent="0.25">
      <c r="J2576" s="1"/>
      <c r="Q2576" s="1" t="str">
        <f t="shared" si="82"/>
        <v/>
      </c>
    </row>
    <row r="2577" spans="10:17" x14ac:dyDescent="0.25">
      <c r="J2577" s="1"/>
      <c r="Q2577" s="1" t="str">
        <f t="shared" si="82"/>
        <v/>
      </c>
    </row>
    <row r="2578" spans="10:17" x14ac:dyDescent="0.25">
      <c r="J2578" s="1"/>
      <c r="Q2578" s="1" t="str">
        <f t="shared" si="82"/>
        <v/>
      </c>
    </row>
    <row r="2579" spans="10:17" x14ac:dyDescent="0.25">
      <c r="J2579" s="1"/>
      <c r="Q2579" s="1" t="str">
        <f t="shared" si="82"/>
        <v/>
      </c>
    </row>
    <row r="2580" spans="10:17" x14ac:dyDescent="0.25">
      <c r="J2580" s="1"/>
      <c r="Q2580" s="1" t="str">
        <f t="shared" si="82"/>
        <v/>
      </c>
    </row>
    <row r="2581" spans="10:17" x14ac:dyDescent="0.25">
      <c r="J2581" s="1"/>
      <c r="Q2581" s="1" t="str">
        <f t="shared" si="82"/>
        <v/>
      </c>
    </row>
    <row r="2582" spans="10:17" x14ac:dyDescent="0.25">
      <c r="J2582" s="1"/>
      <c r="Q2582" s="1" t="str">
        <f t="shared" si="82"/>
        <v/>
      </c>
    </row>
    <row r="2583" spans="10:17" x14ac:dyDescent="0.25">
      <c r="J2583" s="1"/>
      <c r="Q2583" s="1" t="str">
        <f t="shared" si="82"/>
        <v/>
      </c>
    </row>
    <row r="2584" spans="10:17" x14ac:dyDescent="0.25">
      <c r="J2584" s="1"/>
      <c r="Q2584" s="1" t="str">
        <f t="shared" si="82"/>
        <v/>
      </c>
    </row>
    <row r="2585" spans="10:17" x14ac:dyDescent="0.25">
      <c r="J2585" s="1"/>
      <c r="Q2585" s="1" t="str">
        <f t="shared" si="82"/>
        <v/>
      </c>
    </row>
    <row r="2586" spans="10:17" x14ac:dyDescent="0.25">
      <c r="J2586" s="1"/>
      <c r="Q2586" s="1" t="str">
        <f t="shared" si="82"/>
        <v/>
      </c>
    </row>
    <row r="2587" spans="10:17" x14ac:dyDescent="0.25">
      <c r="J2587" s="1"/>
      <c r="Q2587" s="1" t="str">
        <f t="shared" si="82"/>
        <v/>
      </c>
    </row>
    <row r="2588" spans="10:17" x14ac:dyDescent="0.25">
      <c r="J2588" s="1"/>
      <c r="Q2588" s="1" t="str">
        <f t="shared" si="82"/>
        <v/>
      </c>
    </row>
    <row r="2589" spans="10:17" x14ac:dyDescent="0.25">
      <c r="J2589" s="1"/>
      <c r="Q2589" s="1" t="str">
        <f t="shared" si="82"/>
        <v/>
      </c>
    </row>
    <row r="2590" spans="10:17" x14ac:dyDescent="0.25">
      <c r="J2590" s="1"/>
      <c r="Q2590" s="1" t="str">
        <f t="shared" si="82"/>
        <v/>
      </c>
    </row>
    <row r="2591" spans="10:17" x14ac:dyDescent="0.25">
      <c r="J2591" s="1"/>
      <c r="Q2591" s="1" t="str">
        <f t="shared" si="82"/>
        <v/>
      </c>
    </row>
    <row r="2592" spans="10:17" x14ac:dyDescent="0.25">
      <c r="J2592" s="1"/>
      <c r="Q2592" s="1" t="str">
        <f t="shared" si="82"/>
        <v/>
      </c>
    </row>
    <row r="2593" spans="10:17" x14ac:dyDescent="0.25">
      <c r="J2593" s="1"/>
      <c r="Q2593" s="1" t="str">
        <f t="shared" si="82"/>
        <v/>
      </c>
    </row>
    <row r="2594" spans="10:17" x14ac:dyDescent="0.25">
      <c r="J2594" s="1"/>
      <c r="Q2594" s="1" t="str">
        <f t="shared" si="82"/>
        <v/>
      </c>
    </row>
    <row r="2595" spans="10:17" x14ac:dyDescent="0.25">
      <c r="J2595" s="1"/>
      <c r="Q2595" s="1" t="str">
        <f t="shared" si="82"/>
        <v/>
      </c>
    </row>
    <row r="2596" spans="10:17" x14ac:dyDescent="0.25">
      <c r="J2596" s="1"/>
      <c r="Q2596" s="1" t="str">
        <f t="shared" si="82"/>
        <v/>
      </c>
    </row>
    <row r="2597" spans="10:17" x14ac:dyDescent="0.25">
      <c r="J2597" s="1"/>
      <c r="Q2597" s="1" t="str">
        <f t="shared" si="82"/>
        <v/>
      </c>
    </row>
    <row r="2598" spans="10:17" x14ac:dyDescent="0.25">
      <c r="J2598" s="1"/>
      <c r="Q2598" s="1" t="str">
        <f t="shared" si="82"/>
        <v/>
      </c>
    </row>
    <row r="2599" spans="10:17" x14ac:dyDescent="0.25">
      <c r="J2599" s="1"/>
      <c r="Q2599" s="1" t="str">
        <f t="shared" si="82"/>
        <v/>
      </c>
    </row>
    <row r="2600" spans="10:17" x14ac:dyDescent="0.25">
      <c r="J2600" s="1"/>
      <c r="Q2600" s="1" t="str">
        <f t="shared" si="82"/>
        <v/>
      </c>
    </row>
    <row r="2601" spans="10:17" x14ac:dyDescent="0.25">
      <c r="J2601" s="1"/>
      <c r="Q2601" s="1" t="str">
        <f t="shared" si="82"/>
        <v/>
      </c>
    </row>
    <row r="2602" spans="10:17" x14ac:dyDescent="0.25">
      <c r="J2602" s="1"/>
      <c r="Q2602" s="1" t="str">
        <f t="shared" si="82"/>
        <v/>
      </c>
    </row>
    <row r="2603" spans="10:17" x14ac:dyDescent="0.25">
      <c r="J2603" s="1"/>
      <c r="Q2603" s="1" t="str">
        <f t="shared" si="82"/>
        <v/>
      </c>
    </row>
    <row r="2604" spans="10:17" x14ac:dyDescent="0.25">
      <c r="J2604" s="1"/>
      <c r="Q2604" s="1" t="str">
        <f t="shared" si="82"/>
        <v/>
      </c>
    </row>
    <row r="2605" spans="10:17" x14ac:dyDescent="0.25">
      <c r="J2605" s="1"/>
      <c r="Q2605" s="1" t="str">
        <f t="shared" si="82"/>
        <v/>
      </c>
    </row>
    <row r="2606" spans="10:17" x14ac:dyDescent="0.25">
      <c r="J2606" s="1"/>
      <c r="Q2606" s="1" t="str">
        <f t="shared" si="82"/>
        <v/>
      </c>
    </row>
    <row r="2607" spans="10:17" x14ac:dyDescent="0.25">
      <c r="J2607" s="1"/>
      <c r="Q2607" s="1" t="str">
        <f t="shared" si="82"/>
        <v/>
      </c>
    </row>
    <row r="2608" spans="10:17" x14ac:dyDescent="0.25">
      <c r="J2608" s="1"/>
      <c r="Q2608" s="1" t="str">
        <f t="shared" si="82"/>
        <v/>
      </c>
    </row>
    <row r="2609" spans="10:17" x14ac:dyDescent="0.25">
      <c r="J2609" s="1"/>
      <c r="Q2609" s="1" t="str">
        <f t="shared" si="82"/>
        <v/>
      </c>
    </row>
    <row r="2610" spans="10:17" x14ac:dyDescent="0.25">
      <c r="J2610" s="1"/>
      <c r="Q2610" s="1" t="str">
        <f t="shared" si="82"/>
        <v/>
      </c>
    </row>
    <row r="2611" spans="10:17" x14ac:dyDescent="0.25">
      <c r="J2611" s="1"/>
      <c r="Q2611" s="1" t="str">
        <f t="shared" si="82"/>
        <v/>
      </c>
    </row>
    <row r="2612" spans="10:17" x14ac:dyDescent="0.25">
      <c r="J2612" s="1"/>
      <c r="Q2612" s="1" t="str">
        <f t="shared" si="82"/>
        <v/>
      </c>
    </row>
    <row r="2613" spans="10:17" x14ac:dyDescent="0.25">
      <c r="J2613" s="1"/>
      <c r="Q2613" s="1" t="str">
        <f t="shared" si="82"/>
        <v/>
      </c>
    </row>
    <row r="2614" spans="10:17" x14ac:dyDescent="0.25">
      <c r="J2614" s="1"/>
      <c r="Q2614" s="1" t="str">
        <f t="shared" si="82"/>
        <v/>
      </c>
    </row>
    <row r="2615" spans="10:17" x14ac:dyDescent="0.25">
      <c r="J2615" s="1"/>
      <c r="Q2615" s="1" t="str">
        <f t="shared" si="82"/>
        <v/>
      </c>
    </row>
    <row r="2616" spans="10:17" x14ac:dyDescent="0.25">
      <c r="J2616" s="1"/>
      <c r="Q2616" s="1" t="str">
        <f t="shared" si="82"/>
        <v/>
      </c>
    </row>
    <row r="2617" spans="10:17" x14ac:dyDescent="0.25">
      <c r="J2617" s="1"/>
      <c r="Q2617" s="1" t="str">
        <f t="shared" si="82"/>
        <v/>
      </c>
    </row>
    <row r="2618" spans="10:17" x14ac:dyDescent="0.25">
      <c r="J2618" s="1"/>
      <c r="Q2618" s="1" t="str">
        <f t="shared" si="82"/>
        <v/>
      </c>
    </row>
    <row r="2619" spans="10:17" x14ac:dyDescent="0.25">
      <c r="J2619" s="1"/>
      <c r="Q2619" s="1" t="str">
        <f t="shared" si="82"/>
        <v/>
      </c>
    </row>
    <row r="2620" spans="10:17" x14ac:dyDescent="0.25">
      <c r="J2620" s="1"/>
      <c r="Q2620" s="1" t="str">
        <f t="shared" si="82"/>
        <v/>
      </c>
    </row>
    <row r="2621" spans="10:17" x14ac:dyDescent="0.25">
      <c r="J2621" s="1"/>
      <c r="Q2621" s="1" t="str">
        <f t="shared" ref="Q2621:Q2684" si="83">IF(B2621="","",1)</f>
        <v/>
      </c>
    </row>
    <row r="2622" spans="10:17" x14ac:dyDescent="0.25">
      <c r="J2622" s="1"/>
      <c r="Q2622" s="1" t="str">
        <f t="shared" si="83"/>
        <v/>
      </c>
    </row>
    <row r="2623" spans="10:17" x14ac:dyDescent="0.25">
      <c r="J2623" s="1"/>
      <c r="Q2623" s="1" t="str">
        <f t="shared" si="83"/>
        <v/>
      </c>
    </row>
    <row r="2624" spans="10:17" x14ac:dyDescent="0.25">
      <c r="J2624" s="1"/>
      <c r="Q2624" s="1" t="str">
        <f t="shared" si="83"/>
        <v/>
      </c>
    </row>
    <row r="2625" spans="10:17" x14ac:dyDescent="0.25">
      <c r="J2625" s="1"/>
      <c r="Q2625" s="1" t="str">
        <f t="shared" si="83"/>
        <v/>
      </c>
    </row>
    <row r="2626" spans="10:17" x14ac:dyDescent="0.25">
      <c r="J2626" s="1"/>
      <c r="Q2626" s="1" t="str">
        <f t="shared" si="83"/>
        <v/>
      </c>
    </row>
    <row r="2627" spans="10:17" x14ac:dyDescent="0.25">
      <c r="J2627" s="1"/>
      <c r="Q2627" s="1" t="str">
        <f t="shared" si="83"/>
        <v/>
      </c>
    </row>
    <row r="2628" spans="10:17" x14ac:dyDescent="0.25">
      <c r="J2628" s="1"/>
      <c r="Q2628" s="1" t="str">
        <f t="shared" si="83"/>
        <v/>
      </c>
    </row>
    <row r="2629" spans="10:17" x14ac:dyDescent="0.25">
      <c r="J2629" s="1"/>
      <c r="Q2629" s="1" t="str">
        <f t="shared" si="83"/>
        <v/>
      </c>
    </row>
    <row r="2630" spans="10:17" x14ac:dyDescent="0.25">
      <c r="J2630" s="1"/>
      <c r="Q2630" s="1" t="str">
        <f t="shared" si="83"/>
        <v/>
      </c>
    </row>
    <row r="2631" spans="10:17" x14ac:dyDescent="0.25">
      <c r="J2631" s="1"/>
      <c r="Q2631" s="1" t="str">
        <f t="shared" si="83"/>
        <v/>
      </c>
    </row>
    <row r="2632" spans="10:17" x14ac:dyDescent="0.25">
      <c r="J2632" s="1"/>
      <c r="Q2632" s="1" t="str">
        <f t="shared" si="83"/>
        <v/>
      </c>
    </row>
    <row r="2633" spans="10:17" x14ac:dyDescent="0.25">
      <c r="J2633" s="1"/>
      <c r="Q2633" s="1" t="str">
        <f t="shared" si="83"/>
        <v/>
      </c>
    </row>
    <row r="2634" spans="10:17" x14ac:dyDescent="0.25">
      <c r="J2634" s="1"/>
      <c r="Q2634" s="1" t="str">
        <f t="shared" si="83"/>
        <v/>
      </c>
    </row>
    <row r="2635" spans="10:17" x14ac:dyDescent="0.25">
      <c r="J2635" s="1"/>
      <c r="Q2635" s="1" t="str">
        <f t="shared" si="83"/>
        <v/>
      </c>
    </row>
    <row r="2636" spans="10:17" x14ac:dyDescent="0.25">
      <c r="J2636" s="1"/>
      <c r="Q2636" s="1" t="str">
        <f t="shared" si="83"/>
        <v/>
      </c>
    </row>
    <row r="2637" spans="10:17" x14ac:dyDescent="0.25">
      <c r="J2637" s="1"/>
      <c r="Q2637" s="1" t="str">
        <f t="shared" si="83"/>
        <v/>
      </c>
    </row>
    <row r="2638" spans="10:17" x14ac:dyDescent="0.25">
      <c r="J2638" s="1"/>
      <c r="Q2638" s="1" t="str">
        <f t="shared" si="83"/>
        <v/>
      </c>
    </row>
    <row r="2639" spans="10:17" x14ac:dyDescent="0.25">
      <c r="J2639" s="1"/>
      <c r="Q2639" s="1" t="str">
        <f t="shared" si="83"/>
        <v/>
      </c>
    </row>
    <row r="2640" spans="10:17" x14ac:dyDescent="0.25">
      <c r="J2640" s="1"/>
      <c r="Q2640" s="1" t="str">
        <f t="shared" si="83"/>
        <v/>
      </c>
    </row>
    <row r="2641" spans="10:17" x14ac:dyDescent="0.25">
      <c r="J2641" s="1"/>
      <c r="Q2641" s="1" t="str">
        <f t="shared" si="83"/>
        <v/>
      </c>
    </row>
    <row r="2642" spans="10:17" x14ac:dyDescent="0.25">
      <c r="J2642" s="1"/>
      <c r="Q2642" s="1" t="str">
        <f t="shared" si="83"/>
        <v/>
      </c>
    </row>
    <row r="2643" spans="10:17" x14ac:dyDescent="0.25">
      <c r="J2643" s="1"/>
      <c r="Q2643" s="1" t="str">
        <f t="shared" si="83"/>
        <v/>
      </c>
    </row>
    <row r="2644" spans="10:17" x14ac:dyDescent="0.25">
      <c r="J2644" s="1"/>
      <c r="Q2644" s="1" t="str">
        <f t="shared" si="83"/>
        <v/>
      </c>
    </row>
    <row r="2645" spans="10:17" x14ac:dyDescent="0.25">
      <c r="J2645" s="1"/>
      <c r="Q2645" s="1" t="str">
        <f t="shared" si="83"/>
        <v/>
      </c>
    </row>
    <row r="2646" spans="10:17" x14ac:dyDescent="0.25">
      <c r="J2646" s="1"/>
      <c r="Q2646" s="1" t="str">
        <f t="shared" si="83"/>
        <v/>
      </c>
    </row>
    <row r="2647" spans="10:17" x14ac:dyDescent="0.25">
      <c r="J2647" s="1"/>
      <c r="Q2647" s="1" t="str">
        <f t="shared" si="83"/>
        <v/>
      </c>
    </row>
    <row r="2648" spans="10:17" x14ac:dyDescent="0.25">
      <c r="J2648" s="1"/>
      <c r="Q2648" s="1" t="str">
        <f t="shared" si="83"/>
        <v/>
      </c>
    </row>
    <row r="2649" spans="10:17" x14ac:dyDescent="0.25">
      <c r="J2649" s="1"/>
      <c r="Q2649" s="1" t="str">
        <f t="shared" si="83"/>
        <v/>
      </c>
    </row>
    <row r="2650" spans="10:17" x14ac:dyDescent="0.25">
      <c r="J2650" s="1"/>
      <c r="Q2650" s="1" t="str">
        <f t="shared" si="83"/>
        <v/>
      </c>
    </row>
    <row r="2651" spans="10:17" x14ac:dyDescent="0.25">
      <c r="J2651" s="1"/>
      <c r="Q2651" s="1" t="str">
        <f t="shared" si="83"/>
        <v/>
      </c>
    </row>
    <row r="2652" spans="10:17" x14ac:dyDescent="0.25">
      <c r="J2652" s="1"/>
      <c r="Q2652" s="1" t="str">
        <f t="shared" si="83"/>
        <v/>
      </c>
    </row>
    <row r="2653" spans="10:17" x14ac:dyDescent="0.25">
      <c r="J2653" s="1"/>
      <c r="Q2653" s="1" t="str">
        <f t="shared" si="83"/>
        <v/>
      </c>
    </row>
    <row r="2654" spans="10:17" x14ac:dyDescent="0.25">
      <c r="J2654" s="1"/>
      <c r="Q2654" s="1" t="str">
        <f t="shared" si="83"/>
        <v/>
      </c>
    </row>
    <row r="2655" spans="10:17" x14ac:dyDescent="0.25">
      <c r="J2655" s="1"/>
      <c r="Q2655" s="1" t="str">
        <f t="shared" si="83"/>
        <v/>
      </c>
    </row>
    <row r="2656" spans="10:17" x14ac:dyDescent="0.25">
      <c r="J2656" s="1"/>
      <c r="Q2656" s="1" t="str">
        <f t="shared" si="83"/>
        <v/>
      </c>
    </row>
    <row r="2657" spans="10:17" x14ac:dyDescent="0.25">
      <c r="J2657" s="1"/>
      <c r="Q2657" s="1" t="str">
        <f t="shared" si="83"/>
        <v/>
      </c>
    </row>
    <row r="2658" spans="10:17" x14ac:dyDescent="0.25">
      <c r="J2658" s="1"/>
      <c r="Q2658" s="1" t="str">
        <f t="shared" si="83"/>
        <v/>
      </c>
    </row>
    <row r="2659" spans="10:17" x14ac:dyDescent="0.25">
      <c r="J2659" s="1"/>
      <c r="Q2659" s="1" t="str">
        <f t="shared" si="83"/>
        <v/>
      </c>
    </row>
    <row r="2660" spans="10:17" x14ac:dyDescent="0.25">
      <c r="J2660" s="1"/>
      <c r="Q2660" s="1" t="str">
        <f t="shared" si="83"/>
        <v/>
      </c>
    </row>
    <row r="2661" spans="10:17" x14ac:dyDescent="0.25">
      <c r="J2661" s="1"/>
      <c r="Q2661" s="1" t="str">
        <f t="shared" si="83"/>
        <v/>
      </c>
    </row>
    <row r="2662" spans="10:17" x14ac:dyDescent="0.25">
      <c r="J2662" s="1"/>
      <c r="Q2662" s="1" t="str">
        <f t="shared" si="83"/>
        <v/>
      </c>
    </row>
    <row r="2663" spans="10:17" x14ac:dyDescent="0.25">
      <c r="J2663" s="1"/>
      <c r="Q2663" s="1" t="str">
        <f t="shared" si="83"/>
        <v/>
      </c>
    </row>
    <row r="2664" spans="10:17" x14ac:dyDescent="0.25">
      <c r="J2664" s="1"/>
      <c r="Q2664" s="1" t="str">
        <f t="shared" si="83"/>
        <v/>
      </c>
    </row>
    <row r="2665" spans="10:17" x14ac:dyDescent="0.25">
      <c r="J2665" s="1"/>
      <c r="Q2665" s="1" t="str">
        <f t="shared" si="83"/>
        <v/>
      </c>
    </row>
    <row r="2666" spans="10:17" x14ac:dyDescent="0.25">
      <c r="J2666" s="1"/>
      <c r="Q2666" s="1" t="str">
        <f t="shared" si="83"/>
        <v/>
      </c>
    </row>
    <row r="2667" spans="10:17" x14ac:dyDescent="0.25">
      <c r="J2667" s="1"/>
      <c r="Q2667" s="1" t="str">
        <f t="shared" si="83"/>
        <v/>
      </c>
    </row>
    <row r="2668" spans="10:17" x14ac:dyDescent="0.25">
      <c r="J2668" s="1"/>
      <c r="Q2668" s="1" t="str">
        <f t="shared" si="83"/>
        <v/>
      </c>
    </row>
    <row r="2669" spans="10:17" x14ac:dyDescent="0.25">
      <c r="J2669" s="1"/>
      <c r="Q2669" s="1" t="str">
        <f t="shared" si="83"/>
        <v/>
      </c>
    </row>
    <row r="2670" spans="10:17" x14ac:dyDescent="0.25">
      <c r="J2670" s="1"/>
      <c r="Q2670" s="1" t="str">
        <f t="shared" si="83"/>
        <v/>
      </c>
    </row>
    <row r="2671" spans="10:17" x14ac:dyDescent="0.25">
      <c r="J2671" s="1"/>
      <c r="Q2671" s="1" t="str">
        <f t="shared" si="83"/>
        <v/>
      </c>
    </row>
    <row r="2672" spans="10:17" x14ac:dyDescent="0.25">
      <c r="J2672" s="1"/>
      <c r="Q2672" s="1" t="str">
        <f t="shared" si="83"/>
        <v/>
      </c>
    </row>
    <row r="2673" spans="10:17" x14ac:dyDescent="0.25">
      <c r="J2673" s="1"/>
      <c r="Q2673" s="1" t="str">
        <f t="shared" si="83"/>
        <v/>
      </c>
    </row>
    <row r="2674" spans="10:17" x14ac:dyDescent="0.25">
      <c r="J2674" s="1"/>
      <c r="Q2674" s="1" t="str">
        <f t="shared" si="83"/>
        <v/>
      </c>
    </row>
    <row r="2675" spans="10:17" x14ac:dyDescent="0.25">
      <c r="J2675" s="1"/>
      <c r="Q2675" s="1" t="str">
        <f t="shared" si="83"/>
        <v/>
      </c>
    </row>
    <row r="2676" spans="10:17" x14ac:dyDescent="0.25">
      <c r="J2676" s="1"/>
      <c r="Q2676" s="1" t="str">
        <f t="shared" si="83"/>
        <v/>
      </c>
    </row>
    <row r="2677" spans="10:17" x14ac:dyDescent="0.25">
      <c r="J2677" s="1"/>
      <c r="Q2677" s="1" t="str">
        <f t="shared" si="83"/>
        <v/>
      </c>
    </row>
    <row r="2678" spans="10:17" x14ac:dyDescent="0.25">
      <c r="J2678" s="1"/>
      <c r="Q2678" s="1" t="str">
        <f t="shared" si="83"/>
        <v/>
      </c>
    </row>
    <row r="2679" spans="10:17" x14ac:dyDescent="0.25">
      <c r="J2679" s="1"/>
      <c r="Q2679" s="1" t="str">
        <f t="shared" si="83"/>
        <v/>
      </c>
    </row>
    <row r="2680" spans="10:17" x14ac:dyDescent="0.25">
      <c r="J2680" s="1"/>
      <c r="Q2680" s="1" t="str">
        <f t="shared" si="83"/>
        <v/>
      </c>
    </row>
    <row r="2681" spans="10:17" x14ac:dyDescent="0.25">
      <c r="J2681" s="1"/>
      <c r="Q2681" s="1" t="str">
        <f t="shared" si="83"/>
        <v/>
      </c>
    </row>
    <row r="2682" spans="10:17" x14ac:dyDescent="0.25">
      <c r="J2682" s="1"/>
      <c r="Q2682" s="1" t="str">
        <f t="shared" si="83"/>
        <v/>
      </c>
    </row>
    <row r="2683" spans="10:17" x14ac:dyDescent="0.25">
      <c r="J2683" s="1"/>
      <c r="Q2683" s="1" t="str">
        <f t="shared" si="83"/>
        <v/>
      </c>
    </row>
    <row r="2684" spans="10:17" x14ac:dyDescent="0.25">
      <c r="J2684" s="1"/>
      <c r="Q2684" s="1" t="str">
        <f t="shared" si="83"/>
        <v/>
      </c>
    </row>
    <row r="2685" spans="10:17" x14ac:dyDescent="0.25">
      <c r="J2685" s="1"/>
      <c r="Q2685" s="1" t="str">
        <f t="shared" ref="Q2685:Q2748" si="84">IF(B2685="","",1)</f>
        <v/>
      </c>
    </row>
    <row r="2686" spans="10:17" x14ac:dyDescent="0.25">
      <c r="J2686" s="1"/>
      <c r="Q2686" s="1" t="str">
        <f t="shared" si="84"/>
        <v/>
      </c>
    </row>
    <row r="2687" spans="10:17" x14ac:dyDescent="0.25">
      <c r="J2687" s="1"/>
      <c r="Q2687" s="1" t="str">
        <f t="shared" si="84"/>
        <v/>
      </c>
    </row>
    <row r="2688" spans="10:17" x14ac:dyDescent="0.25">
      <c r="J2688" s="1"/>
      <c r="Q2688" s="1" t="str">
        <f t="shared" si="84"/>
        <v/>
      </c>
    </row>
    <row r="2689" spans="10:17" x14ac:dyDescent="0.25">
      <c r="J2689" s="1"/>
      <c r="Q2689" s="1" t="str">
        <f t="shared" si="84"/>
        <v/>
      </c>
    </row>
    <row r="2690" spans="10:17" x14ac:dyDescent="0.25">
      <c r="J2690" s="1"/>
      <c r="Q2690" s="1" t="str">
        <f t="shared" si="84"/>
        <v/>
      </c>
    </row>
    <row r="2691" spans="10:17" x14ac:dyDescent="0.25">
      <c r="J2691" s="1"/>
      <c r="Q2691" s="1" t="str">
        <f t="shared" si="84"/>
        <v/>
      </c>
    </row>
    <row r="2692" spans="10:17" x14ac:dyDescent="0.25">
      <c r="J2692" s="1"/>
      <c r="Q2692" s="1" t="str">
        <f t="shared" si="84"/>
        <v/>
      </c>
    </row>
    <row r="2693" spans="10:17" x14ac:dyDescent="0.25">
      <c r="J2693" s="1"/>
      <c r="Q2693" s="1" t="str">
        <f t="shared" si="84"/>
        <v/>
      </c>
    </row>
    <row r="2694" spans="10:17" x14ac:dyDescent="0.25">
      <c r="J2694" s="1"/>
      <c r="Q2694" s="1" t="str">
        <f t="shared" si="84"/>
        <v/>
      </c>
    </row>
    <row r="2695" spans="10:17" x14ac:dyDescent="0.25">
      <c r="J2695" s="1"/>
      <c r="Q2695" s="1" t="str">
        <f t="shared" si="84"/>
        <v/>
      </c>
    </row>
    <row r="2696" spans="10:17" x14ac:dyDescent="0.25">
      <c r="J2696" s="1"/>
      <c r="Q2696" s="1" t="str">
        <f t="shared" si="84"/>
        <v/>
      </c>
    </row>
    <row r="2697" spans="10:17" x14ac:dyDescent="0.25">
      <c r="J2697" s="1"/>
      <c r="Q2697" s="1" t="str">
        <f t="shared" si="84"/>
        <v/>
      </c>
    </row>
    <row r="2698" spans="10:17" x14ac:dyDescent="0.25">
      <c r="J2698" s="1"/>
      <c r="Q2698" s="1" t="str">
        <f t="shared" si="84"/>
        <v/>
      </c>
    </row>
    <row r="2699" spans="10:17" x14ac:dyDescent="0.25">
      <c r="J2699" s="1"/>
      <c r="Q2699" s="1" t="str">
        <f t="shared" si="84"/>
        <v/>
      </c>
    </row>
    <row r="2700" spans="10:17" x14ac:dyDescent="0.25">
      <c r="J2700" s="1"/>
      <c r="Q2700" s="1" t="str">
        <f t="shared" si="84"/>
        <v/>
      </c>
    </row>
    <row r="2701" spans="10:17" x14ac:dyDescent="0.25">
      <c r="J2701" s="1"/>
      <c r="Q2701" s="1" t="str">
        <f t="shared" si="84"/>
        <v/>
      </c>
    </row>
    <row r="2702" spans="10:17" x14ac:dyDescent="0.25">
      <c r="J2702" s="1"/>
      <c r="Q2702" s="1" t="str">
        <f t="shared" si="84"/>
        <v/>
      </c>
    </row>
    <row r="2703" spans="10:17" x14ac:dyDescent="0.25">
      <c r="J2703" s="1"/>
      <c r="Q2703" s="1" t="str">
        <f t="shared" si="84"/>
        <v/>
      </c>
    </row>
    <row r="2704" spans="10:17" x14ac:dyDescent="0.25">
      <c r="J2704" s="1"/>
      <c r="Q2704" s="1" t="str">
        <f t="shared" si="84"/>
        <v/>
      </c>
    </row>
    <row r="2705" spans="10:17" x14ac:dyDescent="0.25">
      <c r="J2705" s="1"/>
      <c r="Q2705" s="1" t="str">
        <f t="shared" si="84"/>
        <v/>
      </c>
    </row>
    <row r="2706" spans="10:17" x14ac:dyDescent="0.25">
      <c r="J2706" s="1"/>
      <c r="Q2706" s="1" t="str">
        <f t="shared" si="84"/>
        <v/>
      </c>
    </row>
    <row r="2707" spans="10:17" x14ac:dyDescent="0.25">
      <c r="J2707" s="1"/>
      <c r="Q2707" s="1" t="str">
        <f t="shared" si="84"/>
        <v/>
      </c>
    </row>
    <row r="2708" spans="10:17" x14ac:dyDescent="0.25">
      <c r="J2708" s="1"/>
      <c r="Q2708" s="1" t="str">
        <f t="shared" si="84"/>
        <v/>
      </c>
    </row>
    <row r="2709" spans="10:17" x14ac:dyDescent="0.25">
      <c r="J2709" s="1"/>
      <c r="Q2709" s="1" t="str">
        <f t="shared" si="84"/>
        <v/>
      </c>
    </row>
    <row r="2710" spans="10:17" x14ac:dyDescent="0.25">
      <c r="J2710" s="1"/>
      <c r="Q2710" s="1" t="str">
        <f t="shared" si="84"/>
        <v/>
      </c>
    </row>
    <row r="2711" spans="10:17" x14ac:dyDescent="0.25">
      <c r="J2711" s="1"/>
      <c r="Q2711" s="1" t="str">
        <f t="shared" si="84"/>
        <v/>
      </c>
    </row>
    <row r="2712" spans="10:17" x14ac:dyDescent="0.25">
      <c r="J2712" s="1"/>
      <c r="Q2712" s="1" t="str">
        <f t="shared" si="84"/>
        <v/>
      </c>
    </row>
    <row r="2713" spans="10:17" x14ac:dyDescent="0.25">
      <c r="J2713" s="1"/>
      <c r="Q2713" s="1" t="str">
        <f t="shared" si="84"/>
        <v/>
      </c>
    </row>
    <row r="2714" spans="10:17" x14ac:dyDescent="0.25">
      <c r="J2714" s="1"/>
      <c r="Q2714" s="1" t="str">
        <f t="shared" si="84"/>
        <v/>
      </c>
    </row>
    <row r="2715" spans="10:17" x14ac:dyDescent="0.25">
      <c r="J2715" s="1"/>
      <c r="Q2715" s="1" t="str">
        <f t="shared" si="84"/>
        <v/>
      </c>
    </row>
    <row r="2716" spans="10:17" x14ac:dyDescent="0.25">
      <c r="J2716" s="1"/>
      <c r="Q2716" s="1" t="str">
        <f t="shared" si="84"/>
        <v/>
      </c>
    </row>
    <row r="2717" spans="10:17" x14ac:dyDescent="0.25">
      <c r="J2717" s="1"/>
      <c r="Q2717" s="1" t="str">
        <f t="shared" si="84"/>
        <v/>
      </c>
    </row>
    <row r="2718" spans="10:17" x14ac:dyDescent="0.25">
      <c r="J2718" s="1"/>
      <c r="Q2718" s="1" t="str">
        <f t="shared" si="84"/>
        <v/>
      </c>
    </row>
    <row r="2719" spans="10:17" x14ac:dyDescent="0.25">
      <c r="J2719" s="1"/>
      <c r="Q2719" s="1" t="str">
        <f t="shared" si="84"/>
        <v/>
      </c>
    </row>
    <row r="2720" spans="10:17" x14ac:dyDescent="0.25">
      <c r="J2720" s="1"/>
      <c r="Q2720" s="1" t="str">
        <f t="shared" si="84"/>
        <v/>
      </c>
    </row>
    <row r="2721" spans="10:17" x14ac:dyDescent="0.25">
      <c r="J2721" s="1"/>
      <c r="Q2721" s="1" t="str">
        <f t="shared" si="84"/>
        <v/>
      </c>
    </row>
    <row r="2722" spans="10:17" x14ac:dyDescent="0.25">
      <c r="J2722" s="1"/>
      <c r="Q2722" s="1" t="str">
        <f t="shared" si="84"/>
        <v/>
      </c>
    </row>
    <row r="2723" spans="10:17" x14ac:dyDescent="0.25">
      <c r="J2723" s="1"/>
      <c r="Q2723" s="1" t="str">
        <f t="shared" si="84"/>
        <v/>
      </c>
    </row>
    <row r="2724" spans="10:17" x14ac:dyDescent="0.25">
      <c r="J2724" s="1"/>
      <c r="Q2724" s="1" t="str">
        <f t="shared" si="84"/>
        <v/>
      </c>
    </row>
    <row r="2725" spans="10:17" x14ac:dyDescent="0.25">
      <c r="J2725" s="1"/>
      <c r="Q2725" s="1" t="str">
        <f t="shared" si="84"/>
        <v/>
      </c>
    </row>
    <row r="2726" spans="10:17" x14ac:dyDescent="0.25">
      <c r="J2726" s="1"/>
      <c r="Q2726" s="1" t="str">
        <f t="shared" si="84"/>
        <v/>
      </c>
    </row>
    <row r="2727" spans="10:17" x14ac:dyDescent="0.25">
      <c r="J2727" s="1"/>
      <c r="Q2727" s="1" t="str">
        <f t="shared" si="84"/>
        <v/>
      </c>
    </row>
    <row r="2728" spans="10:17" x14ac:dyDescent="0.25">
      <c r="J2728" s="1"/>
      <c r="Q2728" s="1" t="str">
        <f t="shared" si="84"/>
        <v/>
      </c>
    </row>
    <row r="2729" spans="10:17" x14ac:dyDescent="0.25">
      <c r="J2729" s="1"/>
      <c r="Q2729" s="1" t="str">
        <f t="shared" si="84"/>
        <v/>
      </c>
    </row>
    <row r="2730" spans="10:17" x14ac:dyDescent="0.25">
      <c r="J2730" s="1"/>
      <c r="Q2730" s="1" t="str">
        <f t="shared" si="84"/>
        <v/>
      </c>
    </row>
    <row r="2731" spans="10:17" x14ac:dyDescent="0.25">
      <c r="J2731" s="1"/>
      <c r="Q2731" s="1" t="str">
        <f t="shared" si="84"/>
        <v/>
      </c>
    </row>
    <row r="2732" spans="10:17" x14ac:dyDescent="0.25">
      <c r="J2732" s="1"/>
      <c r="Q2732" s="1" t="str">
        <f t="shared" si="84"/>
        <v/>
      </c>
    </row>
    <row r="2733" spans="10:17" x14ac:dyDescent="0.25">
      <c r="J2733" s="1"/>
      <c r="Q2733" s="1" t="str">
        <f t="shared" si="84"/>
        <v/>
      </c>
    </row>
    <row r="2734" spans="10:17" x14ac:dyDescent="0.25">
      <c r="J2734" s="1"/>
      <c r="Q2734" s="1" t="str">
        <f t="shared" si="84"/>
        <v/>
      </c>
    </row>
    <row r="2735" spans="10:17" x14ac:dyDescent="0.25">
      <c r="J2735" s="1"/>
      <c r="Q2735" s="1" t="str">
        <f t="shared" si="84"/>
        <v/>
      </c>
    </row>
    <row r="2736" spans="10:17" x14ac:dyDescent="0.25">
      <c r="J2736" s="1"/>
      <c r="Q2736" s="1" t="str">
        <f t="shared" si="84"/>
        <v/>
      </c>
    </row>
    <row r="2737" spans="10:17" x14ac:dyDescent="0.25">
      <c r="J2737" s="1"/>
      <c r="Q2737" s="1" t="str">
        <f t="shared" si="84"/>
        <v/>
      </c>
    </row>
    <row r="2738" spans="10:17" x14ac:dyDescent="0.25">
      <c r="J2738" s="1"/>
      <c r="Q2738" s="1" t="str">
        <f t="shared" si="84"/>
        <v/>
      </c>
    </row>
    <row r="2739" spans="10:17" x14ac:dyDescent="0.25">
      <c r="J2739" s="1"/>
      <c r="Q2739" s="1" t="str">
        <f t="shared" si="84"/>
        <v/>
      </c>
    </row>
    <row r="2740" spans="10:17" x14ac:dyDescent="0.25">
      <c r="J2740" s="1"/>
      <c r="Q2740" s="1" t="str">
        <f t="shared" si="84"/>
        <v/>
      </c>
    </row>
    <row r="2741" spans="10:17" x14ac:dyDescent="0.25">
      <c r="J2741" s="1"/>
      <c r="Q2741" s="1" t="str">
        <f t="shared" si="84"/>
        <v/>
      </c>
    </row>
    <row r="2742" spans="10:17" x14ac:dyDescent="0.25">
      <c r="J2742" s="1"/>
      <c r="Q2742" s="1" t="str">
        <f t="shared" si="84"/>
        <v/>
      </c>
    </row>
    <row r="2743" spans="10:17" x14ac:dyDescent="0.25">
      <c r="J2743" s="1"/>
      <c r="Q2743" s="1" t="str">
        <f t="shared" si="84"/>
        <v/>
      </c>
    </row>
    <row r="2744" spans="10:17" x14ac:dyDescent="0.25">
      <c r="J2744" s="1"/>
      <c r="Q2744" s="1" t="str">
        <f t="shared" si="84"/>
        <v/>
      </c>
    </row>
    <row r="2745" spans="10:17" x14ac:dyDescent="0.25">
      <c r="J2745" s="1"/>
      <c r="Q2745" s="1" t="str">
        <f t="shared" si="84"/>
        <v/>
      </c>
    </row>
    <row r="2746" spans="10:17" x14ac:dyDescent="0.25">
      <c r="J2746" s="1"/>
      <c r="Q2746" s="1" t="str">
        <f t="shared" si="84"/>
        <v/>
      </c>
    </row>
    <row r="2747" spans="10:17" x14ac:dyDescent="0.25">
      <c r="J2747" s="1"/>
      <c r="Q2747" s="1" t="str">
        <f t="shared" si="84"/>
        <v/>
      </c>
    </row>
    <row r="2748" spans="10:17" x14ac:dyDescent="0.25">
      <c r="J2748" s="1"/>
      <c r="Q2748" s="1" t="str">
        <f t="shared" si="84"/>
        <v/>
      </c>
    </row>
    <row r="2749" spans="10:17" x14ac:dyDescent="0.25">
      <c r="J2749" s="1"/>
      <c r="Q2749" s="1" t="str">
        <f t="shared" ref="Q2749:Q2812" si="85">IF(B2749="","",1)</f>
        <v/>
      </c>
    </row>
    <row r="2750" spans="10:17" x14ac:dyDescent="0.25">
      <c r="J2750" s="1"/>
      <c r="Q2750" s="1" t="str">
        <f t="shared" si="85"/>
        <v/>
      </c>
    </row>
    <row r="2751" spans="10:17" x14ac:dyDescent="0.25">
      <c r="J2751" s="1"/>
      <c r="Q2751" s="1" t="str">
        <f t="shared" si="85"/>
        <v/>
      </c>
    </row>
    <row r="2752" spans="10:17" x14ac:dyDescent="0.25">
      <c r="J2752" s="1"/>
      <c r="Q2752" s="1" t="str">
        <f t="shared" si="85"/>
        <v/>
      </c>
    </row>
    <row r="2753" spans="10:17" x14ac:dyDescent="0.25">
      <c r="J2753" s="1"/>
      <c r="Q2753" s="1" t="str">
        <f t="shared" si="85"/>
        <v/>
      </c>
    </row>
    <row r="2754" spans="10:17" x14ac:dyDescent="0.25">
      <c r="J2754" s="1"/>
      <c r="Q2754" s="1" t="str">
        <f t="shared" si="85"/>
        <v/>
      </c>
    </row>
    <row r="2755" spans="10:17" x14ac:dyDescent="0.25">
      <c r="J2755" s="1"/>
      <c r="Q2755" s="1" t="str">
        <f t="shared" si="85"/>
        <v/>
      </c>
    </row>
    <row r="2756" spans="10:17" x14ac:dyDescent="0.25">
      <c r="J2756" s="1"/>
      <c r="Q2756" s="1" t="str">
        <f t="shared" si="85"/>
        <v/>
      </c>
    </row>
    <row r="2757" spans="10:17" x14ac:dyDescent="0.25">
      <c r="J2757" s="1"/>
      <c r="Q2757" s="1" t="str">
        <f t="shared" si="85"/>
        <v/>
      </c>
    </row>
    <row r="2758" spans="10:17" x14ac:dyDescent="0.25">
      <c r="J2758" s="1"/>
      <c r="Q2758" s="1" t="str">
        <f t="shared" si="85"/>
        <v/>
      </c>
    </row>
    <row r="2759" spans="10:17" x14ac:dyDescent="0.25">
      <c r="J2759" s="1"/>
      <c r="Q2759" s="1" t="str">
        <f t="shared" si="85"/>
        <v/>
      </c>
    </row>
    <row r="2760" spans="10:17" x14ac:dyDescent="0.25">
      <c r="J2760" s="1"/>
      <c r="Q2760" s="1" t="str">
        <f t="shared" si="85"/>
        <v/>
      </c>
    </row>
    <row r="2761" spans="10:17" x14ac:dyDescent="0.25">
      <c r="J2761" s="1"/>
      <c r="Q2761" s="1" t="str">
        <f t="shared" si="85"/>
        <v/>
      </c>
    </row>
    <row r="2762" spans="10:17" x14ac:dyDescent="0.25">
      <c r="J2762" s="1"/>
      <c r="Q2762" s="1" t="str">
        <f t="shared" si="85"/>
        <v/>
      </c>
    </row>
    <row r="2763" spans="10:17" x14ac:dyDescent="0.25">
      <c r="J2763" s="1"/>
      <c r="Q2763" s="1" t="str">
        <f t="shared" si="85"/>
        <v/>
      </c>
    </row>
    <row r="2764" spans="10:17" x14ac:dyDescent="0.25">
      <c r="J2764" s="1"/>
      <c r="Q2764" s="1" t="str">
        <f t="shared" si="85"/>
        <v/>
      </c>
    </row>
    <row r="2765" spans="10:17" x14ac:dyDescent="0.25">
      <c r="J2765" s="1"/>
      <c r="Q2765" s="1" t="str">
        <f t="shared" si="85"/>
        <v/>
      </c>
    </row>
    <row r="2766" spans="10:17" x14ac:dyDescent="0.25">
      <c r="J2766" s="1"/>
      <c r="Q2766" s="1" t="str">
        <f t="shared" si="85"/>
        <v/>
      </c>
    </row>
    <row r="2767" spans="10:17" x14ac:dyDescent="0.25">
      <c r="J2767" s="1"/>
      <c r="Q2767" s="1" t="str">
        <f t="shared" si="85"/>
        <v/>
      </c>
    </row>
    <row r="2768" spans="10:17" x14ac:dyDescent="0.25">
      <c r="J2768" s="1"/>
      <c r="Q2768" s="1" t="str">
        <f t="shared" si="85"/>
        <v/>
      </c>
    </row>
    <row r="2769" spans="10:17" x14ac:dyDescent="0.25">
      <c r="J2769" s="1"/>
      <c r="Q2769" s="1" t="str">
        <f t="shared" si="85"/>
        <v/>
      </c>
    </row>
    <row r="2770" spans="10:17" x14ac:dyDescent="0.25">
      <c r="J2770" s="1"/>
      <c r="Q2770" s="1" t="str">
        <f t="shared" si="85"/>
        <v/>
      </c>
    </row>
    <row r="2771" spans="10:17" x14ac:dyDescent="0.25">
      <c r="J2771" s="1"/>
      <c r="Q2771" s="1" t="str">
        <f t="shared" si="85"/>
        <v/>
      </c>
    </row>
    <row r="2772" spans="10:17" x14ac:dyDescent="0.25">
      <c r="J2772" s="1"/>
      <c r="Q2772" s="1" t="str">
        <f t="shared" si="85"/>
        <v/>
      </c>
    </row>
    <row r="2773" spans="10:17" x14ac:dyDescent="0.25">
      <c r="J2773" s="1"/>
      <c r="Q2773" s="1" t="str">
        <f t="shared" si="85"/>
        <v/>
      </c>
    </row>
    <row r="2774" spans="10:17" x14ac:dyDescent="0.25">
      <c r="J2774" s="1"/>
      <c r="Q2774" s="1" t="str">
        <f t="shared" si="85"/>
        <v/>
      </c>
    </row>
    <row r="2775" spans="10:17" x14ac:dyDescent="0.25">
      <c r="J2775" s="1"/>
      <c r="Q2775" s="1" t="str">
        <f t="shared" si="85"/>
        <v/>
      </c>
    </row>
    <row r="2776" spans="10:17" x14ac:dyDescent="0.25">
      <c r="J2776" s="1"/>
      <c r="Q2776" s="1" t="str">
        <f t="shared" si="85"/>
        <v/>
      </c>
    </row>
    <row r="2777" spans="10:17" x14ac:dyDescent="0.25">
      <c r="J2777" s="1"/>
      <c r="Q2777" s="1" t="str">
        <f t="shared" si="85"/>
        <v/>
      </c>
    </row>
    <row r="2778" spans="10:17" x14ac:dyDescent="0.25">
      <c r="J2778" s="1"/>
      <c r="Q2778" s="1" t="str">
        <f t="shared" si="85"/>
        <v/>
      </c>
    </row>
    <row r="2779" spans="10:17" x14ac:dyDescent="0.25">
      <c r="J2779" s="1"/>
      <c r="Q2779" s="1" t="str">
        <f t="shared" si="85"/>
        <v/>
      </c>
    </row>
    <row r="2780" spans="10:17" x14ac:dyDescent="0.25">
      <c r="J2780" s="1"/>
      <c r="Q2780" s="1" t="str">
        <f t="shared" si="85"/>
        <v/>
      </c>
    </row>
    <row r="2781" spans="10:17" x14ac:dyDescent="0.25">
      <c r="J2781" s="1"/>
      <c r="Q2781" s="1" t="str">
        <f t="shared" si="85"/>
        <v/>
      </c>
    </row>
    <row r="2782" spans="10:17" x14ac:dyDescent="0.25">
      <c r="J2782" s="1"/>
      <c r="Q2782" s="1" t="str">
        <f t="shared" si="85"/>
        <v/>
      </c>
    </row>
    <row r="2783" spans="10:17" x14ac:dyDescent="0.25">
      <c r="J2783" s="1"/>
      <c r="Q2783" s="1" t="str">
        <f t="shared" si="85"/>
        <v/>
      </c>
    </row>
    <row r="2784" spans="10:17" x14ac:dyDescent="0.25">
      <c r="J2784" s="1"/>
      <c r="Q2784" s="1" t="str">
        <f t="shared" si="85"/>
        <v/>
      </c>
    </row>
    <row r="2785" spans="10:17" x14ac:dyDescent="0.25">
      <c r="J2785" s="1"/>
      <c r="Q2785" s="1" t="str">
        <f t="shared" si="85"/>
        <v/>
      </c>
    </row>
    <row r="2786" spans="10:17" x14ac:dyDescent="0.25">
      <c r="J2786" s="1"/>
      <c r="Q2786" s="1" t="str">
        <f t="shared" si="85"/>
        <v/>
      </c>
    </row>
    <row r="2787" spans="10:17" x14ac:dyDescent="0.25">
      <c r="J2787" s="1"/>
      <c r="Q2787" s="1" t="str">
        <f t="shared" si="85"/>
        <v/>
      </c>
    </row>
    <row r="2788" spans="10:17" x14ac:dyDescent="0.25">
      <c r="J2788" s="1"/>
      <c r="Q2788" s="1" t="str">
        <f t="shared" si="85"/>
        <v/>
      </c>
    </row>
    <row r="2789" spans="10:17" x14ac:dyDescent="0.25">
      <c r="J2789" s="1"/>
      <c r="Q2789" s="1" t="str">
        <f t="shared" si="85"/>
        <v/>
      </c>
    </row>
    <row r="2790" spans="10:17" x14ac:dyDescent="0.25">
      <c r="J2790" s="1"/>
      <c r="Q2790" s="1" t="str">
        <f t="shared" si="85"/>
        <v/>
      </c>
    </row>
    <row r="2791" spans="10:17" x14ac:dyDescent="0.25">
      <c r="J2791" s="1"/>
      <c r="Q2791" s="1" t="str">
        <f t="shared" si="85"/>
        <v/>
      </c>
    </row>
    <row r="2792" spans="10:17" x14ac:dyDescent="0.25">
      <c r="J2792" s="1"/>
      <c r="Q2792" s="1" t="str">
        <f t="shared" si="85"/>
        <v/>
      </c>
    </row>
    <row r="2793" spans="10:17" x14ac:dyDescent="0.25">
      <c r="J2793" s="1"/>
      <c r="Q2793" s="1" t="str">
        <f t="shared" si="85"/>
        <v/>
      </c>
    </row>
    <row r="2794" spans="10:17" x14ac:dyDescent="0.25">
      <c r="J2794" s="1"/>
      <c r="Q2794" s="1" t="str">
        <f t="shared" si="85"/>
        <v/>
      </c>
    </row>
    <row r="2795" spans="10:17" x14ac:dyDescent="0.25">
      <c r="J2795" s="1"/>
      <c r="Q2795" s="1" t="str">
        <f t="shared" si="85"/>
        <v/>
      </c>
    </row>
    <row r="2796" spans="10:17" x14ac:dyDescent="0.25">
      <c r="J2796" s="1"/>
      <c r="Q2796" s="1" t="str">
        <f t="shared" si="85"/>
        <v/>
      </c>
    </row>
    <row r="2797" spans="10:17" x14ac:dyDescent="0.25">
      <c r="J2797" s="1"/>
      <c r="Q2797" s="1" t="str">
        <f t="shared" si="85"/>
        <v/>
      </c>
    </row>
    <row r="2798" spans="10:17" x14ac:dyDescent="0.25">
      <c r="J2798" s="1"/>
      <c r="Q2798" s="1" t="str">
        <f t="shared" si="85"/>
        <v/>
      </c>
    </row>
    <row r="2799" spans="10:17" x14ac:dyDescent="0.25">
      <c r="J2799" s="1"/>
      <c r="Q2799" s="1" t="str">
        <f t="shared" si="85"/>
        <v/>
      </c>
    </row>
    <row r="2800" spans="10:17" x14ac:dyDescent="0.25">
      <c r="J2800" s="1"/>
      <c r="Q2800" s="1" t="str">
        <f t="shared" si="85"/>
        <v/>
      </c>
    </row>
    <row r="2801" spans="10:17" x14ac:dyDescent="0.25">
      <c r="J2801" s="1"/>
      <c r="Q2801" s="1" t="str">
        <f t="shared" si="85"/>
        <v/>
      </c>
    </row>
    <row r="2802" spans="10:17" x14ac:dyDescent="0.25">
      <c r="J2802" s="1"/>
      <c r="Q2802" s="1" t="str">
        <f t="shared" si="85"/>
        <v/>
      </c>
    </row>
    <row r="2803" spans="10:17" x14ac:dyDescent="0.25">
      <c r="J2803" s="1"/>
      <c r="Q2803" s="1" t="str">
        <f t="shared" si="85"/>
        <v/>
      </c>
    </row>
    <row r="2804" spans="10:17" x14ac:dyDescent="0.25">
      <c r="J2804" s="1"/>
      <c r="Q2804" s="1" t="str">
        <f t="shared" si="85"/>
        <v/>
      </c>
    </row>
    <row r="2805" spans="10:17" x14ac:dyDescent="0.25">
      <c r="J2805" s="1"/>
      <c r="Q2805" s="1" t="str">
        <f t="shared" si="85"/>
        <v/>
      </c>
    </row>
    <row r="2806" spans="10:17" x14ac:dyDescent="0.25">
      <c r="J2806" s="1"/>
      <c r="Q2806" s="1" t="str">
        <f t="shared" si="85"/>
        <v/>
      </c>
    </row>
    <row r="2807" spans="10:17" x14ac:dyDescent="0.25">
      <c r="J2807" s="1"/>
      <c r="Q2807" s="1" t="str">
        <f t="shared" si="85"/>
        <v/>
      </c>
    </row>
    <row r="2808" spans="10:17" x14ac:dyDescent="0.25">
      <c r="J2808" s="1"/>
      <c r="Q2808" s="1" t="str">
        <f t="shared" si="85"/>
        <v/>
      </c>
    </row>
    <row r="2809" spans="10:17" x14ac:dyDescent="0.25">
      <c r="J2809" s="1"/>
      <c r="Q2809" s="1" t="str">
        <f t="shared" si="85"/>
        <v/>
      </c>
    </row>
    <row r="2810" spans="10:17" x14ac:dyDescent="0.25">
      <c r="J2810" s="1"/>
      <c r="Q2810" s="1" t="str">
        <f t="shared" si="85"/>
        <v/>
      </c>
    </row>
    <row r="2811" spans="10:17" x14ac:dyDescent="0.25">
      <c r="J2811" s="1"/>
      <c r="Q2811" s="1" t="str">
        <f t="shared" si="85"/>
        <v/>
      </c>
    </row>
    <row r="2812" spans="10:17" x14ac:dyDescent="0.25">
      <c r="J2812" s="1"/>
      <c r="Q2812" s="1" t="str">
        <f t="shared" si="85"/>
        <v/>
      </c>
    </row>
    <row r="2813" spans="10:17" x14ac:dyDescent="0.25">
      <c r="J2813" s="1"/>
      <c r="Q2813" s="1" t="str">
        <f t="shared" ref="Q2813:Q2876" si="86">IF(B2813="","",1)</f>
        <v/>
      </c>
    </row>
    <row r="2814" spans="10:17" x14ac:dyDescent="0.25">
      <c r="J2814" s="1"/>
      <c r="Q2814" s="1" t="str">
        <f t="shared" si="86"/>
        <v/>
      </c>
    </row>
    <row r="2815" spans="10:17" x14ac:dyDescent="0.25">
      <c r="J2815" s="1"/>
      <c r="Q2815" s="1" t="str">
        <f t="shared" si="86"/>
        <v/>
      </c>
    </row>
    <row r="2816" spans="10:17" x14ac:dyDescent="0.25">
      <c r="J2816" s="1"/>
      <c r="Q2816" s="1" t="str">
        <f t="shared" si="86"/>
        <v/>
      </c>
    </row>
    <row r="2817" spans="10:17" x14ac:dyDescent="0.25">
      <c r="J2817" s="1"/>
      <c r="Q2817" s="1" t="str">
        <f t="shared" si="86"/>
        <v/>
      </c>
    </row>
    <row r="2818" spans="10:17" x14ac:dyDescent="0.25">
      <c r="J2818" s="1"/>
      <c r="Q2818" s="1" t="str">
        <f t="shared" si="86"/>
        <v/>
      </c>
    </row>
    <row r="2819" spans="10:17" x14ac:dyDescent="0.25">
      <c r="J2819" s="1"/>
      <c r="Q2819" s="1" t="str">
        <f t="shared" si="86"/>
        <v/>
      </c>
    </row>
    <row r="2820" spans="10:17" x14ac:dyDescent="0.25">
      <c r="J2820" s="1"/>
      <c r="Q2820" s="1" t="str">
        <f t="shared" si="86"/>
        <v/>
      </c>
    </row>
    <row r="2821" spans="10:17" x14ac:dyDescent="0.25">
      <c r="J2821" s="1"/>
      <c r="Q2821" s="1" t="str">
        <f t="shared" si="86"/>
        <v/>
      </c>
    </row>
    <row r="2822" spans="10:17" x14ac:dyDescent="0.25">
      <c r="J2822" s="1"/>
      <c r="Q2822" s="1" t="str">
        <f t="shared" si="86"/>
        <v/>
      </c>
    </row>
    <row r="2823" spans="10:17" x14ac:dyDescent="0.25">
      <c r="J2823" s="1"/>
      <c r="Q2823" s="1" t="str">
        <f t="shared" si="86"/>
        <v/>
      </c>
    </row>
    <row r="2824" spans="10:17" x14ac:dyDescent="0.25">
      <c r="J2824" s="1"/>
      <c r="Q2824" s="1" t="str">
        <f t="shared" si="86"/>
        <v/>
      </c>
    </row>
    <row r="2825" spans="10:17" x14ac:dyDescent="0.25">
      <c r="J2825" s="1"/>
      <c r="Q2825" s="1" t="str">
        <f t="shared" si="86"/>
        <v/>
      </c>
    </row>
    <row r="2826" spans="10:17" x14ac:dyDescent="0.25">
      <c r="J2826" s="1"/>
      <c r="Q2826" s="1" t="str">
        <f t="shared" si="86"/>
        <v/>
      </c>
    </row>
    <row r="2827" spans="10:17" x14ac:dyDescent="0.25">
      <c r="J2827" s="1"/>
      <c r="Q2827" s="1" t="str">
        <f t="shared" si="86"/>
        <v/>
      </c>
    </row>
    <row r="2828" spans="10:17" x14ac:dyDescent="0.25">
      <c r="J2828" s="1"/>
      <c r="Q2828" s="1" t="str">
        <f t="shared" si="86"/>
        <v/>
      </c>
    </row>
    <row r="2829" spans="10:17" x14ac:dyDescent="0.25">
      <c r="J2829" s="1"/>
      <c r="Q2829" s="1" t="str">
        <f t="shared" si="86"/>
        <v/>
      </c>
    </row>
    <row r="2830" spans="10:17" x14ac:dyDescent="0.25">
      <c r="J2830" s="1"/>
      <c r="Q2830" s="1" t="str">
        <f t="shared" si="86"/>
        <v/>
      </c>
    </row>
    <row r="2831" spans="10:17" x14ac:dyDescent="0.25">
      <c r="J2831" s="1"/>
      <c r="Q2831" s="1" t="str">
        <f t="shared" si="86"/>
        <v/>
      </c>
    </row>
    <row r="2832" spans="10:17" x14ac:dyDescent="0.25">
      <c r="J2832" s="1"/>
      <c r="Q2832" s="1" t="str">
        <f t="shared" si="86"/>
        <v/>
      </c>
    </row>
    <row r="2833" spans="10:17" x14ac:dyDescent="0.25">
      <c r="J2833" s="1"/>
      <c r="Q2833" s="1" t="str">
        <f t="shared" si="86"/>
        <v/>
      </c>
    </row>
    <row r="2834" spans="10:17" x14ac:dyDescent="0.25">
      <c r="J2834" s="1"/>
      <c r="Q2834" s="1" t="str">
        <f t="shared" si="86"/>
        <v/>
      </c>
    </row>
    <row r="2835" spans="10:17" x14ac:dyDescent="0.25">
      <c r="J2835" s="1"/>
      <c r="Q2835" s="1" t="str">
        <f t="shared" si="86"/>
        <v/>
      </c>
    </row>
    <row r="2836" spans="10:17" x14ac:dyDescent="0.25">
      <c r="J2836" s="1"/>
      <c r="Q2836" s="1" t="str">
        <f t="shared" si="86"/>
        <v/>
      </c>
    </row>
    <row r="2837" spans="10:17" x14ac:dyDescent="0.25">
      <c r="J2837" s="1"/>
      <c r="Q2837" s="1" t="str">
        <f t="shared" si="86"/>
        <v/>
      </c>
    </row>
    <row r="2838" spans="10:17" x14ac:dyDescent="0.25">
      <c r="J2838" s="1"/>
      <c r="Q2838" s="1" t="str">
        <f t="shared" si="86"/>
        <v/>
      </c>
    </row>
    <row r="2839" spans="10:17" x14ac:dyDescent="0.25">
      <c r="J2839" s="1"/>
      <c r="Q2839" s="1" t="str">
        <f t="shared" si="86"/>
        <v/>
      </c>
    </row>
    <row r="2840" spans="10:17" x14ac:dyDescent="0.25">
      <c r="J2840" s="1"/>
      <c r="Q2840" s="1" t="str">
        <f t="shared" si="86"/>
        <v/>
      </c>
    </row>
    <row r="2841" spans="10:17" x14ac:dyDescent="0.25">
      <c r="J2841" s="1"/>
      <c r="Q2841" s="1" t="str">
        <f t="shared" si="86"/>
        <v/>
      </c>
    </row>
    <row r="2842" spans="10:17" x14ac:dyDescent="0.25">
      <c r="J2842" s="1"/>
      <c r="Q2842" s="1" t="str">
        <f t="shared" si="86"/>
        <v/>
      </c>
    </row>
    <row r="2843" spans="10:17" x14ac:dyDescent="0.25">
      <c r="J2843" s="1"/>
      <c r="Q2843" s="1" t="str">
        <f t="shared" si="86"/>
        <v/>
      </c>
    </row>
    <row r="2844" spans="10:17" x14ac:dyDescent="0.25">
      <c r="J2844" s="1"/>
      <c r="Q2844" s="1" t="str">
        <f t="shared" si="86"/>
        <v/>
      </c>
    </row>
    <row r="2845" spans="10:17" x14ac:dyDescent="0.25">
      <c r="J2845" s="1"/>
      <c r="Q2845" s="1" t="str">
        <f t="shared" si="86"/>
        <v/>
      </c>
    </row>
    <row r="2846" spans="10:17" x14ac:dyDescent="0.25">
      <c r="J2846" s="1"/>
      <c r="Q2846" s="1" t="str">
        <f t="shared" si="86"/>
        <v/>
      </c>
    </row>
    <row r="2847" spans="10:17" x14ac:dyDescent="0.25">
      <c r="J2847" s="1"/>
      <c r="Q2847" s="1" t="str">
        <f t="shared" si="86"/>
        <v/>
      </c>
    </row>
    <row r="2848" spans="10:17" x14ac:dyDescent="0.25">
      <c r="J2848" s="1"/>
      <c r="Q2848" s="1" t="str">
        <f t="shared" si="86"/>
        <v/>
      </c>
    </row>
    <row r="2849" spans="10:17" x14ac:dyDescent="0.25">
      <c r="J2849" s="1"/>
      <c r="Q2849" s="1" t="str">
        <f t="shared" si="86"/>
        <v/>
      </c>
    </row>
    <row r="2850" spans="10:17" x14ac:dyDescent="0.25">
      <c r="J2850" s="1"/>
      <c r="Q2850" s="1" t="str">
        <f t="shared" si="86"/>
        <v/>
      </c>
    </row>
    <row r="2851" spans="10:17" x14ac:dyDescent="0.25">
      <c r="J2851" s="1"/>
      <c r="Q2851" s="1" t="str">
        <f t="shared" si="86"/>
        <v/>
      </c>
    </row>
    <row r="2852" spans="10:17" x14ac:dyDescent="0.25">
      <c r="J2852" s="1"/>
      <c r="Q2852" s="1" t="str">
        <f t="shared" si="86"/>
        <v/>
      </c>
    </row>
    <row r="2853" spans="10:17" x14ac:dyDescent="0.25">
      <c r="J2853" s="1"/>
      <c r="Q2853" s="1" t="str">
        <f t="shared" si="86"/>
        <v/>
      </c>
    </row>
    <row r="2854" spans="10:17" x14ac:dyDescent="0.25">
      <c r="J2854" s="1"/>
      <c r="Q2854" s="1" t="str">
        <f t="shared" si="86"/>
        <v/>
      </c>
    </row>
    <row r="2855" spans="10:17" x14ac:dyDescent="0.25">
      <c r="J2855" s="1"/>
      <c r="Q2855" s="1" t="str">
        <f t="shared" si="86"/>
        <v/>
      </c>
    </row>
    <row r="2856" spans="10:17" x14ac:dyDescent="0.25">
      <c r="J2856" s="1"/>
      <c r="Q2856" s="1" t="str">
        <f t="shared" si="86"/>
        <v/>
      </c>
    </row>
    <row r="2857" spans="10:17" x14ac:dyDescent="0.25">
      <c r="J2857" s="1"/>
      <c r="Q2857" s="1" t="str">
        <f t="shared" si="86"/>
        <v/>
      </c>
    </row>
    <row r="2858" spans="10:17" x14ac:dyDescent="0.25">
      <c r="J2858" s="1"/>
      <c r="Q2858" s="1" t="str">
        <f t="shared" si="86"/>
        <v/>
      </c>
    </row>
    <row r="2859" spans="10:17" x14ac:dyDescent="0.25">
      <c r="J2859" s="1"/>
      <c r="Q2859" s="1" t="str">
        <f t="shared" si="86"/>
        <v/>
      </c>
    </row>
    <row r="2860" spans="10:17" x14ac:dyDescent="0.25">
      <c r="J2860" s="1"/>
      <c r="Q2860" s="1" t="str">
        <f t="shared" si="86"/>
        <v/>
      </c>
    </row>
    <row r="2861" spans="10:17" x14ac:dyDescent="0.25">
      <c r="J2861" s="1"/>
      <c r="Q2861" s="1" t="str">
        <f t="shared" si="86"/>
        <v/>
      </c>
    </row>
    <row r="2862" spans="10:17" x14ac:dyDescent="0.25">
      <c r="J2862" s="1"/>
      <c r="Q2862" s="1" t="str">
        <f t="shared" si="86"/>
        <v/>
      </c>
    </row>
    <row r="2863" spans="10:17" x14ac:dyDescent="0.25">
      <c r="J2863" s="1"/>
      <c r="Q2863" s="1" t="str">
        <f t="shared" si="86"/>
        <v/>
      </c>
    </row>
    <row r="2864" spans="10:17" x14ac:dyDescent="0.25">
      <c r="J2864" s="1"/>
      <c r="Q2864" s="1" t="str">
        <f t="shared" si="86"/>
        <v/>
      </c>
    </row>
    <row r="2865" spans="10:17" x14ac:dyDescent="0.25">
      <c r="J2865" s="1"/>
      <c r="Q2865" s="1" t="str">
        <f t="shared" si="86"/>
        <v/>
      </c>
    </row>
    <row r="2866" spans="10:17" x14ac:dyDescent="0.25">
      <c r="J2866" s="1"/>
      <c r="Q2866" s="1" t="str">
        <f t="shared" si="86"/>
        <v/>
      </c>
    </row>
    <row r="2867" spans="10:17" x14ac:dyDescent="0.25">
      <c r="J2867" s="1"/>
      <c r="Q2867" s="1" t="str">
        <f t="shared" si="86"/>
        <v/>
      </c>
    </row>
    <row r="2868" spans="10:17" x14ac:dyDescent="0.25">
      <c r="J2868" s="1"/>
      <c r="Q2868" s="1" t="str">
        <f t="shared" si="86"/>
        <v/>
      </c>
    </row>
    <row r="2869" spans="10:17" x14ac:dyDescent="0.25">
      <c r="J2869" s="1"/>
      <c r="Q2869" s="1" t="str">
        <f t="shared" si="86"/>
        <v/>
      </c>
    </row>
    <row r="2870" spans="10:17" x14ac:dyDescent="0.25">
      <c r="J2870" s="1"/>
      <c r="Q2870" s="1" t="str">
        <f t="shared" si="86"/>
        <v/>
      </c>
    </row>
    <row r="2871" spans="10:17" x14ac:dyDescent="0.25">
      <c r="J2871" s="1"/>
      <c r="Q2871" s="1" t="str">
        <f t="shared" si="86"/>
        <v/>
      </c>
    </row>
    <row r="2872" spans="10:17" x14ac:dyDescent="0.25">
      <c r="J2872" s="1"/>
      <c r="Q2872" s="1" t="str">
        <f t="shared" si="86"/>
        <v/>
      </c>
    </row>
    <row r="2873" spans="10:17" x14ac:dyDescent="0.25">
      <c r="J2873" s="1"/>
      <c r="Q2873" s="1" t="str">
        <f t="shared" si="86"/>
        <v/>
      </c>
    </row>
    <row r="2874" spans="10:17" x14ac:dyDescent="0.25">
      <c r="J2874" s="1"/>
      <c r="Q2874" s="1" t="str">
        <f t="shared" si="86"/>
        <v/>
      </c>
    </row>
    <row r="2875" spans="10:17" x14ac:dyDescent="0.25">
      <c r="J2875" s="1"/>
      <c r="Q2875" s="1" t="str">
        <f t="shared" si="86"/>
        <v/>
      </c>
    </row>
    <row r="2876" spans="10:17" x14ac:dyDescent="0.25">
      <c r="J2876" s="1"/>
      <c r="Q2876" s="1" t="str">
        <f t="shared" si="86"/>
        <v/>
      </c>
    </row>
    <row r="2877" spans="10:17" x14ac:dyDescent="0.25">
      <c r="J2877" s="1"/>
      <c r="Q2877" s="1" t="str">
        <f t="shared" ref="Q2877:Q2940" si="87">IF(B2877="","",1)</f>
        <v/>
      </c>
    </row>
    <row r="2878" spans="10:17" x14ac:dyDescent="0.25">
      <c r="J2878" s="1"/>
      <c r="Q2878" s="1" t="str">
        <f t="shared" si="87"/>
        <v/>
      </c>
    </row>
    <row r="2879" spans="10:17" x14ac:dyDescent="0.25">
      <c r="J2879" s="1"/>
      <c r="Q2879" s="1" t="str">
        <f t="shared" si="87"/>
        <v/>
      </c>
    </row>
    <row r="2880" spans="10:17" x14ac:dyDescent="0.25">
      <c r="J2880" s="1"/>
      <c r="Q2880" s="1" t="str">
        <f t="shared" si="87"/>
        <v/>
      </c>
    </row>
    <row r="2881" spans="10:17" x14ac:dyDescent="0.25">
      <c r="J2881" s="1"/>
      <c r="Q2881" s="1" t="str">
        <f t="shared" si="87"/>
        <v/>
      </c>
    </row>
    <row r="2882" spans="10:17" x14ac:dyDescent="0.25">
      <c r="J2882" s="1"/>
      <c r="Q2882" s="1" t="str">
        <f t="shared" si="87"/>
        <v/>
      </c>
    </row>
    <row r="2883" spans="10:17" x14ac:dyDescent="0.25">
      <c r="J2883" s="1"/>
      <c r="Q2883" s="1" t="str">
        <f t="shared" si="87"/>
        <v/>
      </c>
    </row>
    <row r="2884" spans="10:17" x14ac:dyDescent="0.25">
      <c r="J2884" s="1"/>
      <c r="Q2884" s="1" t="str">
        <f t="shared" si="87"/>
        <v/>
      </c>
    </row>
    <row r="2885" spans="10:17" x14ac:dyDescent="0.25">
      <c r="J2885" s="1"/>
      <c r="Q2885" s="1" t="str">
        <f t="shared" si="87"/>
        <v/>
      </c>
    </row>
    <row r="2886" spans="10:17" x14ac:dyDescent="0.25">
      <c r="J2886" s="1"/>
      <c r="Q2886" s="1" t="str">
        <f t="shared" si="87"/>
        <v/>
      </c>
    </row>
    <row r="2887" spans="10:17" x14ac:dyDescent="0.25">
      <c r="J2887" s="1"/>
      <c r="Q2887" s="1" t="str">
        <f t="shared" si="87"/>
        <v/>
      </c>
    </row>
    <row r="2888" spans="10:17" x14ac:dyDescent="0.25">
      <c r="J2888" s="1"/>
      <c r="Q2888" s="1" t="str">
        <f t="shared" si="87"/>
        <v/>
      </c>
    </row>
    <row r="2889" spans="10:17" x14ac:dyDescent="0.25">
      <c r="J2889" s="1"/>
      <c r="Q2889" s="1" t="str">
        <f t="shared" si="87"/>
        <v/>
      </c>
    </row>
    <row r="2890" spans="10:17" x14ac:dyDescent="0.25">
      <c r="J2890" s="1"/>
      <c r="Q2890" s="1" t="str">
        <f t="shared" si="87"/>
        <v/>
      </c>
    </row>
    <row r="2891" spans="10:17" x14ac:dyDescent="0.25">
      <c r="J2891" s="1"/>
      <c r="Q2891" s="1" t="str">
        <f t="shared" si="87"/>
        <v/>
      </c>
    </row>
    <row r="2892" spans="10:17" x14ac:dyDescent="0.25">
      <c r="J2892" s="1"/>
      <c r="Q2892" s="1" t="str">
        <f t="shared" si="87"/>
        <v/>
      </c>
    </row>
    <row r="2893" spans="10:17" x14ac:dyDescent="0.25">
      <c r="J2893" s="1"/>
      <c r="Q2893" s="1" t="str">
        <f t="shared" si="87"/>
        <v/>
      </c>
    </row>
    <row r="2894" spans="10:17" x14ac:dyDescent="0.25">
      <c r="J2894" s="1"/>
      <c r="Q2894" s="1" t="str">
        <f t="shared" si="87"/>
        <v/>
      </c>
    </row>
    <row r="2895" spans="10:17" x14ac:dyDescent="0.25">
      <c r="J2895" s="1"/>
      <c r="Q2895" s="1" t="str">
        <f t="shared" si="87"/>
        <v/>
      </c>
    </row>
    <row r="2896" spans="10:17" x14ac:dyDescent="0.25">
      <c r="J2896" s="1"/>
      <c r="Q2896" s="1" t="str">
        <f t="shared" si="87"/>
        <v/>
      </c>
    </row>
    <row r="2897" spans="10:17" x14ac:dyDescent="0.25">
      <c r="J2897" s="1"/>
      <c r="Q2897" s="1" t="str">
        <f t="shared" si="87"/>
        <v/>
      </c>
    </row>
    <row r="2898" spans="10:17" x14ac:dyDescent="0.25">
      <c r="J2898" s="1"/>
      <c r="Q2898" s="1" t="str">
        <f t="shared" si="87"/>
        <v/>
      </c>
    </row>
    <row r="2899" spans="10:17" x14ac:dyDescent="0.25">
      <c r="J2899" s="1"/>
      <c r="Q2899" s="1" t="str">
        <f t="shared" si="87"/>
        <v/>
      </c>
    </row>
    <row r="2900" spans="10:17" x14ac:dyDescent="0.25">
      <c r="J2900" s="1"/>
      <c r="Q2900" s="1" t="str">
        <f t="shared" si="87"/>
        <v/>
      </c>
    </row>
    <row r="2901" spans="10:17" x14ac:dyDescent="0.25">
      <c r="J2901" s="1"/>
      <c r="Q2901" s="1" t="str">
        <f t="shared" si="87"/>
        <v/>
      </c>
    </row>
    <row r="2902" spans="10:17" x14ac:dyDescent="0.25">
      <c r="J2902" s="1"/>
      <c r="Q2902" s="1" t="str">
        <f t="shared" si="87"/>
        <v/>
      </c>
    </row>
    <row r="2903" spans="10:17" x14ac:dyDescent="0.25">
      <c r="J2903" s="1"/>
      <c r="Q2903" s="1" t="str">
        <f t="shared" si="87"/>
        <v/>
      </c>
    </row>
    <row r="2904" spans="10:17" x14ac:dyDescent="0.25">
      <c r="J2904" s="1"/>
      <c r="Q2904" s="1" t="str">
        <f t="shared" si="87"/>
        <v/>
      </c>
    </row>
    <row r="2905" spans="10:17" x14ac:dyDescent="0.25">
      <c r="J2905" s="1"/>
      <c r="Q2905" s="1" t="str">
        <f t="shared" si="87"/>
        <v/>
      </c>
    </row>
    <row r="2906" spans="10:17" x14ac:dyDescent="0.25">
      <c r="J2906" s="1"/>
      <c r="Q2906" s="1" t="str">
        <f t="shared" si="87"/>
        <v/>
      </c>
    </row>
    <row r="2907" spans="10:17" x14ac:dyDescent="0.25">
      <c r="J2907" s="1"/>
      <c r="Q2907" s="1" t="str">
        <f t="shared" si="87"/>
        <v/>
      </c>
    </row>
    <row r="2908" spans="10:17" x14ac:dyDescent="0.25">
      <c r="J2908" s="1"/>
      <c r="Q2908" s="1" t="str">
        <f t="shared" si="87"/>
        <v/>
      </c>
    </row>
    <row r="2909" spans="10:17" x14ac:dyDescent="0.25">
      <c r="J2909" s="1"/>
      <c r="Q2909" s="1" t="str">
        <f t="shared" si="87"/>
        <v/>
      </c>
    </row>
    <row r="2910" spans="10:17" x14ac:dyDescent="0.25">
      <c r="J2910" s="1"/>
      <c r="Q2910" s="1" t="str">
        <f t="shared" si="87"/>
        <v/>
      </c>
    </row>
    <row r="2911" spans="10:17" x14ac:dyDescent="0.25">
      <c r="J2911" s="1"/>
      <c r="Q2911" s="1" t="str">
        <f t="shared" si="87"/>
        <v/>
      </c>
    </row>
    <row r="2912" spans="10:17" x14ac:dyDescent="0.25">
      <c r="J2912" s="1"/>
      <c r="Q2912" s="1" t="str">
        <f t="shared" si="87"/>
        <v/>
      </c>
    </row>
    <row r="2913" spans="10:17" x14ac:dyDescent="0.25">
      <c r="J2913" s="1"/>
      <c r="Q2913" s="1" t="str">
        <f t="shared" si="87"/>
        <v/>
      </c>
    </row>
    <row r="2914" spans="10:17" x14ac:dyDescent="0.25">
      <c r="J2914" s="1"/>
      <c r="Q2914" s="1" t="str">
        <f t="shared" si="87"/>
        <v/>
      </c>
    </row>
    <row r="2915" spans="10:17" x14ac:dyDescent="0.25">
      <c r="J2915" s="1"/>
      <c r="Q2915" s="1" t="str">
        <f t="shared" si="87"/>
        <v/>
      </c>
    </row>
    <row r="2916" spans="10:17" x14ac:dyDescent="0.25">
      <c r="J2916" s="1"/>
      <c r="Q2916" s="1" t="str">
        <f t="shared" si="87"/>
        <v/>
      </c>
    </row>
    <row r="2917" spans="10:17" x14ac:dyDescent="0.25">
      <c r="J2917" s="1"/>
      <c r="Q2917" s="1" t="str">
        <f t="shared" si="87"/>
        <v/>
      </c>
    </row>
    <row r="2918" spans="10:17" x14ac:dyDescent="0.25">
      <c r="J2918" s="1"/>
      <c r="Q2918" s="1" t="str">
        <f t="shared" si="87"/>
        <v/>
      </c>
    </row>
    <row r="2919" spans="10:17" x14ac:dyDescent="0.25">
      <c r="J2919" s="1"/>
      <c r="Q2919" s="1" t="str">
        <f t="shared" si="87"/>
        <v/>
      </c>
    </row>
    <row r="2920" spans="10:17" x14ac:dyDescent="0.25">
      <c r="J2920" s="1"/>
      <c r="Q2920" s="1" t="str">
        <f t="shared" si="87"/>
        <v/>
      </c>
    </row>
    <row r="2921" spans="10:17" x14ac:dyDescent="0.25">
      <c r="J2921" s="1"/>
      <c r="Q2921" s="1" t="str">
        <f t="shared" si="87"/>
        <v/>
      </c>
    </row>
    <row r="2922" spans="10:17" x14ac:dyDescent="0.25">
      <c r="J2922" s="1"/>
      <c r="Q2922" s="1" t="str">
        <f t="shared" si="87"/>
        <v/>
      </c>
    </row>
    <row r="2923" spans="10:17" x14ac:dyDescent="0.25">
      <c r="J2923" s="1"/>
      <c r="Q2923" s="1" t="str">
        <f t="shared" si="87"/>
        <v/>
      </c>
    </row>
    <row r="2924" spans="10:17" x14ac:dyDescent="0.25">
      <c r="J2924" s="1"/>
      <c r="Q2924" s="1" t="str">
        <f t="shared" si="87"/>
        <v/>
      </c>
    </row>
    <row r="2925" spans="10:17" x14ac:dyDescent="0.25">
      <c r="J2925" s="1"/>
      <c r="Q2925" s="1" t="str">
        <f t="shared" si="87"/>
        <v/>
      </c>
    </row>
    <row r="2926" spans="10:17" x14ac:dyDescent="0.25">
      <c r="J2926" s="1"/>
      <c r="Q2926" s="1" t="str">
        <f t="shared" si="87"/>
        <v/>
      </c>
    </row>
    <row r="2927" spans="10:17" x14ac:dyDescent="0.25">
      <c r="J2927" s="1"/>
      <c r="Q2927" s="1" t="str">
        <f t="shared" si="87"/>
        <v/>
      </c>
    </row>
    <row r="2928" spans="10:17" x14ac:dyDescent="0.25">
      <c r="J2928" s="1"/>
      <c r="Q2928" s="1" t="str">
        <f t="shared" si="87"/>
        <v/>
      </c>
    </row>
    <row r="2929" spans="10:17" x14ac:dyDescent="0.25">
      <c r="J2929" s="1"/>
      <c r="Q2929" s="1" t="str">
        <f t="shared" si="87"/>
        <v/>
      </c>
    </row>
    <row r="2930" spans="10:17" x14ac:dyDescent="0.25">
      <c r="J2930" s="1"/>
      <c r="Q2930" s="1" t="str">
        <f t="shared" si="87"/>
        <v/>
      </c>
    </row>
    <row r="2931" spans="10:17" x14ac:dyDescent="0.25">
      <c r="J2931" s="1"/>
      <c r="Q2931" s="1" t="str">
        <f t="shared" si="87"/>
        <v/>
      </c>
    </row>
    <row r="2932" spans="10:17" x14ac:dyDescent="0.25">
      <c r="J2932" s="1"/>
      <c r="Q2932" s="1" t="str">
        <f t="shared" si="87"/>
        <v/>
      </c>
    </row>
    <row r="2933" spans="10:17" x14ac:dyDescent="0.25">
      <c r="J2933" s="1"/>
      <c r="Q2933" s="1" t="str">
        <f t="shared" si="87"/>
        <v/>
      </c>
    </row>
    <row r="2934" spans="10:17" x14ac:dyDescent="0.25">
      <c r="J2934" s="1"/>
      <c r="Q2934" s="1" t="str">
        <f t="shared" si="87"/>
        <v/>
      </c>
    </row>
    <row r="2935" spans="10:17" x14ac:dyDescent="0.25">
      <c r="J2935" s="1"/>
      <c r="Q2935" s="1" t="str">
        <f t="shared" si="87"/>
        <v/>
      </c>
    </row>
    <row r="2936" spans="10:17" x14ac:dyDescent="0.25">
      <c r="J2936" s="1"/>
      <c r="Q2936" s="1" t="str">
        <f t="shared" si="87"/>
        <v/>
      </c>
    </row>
    <row r="2937" spans="10:17" x14ac:dyDescent="0.25">
      <c r="J2937" s="1"/>
      <c r="Q2937" s="1" t="str">
        <f t="shared" si="87"/>
        <v/>
      </c>
    </row>
    <row r="2938" spans="10:17" x14ac:dyDescent="0.25">
      <c r="J2938" s="1"/>
      <c r="Q2938" s="1" t="str">
        <f t="shared" si="87"/>
        <v/>
      </c>
    </row>
    <row r="2939" spans="10:17" x14ac:dyDescent="0.25">
      <c r="J2939" s="1"/>
      <c r="Q2939" s="1" t="str">
        <f t="shared" si="87"/>
        <v/>
      </c>
    </row>
    <row r="2940" spans="10:17" x14ac:dyDescent="0.25">
      <c r="J2940" s="1"/>
      <c r="Q2940" s="1" t="str">
        <f t="shared" si="87"/>
        <v/>
      </c>
    </row>
    <row r="2941" spans="10:17" x14ac:dyDescent="0.25">
      <c r="J2941" s="1"/>
      <c r="Q2941" s="1" t="str">
        <f t="shared" ref="Q2941:Q3004" si="88">IF(B2941="","",1)</f>
        <v/>
      </c>
    </row>
    <row r="2942" spans="10:17" x14ac:dyDescent="0.25">
      <c r="J2942" s="1"/>
      <c r="Q2942" s="1" t="str">
        <f t="shared" si="88"/>
        <v/>
      </c>
    </row>
    <row r="2943" spans="10:17" x14ac:dyDescent="0.25">
      <c r="J2943" s="1"/>
      <c r="Q2943" s="1" t="str">
        <f t="shared" si="88"/>
        <v/>
      </c>
    </row>
    <row r="2944" spans="10:17" x14ac:dyDescent="0.25">
      <c r="J2944" s="1"/>
      <c r="Q2944" s="1" t="str">
        <f t="shared" si="88"/>
        <v/>
      </c>
    </row>
    <row r="2945" spans="10:17" x14ac:dyDescent="0.25">
      <c r="J2945" s="1"/>
      <c r="Q2945" s="1" t="str">
        <f t="shared" si="88"/>
        <v/>
      </c>
    </row>
    <row r="2946" spans="10:17" x14ac:dyDescent="0.25">
      <c r="J2946" s="1"/>
      <c r="Q2946" s="1" t="str">
        <f t="shared" si="88"/>
        <v/>
      </c>
    </row>
    <row r="2947" spans="10:17" x14ac:dyDescent="0.25">
      <c r="J2947" s="1"/>
      <c r="Q2947" s="1" t="str">
        <f t="shared" si="88"/>
        <v/>
      </c>
    </row>
    <row r="2948" spans="10:17" x14ac:dyDescent="0.25">
      <c r="J2948" s="1"/>
      <c r="Q2948" s="1" t="str">
        <f t="shared" si="88"/>
        <v/>
      </c>
    </row>
    <row r="2949" spans="10:17" x14ac:dyDescent="0.25">
      <c r="J2949" s="1"/>
      <c r="Q2949" s="1" t="str">
        <f t="shared" si="88"/>
        <v/>
      </c>
    </row>
    <row r="2950" spans="10:17" x14ac:dyDescent="0.25">
      <c r="J2950" s="1"/>
      <c r="Q2950" s="1" t="str">
        <f t="shared" si="88"/>
        <v/>
      </c>
    </row>
    <row r="2951" spans="10:17" x14ac:dyDescent="0.25">
      <c r="J2951" s="1"/>
      <c r="Q2951" s="1" t="str">
        <f t="shared" si="88"/>
        <v/>
      </c>
    </row>
    <row r="2952" spans="10:17" x14ac:dyDescent="0.25">
      <c r="J2952" s="1"/>
      <c r="Q2952" s="1" t="str">
        <f t="shared" si="88"/>
        <v/>
      </c>
    </row>
    <row r="2953" spans="10:17" x14ac:dyDescent="0.25">
      <c r="J2953" s="1"/>
      <c r="Q2953" s="1" t="str">
        <f t="shared" si="88"/>
        <v/>
      </c>
    </row>
    <row r="2954" spans="10:17" x14ac:dyDescent="0.25">
      <c r="J2954" s="1"/>
      <c r="Q2954" s="1" t="str">
        <f t="shared" si="88"/>
        <v/>
      </c>
    </row>
    <row r="2955" spans="10:17" x14ac:dyDescent="0.25">
      <c r="J2955" s="1"/>
      <c r="Q2955" s="1" t="str">
        <f t="shared" si="88"/>
        <v/>
      </c>
    </row>
    <row r="2956" spans="10:17" x14ac:dyDescent="0.25">
      <c r="J2956" s="1"/>
      <c r="Q2956" s="1" t="str">
        <f t="shared" si="88"/>
        <v/>
      </c>
    </row>
    <row r="2957" spans="10:17" x14ac:dyDescent="0.25">
      <c r="J2957" s="1"/>
      <c r="Q2957" s="1" t="str">
        <f t="shared" si="88"/>
        <v/>
      </c>
    </row>
    <row r="2958" spans="10:17" x14ac:dyDescent="0.25">
      <c r="J2958" s="1"/>
      <c r="Q2958" s="1" t="str">
        <f t="shared" si="88"/>
        <v/>
      </c>
    </row>
    <row r="2959" spans="10:17" x14ac:dyDescent="0.25">
      <c r="J2959" s="1"/>
      <c r="Q2959" s="1" t="str">
        <f t="shared" si="88"/>
        <v/>
      </c>
    </row>
    <row r="2960" spans="10:17" x14ac:dyDescent="0.25">
      <c r="J2960" s="1"/>
      <c r="Q2960" s="1" t="str">
        <f t="shared" si="88"/>
        <v/>
      </c>
    </row>
    <row r="2961" spans="10:17" x14ac:dyDescent="0.25">
      <c r="J2961" s="1"/>
      <c r="Q2961" s="1" t="str">
        <f t="shared" si="88"/>
        <v/>
      </c>
    </row>
    <row r="2962" spans="10:17" x14ac:dyDescent="0.25">
      <c r="J2962" s="1"/>
      <c r="Q2962" s="1" t="str">
        <f t="shared" si="88"/>
        <v/>
      </c>
    </row>
    <row r="2963" spans="10:17" x14ac:dyDescent="0.25">
      <c r="J2963" s="1"/>
      <c r="Q2963" s="1" t="str">
        <f t="shared" si="88"/>
        <v/>
      </c>
    </row>
    <row r="2964" spans="10:17" x14ac:dyDescent="0.25">
      <c r="J2964" s="1"/>
      <c r="Q2964" s="1" t="str">
        <f t="shared" si="88"/>
        <v/>
      </c>
    </row>
    <row r="2965" spans="10:17" x14ac:dyDescent="0.25">
      <c r="J2965" s="1"/>
      <c r="Q2965" s="1" t="str">
        <f t="shared" si="88"/>
        <v/>
      </c>
    </row>
    <row r="2966" spans="10:17" x14ac:dyDescent="0.25">
      <c r="J2966" s="1"/>
      <c r="Q2966" s="1" t="str">
        <f t="shared" si="88"/>
        <v/>
      </c>
    </row>
    <row r="2967" spans="10:17" x14ac:dyDescent="0.25">
      <c r="J2967" s="1"/>
      <c r="Q2967" s="1" t="str">
        <f t="shared" si="88"/>
        <v/>
      </c>
    </row>
    <row r="2968" spans="10:17" x14ac:dyDescent="0.25">
      <c r="J2968" s="1"/>
      <c r="Q2968" s="1" t="str">
        <f t="shared" si="88"/>
        <v/>
      </c>
    </row>
    <row r="2969" spans="10:17" x14ac:dyDescent="0.25">
      <c r="J2969" s="1"/>
      <c r="Q2969" s="1" t="str">
        <f t="shared" si="88"/>
        <v/>
      </c>
    </row>
    <row r="2970" spans="10:17" x14ac:dyDescent="0.25">
      <c r="J2970" s="1"/>
      <c r="Q2970" s="1" t="str">
        <f t="shared" si="88"/>
        <v/>
      </c>
    </row>
    <row r="2971" spans="10:17" x14ac:dyDescent="0.25">
      <c r="J2971" s="1"/>
      <c r="Q2971" s="1" t="str">
        <f t="shared" si="88"/>
        <v/>
      </c>
    </row>
    <row r="2972" spans="10:17" x14ac:dyDescent="0.25">
      <c r="J2972" s="1"/>
      <c r="Q2972" s="1" t="str">
        <f t="shared" si="88"/>
        <v/>
      </c>
    </row>
    <row r="2973" spans="10:17" x14ac:dyDescent="0.25">
      <c r="J2973" s="1"/>
      <c r="Q2973" s="1" t="str">
        <f t="shared" si="88"/>
        <v/>
      </c>
    </row>
    <row r="2974" spans="10:17" x14ac:dyDescent="0.25">
      <c r="J2974" s="1"/>
      <c r="Q2974" s="1" t="str">
        <f t="shared" si="88"/>
        <v/>
      </c>
    </row>
    <row r="2975" spans="10:17" x14ac:dyDescent="0.25">
      <c r="J2975" s="1"/>
      <c r="Q2975" s="1" t="str">
        <f t="shared" si="88"/>
        <v/>
      </c>
    </row>
    <row r="2976" spans="10:17" x14ac:dyDescent="0.25">
      <c r="J2976" s="1"/>
      <c r="Q2976" s="1" t="str">
        <f t="shared" si="88"/>
        <v/>
      </c>
    </row>
    <row r="2977" spans="10:17" x14ac:dyDescent="0.25">
      <c r="J2977" s="1"/>
      <c r="Q2977" s="1" t="str">
        <f t="shared" si="88"/>
        <v/>
      </c>
    </row>
    <row r="2978" spans="10:17" x14ac:dyDescent="0.25">
      <c r="J2978" s="1"/>
      <c r="Q2978" s="1" t="str">
        <f t="shared" si="88"/>
        <v/>
      </c>
    </row>
    <row r="2979" spans="10:17" x14ac:dyDescent="0.25">
      <c r="J2979" s="1"/>
      <c r="Q2979" s="1" t="str">
        <f t="shared" si="88"/>
        <v/>
      </c>
    </row>
    <row r="2980" spans="10:17" x14ac:dyDescent="0.25">
      <c r="J2980" s="1"/>
      <c r="Q2980" s="1" t="str">
        <f t="shared" si="88"/>
        <v/>
      </c>
    </row>
    <row r="2981" spans="10:17" x14ac:dyDescent="0.25">
      <c r="J2981" s="1"/>
      <c r="Q2981" s="1" t="str">
        <f t="shared" si="88"/>
        <v/>
      </c>
    </row>
    <row r="2982" spans="10:17" x14ac:dyDescent="0.25">
      <c r="J2982" s="1"/>
      <c r="Q2982" s="1" t="str">
        <f t="shared" si="88"/>
        <v/>
      </c>
    </row>
    <row r="2983" spans="10:17" x14ac:dyDescent="0.25">
      <c r="J2983" s="1"/>
      <c r="Q2983" s="1" t="str">
        <f t="shared" si="88"/>
        <v/>
      </c>
    </row>
    <row r="2984" spans="10:17" x14ac:dyDescent="0.25">
      <c r="J2984" s="1"/>
      <c r="Q2984" s="1" t="str">
        <f t="shared" si="88"/>
        <v/>
      </c>
    </row>
    <row r="2985" spans="10:17" x14ac:dyDescent="0.25">
      <c r="J2985" s="1"/>
      <c r="Q2985" s="1" t="str">
        <f t="shared" si="88"/>
        <v/>
      </c>
    </row>
    <row r="2986" spans="10:17" x14ac:dyDescent="0.25">
      <c r="J2986" s="1"/>
      <c r="Q2986" s="1" t="str">
        <f t="shared" si="88"/>
        <v/>
      </c>
    </row>
    <row r="2987" spans="10:17" x14ac:dyDescent="0.25">
      <c r="J2987" s="1"/>
      <c r="Q2987" s="1" t="str">
        <f t="shared" si="88"/>
        <v/>
      </c>
    </row>
    <row r="2988" spans="10:17" x14ac:dyDescent="0.25">
      <c r="J2988" s="1"/>
      <c r="Q2988" s="1" t="str">
        <f t="shared" si="88"/>
        <v/>
      </c>
    </row>
    <row r="2989" spans="10:17" x14ac:dyDescent="0.25">
      <c r="J2989" s="1"/>
      <c r="Q2989" s="1" t="str">
        <f t="shared" si="88"/>
        <v/>
      </c>
    </row>
    <row r="2990" spans="10:17" x14ac:dyDescent="0.25">
      <c r="J2990" s="1"/>
      <c r="Q2990" s="1" t="str">
        <f t="shared" si="88"/>
        <v/>
      </c>
    </row>
    <row r="2991" spans="10:17" x14ac:dyDescent="0.25">
      <c r="J2991" s="1"/>
      <c r="Q2991" s="1" t="str">
        <f t="shared" si="88"/>
        <v/>
      </c>
    </row>
    <row r="2992" spans="10:17" x14ac:dyDescent="0.25">
      <c r="J2992" s="1"/>
      <c r="Q2992" s="1" t="str">
        <f t="shared" si="88"/>
        <v/>
      </c>
    </row>
    <row r="2993" spans="10:17" x14ac:dyDescent="0.25">
      <c r="J2993" s="1"/>
      <c r="Q2993" s="1" t="str">
        <f t="shared" si="88"/>
        <v/>
      </c>
    </row>
    <row r="2994" spans="10:17" x14ac:dyDescent="0.25">
      <c r="J2994" s="1"/>
      <c r="Q2994" s="1" t="str">
        <f t="shared" si="88"/>
        <v/>
      </c>
    </row>
    <row r="2995" spans="10:17" x14ac:dyDescent="0.25">
      <c r="J2995" s="1"/>
      <c r="Q2995" s="1" t="str">
        <f t="shared" si="88"/>
        <v/>
      </c>
    </row>
    <row r="2996" spans="10:17" x14ac:dyDescent="0.25">
      <c r="J2996" s="1"/>
      <c r="Q2996" s="1" t="str">
        <f t="shared" si="88"/>
        <v/>
      </c>
    </row>
    <row r="2997" spans="10:17" x14ac:dyDescent="0.25">
      <c r="J2997" s="1"/>
      <c r="Q2997" s="1" t="str">
        <f t="shared" si="88"/>
        <v/>
      </c>
    </row>
    <row r="2998" spans="10:17" x14ac:dyDescent="0.25">
      <c r="J2998" s="1"/>
      <c r="Q2998" s="1" t="str">
        <f t="shared" si="88"/>
        <v/>
      </c>
    </row>
    <row r="2999" spans="10:17" x14ac:dyDescent="0.25">
      <c r="J2999" s="1"/>
      <c r="Q2999" s="1" t="str">
        <f t="shared" si="88"/>
        <v/>
      </c>
    </row>
    <row r="3000" spans="10:17" x14ac:dyDescent="0.25">
      <c r="J3000" s="1"/>
      <c r="Q3000" s="1" t="str">
        <f t="shared" si="88"/>
        <v/>
      </c>
    </row>
    <row r="3001" spans="10:17" x14ac:dyDescent="0.25">
      <c r="J3001" s="1"/>
      <c r="Q3001" s="1" t="str">
        <f t="shared" si="88"/>
        <v/>
      </c>
    </row>
    <row r="3002" spans="10:17" x14ac:dyDescent="0.25">
      <c r="J3002" s="1"/>
      <c r="Q3002" s="1" t="str">
        <f t="shared" si="88"/>
        <v/>
      </c>
    </row>
    <row r="3003" spans="10:17" x14ac:dyDescent="0.25">
      <c r="J3003" s="1"/>
      <c r="Q3003" s="1" t="str">
        <f t="shared" si="88"/>
        <v/>
      </c>
    </row>
    <row r="3004" spans="10:17" x14ac:dyDescent="0.25">
      <c r="J3004" s="1"/>
      <c r="Q3004" s="1" t="str">
        <f t="shared" si="88"/>
        <v/>
      </c>
    </row>
    <row r="3005" spans="10:17" x14ac:dyDescent="0.25">
      <c r="J3005" s="1"/>
      <c r="Q3005" s="1" t="str">
        <f t="shared" ref="Q3005:Q3068" si="89">IF(B3005="","",1)</f>
        <v/>
      </c>
    </row>
    <row r="3006" spans="10:17" x14ac:dyDescent="0.25">
      <c r="J3006" s="1"/>
      <c r="Q3006" s="1" t="str">
        <f t="shared" si="89"/>
        <v/>
      </c>
    </row>
    <row r="3007" spans="10:17" x14ac:dyDescent="0.25">
      <c r="J3007" s="1"/>
      <c r="Q3007" s="1" t="str">
        <f t="shared" si="89"/>
        <v/>
      </c>
    </row>
    <row r="3008" spans="10:17" x14ac:dyDescent="0.25">
      <c r="J3008" s="1"/>
      <c r="Q3008" s="1" t="str">
        <f t="shared" si="89"/>
        <v/>
      </c>
    </row>
    <row r="3009" spans="10:17" x14ac:dyDescent="0.25">
      <c r="J3009" s="1"/>
      <c r="Q3009" s="1" t="str">
        <f t="shared" si="89"/>
        <v/>
      </c>
    </row>
    <row r="3010" spans="10:17" x14ac:dyDescent="0.25">
      <c r="J3010" s="1"/>
      <c r="Q3010" s="1" t="str">
        <f t="shared" si="89"/>
        <v/>
      </c>
    </row>
    <row r="3011" spans="10:17" x14ac:dyDescent="0.25">
      <c r="J3011" s="1"/>
      <c r="Q3011" s="1" t="str">
        <f t="shared" si="89"/>
        <v/>
      </c>
    </row>
    <row r="3012" spans="10:17" x14ac:dyDescent="0.25">
      <c r="J3012" s="1"/>
      <c r="Q3012" s="1" t="str">
        <f t="shared" si="89"/>
        <v/>
      </c>
    </row>
    <row r="3013" spans="10:17" x14ac:dyDescent="0.25">
      <c r="J3013" s="1"/>
      <c r="Q3013" s="1" t="str">
        <f t="shared" si="89"/>
        <v/>
      </c>
    </row>
    <row r="3014" spans="10:17" x14ac:dyDescent="0.25">
      <c r="J3014" s="1"/>
      <c r="Q3014" s="1" t="str">
        <f t="shared" si="89"/>
        <v/>
      </c>
    </row>
    <row r="3015" spans="10:17" x14ac:dyDescent="0.25">
      <c r="J3015" s="1"/>
      <c r="Q3015" s="1" t="str">
        <f t="shared" si="89"/>
        <v/>
      </c>
    </row>
    <row r="3016" spans="10:17" x14ac:dyDescent="0.25">
      <c r="J3016" s="1"/>
      <c r="Q3016" s="1" t="str">
        <f t="shared" si="89"/>
        <v/>
      </c>
    </row>
    <row r="3017" spans="10:17" x14ac:dyDescent="0.25">
      <c r="J3017" s="1"/>
      <c r="Q3017" s="1" t="str">
        <f t="shared" si="89"/>
        <v/>
      </c>
    </row>
    <row r="3018" spans="10:17" x14ac:dyDescent="0.25">
      <c r="J3018" s="1"/>
      <c r="Q3018" s="1" t="str">
        <f t="shared" si="89"/>
        <v/>
      </c>
    </row>
    <row r="3019" spans="10:17" x14ac:dyDescent="0.25">
      <c r="J3019" s="1"/>
      <c r="Q3019" s="1" t="str">
        <f t="shared" si="89"/>
        <v/>
      </c>
    </row>
    <row r="3020" spans="10:17" x14ac:dyDescent="0.25">
      <c r="J3020" s="1"/>
      <c r="Q3020" s="1" t="str">
        <f t="shared" si="89"/>
        <v/>
      </c>
    </row>
    <row r="3021" spans="10:17" x14ac:dyDescent="0.25">
      <c r="J3021" s="1"/>
      <c r="Q3021" s="1" t="str">
        <f t="shared" si="89"/>
        <v/>
      </c>
    </row>
    <row r="3022" spans="10:17" x14ac:dyDescent="0.25">
      <c r="J3022" s="1"/>
      <c r="Q3022" s="1" t="str">
        <f t="shared" si="89"/>
        <v/>
      </c>
    </row>
    <row r="3023" spans="10:17" x14ac:dyDescent="0.25">
      <c r="J3023" s="1"/>
      <c r="Q3023" s="1" t="str">
        <f t="shared" si="89"/>
        <v/>
      </c>
    </row>
    <row r="3024" spans="10:17" x14ac:dyDescent="0.25">
      <c r="J3024" s="1"/>
      <c r="Q3024" s="1" t="str">
        <f t="shared" si="89"/>
        <v/>
      </c>
    </row>
    <row r="3025" spans="10:17" x14ac:dyDescent="0.25">
      <c r="J3025" s="1"/>
      <c r="Q3025" s="1" t="str">
        <f t="shared" si="89"/>
        <v/>
      </c>
    </row>
    <row r="3026" spans="10:17" x14ac:dyDescent="0.25">
      <c r="J3026" s="1"/>
      <c r="Q3026" s="1" t="str">
        <f t="shared" si="89"/>
        <v/>
      </c>
    </row>
    <row r="3027" spans="10:17" x14ac:dyDescent="0.25">
      <c r="J3027" s="1"/>
      <c r="Q3027" s="1" t="str">
        <f t="shared" si="89"/>
        <v/>
      </c>
    </row>
    <row r="3028" spans="10:17" x14ac:dyDescent="0.25">
      <c r="J3028" s="1"/>
      <c r="Q3028" s="1" t="str">
        <f t="shared" si="89"/>
        <v/>
      </c>
    </row>
    <row r="3029" spans="10:17" x14ac:dyDescent="0.25">
      <c r="J3029" s="1"/>
      <c r="Q3029" s="1" t="str">
        <f t="shared" si="89"/>
        <v/>
      </c>
    </row>
    <row r="3030" spans="10:17" x14ac:dyDescent="0.25">
      <c r="J3030" s="1"/>
      <c r="Q3030" s="1" t="str">
        <f t="shared" si="89"/>
        <v/>
      </c>
    </row>
    <row r="3031" spans="10:17" x14ac:dyDescent="0.25">
      <c r="J3031" s="1"/>
      <c r="Q3031" s="1" t="str">
        <f t="shared" si="89"/>
        <v/>
      </c>
    </row>
    <row r="3032" spans="10:17" x14ac:dyDescent="0.25">
      <c r="J3032" s="1"/>
      <c r="Q3032" s="1" t="str">
        <f t="shared" si="89"/>
        <v/>
      </c>
    </row>
    <row r="3033" spans="10:17" x14ac:dyDescent="0.25">
      <c r="J3033" s="1"/>
      <c r="Q3033" s="1" t="str">
        <f t="shared" si="89"/>
        <v/>
      </c>
    </row>
    <row r="3034" spans="10:17" x14ac:dyDescent="0.25">
      <c r="J3034" s="1"/>
      <c r="Q3034" s="1" t="str">
        <f t="shared" si="89"/>
        <v/>
      </c>
    </row>
    <row r="3035" spans="10:17" x14ac:dyDescent="0.25">
      <c r="J3035" s="1"/>
      <c r="Q3035" s="1" t="str">
        <f t="shared" si="89"/>
        <v/>
      </c>
    </row>
    <row r="3036" spans="10:17" x14ac:dyDescent="0.25">
      <c r="J3036" s="1"/>
      <c r="Q3036" s="1" t="str">
        <f t="shared" si="89"/>
        <v/>
      </c>
    </row>
    <row r="3037" spans="10:17" x14ac:dyDescent="0.25">
      <c r="J3037" s="1"/>
      <c r="Q3037" s="1" t="str">
        <f t="shared" si="89"/>
        <v/>
      </c>
    </row>
    <row r="3038" spans="10:17" x14ac:dyDescent="0.25">
      <c r="J3038" s="1"/>
      <c r="Q3038" s="1" t="str">
        <f t="shared" si="89"/>
        <v/>
      </c>
    </row>
    <row r="3039" spans="10:17" x14ac:dyDescent="0.25">
      <c r="J3039" s="1"/>
      <c r="Q3039" s="1" t="str">
        <f t="shared" si="89"/>
        <v/>
      </c>
    </row>
    <row r="3040" spans="10:17" x14ac:dyDescent="0.25">
      <c r="J3040" s="1"/>
      <c r="Q3040" s="1" t="str">
        <f t="shared" si="89"/>
        <v/>
      </c>
    </row>
    <row r="3041" spans="10:17" x14ac:dyDescent="0.25">
      <c r="J3041" s="1"/>
      <c r="Q3041" s="1" t="str">
        <f t="shared" si="89"/>
        <v/>
      </c>
    </row>
    <row r="3042" spans="10:17" x14ac:dyDescent="0.25">
      <c r="J3042" s="1"/>
      <c r="Q3042" s="1" t="str">
        <f t="shared" si="89"/>
        <v/>
      </c>
    </row>
    <row r="3043" spans="10:17" x14ac:dyDescent="0.25">
      <c r="J3043" s="1"/>
      <c r="Q3043" s="1" t="str">
        <f t="shared" si="89"/>
        <v/>
      </c>
    </row>
    <row r="3044" spans="10:17" x14ac:dyDescent="0.25">
      <c r="J3044" s="1"/>
      <c r="Q3044" s="1" t="str">
        <f t="shared" si="89"/>
        <v/>
      </c>
    </row>
    <row r="3045" spans="10:17" x14ac:dyDescent="0.25">
      <c r="J3045" s="1"/>
      <c r="Q3045" s="1" t="str">
        <f t="shared" si="89"/>
        <v/>
      </c>
    </row>
    <row r="3046" spans="10:17" x14ac:dyDescent="0.25">
      <c r="J3046" s="1"/>
      <c r="Q3046" s="1" t="str">
        <f t="shared" si="89"/>
        <v/>
      </c>
    </row>
    <row r="3047" spans="10:17" x14ac:dyDescent="0.25">
      <c r="J3047" s="1"/>
      <c r="Q3047" s="1" t="str">
        <f t="shared" si="89"/>
        <v/>
      </c>
    </row>
    <row r="3048" spans="10:17" x14ac:dyDescent="0.25">
      <c r="J3048" s="1"/>
      <c r="Q3048" s="1" t="str">
        <f t="shared" si="89"/>
        <v/>
      </c>
    </row>
    <row r="3049" spans="10:17" x14ac:dyDescent="0.25">
      <c r="J3049" s="1"/>
      <c r="Q3049" s="1" t="str">
        <f t="shared" si="89"/>
        <v/>
      </c>
    </row>
    <row r="3050" spans="10:17" x14ac:dyDescent="0.25">
      <c r="J3050" s="1"/>
      <c r="Q3050" s="1" t="str">
        <f t="shared" si="89"/>
        <v/>
      </c>
    </row>
    <row r="3051" spans="10:17" x14ac:dyDescent="0.25">
      <c r="J3051" s="1"/>
      <c r="Q3051" s="1" t="str">
        <f t="shared" si="89"/>
        <v/>
      </c>
    </row>
    <row r="3052" spans="10:17" x14ac:dyDescent="0.25">
      <c r="J3052" s="1"/>
      <c r="Q3052" s="1" t="str">
        <f t="shared" si="89"/>
        <v/>
      </c>
    </row>
    <row r="3053" spans="10:17" x14ac:dyDescent="0.25">
      <c r="J3053" s="1"/>
      <c r="Q3053" s="1" t="str">
        <f t="shared" si="89"/>
        <v/>
      </c>
    </row>
    <row r="3054" spans="10:17" x14ac:dyDescent="0.25">
      <c r="J3054" s="1"/>
      <c r="Q3054" s="1" t="str">
        <f t="shared" si="89"/>
        <v/>
      </c>
    </row>
    <row r="3055" spans="10:17" x14ac:dyDescent="0.25">
      <c r="J3055" s="1"/>
      <c r="Q3055" s="1" t="str">
        <f t="shared" si="89"/>
        <v/>
      </c>
    </row>
    <row r="3056" spans="10:17" x14ac:dyDescent="0.25">
      <c r="J3056" s="1"/>
      <c r="Q3056" s="1" t="str">
        <f t="shared" si="89"/>
        <v/>
      </c>
    </row>
    <row r="3057" spans="10:17" x14ac:dyDescent="0.25">
      <c r="J3057" s="1"/>
      <c r="Q3057" s="1" t="str">
        <f t="shared" si="89"/>
        <v/>
      </c>
    </row>
    <row r="3058" spans="10:17" x14ac:dyDescent="0.25">
      <c r="J3058" s="1"/>
      <c r="Q3058" s="1" t="str">
        <f t="shared" si="89"/>
        <v/>
      </c>
    </row>
    <row r="3059" spans="10:17" x14ac:dyDescent="0.25">
      <c r="J3059" s="1"/>
      <c r="Q3059" s="1" t="str">
        <f t="shared" si="89"/>
        <v/>
      </c>
    </row>
    <row r="3060" spans="10:17" x14ac:dyDescent="0.25">
      <c r="J3060" s="1"/>
      <c r="Q3060" s="1" t="str">
        <f t="shared" si="89"/>
        <v/>
      </c>
    </row>
    <row r="3061" spans="10:17" x14ac:dyDescent="0.25">
      <c r="J3061" s="1"/>
      <c r="Q3061" s="1" t="str">
        <f t="shared" si="89"/>
        <v/>
      </c>
    </row>
    <row r="3062" spans="10:17" x14ac:dyDescent="0.25">
      <c r="J3062" s="1"/>
      <c r="Q3062" s="1" t="str">
        <f t="shared" si="89"/>
        <v/>
      </c>
    </row>
    <row r="3063" spans="10:17" x14ac:dyDescent="0.25">
      <c r="J3063" s="1"/>
      <c r="Q3063" s="1" t="str">
        <f t="shared" si="89"/>
        <v/>
      </c>
    </row>
    <row r="3064" spans="10:17" x14ac:dyDescent="0.25">
      <c r="J3064" s="1"/>
      <c r="Q3064" s="1" t="str">
        <f t="shared" si="89"/>
        <v/>
      </c>
    </row>
    <row r="3065" spans="10:17" x14ac:dyDescent="0.25">
      <c r="J3065" s="1"/>
      <c r="Q3065" s="1" t="str">
        <f t="shared" si="89"/>
        <v/>
      </c>
    </row>
    <row r="3066" spans="10:17" x14ac:dyDescent="0.25">
      <c r="J3066" s="1"/>
      <c r="Q3066" s="1" t="str">
        <f t="shared" si="89"/>
        <v/>
      </c>
    </row>
    <row r="3067" spans="10:17" x14ac:dyDescent="0.25">
      <c r="J3067" s="1"/>
      <c r="Q3067" s="1" t="str">
        <f t="shared" si="89"/>
        <v/>
      </c>
    </row>
    <row r="3068" spans="10:17" x14ac:dyDescent="0.25">
      <c r="J3068" s="1"/>
      <c r="Q3068" s="1" t="str">
        <f t="shared" si="89"/>
        <v/>
      </c>
    </row>
    <row r="3069" spans="10:17" x14ac:dyDescent="0.25">
      <c r="J3069" s="1"/>
      <c r="Q3069" s="1" t="str">
        <f t="shared" ref="Q3069:Q3132" si="90">IF(B3069="","",1)</f>
        <v/>
      </c>
    </row>
    <row r="3070" spans="10:17" x14ac:dyDescent="0.25">
      <c r="J3070" s="1"/>
      <c r="Q3070" s="1" t="str">
        <f t="shared" si="90"/>
        <v/>
      </c>
    </row>
    <row r="3071" spans="10:17" x14ac:dyDescent="0.25">
      <c r="J3071" s="1"/>
      <c r="Q3071" s="1" t="str">
        <f t="shared" si="90"/>
        <v/>
      </c>
    </row>
    <row r="3072" spans="10:17" x14ac:dyDescent="0.25">
      <c r="J3072" s="1"/>
      <c r="Q3072" s="1" t="str">
        <f t="shared" si="90"/>
        <v/>
      </c>
    </row>
    <row r="3073" spans="10:17" x14ac:dyDescent="0.25">
      <c r="J3073" s="1"/>
      <c r="Q3073" s="1" t="str">
        <f t="shared" si="90"/>
        <v/>
      </c>
    </row>
    <row r="3074" spans="10:17" x14ac:dyDescent="0.25">
      <c r="J3074" s="1"/>
      <c r="Q3074" s="1" t="str">
        <f t="shared" si="90"/>
        <v/>
      </c>
    </row>
    <row r="3075" spans="10:17" x14ac:dyDescent="0.25">
      <c r="J3075" s="1"/>
      <c r="Q3075" s="1" t="str">
        <f t="shared" si="90"/>
        <v/>
      </c>
    </row>
    <row r="3076" spans="10:17" x14ac:dyDescent="0.25">
      <c r="J3076" s="1"/>
      <c r="Q3076" s="1" t="str">
        <f t="shared" si="90"/>
        <v/>
      </c>
    </row>
    <row r="3077" spans="10:17" x14ac:dyDescent="0.25">
      <c r="J3077" s="1"/>
      <c r="Q3077" s="1" t="str">
        <f t="shared" si="90"/>
        <v/>
      </c>
    </row>
    <row r="3078" spans="10:17" x14ac:dyDescent="0.25">
      <c r="J3078" s="1"/>
      <c r="Q3078" s="1" t="str">
        <f t="shared" si="90"/>
        <v/>
      </c>
    </row>
    <row r="3079" spans="10:17" x14ac:dyDescent="0.25">
      <c r="J3079" s="1"/>
      <c r="Q3079" s="1" t="str">
        <f t="shared" si="90"/>
        <v/>
      </c>
    </row>
    <row r="3080" spans="10:17" x14ac:dyDescent="0.25">
      <c r="J3080" s="1"/>
      <c r="Q3080" s="1" t="str">
        <f t="shared" si="90"/>
        <v/>
      </c>
    </row>
    <row r="3081" spans="10:17" x14ac:dyDescent="0.25">
      <c r="J3081" s="1"/>
      <c r="Q3081" s="1" t="str">
        <f t="shared" si="90"/>
        <v/>
      </c>
    </row>
    <row r="3082" spans="10:17" x14ac:dyDescent="0.25">
      <c r="J3082" s="1"/>
      <c r="Q3082" s="1" t="str">
        <f t="shared" si="90"/>
        <v/>
      </c>
    </row>
    <row r="3083" spans="10:17" x14ac:dyDescent="0.25">
      <c r="J3083" s="1"/>
      <c r="Q3083" s="1" t="str">
        <f t="shared" si="90"/>
        <v/>
      </c>
    </row>
    <row r="3084" spans="10:17" x14ac:dyDescent="0.25">
      <c r="J3084" s="1"/>
      <c r="Q3084" s="1" t="str">
        <f t="shared" si="90"/>
        <v/>
      </c>
    </row>
    <row r="3085" spans="10:17" x14ac:dyDescent="0.25">
      <c r="J3085" s="1"/>
      <c r="Q3085" s="1" t="str">
        <f t="shared" si="90"/>
        <v/>
      </c>
    </row>
    <row r="3086" spans="10:17" x14ac:dyDescent="0.25">
      <c r="J3086" s="1"/>
      <c r="Q3086" s="1" t="str">
        <f t="shared" si="90"/>
        <v/>
      </c>
    </row>
    <row r="3087" spans="10:17" x14ac:dyDescent="0.25">
      <c r="J3087" s="1"/>
      <c r="Q3087" s="1" t="str">
        <f t="shared" si="90"/>
        <v/>
      </c>
    </row>
    <row r="3088" spans="10:17" x14ac:dyDescent="0.25">
      <c r="J3088" s="1"/>
      <c r="Q3088" s="1" t="str">
        <f t="shared" si="90"/>
        <v/>
      </c>
    </row>
    <row r="3089" spans="10:17" x14ac:dyDescent="0.25">
      <c r="J3089" s="1"/>
      <c r="Q3089" s="1" t="str">
        <f t="shared" si="90"/>
        <v/>
      </c>
    </row>
    <row r="3090" spans="10:17" x14ac:dyDescent="0.25">
      <c r="J3090" s="1"/>
      <c r="Q3090" s="1" t="str">
        <f t="shared" si="90"/>
        <v/>
      </c>
    </row>
    <row r="3091" spans="10:17" x14ac:dyDescent="0.25">
      <c r="J3091" s="1"/>
      <c r="Q3091" s="1" t="str">
        <f t="shared" si="90"/>
        <v/>
      </c>
    </row>
    <row r="3092" spans="10:17" x14ac:dyDescent="0.25">
      <c r="J3092" s="1"/>
      <c r="Q3092" s="1" t="str">
        <f t="shared" si="90"/>
        <v/>
      </c>
    </row>
    <row r="3093" spans="10:17" x14ac:dyDescent="0.25">
      <c r="J3093" s="1"/>
      <c r="Q3093" s="1" t="str">
        <f t="shared" si="90"/>
        <v/>
      </c>
    </row>
    <row r="3094" spans="10:17" x14ac:dyDescent="0.25">
      <c r="J3094" s="1"/>
      <c r="Q3094" s="1" t="str">
        <f t="shared" si="90"/>
        <v/>
      </c>
    </row>
    <row r="3095" spans="10:17" x14ac:dyDescent="0.25">
      <c r="J3095" s="1"/>
      <c r="Q3095" s="1" t="str">
        <f t="shared" si="90"/>
        <v/>
      </c>
    </row>
    <row r="3096" spans="10:17" x14ac:dyDescent="0.25">
      <c r="J3096" s="1"/>
      <c r="Q3096" s="1" t="str">
        <f t="shared" si="90"/>
        <v/>
      </c>
    </row>
    <row r="3097" spans="10:17" x14ac:dyDescent="0.25">
      <c r="J3097" s="1"/>
      <c r="Q3097" s="1" t="str">
        <f t="shared" si="90"/>
        <v/>
      </c>
    </row>
    <row r="3098" spans="10:17" x14ac:dyDescent="0.25">
      <c r="J3098" s="1"/>
      <c r="Q3098" s="1" t="str">
        <f t="shared" si="90"/>
        <v/>
      </c>
    </row>
    <row r="3099" spans="10:17" x14ac:dyDescent="0.25">
      <c r="J3099" s="1"/>
      <c r="Q3099" s="1" t="str">
        <f t="shared" si="90"/>
        <v/>
      </c>
    </row>
    <row r="3100" spans="10:17" x14ac:dyDescent="0.25">
      <c r="J3100" s="1"/>
      <c r="Q3100" s="1" t="str">
        <f t="shared" si="90"/>
        <v/>
      </c>
    </row>
    <row r="3101" spans="10:17" x14ac:dyDescent="0.25">
      <c r="J3101" s="1"/>
      <c r="Q3101" s="1" t="str">
        <f t="shared" si="90"/>
        <v/>
      </c>
    </row>
    <row r="3102" spans="10:17" x14ac:dyDescent="0.25">
      <c r="J3102" s="1"/>
      <c r="Q3102" s="1" t="str">
        <f t="shared" si="90"/>
        <v/>
      </c>
    </row>
    <row r="3103" spans="10:17" x14ac:dyDescent="0.25">
      <c r="J3103" s="1"/>
      <c r="Q3103" s="1" t="str">
        <f t="shared" si="90"/>
        <v/>
      </c>
    </row>
    <row r="3104" spans="10:17" x14ac:dyDescent="0.25">
      <c r="J3104" s="1"/>
      <c r="Q3104" s="1" t="str">
        <f t="shared" si="90"/>
        <v/>
      </c>
    </row>
    <row r="3105" spans="10:17" x14ac:dyDescent="0.25">
      <c r="J3105" s="1"/>
      <c r="Q3105" s="1" t="str">
        <f t="shared" si="90"/>
        <v/>
      </c>
    </row>
    <row r="3106" spans="10:17" x14ac:dyDescent="0.25">
      <c r="J3106" s="1"/>
      <c r="Q3106" s="1" t="str">
        <f t="shared" si="90"/>
        <v/>
      </c>
    </row>
    <row r="3107" spans="10:17" x14ac:dyDescent="0.25">
      <c r="J3107" s="1"/>
      <c r="Q3107" s="1" t="str">
        <f t="shared" si="90"/>
        <v/>
      </c>
    </row>
    <row r="3108" spans="10:17" x14ac:dyDescent="0.25">
      <c r="J3108" s="1"/>
      <c r="Q3108" s="1" t="str">
        <f t="shared" si="90"/>
        <v/>
      </c>
    </row>
    <row r="3109" spans="10:17" x14ac:dyDescent="0.25">
      <c r="J3109" s="1"/>
      <c r="Q3109" s="1" t="str">
        <f t="shared" si="90"/>
        <v/>
      </c>
    </row>
    <row r="3110" spans="10:17" x14ac:dyDescent="0.25">
      <c r="J3110" s="1"/>
      <c r="Q3110" s="1" t="str">
        <f t="shared" si="90"/>
        <v/>
      </c>
    </row>
    <row r="3111" spans="10:17" x14ac:dyDescent="0.25">
      <c r="J3111" s="1"/>
      <c r="Q3111" s="1" t="str">
        <f t="shared" si="90"/>
        <v/>
      </c>
    </row>
    <row r="3112" spans="10:17" x14ac:dyDescent="0.25">
      <c r="J3112" s="1"/>
      <c r="Q3112" s="1" t="str">
        <f t="shared" si="90"/>
        <v/>
      </c>
    </row>
    <row r="3113" spans="10:17" x14ac:dyDescent="0.25">
      <c r="J3113" s="1"/>
      <c r="Q3113" s="1" t="str">
        <f t="shared" si="90"/>
        <v/>
      </c>
    </row>
    <row r="3114" spans="10:17" x14ac:dyDescent="0.25">
      <c r="J3114" s="1"/>
      <c r="Q3114" s="1" t="str">
        <f t="shared" si="90"/>
        <v/>
      </c>
    </row>
    <row r="3115" spans="10:17" x14ac:dyDescent="0.25">
      <c r="J3115" s="1"/>
      <c r="Q3115" s="1" t="str">
        <f t="shared" si="90"/>
        <v/>
      </c>
    </row>
    <row r="3116" spans="10:17" x14ac:dyDescent="0.25">
      <c r="J3116" s="1"/>
      <c r="Q3116" s="1" t="str">
        <f t="shared" si="90"/>
        <v/>
      </c>
    </row>
    <row r="3117" spans="10:17" x14ac:dyDescent="0.25">
      <c r="J3117" s="1"/>
      <c r="Q3117" s="1" t="str">
        <f t="shared" si="90"/>
        <v/>
      </c>
    </row>
    <row r="3118" spans="10:17" x14ac:dyDescent="0.25">
      <c r="J3118" s="1"/>
      <c r="Q3118" s="1" t="str">
        <f t="shared" si="90"/>
        <v/>
      </c>
    </row>
    <row r="3119" spans="10:17" x14ac:dyDescent="0.25">
      <c r="J3119" s="1"/>
      <c r="Q3119" s="1" t="str">
        <f t="shared" si="90"/>
        <v/>
      </c>
    </row>
    <row r="3120" spans="10:17" x14ac:dyDescent="0.25">
      <c r="J3120" s="1"/>
      <c r="Q3120" s="1" t="str">
        <f t="shared" si="90"/>
        <v/>
      </c>
    </row>
    <row r="3121" spans="10:17" x14ac:dyDescent="0.25">
      <c r="J3121" s="1"/>
      <c r="Q3121" s="1" t="str">
        <f t="shared" si="90"/>
        <v/>
      </c>
    </row>
    <row r="3122" spans="10:17" x14ac:dyDescent="0.25">
      <c r="J3122" s="1"/>
      <c r="Q3122" s="1" t="str">
        <f t="shared" si="90"/>
        <v/>
      </c>
    </row>
    <row r="3123" spans="10:17" x14ac:dyDescent="0.25">
      <c r="J3123" s="1"/>
      <c r="Q3123" s="1" t="str">
        <f t="shared" si="90"/>
        <v/>
      </c>
    </row>
    <row r="3124" spans="10:17" x14ac:dyDescent="0.25">
      <c r="J3124" s="1"/>
      <c r="Q3124" s="1" t="str">
        <f t="shared" si="90"/>
        <v/>
      </c>
    </row>
    <row r="3125" spans="10:17" x14ac:dyDescent="0.25">
      <c r="J3125" s="1"/>
      <c r="Q3125" s="1" t="str">
        <f t="shared" si="90"/>
        <v/>
      </c>
    </row>
    <row r="3126" spans="10:17" x14ac:dyDescent="0.25">
      <c r="J3126" s="1"/>
      <c r="Q3126" s="1" t="str">
        <f t="shared" si="90"/>
        <v/>
      </c>
    </row>
    <row r="3127" spans="10:17" x14ac:dyDescent="0.25">
      <c r="J3127" s="1"/>
      <c r="Q3127" s="1" t="str">
        <f t="shared" si="90"/>
        <v/>
      </c>
    </row>
    <row r="3128" spans="10:17" x14ac:dyDescent="0.25">
      <c r="J3128" s="1"/>
      <c r="Q3128" s="1" t="str">
        <f t="shared" si="90"/>
        <v/>
      </c>
    </row>
    <row r="3129" spans="10:17" x14ac:dyDescent="0.25">
      <c r="J3129" s="1"/>
      <c r="Q3129" s="1" t="str">
        <f t="shared" si="90"/>
        <v/>
      </c>
    </row>
    <row r="3130" spans="10:17" x14ac:dyDescent="0.25">
      <c r="J3130" s="1"/>
      <c r="Q3130" s="1" t="str">
        <f t="shared" si="90"/>
        <v/>
      </c>
    </row>
    <row r="3131" spans="10:17" x14ac:dyDescent="0.25">
      <c r="J3131" s="1"/>
      <c r="Q3131" s="1" t="str">
        <f t="shared" si="90"/>
        <v/>
      </c>
    </row>
    <row r="3132" spans="10:17" x14ac:dyDescent="0.25">
      <c r="J3132" s="1"/>
      <c r="Q3132" s="1" t="str">
        <f t="shared" si="90"/>
        <v/>
      </c>
    </row>
    <row r="3133" spans="10:17" x14ac:dyDescent="0.25">
      <c r="J3133" s="1"/>
      <c r="Q3133" s="1" t="str">
        <f t="shared" ref="Q3133:Q3196" si="91">IF(B3133="","",1)</f>
        <v/>
      </c>
    </row>
    <row r="3134" spans="10:17" x14ac:dyDescent="0.25">
      <c r="J3134" s="1"/>
      <c r="Q3134" s="1" t="str">
        <f t="shared" si="91"/>
        <v/>
      </c>
    </row>
    <row r="3135" spans="10:17" x14ac:dyDescent="0.25">
      <c r="J3135" s="1"/>
      <c r="Q3135" s="1" t="str">
        <f t="shared" si="91"/>
        <v/>
      </c>
    </row>
    <row r="3136" spans="10:17" x14ac:dyDescent="0.25">
      <c r="J3136" s="1"/>
      <c r="Q3136" s="1" t="str">
        <f t="shared" si="91"/>
        <v/>
      </c>
    </row>
    <row r="3137" spans="10:17" x14ac:dyDescent="0.25">
      <c r="J3137" s="1"/>
      <c r="Q3137" s="1" t="str">
        <f t="shared" si="91"/>
        <v/>
      </c>
    </row>
    <row r="3138" spans="10:17" x14ac:dyDescent="0.25">
      <c r="J3138" s="1"/>
      <c r="Q3138" s="1" t="str">
        <f t="shared" si="91"/>
        <v/>
      </c>
    </row>
    <row r="3139" spans="10:17" x14ac:dyDescent="0.25">
      <c r="J3139" s="1"/>
      <c r="Q3139" s="1" t="str">
        <f t="shared" si="91"/>
        <v/>
      </c>
    </row>
    <row r="3140" spans="10:17" x14ac:dyDescent="0.25">
      <c r="J3140" s="1"/>
      <c r="Q3140" s="1" t="str">
        <f t="shared" si="91"/>
        <v/>
      </c>
    </row>
    <row r="3141" spans="10:17" x14ac:dyDescent="0.25">
      <c r="J3141" s="1"/>
      <c r="Q3141" s="1" t="str">
        <f t="shared" si="91"/>
        <v/>
      </c>
    </row>
    <row r="3142" spans="10:17" x14ac:dyDescent="0.25">
      <c r="J3142" s="1"/>
      <c r="Q3142" s="1" t="str">
        <f t="shared" si="91"/>
        <v/>
      </c>
    </row>
    <row r="3143" spans="10:17" x14ac:dyDescent="0.25">
      <c r="J3143" s="1"/>
      <c r="Q3143" s="1" t="str">
        <f t="shared" si="91"/>
        <v/>
      </c>
    </row>
    <row r="3144" spans="10:17" x14ac:dyDescent="0.25">
      <c r="J3144" s="1"/>
      <c r="Q3144" s="1" t="str">
        <f t="shared" si="91"/>
        <v/>
      </c>
    </row>
    <row r="3145" spans="10:17" x14ac:dyDescent="0.25">
      <c r="J3145" s="1"/>
      <c r="Q3145" s="1" t="str">
        <f t="shared" si="91"/>
        <v/>
      </c>
    </row>
    <row r="3146" spans="10:17" x14ac:dyDescent="0.25">
      <c r="J3146" s="1"/>
      <c r="Q3146" s="1" t="str">
        <f t="shared" si="91"/>
        <v/>
      </c>
    </row>
    <row r="3147" spans="10:17" x14ac:dyDescent="0.25">
      <c r="J3147" s="1"/>
      <c r="Q3147" s="1" t="str">
        <f t="shared" si="91"/>
        <v/>
      </c>
    </row>
    <row r="3148" spans="10:17" x14ac:dyDescent="0.25">
      <c r="J3148" s="1"/>
      <c r="Q3148" s="1" t="str">
        <f t="shared" si="91"/>
        <v/>
      </c>
    </row>
    <row r="3149" spans="10:17" x14ac:dyDescent="0.25">
      <c r="J3149" s="1"/>
      <c r="Q3149" s="1" t="str">
        <f t="shared" si="91"/>
        <v/>
      </c>
    </row>
    <row r="3150" spans="10:17" x14ac:dyDescent="0.25">
      <c r="J3150" s="1"/>
      <c r="Q3150" s="1" t="str">
        <f t="shared" si="91"/>
        <v/>
      </c>
    </row>
    <row r="3151" spans="10:17" x14ac:dyDescent="0.25">
      <c r="J3151" s="1"/>
      <c r="Q3151" s="1" t="str">
        <f t="shared" si="91"/>
        <v/>
      </c>
    </row>
    <row r="3152" spans="10:17" x14ac:dyDescent="0.25">
      <c r="J3152" s="1"/>
      <c r="Q3152" s="1" t="str">
        <f t="shared" si="91"/>
        <v/>
      </c>
    </row>
    <row r="3153" spans="10:17" x14ac:dyDescent="0.25">
      <c r="J3153" s="1"/>
      <c r="Q3153" s="1" t="str">
        <f t="shared" si="91"/>
        <v/>
      </c>
    </row>
    <row r="3154" spans="10:17" x14ac:dyDescent="0.25">
      <c r="J3154" s="1"/>
      <c r="Q3154" s="1" t="str">
        <f t="shared" si="91"/>
        <v/>
      </c>
    </row>
    <row r="3155" spans="10:17" x14ac:dyDescent="0.25">
      <c r="J3155" s="1"/>
      <c r="Q3155" s="1" t="str">
        <f t="shared" si="91"/>
        <v/>
      </c>
    </row>
    <row r="3156" spans="10:17" x14ac:dyDescent="0.25">
      <c r="J3156" s="1"/>
      <c r="Q3156" s="1" t="str">
        <f t="shared" si="91"/>
        <v/>
      </c>
    </row>
    <row r="3157" spans="10:17" x14ac:dyDescent="0.25">
      <c r="J3157" s="1"/>
      <c r="Q3157" s="1" t="str">
        <f t="shared" si="91"/>
        <v/>
      </c>
    </row>
    <row r="3158" spans="10:17" x14ac:dyDescent="0.25">
      <c r="J3158" s="1"/>
      <c r="Q3158" s="1" t="str">
        <f t="shared" si="91"/>
        <v/>
      </c>
    </row>
    <row r="3159" spans="10:17" x14ac:dyDescent="0.25">
      <c r="J3159" s="1"/>
      <c r="Q3159" s="1" t="str">
        <f t="shared" si="91"/>
        <v/>
      </c>
    </row>
    <row r="3160" spans="10:17" x14ac:dyDescent="0.25">
      <c r="J3160" s="1"/>
      <c r="Q3160" s="1" t="str">
        <f t="shared" si="91"/>
        <v/>
      </c>
    </row>
    <row r="3161" spans="10:17" x14ac:dyDescent="0.25">
      <c r="J3161" s="1"/>
      <c r="Q3161" s="1" t="str">
        <f t="shared" si="91"/>
        <v/>
      </c>
    </row>
    <row r="3162" spans="10:17" x14ac:dyDescent="0.25">
      <c r="J3162" s="1"/>
      <c r="Q3162" s="1" t="str">
        <f t="shared" si="91"/>
        <v/>
      </c>
    </row>
    <row r="3163" spans="10:17" x14ac:dyDescent="0.25">
      <c r="J3163" s="1"/>
      <c r="Q3163" s="1" t="str">
        <f t="shared" si="91"/>
        <v/>
      </c>
    </row>
    <row r="3164" spans="10:17" x14ac:dyDescent="0.25">
      <c r="J3164" s="1"/>
      <c r="Q3164" s="1" t="str">
        <f t="shared" si="91"/>
        <v/>
      </c>
    </row>
    <row r="3165" spans="10:17" x14ac:dyDescent="0.25">
      <c r="J3165" s="1"/>
      <c r="Q3165" s="1" t="str">
        <f t="shared" si="91"/>
        <v/>
      </c>
    </row>
    <row r="3166" spans="10:17" x14ac:dyDescent="0.25">
      <c r="J3166" s="1"/>
      <c r="Q3166" s="1" t="str">
        <f t="shared" si="91"/>
        <v/>
      </c>
    </row>
    <row r="3167" spans="10:17" x14ac:dyDescent="0.25">
      <c r="J3167" s="1"/>
      <c r="Q3167" s="1" t="str">
        <f t="shared" si="91"/>
        <v/>
      </c>
    </row>
    <row r="3168" spans="10:17" x14ac:dyDescent="0.25">
      <c r="J3168" s="1"/>
      <c r="Q3168" s="1" t="str">
        <f t="shared" si="91"/>
        <v/>
      </c>
    </row>
    <row r="3169" spans="10:17" x14ac:dyDescent="0.25">
      <c r="J3169" s="1"/>
      <c r="Q3169" s="1" t="str">
        <f t="shared" si="91"/>
        <v/>
      </c>
    </row>
    <row r="3170" spans="10:17" x14ac:dyDescent="0.25">
      <c r="J3170" s="1"/>
      <c r="Q3170" s="1" t="str">
        <f t="shared" si="91"/>
        <v/>
      </c>
    </row>
    <row r="3171" spans="10:17" x14ac:dyDescent="0.25">
      <c r="J3171" s="1"/>
      <c r="Q3171" s="1" t="str">
        <f t="shared" si="91"/>
        <v/>
      </c>
    </row>
    <row r="3172" spans="10:17" x14ac:dyDescent="0.25">
      <c r="J3172" s="1"/>
      <c r="Q3172" s="1" t="str">
        <f t="shared" si="91"/>
        <v/>
      </c>
    </row>
    <row r="3173" spans="10:17" x14ac:dyDescent="0.25">
      <c r="J3173" s="1"/>
      <c r="Q3173" s="1" t="str">
        <f t="shared" si="91"/>
        <v/>
      </c>
    </row>
    <row r="3174" spans="10:17" x14ac:dyDescent="0.25">
      <c r="J3174" s="1"/>
      <c r="Q3174" s="1" t="str">
        <f t="shared" si="91"/>
        <v/>
      </c>
    </row>
    <row r="3175" spans="10:17" x14ac:dyDescent="0.25">
      <c r="J3175" s="1"/>
      <c r="Q3175" s="1" t="str">
        <f t="shared" si="91"/>
        <v/>
      </c>
    </row>
    <row r="3176" spans="10:17" x14ac:dyDescent="0.25">
      <c r="J3176" s="1"/>
      <c r="Q3176" s="1" t="str">
        <f t="shared" si="91"/>
        <v/>
      </c>
    </row>
    <row r="3177" spans="10:17" x14ac:dyDescent="0.25">
      <c r="J3177" s="1"/>
      <c r="Q3177" s="1" t="str">
        <f t="shared" si="91"/>
        <v/>
      </c>
    </row>
    <row r="3178" spans="10:17" x14ac:dyDescent="0.25">
      <c r="J3178" s="1"/>
      <c r="Q3178" s="1" t="str">
        <f t="shared" si="91"/>
        <v/>
      </c>
    </row>
    <row r="3179" spans="10:17" x14ac:dyDescent="0.25">
      <c r="J3179" s="1"/>
      <c r="Q3179" s="1" t="str">
        <f t="shared" si="91"/>
        <v/>
      </c>
    </row>
    <row r="3180" spans="10:17" x14ac:dyDescent="0.25">
      <c r="J3180" s="1"/>
      <c r="Q3180" s="1" t="str">
        <f t="shared" si="91"/>
        <v/>
      </c>
    </row>
    <row r="3181" spans="10:17" x14ac:dyDescent="0.25">
      <c r="J3181" s="1"/>
      <c r="Q3181" s="1" t="str">
        <f t="shared" si="91"/>
        <v/>
      </c>
    </row>
    <row r="3182" spans="10:17" x14ac:dyDescent="0.25">
      <c r="J3182" s="1"/>
      <c r="Q3182" s="1" t="str">
        <f t="shared" si="91"/>
        <v/>
      </c>
    </row>
    <row r="3183" spans="10:17" x14ac:dyDescent="0.25">
      <c r="J3183" s="1"/>
      <c r="Q3183" s="1" t="str">
        <f t="shared" si="91"/>
        <v/>
      </c>
    </row>
    <row r="3184" spans="10:17" x14ac:dyDescent="0.25">
      <c r="J3184" s="1"/>
      <c r="Q3184" s="1" t="str">
        <f t="shared" si="91"/>
        <v/>
      </c>
    </row>
    <row r="3185" spans="10:17" x14ac:dyDescent="0.25">
      <c r="J3185" s="1"/>
      <c r="Q3185" s="1" t="str">
        <f t="shared" si="91"/>
        <v/>
      </c>
    </row>
    <row r="3186" spans="10:17" x14ac:dyDescent="0.25">
      <c r="J3186" s="1"/>
      <c r="Q3186" s="1" t="str">
        <f t="shared" si="91"/>
        <v/>
      </c>
    </row>
    <row r="3187" spans="10:17" x14ac:dyDescent="0.25">
      <c r="J3187" s="1"/>
      <c r="Q3187" s="1" t="str">
        <f t="shared" si="91"/>
        <v/>
      </c>
    </row>
    <row r="3188" spans="10:17" x14ac:dyDescent="0.25">
      <c r="J3188" s="1"/>
      <c r="Q3188" s="1" t="str">
        <f t="shared" si="91"/>
        <v/>
      </c>
    </row>
    <row r="3189" spans="10:17" x14ac:dyDescent="0.25">
      <c r="J3189" s="1"/>
      <c r="Q3189" s="1" t="str">
        <f t="shared" si="91"/>
        <v/>
      </c>
    </row>
    <row r="3190" spans="10:17" x14ac:dyDescent="0.25">
      <c r="J3190" s="1"/>
      <c r="Q3190" s="1" t="str">
        <f t="shared" si="91"/>
        <v/>
      </c>
    </row>
    <row r="3191" spans="10:17" x14ac:dyDescent="0.25">
      <c r="J3191" s="1"/>
      <c r="Q3191" s="1" t="str">
        <f t="shared" si="91"/>
        <v/>
      </c>
    </row>
    <row r="3192" spans="10:17" x14ac:dyDescent="0.25">
      <c r="J3192" s="1"/>
      <c r="Q3192" s="1" t="str">
        <f t="shared" si="91"/>
        <v/>
      </c>
    </row>
    <row r="3193" spans="10:17" x14ac:dyDescent="0.25">
      <c r="J3193" s="1"/>
      <c r="Q3193" s="1" t="str">
        <f t="shared" si="91"/>
        <v/>
      </c>
    </row>
    <row r="3194" spans="10:17" x14ac:dyDescent="0.25">
      <c r="J3194" s="1"/>
      <c r="Q3194" s="1" t="str">
        <f t="shared" si="91"/>
        <v/>
      </c>
    </row>
    <row r="3195" spans="10:17" x14ac:dyDescent="0.25">
      <c r="J3195" s="1"/>
      <c r="Q3195" s="1" t="str">
        <f t="shared" si="91"/>
        <v/>
      </c>
    </row>
    <row r="3196" spans="10:17" x14ac:dyDescent="0.25">
      <c r="J3196" s="1"/>
      <c r="Q3196" s="1" t="str">
        <f t="shared" si="91"/>
        <v/>
      </c>
    </row>
    <row r="3197" spans="10:17" x14ac:dyDescent="0.25">
      <c r="J3197" s="1"/>
      <c r="Q3197" s="1" t="str">
        <f t="shared" ref="Q3197:Q3260" si="92">IF(B3197="","",1)</f>
        <v/>
      </c>
    </row>
    <row r="3198" spans="10:17" x14ac:dyDescent="0.25">
      <c r="J3198" s="1"/>
      <c r="Q3198" s="1" t="str">
        <f t="shared" si="92"/>
        <v/>
      </c>
    </row>
    <row r="3199" spans="10:17" x14ac:dyDescent="0.25">
      <c r="J3199" s="1"/>
      <c r="Q3199" s="1" t="str">
        <f t="shared" si="92"/>
        <v/>
      </c>
    </row>
    <row r="3200" spans="10:17" x14ac:dyDescent="0.25">
      <c r="J3200" s="1"/>
      <c r="Q3200" s="1" t="str">
        <f t="shared" si="92"/>
        <v/>
      </c>
    </row>
    <row r="3201" spans="10:17" x14ac:dyDescent="0.25">
      <c r="J3201" s="1"/>
      <c r="Q3201" s="1" t="str">
        <f t="shared" si="92"/>
        <v/>
      </c>
    </row>
    <row r="3202" spans="10:17" x14ac:dyDescent="0.25">
      <c r="J3202" s="1"/>
      <c r="Q3202" s="1" t="str">
        <f t="shared" si="92"/>
        <v/>
      </c>
    </row>
    <row r="3203" spans="10:17" x14ac:dyDescent="0.25">
      <c r="J3203" s="1"/>
      <c r="Q3203" s="1" t="str">
        <f t="shared" si="92"/>
        <v/>
      </c>
    </row>
    <row r="3204" spans="10:17" x14ac:dyDescent="0.25">
      <c r="J3204" s="1"/>
      <c r="Q3204" s="1" t="str">
        <f t="shared" si="92"/>
        <v/>
      </c>
    </row>
    <row r="3205" spans="10:17" x14ac:dyDescent="0.25">
      <c r="J3205" s="1"/>
      <c r="Q3205" s="1" t="str">
        <f t="shared" si="92"/>
        <v/>
      </c>
    </row>
    <row r="3206" spans="10:17" x14ac:dyDescent="0.25">
      <c r="J3206" s="1"/>
      <c r="Q3206" s="1" t="str">
        <f t="shared" si="92"/>
        <v/>
      </c>
    </row>
    <row r="3207" spans="10:17" x14ac:dyDescent="0.25">
      <c r="J3207" s="1"/>
      <c r="Q3207" s="1" t="str">
        <f t="shared" si="92"/>
        <v/>
      </c>
    </row>
    <row r="3208" spans="10:17" x14ac:dyDescent="0.25">
      <c r="J3208" s="1"/>
      <c r="Q3208" s="1" t="str">
        <f t="shared" si="92"/>
        <v/>
      </c>
    </row>
    <row r="3209" spans="10:17" x14ac:dyDescent="0.25">
      <c r="J3209" s="1"/>
      <c r="Q3209" s="1" t="str">
        <f t="shared" si="92"/>
        <v/>
      </c>
    </row>
    <row r="3210" spans="10:17" x14ac:dyDescent="0.25">
      <c r="J3210" s="1"/>
      <c r="Q3210" s="1" t="str">
        <f t="shared" si="92"/>
        <v/>
      </c>
    </row>
    <row r="3211" spans="10:17" x14ac:dyDescent="0.25">
      <c r="J3211" s="1"/>
      <c r="Q3211" s="1" t="str">
        <f t="shared" si="92"/>
        <v/>
      </c>
    </row>
    <row r="3212" spans="10:17" x14ac:dyDescent="0.25">
      <c r="J3212" s="1"/>
      <c r="Q3212" s="1" t="str">
        <f t="shared" si="92"/>
        <v/>
      </c>
    </row>
    <row r="3213" spans="10:17" x14ac:dyDescent="0.25">
      <c r="J3213" s="1"/>
      <c r="Q3213" s="1" t="str">
        <f t="shared" si="92"/>
        <v/>
      </c>
    </row>
    <row r="3214" spans="10:17" x14ac:dyDescent="0.25">
      <c r="J3214" s="1"/>
      <c r="Q3214" s="1" t="str">
        <f t="shared" si="92"/>
        <v/>
      </c>
    </row>
    <row r="3215" spans="10:17" x14ac:dyDescent="0.25">
      <c r="J3215" s="1"/>
      <c r="Q3215" s="1" t="str">
        <f t="shared" si="92"/>
        <v/>
      </c>
    </row>
    <row r="3216" spans="10:17" x14ac:dyDescent="0.25">
      <c r="J3216" s="1"/>
      <c r="Q3216" s="1" t="str">
        <f t="shared" si="92"/>
        <v/>
      </c>
    </row>
    <row r="3217" spans="10:17" x14ac:dyDescent="0.25">
      <c r="J3217" s="1"/>
      <c r="Q3217" s="1" t="str">
        <f t="shared" si="92"/>
        <v/>
      </c>
    </row>
    <row r="3218" spans="10:17" x14ac:dyDescent="0.25">
      <c r="J3218" s="1"/>
      <c r="Q3218" s="1" t="str">
        <f t="shared" si="92"/>
        <v/>
      </c>
    </row>
    <row r="3219" spans="10:17" x14ac:dyDescent="0.25">
      <c r="J3219" s="1"/>
      <c r="Q3219" s="1" t="str">
        <f t="shared" si="92"/>
        <v/>
      </c>
    </row>
    <row r="3220" spans="10:17" x14ac:dyDescent="0.25">
      <c r="J3220" s="1"/>
      <c r="Q3220" s="1" t="str">
        <f t="shared" si="92"/>
        <v/>
      </c>
    </row>
    <row r="3221" spans="10:17" x14ac:dyDescent="0.25">
      <c r="J3221" s="1"/>
      <c r="Q3221" s="1" t="str">
        <f t="shared" si="92"/>
        <v/>
      </c>
    </row>
    <row r="3222" spans="10:17" x14ac:dyDescent="0.25">
      <c r="J3222" s="1"/>
      <c r="Q3222" s="1" t="str">
        <f t="shared" si="92"/>
        <v/>
      </c>
    </row>
    <row r="3223" spans="10:17" x14ac:dyDescent="0.25">
      <c r="J3223" s="1"/>
      <c r="Q3223" s="1" t="str">
        <f t="shared" si="92"/>
        <v/>
      </c>
    </row>
    <row r="3224" spans="10:17" x14ac:dyDescent="0.25">
      <c r="J3224" s="1"/>
      <c r="Q3224" s="1" t="str">
        <f t="shared" si="92"/>
        <v/>
      </c>
    </row>
    <row r="3225" spans="10:17" x14ac:dyDescent="0.25">
      <c r="J3225" s="1"/>
      <c r="Q3225" s="1" t="str">
        <f t="shared" si="92"/>
        <v/>
      </c>
    </row>
    <row r="3226" spans="10:17" x14ac:dyDescent="0.25">
      <c r="J3226" s="1"/>
      <c r="Q3226" s="1" t="str">
        <f t="shared" si="92"/>
        <v/>
      </c>
    </row>
    <row r="3227" spans="10:17" x14ac:dyDescent="0.25">
      <c r="J3227" s="1"/>
      <c r="Q3227" s="1" t="str">
        <f t="shared" si="92"/>
        <v/>
      </c>
    </row>
    <row r="3228" spans="10:17" x14ac:dyDescent="0.25">
      <c r="J3228" s="1"/>
      <c r="Q3228" s="1" t="str">
        <f t="shared" si="92"/>
        <v/>
      </c>
    </row>
    <row r="3229" spans="10:17" x14ac:dyDescent="0.25">
      <c r="J3229" s="1"/>
      <c r="Q3229" s="1" t="str">
        <f t="shared" si="92"/>
        <v/>
      </c>
    </row>
    <row r="3230" spans="10:17" x14ac:dyDescent="0.25">
      <c r="J3230" s="1"/>
      <c r="Q3230" s="1" t="str">
        <f t="shared" si="92"/>
        <v/>
      </c>
    </row>
    <row r="3231" spans="10:17" x14ac:dyDescent="0.25">
      <c r="J3231" s="1"/>
      <c r="Q3231" s="1" t="str">
        <f t="shared" si="92"/>
        <v/>
      </c>
    </row>
    <row r="3232" spans="10:17" x14ac:dyDescent="0.25">
      <c r="J3232" s="1"/>
      <c r="Q3232" s="1" t="str">
        <f t="shared" si="92"/>
        <v/>
      </c>
    </row>
    <row r="3233" spans="10:17" x14ac:dyDescent="0.25">
      <c r="J3233" s="1"/>
      <c r="Q3233" s="1" t="str">
        <f t="shared" si="92"/>
        <v/>
      </c>
    </row>
    <row r="3234" spans="10:17" x14ac:dyDescent="0.25">
      <c r="J3234" s="1"/>
      <c r="Q3234" s="1" t="str">
        <f t="shared" si="92"/>
        <v/>
      </c>
    </row>
    <row r="3235" spans="10:17" x14ac:dyDescent="0.25">
      <c r="J3235" s="1"/>
      <c r="Q3235" s="1" t="str">
        <f t="shared" si="92"/>
        <v/>
      </c>
    </row>
    <row r="3236" spans="10:17" x14ac:dyDescent="0.25">
      <c r="J3236" s="1"/>
      <c r="Q3236" s="1" t="str">
        <f t="shared" si="92"/>
        <v/>
      </c>
    </row>
    <row r="3237" spans="10:17" x14ac:dyDescent="0.25">
      <c r="J3237" s="1"/>
      <c r="Q3237" s="1" t="str">
        <f t="shared" si="92"/>
        <v/>
      </c>
    </row>
    <row r="3238" spans="10:17" x14ac:dyDescent="0.25">
      <c r="J3238" s="1"/>
      <c r="Q3238" s="1" t="str">
        <f t="shared" si="92"/>
        <v/>
      </c>
    </row>
    <row r="3239" spans="10:17" x14ac:dyDescent="0.25">
      <c r="J3239" s="1"/>
      <c r="Q3239" s="1" t="str">
        <f t="shared" si="92"/>
        <v/>
      </c>
    </row>
    <row r="3240" spans="10:17" x14ac:dyDescent="0.25">
      <c r="J3240" s="1"/>
      <c r="Q3240" s="1" t="str">
        <f t="shared" si="92"/>
        <v/>
      </c>
    </row>
    <row r="3241" spans="10:17" x14ac:dyDescent="0.25">
      <c r="J3241" s="1"/>
      <c r="Q3241" s="1" t="str">
        <f t="shared" si="92"/>
        <v/>
      </c>
    </row>
    <row r="3242" spans="10:17" x14ac:dyDescent="0.25">
      <c r="J3242" s="1"/>
      <c r="Q3242" s="1" t="str">
        <f t="shared" si="92"/>
        <v/>
      </c>
    </row>
    <row r="3243" spans="10:17" x14ac:dyDescent="0.25">
      <c r="J3243" s="1"/>
      <c r="Q3243" s="1" t="str">
        <f t="shared" si="92"/>
        <v/>
      </c>
    </row>
    <row r="3244" spans="10:17" x14ac:dyDescent="0.25">
      <c r="J3244" s="1"/>
      <c r="Q3244" s="1" t="str">
        <f t="shared" si="92"/>
        <v/>
      </c>
    </row>
    <row r="3245" spans="10:17" x14ac:dyDescent="0.25">
      <c r="J3245" s="1"/>
      <c r="Q3245" s="1" t="str">
        <f t="shared" si="92"/>
        <v/>
      </c>
    </row>
    <row r="3246" spans="10:17" x14ac:dyDescent="0.25">
      <c r="J3246" s="1"/>
      <c r="Q3246" s="1" t="str">
        <f t="shared" si="92"/>
        <v/>
      </c>
    </row>
    <row r="3247" spans="10:17" x14ac:dyDescent="0.25">
      <c r="J3247" s="1"/>
      <c r="Q3247" s="1" t="str">
        <f t="shared" si="92"/>
        <v/>
      </c>
    </row>
    <row r="3248" spans="10:17" x14ac:dyDescent="0.25">
      <c r="J3248" s="1"/>
      <c r="Q3248" s="1" t="str">
        <f t="shared" si="92"/>
        <v/>
      </c>
    </row>
    <row r="3249" spans="10:17" x14ac:dyDescent="0.25">
      <c r="J3249" s="1"/>
      <c r="Q3249" s="1" t="str">
        <f t="shared" si="92"/>
        <v/>
      </c>
    </row>
    <row r="3250" spans="10:17" x14ac:dyDescent="0.25">
      <c r="J3250" s="1"/>
      <c r="Q3250" s="1" t="str">
        <f t="shared" si="92"/>
        <v/>
      </c>
    </row>
    <row r="3251" spans="10:17" x14ac:dyDescent="0.25">
      <c r="J3251" s="1"/>
      <c r="Q3251" s="1" t="str">
        <f t="shared" si="92"/>
        <v/>
      </c>
    </row>
    <row r="3252" spans="10:17" x14ac:dyDescent="0.25">
      <c r="J3252" s="1"/>
      <c r="Q3252" s="1" t="str">
        <f t="shared" si="92"/>
        <v/>
      </c>
    </row>
    <row r="3253" spans="10:17" x14ac:dyDescent="0.25">
      <c r="J3253" s="1"/>
      <c r="Q3253" s="1" t="str">
        <f t="shared" si="92"/>
        <v/>
      </c>
    </row>
    <row r="3254" spans="10:17" x14ac:dyDescent="0.25">
      <c r="J3254" s="1"/>
      <c r="Q3254" s="1" t="str">
        <f t="shared" si="92"/>
        <v/>
      </c>
    </row>
    <row r="3255" spans="10:17" x14ac:dyDescent="0.25">
      <c r="J3255" s="1"/>
      <c r="Q3255" s="1" t="str">
        <f t="shared" si="92"/>
        <v/>
      </c>
    </row>
    <row r="3256" spans="10:17" x14ac:dyDescent="0.25">
      <c r="J3256" s="1"/>
      <c r="Q3256" s="1" t="str">
        <f t="shared" si="92"/>
        <v/>
      </c>
    </row>
    <row r="3257" spans="10:17" x14ac:dyDescent="0.25">
      <c r="J3257" s="1"/>
      <c r="Q3257" s="1" t="str">
        <f t="shared" si="92"/>
        <v/>
      </c>
    </row>
    <row r="3258" spans="10:17" x14ac:dyDescent="0.25">
      <c r="J3258" s="1"/>
      <c r="Q3258" s="1" t="str">
        <f t="shared" si="92"/>
        <v/>
      </c>
    </row>
    <row r="3259" spans="10:17" x14ac:dyDescent="0.25">
      <c r="J3259" s="1"/>
      <c r="Q3259" s="1" t="str">
        <f t="shared" si="92"/>
        <v/>
      </c>
    </row>
    <row r="3260" spans="10:17" x14ac:dyDescent="0.25">
      <c r="J3260" s="1"/>
      <c r="Q3260" s="1" t="str">
        <f t="shared" si="92"/>
        <v/>
      </c>
    </row>
    <row r="3261" spans="10:17" x14ac:dyDescent="0.25">
      <c r="J3261" s="1"/>
      <c r="Q3261" s="1" t="str">
        <f t="shared" ref="Q3261:Q3324" si="93">IF(B3261="","",1)</f>
        <v/>
      </c>
    </row>
    <row r="3262" spans="10:17" x14ac:dyDescent="0.25">
      <c r="J3262" s="1"/>
      <c r="Q3262" s="1" t="str">
        <f t="shared" si="93"/>
        <v/>
      </c>
    </row>
    <row r="3263" spans="10:17" x14ac:dyDescent="0.25">
      <c r="J3263" s="1"/>
      <c r="Q3263" s="1" t="str">
        <f t="shared" si="93"/>
        <v/>
      </c>
    </row>
    <row r="3264" spans="10:17" x14ac:dyDescent="0.25">
      <c r="J3264" s="1"/>
      <c r="Q3264" s="1" t="str">
        <f t="shared" si="93"/>
        <v/>
      </c>
    </row>
    <row r="3265" spans="10:17" x14ac:dyDescent="0.25">
      <c r="J3265" s="1"/>
      <c r="Q3265" s="1" t="str">
        <f t="shared" si="93"/>
        <v/>
      </c>
    </row>
    <row r="3266" spans="10:17" x14ac:dyDescent="0.25">
      <c r="J3266" s="1"/>
      <c r="Q3266" s="1" t="str">
        <f t="shared" si="93"/>
        <v/>
      </c>
    </row>
    <row r="3267" spans="10:17" x14ac:dyDescent="0.25">
      <c r="J3267" s="1"/>
      <c r="Q3267" s="1" t="str">
        <f t="shared" si="93"/>
        <v/>
      </c>
    </row>
    <row r="3268" spans="10:17" x14ac:dyDescent="0.25">
      <c r="J3268" s="1"/>
      <c r="Q3268" s="1" t="str">
        <f t="shared" si="93"/>
        <v/>
      </c>
    </row>
    <row r="3269" spans="10:17" x14ac:dyDescent="0.25">
      <c r="J3269" s="1"/>
      <c r="Q3269" s="1" t="str">
        <f t="shared" si="93"/>
        <v/>
      </c>
    </row>
    <row r="3270" spans="10:17" x14ac:dyDescent="0.25">
      <c r="J3270" s="1"/>
      <c r="Q3270" s="1" t="str">
        <f t="shared" si="93"/>
        <v/>
      </c>
    </row>
    <row r="3271" spans="10:17" x14ac:dyDescent="0.25">
      <c r="J3271" s="1"/>
      <c r="Q3271" s="1" t="str">
        <f t="shared" si="93"/>
        <v/>
      </c>
    </row>
    <row r="3272" spans="10:17" x14ac:dyDescent="0.25">
      <c r="J3272" s="1"/>
      <c r="Q3272" s="1" t="str">
        <f t="shared" si="93"/>
        <v/>
      </c>
    </row>
    <row r="3273" spans="10:17" x14ac:dyDescent="0.25">
      <c r="J3273" s="1"/>
      <c r="Q3273" s="1" t="str">
        <f t="shared" si="93"/>
        <v/>
      </c>
    </row>
    <row r="3274" spans="10:17" x14ac:dyDescent="0.25">
      <c r="J3274" s="1"/>
      <c r="Q3274" s="1" t="str">
        <f t="shared" si="93"/>
        <v/>
      </c>
    </row>
    <row r="3275" spans="10:17" x14ac:dyDescent="0.25">
      <c r="J3275" s="1"/>
      <c r="Q3275" s="1" t="str">
        <f t="shared" si="93"/>
        <v/>
      </c>
    </row>
    <row r="3276" spans="10:17" x14ac:dyDescent="0.25">
      <c r="J3276" s="1"/>
      <c r="Q3276" s="1" t="str">
        <f t="shared" si="93"/>
        <v/>
      </c>
    </row>
    <row r="3277" spans="10:17" x14ac:dyDescent="0.25">
      <c r="J3277" s="1"/>
      <c r="Q3277" s="1" t="str">
        <f t="shared" si="93"/>
        <v/>
      </c>
    </row>
    <row r="3278" spans="10:17" x14ac:dyDescent="0.25">
      <c r="J3278" s="1"/>
      <c r="Q3278" s="1" t="str">
        <f t="shared" si="93"/>
        <v/>
      </c>
    </row>
    <row r="3279" spans="10:17" x14ac:dyDescent="0.25">
      <c r="J3279" s="1"/>
      <c r="Q3279" s="1" t="str">
        <f t="shared" si="93"/>
        <v/>
      </c>
    </row>
    <row r="3280" spans="10:17" x14ac:dyDescent="0.25">
      <c r="J3280" s="1"/>
      <c r="Q3280" s="1" t="str">
        <f t="shared" si="93"/>
        <v/>
      </c>
    </row>
    <row r="3281" spans="10:17" x14ac:dyDescent="0.25">
      <c r="J3281" s="1"/>
      <c r="Q3281" s="1" t="str">
        <f t="shared" si="93"/>
        <v/>
      </c>
    </row>
    <row r="3282" spans="10:17" x14ac:dyDescent="0.25">
      <c r="J3282" s="1"/>
      <c r="Q3282" s="1" t="str">
        <f t="shared" si="93"/>
        <v/>
      </c>
    </row>
    <row r="3283" spans="10:17" x14ac:dyDescent="0.25">
      <c r="J3283" s="1"/>
      <c r="Q3283" s="1" t="str">
        <f t="shared" si="93"/>
        <v/>
      </c>
    </row>
    <row r="3284" spans="10:17" x14ac:dyDescent="0.25">
      <c r="J3284" s="1"/>
      <c r="Q3284" s="1" t="str">
        <f t="shared" si="93"/>
        <v/>
      </c>
    </row>
    <row r="3285" spans="10:17" x14ac:dyDescent="0.25">
      <c r="J3285" s="1"/>
      <c r="Q3285" s="1" t="str">
        <f t="shared" si="93"/>
        <v/>
      </c>
    </row>
    <row r="3286" spans="10:17" x14ac:dyDescent="0.25">
      <c r="J3286" s="1"/>
      <c r="Q3286" s="1" t="str">
        <f t="shared" si="93"/>
        <v/>
      </c>
    </row>
    <row r="3287" spans="10:17" x14ac:dyDescent="0.25">
      <c r="J3287" s="1"/>
      <c r="Q3287" s="1" t="str">
        <f t="shared" si="93"/>
        <v/>
      </c>
    </row>
    <row r="3288" spans="10:17" x14ac:dyDescent="0.25">
      <c r="J3288" s="1"/>
      <c r="Q3288" s="1" t="str">
        <f t="shared" si="93"/>
        <v/>
      </c>
    </row>
    <row r="3289" spans="10:17" x14ac:dyDescent="0.25">
      <c r="J3289" s="1"/>
      <c r="Q3289" s="1" t="str">
        <f t="shared" si="93"/>
        <v/>
      </c>
    </row>
    <row r="3290" spans="10:17" x14ac:dyDescent="0.25">
      <c r="J3290" s="1"/>
      <c r="Q3290" s="1" t="str">
        <f t="shared" si="93"/>
        <v/>
      </c>
    </row>
    <row r="3291" spans="10:17" x14ac:dyDescent="0.25">
      <c r="J3291" s="1"/>
      <c r="Q3291" s="1" t="str">
        <f t="shared" si="93"/>
        <v/>
      </c>
    </row>
    <row r="3292" spans="10:17" x14ac:dyDescent="0.25">
      <c r="J3292" s="1"/>
      <c r="Q3292" s="1" t="str">
        <f t="shared" si="93"/>
        <v/>
      </c>
    </row>
    <row r="3293" spans="10:17" x14ac:dyDescent="0.25">
      <c r="J3293" s="1"/>
      <c r="Q3293" s="1" t="str">
        <f t="shared" si="93"/>
        <v/>
      </c>
    </row>
    <row r="3294" spans="10:17" x14ac:dyDescent="0.25">
      <c r="J3294" s="1"/>
      <c r="Q3294" s="1" t="str">
        <f t="shared" si="93"/>
        <v/>
      </c>
    </row>
    <row r="3295" spans="10:17" x14ac:dyDescent="0.25">
      <c r="J3295" s="1"/>
      <c r="Q3295" s="1" t="str">
        <f t="shared" si="93"/>
        <v/>
      </c>
    </row>
    <row r="3296" spans="10:17" x14ac:dyDescent="0.25">
      <c r="J3296" s="1"/>
      <c r="Q3296" s="1" t="str">
        <f t="shared" si="93"/>
        <v/>
      </c>
    </row>
    <row r="3297" spans="10:17" x14ac:dyDescent="0.25">
      <c r="J3297" s="1"/>
      <c r="Q3297" s="1" t="str">
        <f t="shared" si="93"/>
        <v/>
      </c>
    </row>
    <row r="3298" spans="10:17" x14ac:dyDescent="0.25">
      <c r="J3298" s="1"/>
      <c r="Q3298" s="1" t="str">
        <f t="shared" si="93"/>
        <v/>
      </c>
    </row>
    <row r="3299" spans="10:17" x14ac:dyDescent="0.25">
      <c r="J3299" s="1"/>
      <c r="Q3299" s="1" t="str">
        <f t="shared" si="93"/>
        <v/>
      </c>
    </row>
    <row r="3300" spans="10:17" x14ac:dyDescent="0.25">
      <c r="J3300" s="1"/>
      <c r="Q3300" s="1" t="str">
        <f t="shared" si="93"/>
        <v/>
      </c>
    </row>
    <row r="3301" spans="10:17" x14ac:dyDescent="0.25">
      <c r="J3301" s="1"/>
      <c r="Q3301" s="1" t="str">
        <f t="shared" si="93"/>
        <v/>
      </c>
    </row>
    <row r="3302" spans="10:17" x14ac:dyDescent="0.25">
      <c r="J3302" s="1"/>
      <c r="Q3302" s="1" t="str">
        <f t="shared" si="93"/>
        <v/>
      </c>
    </row>
    <row r="3303" spans="10:17" x14ac:dyDescent="0.25">
      <c r="J3303" s="1"/>
      <c r="Q3303" s="1" t="str">
        <f t="shared" si="93"/>
        <v/>
      </c>
    </row>
    <row r="3304" spans="10:17" x14ac:dyDescent="0.25">
      <c r="J3304" s="1"/>
      <c r="Q3304" s="1" t="str">
        <f t="shared" si="93"/>
        <v/>
      </c>
    </row>
    <row r="3305" spans="10:17" x14ac:dyDescent="0.25">
      <c r="J3305" s="1"/>
      <c r="Q3305" s="1" t="str">
        <f t="shared" si="93"/>
        <v/>
      </c>
    </row>
    <row r="3306" spans="10:17" x14ac:dyDescent="0.25">
      <c r="J3306" s="1"/>
      <c r="Q3306" s="1" t="str">
        <f t="shared" si="93"/>
        <v/>
      </c>
    </row>
    <row r="3307" spans="10:17" x14ac:dyDescent="0.25">
      <c r="J3307" s="1"/>
      <c r="Q3307" s="1" t="str">
        <f t="shared" si="93"/>
        <v/>
      </c>
    </row>
    <row r="3308" spans="10:17" x14ac:dyDescent="0.25">
      <c r="J3308" s="1"/>
      <c r="Q3308" s="1" t="str">
        <f t="shared" si="93"/>
        <v/>
      </c>
    </row>
    <row r="3309" spans="10:17" x14ac:dyDescent="0.25">
      <c r="J3309" s="1"/>
      <c r="Q3309" s="1" t="str">
        <f t="shared" si="93"/>
        <v/>
      </c>
    </row>
    <row r="3310" spans="10:17" x14ac:dyDescent="0.25">
      <c r="J3310" s="1"/>
      <c r="Q3310" s="1" t="str">
        <f t="shared" si="93"/>
        <v/>
      </c>
    </row>
    <row r="3311" spans="10:17" x14ac:dyDescent="0.25">
      <c r="J3311" s="1"/>
      <c r="Q3311" s="1" t="str">
        <f t="shared" si="93"/>
        <v/>
      </c>
    </row>
    <row r="3312" spans="10:17" x14ac:dyDescent="0.25">
      <c r="J3312" s="1"/>
      <c r="Q3312" s="1" t="str">
        <f t="shared" si="93"/>
        <v/>
      </c>
    </row>
    <row r="3313" spans="10:17" x14ac:dyDescent="0.25">
      <c r="J3313" s="1"/>
      <c r="Q3313" s="1" t="str">
        <f t="shared" si="93"/>
        <v/>
      </c>
    </row>
    <row r="3314" spans="10:17" x14ac:dyDescent="0.25">
      <c r="J3314" s="1"/>
      <c r="Q3314" s="1" t="str">
        <f t="shared" si="93"/>
        <v/>
      </c>
    </row>
    <row r="3315" spans="10:17" x14ac:dyDescent="0.25">
      <c r="J3315" s="1"/>
      <c r="Q3315" s="1" t="str">
        <f t="shared" si="93"/>
        <v/>
      </c>
    </row>
    <row r="3316" spans="10:17" x14ac:dyDescent="0.25">
      <c r="J3316" s="1"/>
      <c r="Q3316" s="1" t="str">
        <f t="shared" si="93"/>
        <v/>
      </c>
    </row>
    <row r="3317" spans="10:17" x14ac:dyDescent="0.25">
      <c r="J3317" s="1"/>
      <c r="Q3317" s="1" t="str">
        <f t="shared" si="93"/>
        <v/>
      </c>
    </row>
    <row r="3318" spans="10:17" x14ac:dyDescent="0.25">
      <c r="J3318" s="1"/>
      <c r="Q3318" s="1" t="str">
        <f t="shared" si="93"/>
        <v/>
      </c>
    </row>
    <row r="3319" spans="10:17" x14ac:dyDescent="0.25">
      <c r="J3319" s="1"/>
      <c r="Q3319" s="1" t="str">
        <f t="shared" si="93"/>
        <v/>
      </c>
    </row>
    <row r="3320" spans="10:17" x14ac:dyDescent="0.25">
      <c r="J3320" s="1"/>
      <c r="Q3320" s="1" t="str">
        <f t="shared" si="93"/>
        <v/>
      </c>
    </row>
    <row r="3321" spans="10:17" x14ac:dyDescent="0.25">
      <c r="J3321" s="1"/>
      <c r="Q3321" s="1" t="str">
        <f t="shared" si="93"/>
        <v/>
      </c>
    </row>
    <row r="3322" spans="10:17" x14ac:dyDescent="0.25">
      <c r="J3322" s="1"/>
      <c r="Q3322" s="1" t="str">
        <f t="shared" si="93"/>
        <v/>
      </c>
    </row>
    <row r="3323" spans="10:17" x14ac:dyDescent="0.25">
      <c r="J3323" s="1"/>
      <c r="Q3323" s="1" t="str">
        <f t="shared" si="93"/>
        <v/>
      </c>
    </row>
    <row r="3324" spans="10:17" x14ac:dyDescent="0.25">
      <c r="J3324" s="1"/>
      <c r="Q3324" s="1" t="str">
        <f t="shared" si="93"/>
        <v/>
      </c>
    </row>
    <row r="3325" spans="10:17" x14ac:dyDescent="0.25">
      <c r="J3325" s="1"/>
      <c r="Q3325" s="1" t="str">
        <f t="shared" ref="Q3325:Q3388" si="94">IF(B3325="","",1)</f>
        <v/>
      </c>
    </row>
    <row r="3326" spans="10:17" x14ac:dyDescent="0.25">
      <c r="J3326" s="1"/>
      <c r="Q3326" s="1" t="str">
        <f t="shared" si="94"/>
        <v/>
      </c>
    </row>
    <row r="3327" spans="10:17" x14ac:dyDescent="0.25">
      <c r="J3327" s="1"/>
      <c r="Q3327" s="1" t="str">
        <f t="shared" si="94"/>
        <v/>
      </c>
    </row>
    <row r="3328" spans="10:17" x14ac:dyDescent="0.25">
      <c r="J3328" s="1"/>
      <c r="Q3328" s="1" t="str">
        <f t="shared" si="94"/>
        <v/>
      </c>
    </row>
    <row r="3329" spans="10:17" x14ac:dyDescent="0.25">
      <c r="J3329" s="1"/>
      <c r="Q3329" s="1" t="str">
        <f t="shared" si="94"/>
        <v/>
      </c>
    </row>
    <row r="3330" spans="10:17" x14ac:dyDescent="0.25">
      <c r="J3330" s="1"/>
      <c r="Q3330" s="1" t="str">
        <f t="shared" si="94"/>
        <v/>
      </c>
    </row>
    <row r="3331" spans="10:17" x14ac:dyDescent="0.25">
      <c r="J3331" s="1"/>
      <c r="Q3331" s="1" t="str">
        <f t="shared" si="94"/>
        <v/>
      </c>
    </row>
    <row r="3332" spans="10:17" x14ac:dyDescent="0.25">
      <c r="J3332" s="1"/>
      <c r="Q3332" s="1" t="str">
        <f t="shared" si="94"/>
        <v/>
      </c>
    </row>
    <row r="3333" spans="10:17" x14ac:dyDescent="0.25">
      <c r="J3333" s="1"/>
      <c r="Q3333" s="1" t="str">
        <f t="shared" si="94"/>
        <v/>
      </c>
    </row>
    <row r="3334" spans="10:17" x14ac:dyDescent="0.25">
      <c r="J3334" s="1"/>
      <c r="Q3334" s="1" t="str">
        <f t="shared" si="94"/>
        <v/>
      </c>
    </row>
    <row r="3335" spans="10:17" x14ac:dyDescent="0.25">
      <c r="J3335" s="1"/>
      <c r="Q3335" s="1" t="str">
        <f t="shared" si="94"/>
        <v/>
      </c>
    </row>
    <row r="3336" spans="10:17" x14ac:dyDescent="0.25">
      <c r="J3336" s="1"/>
      <c r="Q3336" s="1" t="str">
        <f t="shared" si="94"/>
        <v/>
      </c>
    </row>
    <row r="3337" spans="10:17" x14ac:dyDescent="0.25">
      <c r="J3337" s="1"/>
      <c r="Q3337" s="1" t="str">
        <f t="shared" si="94"/>
        <v/>
      </c>
    </row>
    <row r="3338" spans="10:17" x14ac:dyDescent="0.25">
      <c r="J3338" s="1"/>
      <c r="Q3338" s="1" t="str">
        <f t="shared" si="94"/>
        <v/>
      </c>
    </row>
    <row r="3339" spans="10:17" x14ac:dyDescent="0.25">
      <c r="J3339" s="1"/>
      <c r="Q3339" s="1" t="str">
        <f t="shared" si="94"/>
        <v/>
      </c>
    </row>
    <row r="3340" spans="10:17" x14ac:dyDescent="0.25">
      <c r="J3340" s="1"/>
      <c r="Q3340" s="1" t="str">
        <f t="shared" si="94"/>
        <v/>
      </c>
    </row>
    <row r="3341" spans="10:17" x14ac:dyDescent="0.25">
      <c r="J3341" s="1"/>
      <c r="Q3341" s="1" t="str">
        <f t="shared" si="94"/>
        <v/>
      </c>
    </row>
    <row r="3342" spans="10:17" x14ac:dyDescent="0.25">
      <c r="J3342" s="1"/>
      <c r="Q3342" s="1" t="str">
        <f t="shared" si="94"/>
        <v/>
      </c>
    </row>
    <row r="3343" spans="10:17" x14ac:dyDescent="0.25">
      <c r="J3343" s="1"/>
      <c r="Q3343" s="1" t="str">
        <f t="shared" si="94"/>
        <v/>
      </c>
    </row>
    <row r="3344" spans="10:17" x14ac:dyDescent="0.25">
      <c r="J3344" s="1"/>
      <c r="Q3344" s="1" t="str">
        <f t="shared" si="94"/>
        <v/>
      </c>
    </row>
    <row r="3345" spans="10:17" x14ac:dyDescent="0.25">
      <c r="J3345" s="1"/>
      <c r="Q3345" s="1" t="str">
        <f t="shared" si="94"/>
        <v/>
      </c>
    </row>
    <row r="3346" spans="10:17" x14ac:dyDescent="0.25">
      <c r="J3346" s="1"/>
      <c r="Q3346" s="1" t="str">
        <f t="shared" si="94"/>
        <v/>
      </c>
    </row>
    <row r="3347" spans="10:17" x14ac:dyDescent="0.25">
      <c r="J3347" s="1"/>
      <c r="Q3347" s="1" t="str">
        <f t="shared" si="94"/>
        <v/>
      </c>
    </row>
    <row r="3348" spans="10:17" x14ac:dyDescent="0.25">
      <c r="J3348" s="1"/>
      <c r="Q3348" s="1" t="str">
        <f t="shared" si="94"/>
        <v/>
      </c>
    </row>
    <row r="3349" spans="10:17" x14ac:dyDescent="0.25">
      <c r="J3349" s="1"/>
      <c r="Q3349" s="1" t="str">
        <f t="shared" si="94"/>
        <v/>
      </c>
    </row>
    <row r="3350" spans="10:17" x14ac:dyDescent="0.25">
      <c r="J3350" s="1"/>
      <c r="Q3350" s="1" t="str">
        <f t="shared" si="94"/>
        <v/>
      </c>
    </row>
    <row r="3351" spans="10:17" x14ac:dyDescent="0.25">
      <c r="J3351" s="1"/>
      <c r="Q3351" s="1" t="str">
        <f t="shared" si="94"/>
        <v/>
      </c>
    </row>
    <row r="3352" spans="10:17" x14ac:dyDescent="0.25">
      <c r="J3352" s="1"/>
      <c r="Q3352" s="1" t="str">
        <f t="shared" si="94"/>
        <v/>
      </c>
    </row>
    <row r="3353" spans="10:17" x14ac:dyDescent="0.25">
      <c r="J3353" s="1"/>
      <c r="Q3353" s="1" t="str">
        <f t="shared" si="94"/>
        <v/>
      </c>
    </row>
    <row r="3354" spans="10:17" x14ac:dyDescent="0.25">
      <c r="J3354" s="1"/>
      <c r="Q3354" s="1" t="str">
        <f t="shared" si="94"/>
        <v/>
      </c>
    </row>
    <row r="3355" spans="10:17" x14ac:dyDescent="0.25">
      <c r="J3355" s="1"/>
      <c r="Q3355" s="1" t="str">
        <f t="shared" si="94"/>
        <v/>
      </c>
    </row>
    <row r="3356" spans="10:17" x14ac:dyDescent="0.25">
      <c r="J3356" s="1"/>
      <c r="Q3356" s="1" t="str">
        <f t="shared" si="94"/>
        <v/>
      </c>
    </row>
    <row r="3357" spans="10:17" x14ac:dyDescent="0.25">
      <c r="J3357" s="1"/>
      <c r="Q3357" s="1" t="str">
        <f t="shared" si="94"/>
        <v/>
      </c>
    </row>
    <row r="3358" spans="10:17" x14ac:dyDescent="0.25">
      <c r="J3358" s="1"/>
      <c r="Q3358" s="1" t="str">
        <f t="shared" si="94"/>
        <v/>
      </c>
    </row>
    <row r="3359" spans="10:17" x14ac:dyDescent="0.25">
      <c r="J3359" s="1"/>
      <c r="Q3359" s="1" t="str">
        <f t="shared" si="94"/>
        <v/>
      </c>
    </row>
    <row r="3360" spans="10:17" x14ac:dyDescent="0.25">
      <c r="J3360" s="1"/>
      <c r="Q3360" s="1" t="str">
        <f t="shared" si="94"/>
        <v/>
      </c>
    </row>
    <row r="3361" spans="10:17" x14ac:dyDescent="0.25">
      <c r="J3361" s="1"/>
      <c r="Q3361" s="1" t="str">
        <f t="shared" si="94"/>
        <v/>
      </c>
    </row>
    <row r="3362" spans="10:17" x14ac:dyDescent="0.25">
      <c r="J3362" s="1"/>
      <c r="Q3362" s="1" t="str">
        <f t="shared" si="94"/>
        <v/>
      </c>
    </row>
    <row r="3363" spans="10:17" x14ac:dyDescent="0.25">
      <c r="J3363" s="1"/>
      <c r="Q3363" s="1" t="str">
        <f t="shared" si="94"/>
        <v/>
      </c>
    </row>
    <row r="3364" spans="10:17" x14ac:dyDescent="0.25">
      <c r="J3364" s="1"/>
      <c r="Q3364" s="1" t="str">
        <f t="shared" si="94"/>
        <v/>
      </c>
    </row>
    <row r="3365" spans="10:17" x14ac:dyDescent="0.25">
      <c r="J3365" s="1"/>
      <c r="Q3365" s="1" t="str">
        <f t="shared" si="94"/>
        <v/>
      </c>
    </row>
    <row r="3366" spans="10:17" x14ac:dyDescent="0.25">
      <c r="J3366" s="1"/>
      <c r="Q3366" s="1" t="str">
        <f t="shared" si="94"/>
        <v/>
      </c>
    </row>
    <row r="3367" spans="10:17" x14ac:dyDescent="0.25">
      <c r="J3367" s="1"/>
      <c r="Q3367" s="1" t="str">
        <f t="shared" si="94"/>
        <v/>
      </c>
    </row>
    <row r="3368" spans="10:17" x14ac:dyDescent="0.25">
      <c r="J3368" s="1"/>
      <c r="Q3368" s="1" t="str">
        <f t="shared" si="94"/>
        <v/>
      </c>
    </row>
    <row r="3369" spans="10:17" x14ac:dyDescent="0.25">
      <c r="J3369" s="1"/>
      <c r="Q3369" s="1" t="str">
        <f t="shared" si="94"/>
        <v/>
      </c>
    </row>
    <row r="3370" spans="10:17" x14ac:dyDescent="0.25">
      <c r="J3370" s="1"/>
      <c r="Q3370" s="1" t="str">
        <f t="shared" si="94"/>
        <v/>
      </c>
    </row>
    <row r="3371" spans="10:17" x14ac:dyDescent="0.25">
      <c r="J3371" s="1"/>
      <c r="Q3371" s="1" t="str">
        <f t="shared" si="94"/>
        <v/>
      </c>
    </row>
    <row r="3372" spans="10:17" x14ac:dyDescent="0.25">
      <c r="J3372" s="1"/>
      <c r="Q3372" s="1" t="str">
        <f t="shared" si="94"/>
        <v/>
      </c>
    </row>
    <row r="3373" spans="10:17" x14ac:dyDescent="0.25">
      <c r="J3373" s="1"/>
      <c r="Q3373" s="1" t="str">
        <f t="shared" si="94"/>
        <v/>
      </c>
    </row>
    <row r="3374" spans="10:17" x14ac:dyDescent="0.25">
      <c r="J3374" s="1"/>
      <c r="Q3374" s="1" t="str">
        <f t="shared" si="94"/>
        <v/>
      </c>
    </row>
    <row r="3375" spans="10:17" x14ac:dyDescent="0.25">
      <c r="J3375" s="1"/>
      <c r="Q3375" s="1" t="str">
        <f t="shared" si="94"/>
        <v/>
      </c>
    </row>
    <row r="3376" spans="10:17" x14ac:dyDescent="0.25">
      <c r="J3376" s="1"/>
      <c r="Q3376" s="1" t="str">
        <f t="shared" si="94"/>
        <v/>
      </c>
    </row>
    <row r="3377" spans="10:17" x14ac:dyDescent="0.25">
      <c r="J3377" s="1"/>
      <c r="Q3377" s="1" t="str">
        <f t="shared" si="94"/>
        <v/>
      </c>
    </row>
    <row r="3378" spans="10:17" x14ac:dyDescent="0.25">
      <c r="J3378" s="1"/>
      <c r="Q3378" s="1" t="str">
        <f t="shared" si="94"/>
        <v/>
      </c>
    </row>
    <row r="3379" spans="10:17" x14ac:dyDescent="0.25">
      <c r="J3379" s="1"/>
      <c r="Q3379" s="1" t="str">
        <f t="shared" si="94"/>
        <v/>
      </c>
    </row>
    <row r="3380" spans="10:17" x14ac:dyDescent="0.25">
      <c r="J3380" s="1"/>
      <c r="Q3380" s="1" t="str">
        <f t="shared" si="94"/>
        <v/>
      </c>
    </row>
    <row r="3381" spans="10:17" x14ac:dyDescent="0.25">
      <c r="J3381" s="1"/>
      <c r="Q3381" s="1" t="str">
        <f t="shared" si="94"/>
        <v/>
      </c>
    </row>
    <row r="3382" spans="10:17" x14ac:dyDescent="0.25">
      <c r="J3382" s="1"/>
      <c r="Q3382" s="1" t="str">
        <f t="shared" si="94"/>
        <v/>
      </c>
    </row>
    <row r="3383" spans="10:17" x14ac:dyDescent="0.25">
      <c r="J3383" s="1"/>
      <c r="Q3383" s="1" t="str">
        <f t="shared" si="94"/>
        <v/>
      </c>
    </row>
    <row r="3384" spans="10:17" x14ac:dyDescent="0.25">
      <c r="J3384" s="1"/>
      <c r="Q3384" s="1" t="str">
        <f t="shared" si="94"/>
        <v/>
      </c>
    </row>
    <row r="3385" spans="10:17" x14ac:dyDescent="0.25">
      <c r="J3385" s="1"/>
      <c r="Q3385" s="1" t="str">
        <f t="shared" si="94"/>
        <v/>
      </c>
    </row>
    <row r="3386" spans="10:17" x14ac:dyDescent="0.25">
      <c r="J3386" s="1"/>
      <c r="Q3386" s="1" t="str">
        <f t="shared" si="94"/>
        <v/>
      </c>
    </row>
    <row r="3387" spans="10:17" x14ac:dyDescent="0.25">
      <c r="J3387" s="1"/>
      <c r="Q3387" s="1" t="str">
        <f t="shared" si="94"/>
        <v/>
      </c>
    </row>
    <row r="3388" spans="10:17" x14ac:dyDescent="0.25">
      <c r="J3388" s="1"/>
      <c r="Q3388" s="1" t="str">
        <f t="shared" si="94"/>
        <v/>
      </c>
    </row>
    <row r="3389" spans="10:17" x14ac:dyDescent="0.25">
      <c r="J3389" s="1"/>
      <c r="Q3389" s="1" t="str">
        <f t="shared" ref="Q3389:Q3452" si="95">IF(B3389="","",1)</f>
        <v/>
      </c>
    </row>
    <row r="3390" spans="10:17" x14ac:dyDescent="0.25">
      <c r="J3390" s="1"/>
      <c r="Q3390" s="1" t="str">
        <f t="shared" si="95"/>
        <v/>
      </c>
    </row>
    <row r="3391" spans="10:17" x14ac:dyDescent="0.25">
      <c r="J3391" s="1"/>
      <c r="Q3391" s="1" t="str">
        <f t="shared" si="95"/>
        <v/>
      </c>
    </row>
    <row r="3392" spans="10:17" x14ac:dyDescent="0.25">
      <c r="J3392" s="1"/>
      <c r="Q3392" s="1" t="str">
        <f t="shared" si="95"/>
        <v/>
      </c>
    </row>
    <row r="3393" spans="10:17" x14ac:dyDescent="0.25">
      <c r="J3393" s="1"/>
      <c r="Q3393" s="1" t="str">
        <f t="shared" si="95"/>
        <v/>
      </c>
    </row>
    <row r="3394" spans="10:17" x14ac:dyDescent="0.25">
      <c r="J3394" s="1"/>
      <c r="Q3394" s="1" t="str">
        <f t="shared" si="95"/>
        <v/>
      </c>
    </row>
    <row r="3395" spans="10:17" x14ac:dyDescent="0.25">
      <c r="J3395" s="1"/>
      <c r="Q3395" s="1" t="str">
        <f t="shared" si="95"/>
        <v/>
      </c>
    </row>
    <row r="3396" spans="10:17" x14ac:dyDescent="0.25">
      <c r="J3396" s="1"/>
      <c r="Q3396" s="1" t="str">
        <f t="shared" si="95"/>
        <v/>
      </c>
    </row>
    <row r="3397" spans="10:17" x14ac:dyDescent="0.25">
      <c r="J3397" s="1"/>
      <c r="Q3397" s="1" t="str">
        <f t="shared" si="95"/>
        <v/>
      </c>
    </row>
    <row r="3398" spans="10:17" x14ac:dyDescent="0.25">
      <c r="J3398" s="1"/>
      <c r="Q3398" s="1" t="str">
        <f t="shared" si="95"/>
        <v/>
      </c>
    </row>
    <row r="3399" spans="10:17" x14ac:dyDescent="0.25">
      <c r="J3399" s="1"/>
      <c r="Q3399" s="1" t="str">
        <f t="shared" si="95"/>
        <v/>
      </c>
    </row>
    <row r="3400" spans="10:17" x14ac:dyDescent="0.25">
      <c r="J3400" s="1"/>
      <c r="Q3400" s="1" t="str">
        <f t="shared" si="95"/>
        <v/>
      </c>
    </row>
    <row r="3401" spans="10:17" x14ac:dyDescent="0.25">
      <c r="J3401" s="1"/>
      <c r="Q3401" s="1" t="str">
        <f t="shared" si="95"/>
        <v/>
      </c>
    </row>
    <row r="3402" spans="10:17" x14ac:dyDescent="0.25">
      <c r="J3402" s="1"/>
      <c r="Q3402" s="1" t="str">
        <f t="shared" si="95"/>
        <v/>
      </c>
    </row>
    <row r="3403" spans="10:17" x14ac:dyDescent="0.25">
      <c r="J3403" s="1"/>
      <c r="Q3403" s="1" t="str">
        <f t="shared" si="95"/>
        <v/>
      </c>
    </row>
    <row r="3404" spans="10:17" x14ac:dyDescent="0.25">
      <c r="J3404" s="1"/>
      <c r="Q3404" s="1" t="str">
        <f t="shared" si="95"/>
        <v/>
      </c>
    </row>
    <row r="3405" spans="10:17" x14ac:dyDescent="0.25">
      <c r="J3405" s="1"/>
      <c r="Q3405" s="1" t="str">
        <f t="shared" si="95"/>
        <v/>
      </c>
    </row>
    <row r="3406" spans="10:17" x14ac:dyDescent="0.25">
      <c r="J3406" s="1"/>
      <c r="Q3406" s="1" t="str">
        <f t="shared" si="95"/>
        <v/>
      </c>
    </row>
    <row r="3407" spans="10:17" x14ac:dyDescent="0.25">
      <c r="J3407" s="1"/>
      <c r="Q3407" s="1" t="str">
        <f t="shared" si="95"/>
        <v/>
      </c>
    </row>
    <row r="3408" spans="10:17" x14ac:dyDescent="0.25">
      <c r="J3408" s="1"/>
      <c r="Q3408" s="1" t="str">
        <f t="shared" si="95"/>
        <v/>
      </c>
    </row>
    <row r="3409" spans="10:17" x14ac:dyDescent="0.25">
      <c r="J3409" s="1"/>
      <c r="Q3409" s="1" t="str">
        <f t="shared" si="95"/>
        <v/>
      </c>
    </row>
    <row r="3410" spans="10:17" x14ac:dyDescent="0.25">
      <c r="J3410" s="1"/>
      <c r="Q3410" s="1" t="str">
        <f t="shared" si="95"/>
        <v/>
      </c>
    </row>
    <row r="3411" spans="10:17" x14ac:dyDescent="0.25">
      <c r="J3411" s="1"/>
      <c r="Q3411" s="1" t="str">
        <f t="shared" si="95"/>
        <v/>
      </c>
    </row>
    <row r="3412" spans="10:17" x14ac:dyDescent="0.25">
      <c r="J3412" s="1"/>
      <c r="Q3412" s="1" t="str">
        <f t="shared" si="95"/>
        <v/>
      </c>
    </row>
    <row r="3413" spans="10:17" x14ac:dyDescent="0.25">
      <c r="J3413" s="1"/>
      <c r="Q3413" s="1" t="str">
        <f t="shared" si="95"/>
        <v/>
      </c>
    </row>
    <row r="3414" spans="10:17" x14ac:dyDescent="0.25">
      <c r="J3414" s="1"/>
      <c r="Q3414" s="1" t="str">
        <f t="shared" si="95"/>
        <v/>
      </c>
    </row>
    <row r="3415" spans="10:17" x14ac:dyDescent="0.25">
      <c r="J3415" s="1"/>
      <c r="Q3415" s="1" t="str">
        <f t="shared" si="95"/>
        <v/>
      </c>
    </row>
    <row r="3416" spans="10:17" x14ac:dyDescent="0.25">
      <c r="J3416" s="1"/>
      <c r="Q3416" s="1" t="str">
        <f t="shared" si="95"/>
        <v/>
      </c>
    </row>
    <row r="3417" spans="10:17" x14ac:dyDescent="0.25">
      <c r="J3417" s="1"/>
      <c r="Q3417" s="1" t="str">
        <f t="shared" si="95"/>
        <v/>
      </c>
    </row>
    <row r="3418" spans="10:17" x14ac:dyDescent="0.25">
      <c r="J3418" s="1"/>
      <c r="Q3418" s="1" t="str">
        <f t="shared" si="95"/>
        <v/>
      </c>
    </row>
    <row r="3419" spans="10:17" x14ac:dyDescent="0.25">
      <c r="J3419" s="1"/>
      <c r="Q3419" s="1" t="str">
        <f t="shared" si="95"/>
        <v/>
      </c>
    </row>
    <row r="3420" spans="10:17" x14ac:dyDescent="0.25">
      <c r="J3420" s="1"/>
      <c r="Q3420" s="1" t="str">
        <f t="shared" si="95"/>
        <v/>
      </c>
    </row>
    <row r="3421" spans="10:17" x14ac:dyDescent="0.25">
      <c r="J3421" s="1"/>
      <c r="Q3421" s="1" t="str">
        <f t="shared" si="95"/>
        <v/>
      </c>
    </row>
    <row r="3422" spans="10:17" x14ac:dyDescent="0.25">
      <c r="J3422" s="1"/>
      <c r="Q3422" s="1" t="str">
        <f t="shared" si="95"/>
        <v/>
      </c>
    </row>
    <row r="3423" spans="10:17" x14ac:dyDescent="0.25">
      <c r="J3423" s="1"/>
      <c r="Q3423" s="1" t="str">
        <f t="shared" si="95"/>
        <v/>
      </c>
    </row>
    <row r="3424" spans="10:17" x14ac:dyDescent="0.25">
      <c r="J3424" s="1"/>
      <c r="Q3424" s="1" t="str">
        <f t="shared" si="95"/>
        <v/>
      </c>
    </row>
    <row r="3425" spans="10:17" x14ac:dyDescent="0.25">
      <c r="J3425" s="1"/>
      <c r="Q3425" s="1" t="str">
        <f t="shared" si="95"/>
        <v/>
      </c>
    </row>
    <row r="3426" spans="10:17" x14ac:dyDescent="0.25">
      <c r="J3426" s="1"/>
      <c r="Q3426" s="1" t="str">
        <f t="shared" si="95"/>
        <v/>
      </c>
    </row>
    <row r="3427" spans="10:17" x14ac:dyDescent="0.25">
      <c r="J3427" s="1"/>
      <c r="Q3427" s="1" t="str">
        <f t="shared" si="95"/>
        <v/>
      </c>
    </row>
    <row r="3428" spans="10:17" x14ac:dyDescent="0.25">
      <c r="J3428" s="1"/>
      <c r="Q3428" s="1" t="str">
        <f t="shared" si="95"/>
        <v/>
      </c>
    </row>
    <row r="3429" spans="10:17" x14ac:dyDescent="0.25">
      <c r="J3429" s="1"/>
      <c r="Q3429" s="1" t="str">
        <f t="shared" si="95"/>
        <v/>
      </c>
    </row>
    <row r="3430" spans="10:17" x14ac:dyDescent="0.25">
      <c r="J3430" s="1"/>
      <c r="Q3430" s="1" t="str">
        <f t="shared" si="95"/>
        <v/>
      </c>
    </row>
    <row r="3431" spans="10:17" x14ac:dyDescent="0.25">
      <c r="J3431" s="1"/>
      <c r="Q3431" s="1" t="str">
        <f t="shared" si="95"/>
        <v/>
      </c>
    </row>
    <row r="3432" spans="10:17" x14ac:dyDescent="0.25">
      <c r="J3432" s="1"/>
      <c r="Q3432" s="1" t="str">
        <f t="shared" si="95"/>
        <v/>
      </c>
    </row>
    <row r="3433" spans="10:17" x14ac:dyDescent="0.25">
      <c r="J3433" s="1"/>
      <c r="Q3433" s="1" t="str">
        <f t="shared" si="95"/>
        <v/>
      </c>
    </row>
    <row r="3434" spans="10:17" x14ac:dyDescent="0.25">
      <c r="J3434" s="1"/>
      <c r="Q3434" s="1" t="str">
        <f t="shared" si="95"/>
        <v/>
      </c>
    </row>
    <row r="3435" spans="10:17" x14ac:dyDescent="0.25">
      <c r="J3435" s="1"/>
      <c r="Q3435" s="1" t="str">
        <f t="shared" si="95"/>
        <v/>
      </c>
    </row>
    <row r="3436" spans="10:17" x14ac:dyDescent="0.25">
      <c r="J3436" s="1"/>
      <c r="Q3436" s="1" t="str">
        <f t="shared" si="95"/>
        <v/>
      </c>
    </row>
    <row r="3437" spans="10:17" x14ac:dyDescent="0.25">
      <c r="J3437" s="1"/>
      <c r="Q3437" s="1" t="str">
        <f t="shared" si="95"/>
        <v/>
      </c>
    </row>
    <row r="3438" spans="10:17" x14ac:dyDescent="0.25">
      <c r="J3438" s="1"/>
      <c r="Q3438" s="1" t="str">
        <f t="shared" si="95"/>
        <v/>
      </c>
    </row>
    <row r="3439" spans="10:17" x14ac:dyDescent="0.25">
      <c r="J3439" s="1"/>
      <c r="Q3439" s="1" t="str">
        <f t="shared" si="95"/>
        <v/>
      </c>
    </row>
    <row r="3440" spans="10:17" x14ac:dyDescent="0.25">
      <c r="J3440" s="1"/>
      <c r="Q3440" s="1" t="str">
        <f t="shared" si="95"/>
        <v/>
      </c>
    </row>
    <row r="3441" spans="10:17" x14ac:dyDescent="0.25">
      <c r="J3441" s="1"/>
      <c r="Q3441" s="1" t="str">
        <f t="shared" si="95"/>
        <v/>
      </c>
    </row>
    <row r="3442" spans="10:17" x14ac:dyDescent="0.25">
      <c r="J3442" s="1"/>
      <c r="Q3442" s="1" t="str">
        <f t="shared" si="95"/>
        <v/>
      </c>
    </row>
    <row r="3443" spans="10:17" x14ac:dyDescent="0.25">
      <c r="J3443" s="1"/>
      <c r="Q3443" s="1" t="str">
        <f t="shared" si="95"/>
        <v/>
      </c>
    </row>
    <row r="3444" spans="10:17" x14ac:dyDescent="0.25">
      <c r="J3444" s="1"/>
      <c r="Q3444" s="1" t="str">
        <f t="shared" si="95"/>
        <v/>
      </c>
    </row>
    <row r="3445" spans="10:17" x14ac:dyDescent="0.25">
      <c r="J3445" s="1"/>
      <c r="Q3445" s="1" t="str">
        <f t="shared" si="95"/>
        <v/>
      </c>
    </row>
    <row r="3446" spans="10:17" x14ac:dyDescent="0.25">
      <c r="J3446" s="1"/>
      <c r="Q3446" s="1" t="str">
        <f t="shared" si="95"/>
        <v/>
      </c>
    </row>
    <row r="3447" spans="10:17" x14ac:dyDescent="0.25">
      <c r="J3447" s="1"/>
      <c r="Q3447" s="1" t="str">
        <f t="shared" si="95"/>
        <v/>
      </c>
    </row>
    <row r="3448" spans="10:17" x14ac:dyDescent="0.25">
      <c r="J3448" s="1"/>
      <c r="Q3448" s="1" t="str">
        <f t="shared" si="95"/>
        <v/>
      </c>
    </row>
    <row r="3449" spans="10:17" x14ac:dyDescent="0.25">
      <c r="J3449" s="1"/>
      <c r="Q3449" s="1" t="str">
        <f t="shared" si="95"/>
        <v/>
      </c>
    </row>
    <row r="3450" spans="10:17" x14ac:dyDescent="0.25">
      <c r="J3450" s="1"/>
      <c r="Q3450" s="1" t="str">
        <f t="shared" si="95"/>
        <v/>
      </c>
    </row>
    <row r="3451" spans="10:17" x14ac:dyDescent="0.25">
      <c r="J3451" s="1"/>
      <c r="Q3451" s="1" t="str">
        <f t="shared" si="95"/>
        <v/>
      </c>
    </row>
    <row r="3452" spans="10:17" x14ac:dyDescent="0.25">
      <c r="J3452" s="1"/>
      <c r="Q3452" s="1" t="str">
        <f t="shared" si="95"/>
        <v/>
      </c>
    </row>
    <row r="3453" spans="10:17" x14ac:dyDescent="0.25">
      <c r="J3453" s="1"/>
      <c r="Q3453" s="1" t="str">
        <f t="shared" ref="Q3453:Q3516" si="96">IF(B3453="","",1)</f>
        <v/>
      </c>
    </row>
    <row r="3454" spans="10:17" x14ac:dyDescent="0.25">
      <c r="J3454" s="1"/>
      <c r="Q3454" s="1" t="str">
        <f t="shared" si="96"/>
        <v/>
      </c>
    </row>
    <row r="3455" spans="10:17" x14ac:dyDescent="0.25">
      <c r="J3455" s="1"/>
      <c r="Q3455" s="1" t="str">
        <f t="shared" si="96"/>
        <v/>
      </c>
    </row>
    <row r="3456" spans="10:17" x14ac:dyDescent="0.25">
      <c r="J3456" s="1"/>
      <c r="Q3456" s="1" t="str">
        <f t="shared" si="96"/>
        <v/>
      </c>
    </row>
    <row r="3457" spans="10:17" x14ac:dyDescent="0.25">
      <c r="J3457" s="1"/>
      <c r="Q3457" s="1" t="str">
        <f t="shared" si="96"/>
        <v/>
      </c>
    </row>
    <row r="3458" spans="10:17" x14ac:dyDescent="0.25">
      <c r="J3458" s="1"/>
      <c r="Q3458" s="1" t="str">
        <f t="shared" si="96"/>
        <v/>
      </c>
    </row>
    <row r="3459" spans="10:17" x14ac:dyDescent="0.25">
      <c r="J3459" s="1"/>
      <c r="Q3459" s="1" t="str">
        <f t="shared" si="96"/>
        <v/>
      </c>
    </row>
    <row r="3460" spans="10:17" x14ac:dyDescent="0.25">
      <c r="J3460" s="1"/>
      <c r="Q3460" s="1" t="str">
        <f t="shared" si="96"/>
        <v/>
      </c>
    </row>
    <row r="3461" spans="10:17" x14ac:dyDescent="0.25">
      <c r="J3461" s="1"/>
      <c r="Q3461" s="1" t="str">
        <f t="shared" si="96"/>
        <v/>
      </c>
    </row>
    <row r="3462" spans="10:17" x14ac:dyDescent="0.25">
      <c r="J3462" s="1"/>
      <c r="Q3462" s="1" t="str">
        <f t="shared" si="96"/>
        <v/>
      </c>
    </row>
    <row r="3463" spans="10:17" x14ac:dyDescent="0.25">
      <c r="J3463" s="1"/>
      <c r="Q3463" s="1" t="str">
        <f t="shared" si="96"/>
        <v/>
      </c>
    </row>
    <row r="3464" spans="10:17" x14ac:dyDescent="0.25">
      <c r="J3464" s="1"/>
      <c r="Q3464" s="1" t="str">
        <f t="shared" si="96"/>
        <v/>
      </c>
    </row>
    <row r="3465" spans="10:17" x14ac:dyDescent="0.25">
      <c r="J3465" s="1"/>
      <c r="Q3465" s="1" t="str">
        <f t="shared" si="96"/>
        <v/>
      </c>
    </row>
    <row r="3466" spans="10:17" x14ac:dyDescent="0.25">
      <c r="J3466" s="1"/>
      <c r="Q3466" s="1" t="str">
        <f t="shared" si="96"/>
        <v/>
      </c>
    </row>
    <row r="3467" spans="10:17" x14ac:dyDescent="0.25">
      <c r="J3467" s="1"/>
      <c r="Q3467" s="1" t="str">
        <f t="shared" si="96"/>
        <v/>
      </c>
    </row>
    <row r="3468" spans="10:17" x14ac:dyDescent="0.25">
      <c r="J3468" s="1"/>
      <c r="Q3468" s="1" t="str">
        <f t="shared" si="96"/>
        <v/>
      </c>
    </row>
    <row r="3469" spans="10:17" x14ac:dyDescent="0.25">
      <c r="J3469" s="1"/>
      <c r="Q3469" s="1" t="str">
        <f t="shared" si="96"/>
        <v/>
      </c>
    </row>
    <row r="3470" spans="10:17" x14ac:dyDescent="0.25">
      <c r="J3470" s="1"/>
      <c r="Q3470" s="1" t="str">
        <f t="shared" si="96"/>
        <v/>
      </c>
    </row>
    <row r="3471" spans="10:17" x14ac:dyDescent="0.25">
      <c r="J3471" s="1"/>
      <c r="Q3471" s="1" t="str">
        <f t="shared" si="96"/>
        <v/>
      </c>
    </row>
    <row r="3472" spans="10:17" x14ac:dyDescent="0.25">
      <c r="J3472" s="1"/>
      <c r="Q3472" s="1" t="str">
        <f t="shared" si="96"/>
        <v/>
      </c>
    </row>
    <row r="3473" spans="10:17" x14ac:dyDescent="0.25">
      <c r="J3473" s="1"/>
      <c r="Q3473" s="1" t="str">
        <f t="shared" si="96"/>
        <v/>
      </c>
    </row>
    <row r="3474" spans="10:17" x14ac:dyDescent="0.25">
      <c r="J3474" s="1"/>
      <c r="Q3474" s="1" t="str">
        <f t="shared" si="96"/>
        <v/>
      </c>
    </row>
    <row r="3475" spans="10:17" x14ac:dyDescent="0.25">
      <c r="J3475" s="1"/>
      <c r="Q3475" s="1" t="str">
        <f t="shared" si="96"/>
        <v/>
      </c>
    </row>
    <row r="3476" spans="10:17" x14ac:dyDescent="0.25">
      <c r="J3476" s="1"/>
      <c r="Q3476" s="1" t="str">
        <f t="shared" si="96"/>
        <v/>
      </c>
    </row>
    <row r="3477" spans="10:17" x14ac:dyDescent="0.25">
      <c r="J3477" s="1"/>
      <c r="Q3477" s="1" t="str">
        <f t="shared" si="96"/>
        <v/>
      </c>
    </row>
    <row r="3478" spans="10:17" x14ac:dyDescent="0.25">
      <c r="J3478" s="1"/>
      <c r="Q3478" s="1" t="str">
        <f t="shared" si="96"/>
        <v/>
      </c>
    </row>
    <row r="3479" spans="10:17" x14ac:dyDescent="0.25">
      <c r="J3479" s="1"/>
      <c r="Q3479" s="1" t="str">
        <f t="shared" si="96"/>
        <v/>
      </c>
    </row>
    <row r="3480" spans="10:17" x14ac:dyDescent="0.25">
      <c r="J3480" s="1"/>
      <c r="Q3480" s="1" t="str">
        <f t="shared" si="96"/>
        <v/>
      </c>
    </row>
    <row r="3481" spans="10:17" x14ac:dyDescent="0.25">
      <c r="J3481" s="1"/>
      <c r="Q3481" s="1" t="str">
        <f t="shared" si="96"/>
        <v/>
      </c>
    </row>
    <row r="3482" spans="10:17" x14ac:dyDescent="0.25">
      <c r="J3482" s="1"/>
      <c r="Q3482" s="1" t="str">
        <f t="shared" si="96"/>
        <v/>
      </c>
    </row>
    <row r="3483" spans="10:17" x14ac:dyDescent="0.25">
      <c r="J3483" s="1"/>
      <c r="Q3483" s="1" t="str">
        <f t="shared" si="96"/>
        <v/>
      </c>
    </row>
    <row r="3484" spans="10:17" x14ac:dyDescent="0.25">
      <c r="J3484" s="1"/>
      <c r="Q3484" s="1" t="str">
        <f t="shared" si="96"/>
        <v/>
      </c>
    </row>
    <row r="3485" spans="10:17" x14ac:dyDescent="0.25">
      <c r="J3485" s="1"/>
      <c r="Q3485" s="1" t="str">
        <f t="shared" si="96"/>
        <v/>
      </c>
    </row>
    <row r="3486" spans="10:17" x14ac:dyDescent="0.25">
      <c r="J3486" s="1"/>
      <c r="Q3486" s="1" t="str">
        <f t="shared" si="96"/>
        <v/>
      </c>
    </row>
    <row r="3487" spans="10:17" x14ac:dyDescent="0.25">
      <c r="J3487" s="1"/>
      <c r="Q3487" s="1" t="str">
        <f t="shared" si="96"/>
        <v/>
      </c>
    </row>
    <row r="3488" spans="10:17" x14ac:dyDescent="0.25">
      <c r="J3488" s="1"/>
      <c r="Q3488" s="1" t="str">
        <f t="shared" si="96"/>
        <v/>
      </c>
    </row>
    <row r="3489" spans="10:17" x14ac:dyDescent="0.25">
      <c r="J3489" s="1"/>
      <c r="Q3489" s="1" t="str">
        <f t="shared" si="96"/>
        <v/>
      </c>
    </row>
    <row r="3490" spans="10:17" x14ac:dyDescent="0.25">
      <c r="J3490" s="1"/>
      <c r="Q3490" s="1" t="str">
        <f t="shared" si="96"/>
        <v/>
      </c>
    </row>
    <row r="3491" spans="10:17" x14ac:dyDescent="0.25">
      <c r="J3491" s="1"/>
      <c r="Q3491" s="1" t="str">
        <f t="shared" si="96"/>
        <v/>
      </c>
    </row>
    <row r="3492" spans="10:17" x14ac:dyDescent="0.25">
      <c r="J3492" s="1"/>
      <c r="Q3492" s="1" t="str">
        <f t="shared" si="96"/>
        <v/>
      </c>
    </row>
    <row r="3493" spans="10:17" x14ac:dyDescent="0.25">
      <c r="J3493" s="1"/>
      <c r="Q3493" s="1" t="str">
        <f t="shared" si="96"/>
        <v/>
      </c>
    </row>
    <row r="3494" spans="10:17" x14ac:dyDescent="0.25">
      <c r="J3494" s="1"/>
      <c r="Q3494" s="1" t="str">
        <f t="shared" si="96"/>
        <v/>
      </c>
    </row>
    <row r="3495" spans="10:17" x14ac:dyDescent="0.25">
      <c r="J3495" s="1"/>
      <c r="Q3495" s="1" t="str">
        <f t="shared" si="96"/>
        <v/>
      </c>
    </row>
    <row r="3496" spans="10:17" x14ac:dyDescent="0.25">
      <c r="J3496" s="1"/>
      <c r="Q3496" s="1" t="str">
        <f t="shared" si="96"/>
        <v/>
      </c>
    </row>
    <row r="3497" spans="10:17" x14ac:dyDescent="0.25">
      <c r="J3497" s="1"/>
      <c r="Q3497" s="1" t="str">
        <f t="shared" si="96"/>
        <v/>
      </c>
    </row>
    <row r="3498" spans="10:17" x14ac:dyDescent="0.25">
      <c r="J3498" s="1"/>
      <c r="Q3498" s="1" t="str">
        <f t="shared" si="96"/>
        <v/>
      </c>
    </row>
    <row r="3499" spans="10:17" x14ac:dyDescent="0.25">
      <c r="J3499" s="1"/>
      <c r="Q3499" s="1" t="str">
        <f t="shared" si="96"/>
        <v/>
      </c>
    </row>
    <row r="3500" spans="10:17" x14ac:dyDescent="0.25">
      <c r="J3500" s="1"/>
      <c r="Q3500" s="1" t="str">
        <f t="shared" si="96"/>
        <v/>
      </c>
    </row>
    <row r="3501" spans="10:17" x14ac:dyDescent="0.25">
      <c r="J3501" s="1"/>
      <c r="Q3501" s="1" t="str">
        <f t="shared" si="96"/>
        <v/>
      </c>
    </row>
    <row r="3502" spans="10:17" x14ac:dyDescent="0.25">
      <c r="J3502" s="1"/>
      <c r="Q3502" s="1" t="str">
        <f t="shared" si="96"/>
        <v/>
      </c>
    </row>
    <row r="3503" spans="10:17" x14ac:dyDescent="0.25">
      <c r="J3503" s="1"/>
      <c r="Q3503" s="1" t="str">
        <f t="shared" si="96"/>
        <v/>
      </c>
    </row>
    <row r="3504" spans="10:17" x14ac:dyDescent="0.25">
      <c r="J3504" s="1"/>
      <c r="Q3504" s="1" t="str">
        <f t="shared" si="96"/>
        <v/>
      </c>
    </row>
    <row r="3505" spans="10:17" x14ac:dyDescent="0.25">
      <c r="J3505" s="1"/>
      <c r="Q3505" s="1" t="str">
        <f t="shared" si="96"/>
        <v/>
      </c>
    </row>
    <row r="3506" spans="10:17" x14ac:dyDescent="0.25">
      <c r="J3506" s="1"/>
      <c r="Q3506" s="1" t="str">
        <f t="shared" si="96"/>
        <v/>
      </c>
    </row>
    <row r="3507" spans="10:17" x14ac:dyDescent="0.25">
      <c r="J3507" s="1"/>
      <c r="Q3507" s="1" t="str">
        <f t="shared" si="96"/>
        <v/>
      </c>
    </row>
    <row r="3508" spans="10:17" x14ac:dyDescent="0.25">
      <c r="J3508" s="1"/>
      <c r="Q3508" s="1" t="str">
        <f t="shared" si="96"/>
        <v/>
      </c>
    </row>
    <row r="3509" spans="10:17" x14ac:dyDescent="0.25">
      <c r="J3509" s="1"/>
      <c r="Q3509" s="1" t="str">
        <f t="shared" si="96"/>
        <v/>
      </c>
    </row>
    <row r="3510" spans="10:17" x14ac:dyDescent="0.25">
      <c r="J3510" s="1"/>
      <c r="Q3510" s="1" t="str">
        <f t="shared" si="96"/>
        <v/>
      </c>
    </row>
    <row r="3511" spans="10:17" x14ac:dyDescent="0.25">
      <c r="J3511" s="1"/>
      <c r="Q3511" s="1" t="str">
        <f t="shared" si="96"/>
        <v/>
      </c>
    </row>
    <row r="3512" spans="10:17" x14ac:dyDescent="0.25">
      <c r="J3512" s="1"/>
      <c r="Q3512" s="1" t="str">
        <f t="shared" si="96"/>
        <v/>
      </c>
    </row>
    <row r="3513" spans="10:17" x14ac:dyDescent="0.25">
      <c r="J3513" s="1"/>
      <c r="Q3513" s="1" t="str">
        <f t="shared" si="96"/>
        <v/>
      </c>
    </row>
    <row r="3514" spans="10:17" x14ac:dyDescent="0.25">
      <c r="J3514" s="1"/>
      <c r="Q3514" s="1" t="str">
        <f t="shared" si="96"/>
        <v/>
      </c>
    </row>
    <row r="3515" spans="10:17" x14ac:dyDescent="0.25">
      <c r="J3515" s="1"/>
      <c r="Q3515" s="1" t="str">
        <f t="shared" si="96"/>
        <v/>
      </c>
    </row>
    <row r="3516" spans="10:17" x14ac:dyDescent="0.25">
      <c r="J3516" s="1"/>
      <c r="Q3516" s="1" t="str">
        <f t="shared" si="96"/>
        <v/>
      </c>
    </row>
    <row r="3517" spans="10:17" x14ac:dyDescent="0.25">
      <c r="J3517" s="1"/>
      <c r="Q3517" s="1" t="str">
        <f t="shared" ref="Q3517:Q3535" si="97">IF(B3517="","",1)</f>
        <v/>
      </c>
    </row>
    <row r="3518" spans="10:17" x14ac:dyDescent="0.25">
      <c r="J3518" s="1"/>
      <c r="Q3518" s="1" t="str">
        <f t="shared" si="97"/>
        <v/>
      </c>
    </row>
    <row r="3519" spans="10:17" x14ac:dyDescent="0.25">
      <c r="J3519" s="1"/>
      <c r="Q3519" s="1" t="str">
        <f t="shared" si="97"/>
        <v/>
      </c>
    </row>
    <row r="3520" spans="10:17" x14ac:dyDescent="0.25">
      <c r="J3520" s="1"/>
      <c r="Q3520" s="1" t="str">
        <f t="shared" si="97"/>
        <v/>
      </c>
    </row>
    <row r="3521" spans="10:17" x14ac:dyDescent="0.25">
      <c r="J3521" s="1"/>
      <c r="Q3521" s="1" t="str">
        <f t="shared" si="97"/>
        <v/>
      </c>
    </row>
    <row r="3522" spans="10:17" x14ac:dyDescent="0.25">
      <c r="J3522" s="1"/>
      <c r="Q3522" s="1" t="str">
        <f t="shared" si="97"/>
        <v/>
      </c>
    </row>
    <row r="3523" spans="10:17" x14ac:dyDescent="0.25">
      <c r="J3523" s="1"/>
      <c r="Q3523" s="1" t="str">
        <f t="shared" si="97"/>
        <v/>
      </c>
    </row>
    <row r="3524" spans="10:17" x14ac:dyDescent="0.25">
      <c r="J3524" s="1"/>
      <c r="Q3524" s="1" t="str">
        <f t="shared" si="97"/>
        <v/>
      </c>
    </row>
    <row r="3525" spans="10:17" x14ac:dyDescent="0.25">
      <c r="J3525" s="1"/>
      <c r="Q3525" s="1" t="str">
        <f t="shared" si="97"/>
        <v/>
      </c>
    </row>
    <row r="3526" spans="10:17" x14ac:dyDescent="0.25">
      <c r="J3526" s="1"/>
      <c r="Q3526" s="1" t="str">
        <f t="shared" si="97"/>
        <v/>
      </c>
    </row>
    <row r="3527" spans="10:17" x14ac:dyDescent="0.25">
      <c r="J3527" s="1"/>
      <c r="Q3527" s="1" t="str">
        <f t="shared" si="97"/>
        <v/>
      </c>
    </row>
    <row r="3528" spans="10:17" x14ac:dyDescent="0.25">
      <c r="J3528" s="1"/>
      <c r="Q3528" s="1" t="str">
        <f t="shared" si="97"/>
        <v/>
      </c>
    </row>
    <row r="3529" spans="10:17" x14ac:dyDescent="0.25">
      <c r="J3529" s="1"/>
      <c r="Q3529" s="1" t="str">
        <f t="shared" si="97"/>
        <v/>
      </c>
    </row>
    <row r="3530" spans="10:17" x14ac:dyDescent="0.25">
      <c r="J3530" s="1"/>
      <c r="Q3530" s="1" t="str">
        <f t="shared" si="97"/>
        <v/>
      </c>
    </row>
    <row r="3531" spans="10:17" x14ac:dyDescent="0.25">
      <c r="J3531" s="1"/>
      <c r="Q3531" s="1" t="str">
        <f t="shared" si="97"/>
        <v/>
      </c>
    </row>
    <row r="3532" spans="10:17" x14ac:dyDescent="0.25">
      <c r="J3532" s="1"/>
      <c r="Q3532" s="1" t="str">
        <f t="shared" si="97"/>
        <v/>
      </c>
    </row>
    <row r="3533" spans="10:17" x14ac:dyDescent="0.25">
      <c r="J3533" s="1"/>
      <c r="Q3533" s="1" t="str">
        <f t="shared" si="97"/>
        <v/>
      </c>
    </row>
    <row r="3534" spans="10:17" x14ac:dyDescent="0.25">
      <c r="J3534" s="1"/>
      <c r="Q3534" s="1" t="str">
        <f t="shared" si="97"/>
        <v/>
      </c>
    </row>
    <row r="3535" spans="10:17" x14ac:dyDescent="0.25">
      <c r="J3535" s="1"/>
      <c r="Q3535" s="1" t="str">
        <f t="shared" si="97"/>
        <v/>
      </c>
    </row>
    <row r="3537" spans="6:16" x14ac:dyDescent="0.25">
      <c r="M3537" s="2"/>
      <c r="N3537" s="2"/>
    </row>
    <row r="3538" spans="6:16" x14ac:dyDescent="0.25">
      <c r="M3538" s="2"/>
      <c r="N3538" s="2"/>
      <c r="P3538" s="2"/>
    </row>
    <row r="3539" spans="6:16" x14ac:dyDescent="0.25">
      <c r="M3539" s="2"/>
      <c r="N3539" s="2"/>
      <c r="P3539" s="2"/>
    </row>
    <row r="3540" spans="6:16" x14ac:dyDescent="0.25">
      <c r="M3540" s="2"/>
      <c r="N3540" s="2"/>
      <c r="P3540" s="2"/>
    </row>
    <row r="3541" spans="6:16" x14ac:dyDescent="0.25">
      <c r="M3541" s="2"/>
      <c r="N3541" s="2"/>
      <c r="P3541" s="2"/>
    </row>
    <row r="3542" spans="6:16" x14ac:dyDescent="0.25">
      <c r="M3542" s="2"/>
      <c r="N3542" s="2"/>
      <c r="P3542" s="2"/>
    </row>
    <row r="3543" spans="6:16" x14ac:dyDescent="0.25">
      <c r="M3543" s="2"/>
      <c r="N3543" s="2"/>
      <c r="P3543" s="2"/>
    </row>
    <row r="3544" spans="6:16" x14ac:dyDescent="0.25">
      <c r="M3544" s="2"/>
      <c r="N3544" s="2"/>
      <c r="P3544" s="2"/>
    </row>
    <row r="3545" spans="6:16" x14ac:dyDescent="0.25">
      <c r="M3545" s="2"/>
      <c r="N3545" s="2"/>
      <c r="P3545" s="2"/>
    </row>
    <row r="3546" spans="6:16" x14ac:dyDescent="0.25">
      <c r="M3546" s="2"/>
    </row>
    <row r="3547" spans="6:16" x14ac:dyDescent="0.25">
      <c r="M3547" s="2"/>
    </row>
    <row r="3548" spans="6:16" x14ac:dyDescent="0.25">
      <c r="M3548" s="2"/>
    </row>
    <row r="3549" spans="6:16" x14ac:dyDescent="0.25">
      <c r="F3549" s="1"/>
      <c r="H3549" s="1"/>
      <c r="J3549" s="1"/>
      <c r="M3549" s="2"/>
    </row>
    <row r="3550" spans="6:16" x14ac:dyDescent="0.25">
      <c r="M3550" s="2"/>
    </row>
    <row r="3551" spans="6:16" x14ac:dyDescent="0.25">
      <c r="M3551" s="2"/>
    </row>
    <row r="3552" spans="6:16" x14ac:dyDescent="0.25">
      <c r="M3552" s="2"/>
    </row>
    <row r="3553" spans="13:13" x14ac:dyDescent="0.25">
      <c r="M3553" s="2"/>
    </row>
    <row r="3554" spans="13:13" x14ac:dyDescent="0.25">
      <c r="M3554" s="2"/>
    </row>
    <row r="3555" spans="13:13" x14ac:dyDescent="0.25">
      <c r="M3555" s="2"/>
    </row>
    <row r="3556" spans="13:13" x14ac:dyDescent="0.25">
      <c r="M3556" s="2"/>
    </row>
  </sheetData>
  <autoFilter ref="A1:X3535"/>
  <pageMargins left="0.7" right="0.7" top="0.75" bottom="0.75" header="0.3" footer="0.3"/>
  <pageSetup orientation="portrait" horizontalDpi="180" verticalDpi="18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Tournaments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2026-10-29T16:15:06Z</dcterms:modified>
</cp:coreProperties>
</file>