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Overall!$A$1:$AA$206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<sst xmlns="http://schemas.openxmlformats.org/spreadsheetml/2006/main" count="9414" uniqueCount="1096">
  <si>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</si>
  <si>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</si>
  <si>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</si>
  <si>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</si>
  <si>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</si>
  <si>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</si>
  <si>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</si>
  <si>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</si>
  <si>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</si>
  <si>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</si>
  <si>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</si>
  <si>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</si>
  <si>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</si>
  <si>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</si>
  <si>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</si>
  <si>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</si>
  <si>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</si>
  <si>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</si>
  <si>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</si>
  <si>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</si>
  <si>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</si>
  <si>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</si>
  <si>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</si>
  <si>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</si>
  <si>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</si>
  <si>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</si>
  <si>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</si>
  <si>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</si>
  <si>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</si>
  <si>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</si>
  <si>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</si>
  <si>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</si>
  <si>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</si>
  <si>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</si>
  <si>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</si>
  <si>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</si>
  <si>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</si>
  <si>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</si>
  <si>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</si>
  <si>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</si>
  <si>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</si>
  <si>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</si>
  <si>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</si>
  <si>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</si>
  <si>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</si>
  <si>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</si>
  <si>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</si>
  <si>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</si>
  <si>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</si>
  <si>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</si>
  <si>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</si>
  <si>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</si>
  <si>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</si>
  <si>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</si>
  <si>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</si>
  <si>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</si>
  <si>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</si>
  <si>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</si>
  <si>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</si>
  <si>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</si>
  <si>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</si>
  <si>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</si>
  <si>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</si>
  <si>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</si>
  <si>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</si>
  <si>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</si>
  <si>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</si>
  <si>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</si>
  <si>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</si>
  <si>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</si>
  <si>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</si>
  <si>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</si>
  <si>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</si>
  <si>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</si>
  <si>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</si>
  <si>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</si>
  <si>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</si>
  <si>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</si>
  <si>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</si>
  <si>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</si>
  <si>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</si>
  <si>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</si>
  <si>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</si>
  <si>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</si>
  <si>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</si>
  <si>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</si>
  <si>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</si>
  <si>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</si>
  <si>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</si>
  <si>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</si>
  <si>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</si>
  <si>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</si>
  <si>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</si>
  <si>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</si>
  <si>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</si>
  <si>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</si>
  <si>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</si>
  <si>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</si>
  <si>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</si>
  <si>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</si>
  <si>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</si>
  <si>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</si>
  <si>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</si>
  <si>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</si>
  <si>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</si>
  <si>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</si>
  <si>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</si>
  <si>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Shayed Anowar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</si>
  <si>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</si>
  <si>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</si>
  <si>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</si>
  <si>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</si>
  <si>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</si>
  <si>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</si>
  <si>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</si>
  <si>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</si>
  <si>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</si>
  <si>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</si>
  <si>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</si>
  <si>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</si>
  <si>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</si>
  <si>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</si>
  <si>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</si>
  <si>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</si>
  <si>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</si>
  <si>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</si>
  <si>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</si>
  <si>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</si>
  <si>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</si>
  <si>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</si>
  <si>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</si>
  <si>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</si>
  <si>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</si>
  <si>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</si>
  <si>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</si>
  <si>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</si>
  <si>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</si>
  <si>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</si>
  <si>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</si>
  <si>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</si>
  <si>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</si>
  <si>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</si>
  <si>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</si>
  <si>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</si>
  <si>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</si>
  <si>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</si>
  <si>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</si>
  <si>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</si>
  <si>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</si>
  <si>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</si>
  <si>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</si>
  <si>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</si>
  <si>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</si>
  <si>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</si>
  <si>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</si>
  <si>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</si>
  <si>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</si>
  <si>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</si>
  <si>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</si>
  <si>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</si>
  <si>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</si>
  <si>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</si>
  <si>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</si>
  <si>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</si>
  <si>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</si>
  <si>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</si>
  <si>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</si>
  <si>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</si>
  <si>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</si>
  <si>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</si>
  <si>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</si>
  <si>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</si>
  <si>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</si>
  <si>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</si>
  <si>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</si>
  <si>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</si>
  <si>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</si>
  <si>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</si>
  <si>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</si>
  <si>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</si>
  <si>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</si>
  <si>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</si>
  <si>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</si>
  <si>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</si>
  <si>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</si>
  <si>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</si>
  <si>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</si>
  <si>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</si>
  <si>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</si>
  <si>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</si>
  <si>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</si>
  <si>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</si>
  <si>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</si>
  <si>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</si>
  <si>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</si>
  <si>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</si>
  <si>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</si>
  <si>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</si>
  <si>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</si>
  <si>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</si>
  <si>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</si>
  <si>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</si>
  <si>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</si>
  <si>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</si>
  <si>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</si>
  <si>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</si>
  <si>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</si>
  <si>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</si>
  <si>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</si>
  <si>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</si>
  <si>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</si>
  <si>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</si>
  <si>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</si>
  <si>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</si>
  <si>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</si>
  <si>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</si>
  <si>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</si>
  <si>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</si>
  <si>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</si>
  <si>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</si>
  <si>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</si>
  <si>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</si>
  <si>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</si>
  <si>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</si>
  <si>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</si>
  <si>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</si>
  <si>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</si>
  <si>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</si>
  <si>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</si>
  <si>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</si>
  <si>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</si>
  <si>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</si>
  <si>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</si>
  <si>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</si>
  <si>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</si>
  <si>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</si>
  <si>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</si>
  <si>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</si>
  <si>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</si>
  <si>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</si>
  <si>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</si>
  <si>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</si>
  <si>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</si>
  <si>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</si>
  <si>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</si>
  <si>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</si>
  <si>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</si>
  <si>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</si>
  <si>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</si>
  <si>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</si>
  <si>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</si>
  <si>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</si>
  <si>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</si>
  <si>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</si>
  <si>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</si>
  <si>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</si>
  <si>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</si>
  <si>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</si>
  <si>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</si>
  <si>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</si>
  <si>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</si>
  <si>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</si>
  <si>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</si>
  <si>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</si>
  <si>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</si>
  <si>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</si>
  <si>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</si>
  <si>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</si>
  <si>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</si>
  <si>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</si>
  <si>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</si>
  <si>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</si>
  <si>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</si>
  <si>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</si>
  <si>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</si>
  <si>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</si>
  <si>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</si>
  <si>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</si>
  <si>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</si>
  <si>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</si>
  <si>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</si>
  <si>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</si>
  <si>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</si>
  <si>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</si>
  <si>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</si>
  <si>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</si>
  <si>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</si>
  <si>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</si>
  <si>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</si>
  <si>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</si>
  <si>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</si>
  <si>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</si>
  <si>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</si>
  <si>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</si>
  <si>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</si>
  <si>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</si>
  <si>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</si>
  <si>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</si>
  <si>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</si>
  <si>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</si>
  <si>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</si>
  <si>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</si>
  <si>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</si>
  <si>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</si>
  <si>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</si>
  <si>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</si>
  <si>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</si>
  <si>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</si>
  <si>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</si>
  <si>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</si>
  <si>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</si>
  <si>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</si>
  <si>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</si>
  <si>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</si>
  <si>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</si>
  <si>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</si>
  <si>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</si>
  <si>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</si>
  <si>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</si>
  <si>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</si>
  <si>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</si>
  <si>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</si>
  <si>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</si>
  <si>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</si>
  <si>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</si>
  <si>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</si>
  <si>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</si>
  <si>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</si>
  <si>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</si>
  <si>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</si>
  <si>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</si>
  <si>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</si>
  <si>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</si>
  <si>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</si>
  <si>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</si>
  <si>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A M 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</si>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</sst>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3" fontId="0" fillId="0" borderId="0" xfId="1" applyFont="1"/>
    <xf numFmtId="0" fontId="0" fillId="0" borderId="0" xfId="0" applyAlignment="1">
      <alignment vertical="center"/>
    </xf>
    <xf numFmtId="164" fontId="0" fillId="0" borderId="0" xfId="1" applyNumberFormat="1" applyFont="1"/>
    <xf numFmtId="2" fontId="0" fillId="0" borderId="0" xfId="0" applyNumberFormat="1"/>
    <xf numFmtId="0" fontId="0" fillId="3" borderId="0" xfId="0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0" fontId="2" fillId="2" borderId="1" xfId="0" applyFont="1" applyFill="1" applyBorder="1" applyAlignment="1">
      <alignment vertical="center" wrapText="1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06"/>
  <sheetViews>
    <sheetView tabSelected="1" zoomScale="85" zoomScaleNormal="85" workbookViewId="0">
      <pane ySplit="1" topLeftCell="A2" activePane="bottomLeft" state="frozen"/>
      <selection pane="bottomLeft" activeCell="AI4" sqref="AI4"/>
    </sheetView>
  </sheetViews>
  <sheetFormatPr defaultRowHeight="15" x14ac:dyDescent="0.25"/>
  <cols>
    <col min="1" max="1" width="8.42578125" bestFit="1" customWidth="1"/>
    <col min="2" max="2" width="13.85546875" bestFit="1" customWidth="1"/>
    <col min="3" max="3" width="29.5703125" customWidth="1"/>
    <col min="4" max="4" width="22" style="1" hidden="1" customWidth="1"/>
    <col min="5" max="5" width="17.28515625" style="1" hidden="1" customWidth="1"/>
    <col min="6" max="6" width="16.28515625" style="2" hidden="1" customWidth="1"/>
    <col min="7" max="7" width="19.140625" style="2" hidden="1" customWidth="1"/>
    <col min="8" max="9" width="13.42578125" style="2" hidden="1" customWidth="1"/>
    <col min="10" max="11" width="14.28515625" style="2" hidden="1" customWidth="1"/>
    <col min="12" max="12" width="14.5703125" style="2" hidden="1" customWidth="1"/>
    <col min="13" max="13" width="11.28515625" style="2" hidden="1" customWidth="1"/>
    <col min="14" max="14" width="16" style="2" hidden="1" customWidth="1"/>
    <col min="15" max="15" width="15.85546875" style="2" hidden="1" customWidth="1"/>
    <col min="16" max="16" width="17.140625" style="2" hidden="1" customWidth="1"/>
    <col min="17" max="18" width="13.42578125" style="2" hidden="1" customWidth="1"/>
    <col min="19" max="19" width="20.42578125" style="2" hidden="1" customWidth="1"/>
    <col min="20" max="20" width="10.85546875" style="2" hidden="1" customWidth="1"/>
    <col min="21" max="21" width="12.7109375" style="2" hidden="1" customWidth="1"/>
    <col min="22" max="22" width="3.28515625" style="2" hidden="1" customWidth="1"/>
    <col min="23" max="23" width="13.7109375" style="2" hidden="1" customWidth="1"/>
    <col min="24" max="24" width="10.140625" style="3" hidden="1" customWidth="1"/>
    <col min="25" max="25" width="10.140625" hidden="1" customWidth="1"/>
    <col min="26" max="26" width="23" hidden="1" customWidth="1"/>
    <col min="27" max="27" width="9.7109375" hidden="1" customWidth="1"/>
    <col min="28" max="28" width="16.7109375" style="12" hidden="1" customWidth="1"/>
    <col min="29" max="29" width="16.28515625" hidden="1" customWidth="1"/>
    <col min="30" max="30" width="28.7109375" hidden="1" customWidth="1"/>
    <col min="31" max="31" width="15.42578125" style="1" hidden="1" customWidth="1"/>
    <col min="32" max="32" width="20.5703125" style="1" hidden="1" customWidth="1"/>
    <col min="33" max="33" width="19.140625" style="4" customWidth="1"/>
  </cols>
  <sheetData>
    <row r="1" spans="1:36" s="4" customFormat="1" ht="86.25" customHeight="1" x14ac:dyDescent="0.25">
      <c r="A1" s="8" t="s">
        <v>0</v>
      </c>
      <c r="B1" s="9" t="s">
        <v>462</v>
      </c>
      <c r="C1" s="8" t="s">
        <v>463</v>
      </c>
      <c r="D1" s="9" t="s">
        <v>1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466</v>
      </c>
      <c r="N1" s="9" t="s">
        <v>467</v>
      </c>
      <c r="O1" s="9" t="s">
        <v>464</v>
      </c>
      <c r="P1" s="9" t="s">
        <v>465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14</v>
      </c>
      <c r="V1" s="8" t="s">
        <v>15</v>
      </c>
      <c r="W1" s="8" t="s">
        <v>16</v>
      </c>
      <c r="X1" s="10" t="s">
        <v>17</v>
      </c>
      <c r="Y1" s="9" t="s">
        <v>18</v>
      </c>
      <c r="Z1" s="9" t="s">
        <v>19</v>
      </c>
      <c r="AA1" s="9" t="s">
        <v>20</v>
      </c>
      <c r="AB1" s="11" t="s">
        <v>468</v>
      </c>
      <c r="AC1" s="10" t="s">
        <v>469</v>
      </c>
      <c r="AD1" s="9" t="s">
        <v>470</v>
      </c>
      <c r="AE1" s="9" t="s">
        <v>471</v>
      </c>
      <c r="AF1" s="9" t="s">
        <v>472</v>
      </c>
      <c r="AG1" s="38" t="s">
        <v>636</v>
      </c>
      <c r="AJ1" s="4" t="s">
        <v>1093</v>
      </c>
    </row>
    <row r="2" spans="1:36" ht="99.95" customHeight="1" x14ac:dyDescent="0.25">
      <c r="A2" s="1">
        <v>1</v>
      </c>
      <c r="B2" s="1" t="s">
        <v>21</v>
      </c>
      <c r="C2" t="s">
        <v>22</v>
      </c>
      <c r="D2" s="1">
        <v>13</v>
      </c>
      <c r="E2" s="1">
        <v>75</v>
      </c>
      <c r="F2" s="2">
        <v>935</v>
      </c>
      <c r="G2" s="2">
        <v>126</v>
      </c>
      <c r="H2" s="2">
        <v>95</v>
      </c>
      <c r="I2" s="2">
        <v>8</v>
      </c>
      <c r="J2" s="2">
        <v>91</v>
      </c>
      <c r="K2" s="2">
        <v>58</v>
      </c>
      <c r="L2" s="2">
        <v>4</v>
      </c>
      <c r="M2" s="2">
        <v>1</v>
      </c>
      <c r="N2" s="2">
        <v>3</v>
      </c>
      <c r="O2" s="2">
        <v>0</v>
      </c>
      <c r="P2" s="2">
        <v>0</v>
      </c>
      <c r="Q2" s="2">
        <v>1</v>
      </c>
      <c r="R2" s="2">
        <v>1</v>
      </c>
      <c r="S2" s="2" t="s">
        <v>23</v>
      </c>
      <c r="T2" s="2">
        <v>0</v>
      </c>
      <c r="U2" s="2">
        <v>3</v>
      </c>
      <c r="V2" s="2" t="s">
        <v>15</v>
      </c>
      <c r="W2" s="2" t="s">
        <v>21</v>
      </c>
      <c r="X2" s="5">
        <v>1.68</v>
      </c>
      <c r="Y2" s="6">
        <v>10.74712643678161</v>
      </c>
      <c r="Z2" s="1" t="s">
        <v>456</v>
      </c>
      <c r="AA2" s="1">
        <v>2</v>
      </c>
      <c r="AB2" s="12">
        <v>41699</v>
      </c>
      <c r="AC2" t="s">
        <v>473</v>
      </c>
      <c r="AD2" t="s">
        <v>474</v>
      </c>
      <c r="AE2" s="1">
        <v>134</v>
      </c>
      <c r="AF2" s="1">
        <v>27</v>
      </c>
      <c r="AG2"/>
    </row>
    <row r="3" spans="1:36" ht="99.95" customHeight="1" x14ac:dyDescent="0.25">
      <c r="A3" s="1">
        <v>2</v>
      </c>
      <c r="B3" s="1" t="s">
        <v>24</v>
      </c>
      <c r="C3" t="s">
        <v>25</v>
      </c>
      <c r="D3" s="1">
        <v>19</v>
      </c>
      <c r="E3" s="1">
        <v>124</v>
      </c>
      <c r="F3" s="2">
        <v>2318</v>
      </c>
      <c r="G3" s="2">
        <v>173</v>
      </c>
      <c r="H3" s="2">
        <v>185</v>
      </c>
      <c r="I3" s="2">
        <v>18</v>
      </c>
      <c r="J3" s="2">
        <v>212</v>
      </c>
      <c r="K3" s="2">
        <v>136</v>
      </c>
      <c r="L3" s="2">
        <v>1</v>
      </c>
      <c r="M3" s="2">
        <v>2</v>
      </c>
      <c r="N3" s="2">
        <v>1</v>
      </c>
      <c r="O3" s="2">
        <v>1</v>
      </c>
      <c r="P3" s="2">
        <v>0</v>
      </c>
      <c r="Q3" s="2">
        <v>1</v>
      </c>
      <c r="R3" s="2">
        <v>1</v>
      </c>
      <c r="S3" s="2" t="s">
        <v>26</v>
      </c>
      <c r="T3" s="2">
        <v>3</v>
      </c>
      <c r="U3" s="2">
        <v>0</v>
      </c>
      <c r="V3" s="2" t="s">
        <v>15</v>
      </c>
      <c r="W3" s="2" t="s">
        <v>24</v>
      </c>
      <c r="X3">
        <v>1.3951612903225807</v>
      </c>
      <c r="Y3" s="6">
        <v>13.880239520958083</v>
      </c>
      <c r="Z3" s="1" t="s">
        <v>456</v>
      </c>
      <c r="AA3" s="1">
        <v>2</v>
      </c>
      <c r="AB3" s="12">
        <v>41699</v>
      </c>
      <c r="AC3" t="s">
        <v>473</v>
      </c>
      <c r="AD3" t="s">
        <v>475</v>
      </c>
      <c r="AE3" s="1">
        <v>253</v>
      </c>
      <c r="AF3" s="1">
        <v>22</v>
      </c>
      <c r="AG3"/>
    </row>
    <row r="4" spans="1:36" ht="99.95" customHeight="1" x14ac:dyDescent="0.25">
      <c r="A4" s="1">
        <v>3</v>
      </c>
      <c r="B4" s="1" t="s">
        <v>27</v>
      </c>
      <c r="C4" t="s">
        <v>28</v>
      </c>
      <c r="D4" s="1">
        <v>9</v>
      </c>
      <c r="E4" s="1">
        <v>54</v>
      </c>
      <c r="F4" s="2">
        <v>877</v>
      </c>
      <c r="G4" s="2">
        <v>72</v>
      </c>
      <c r="H4" s="2">
        <v>78</v>
      </c>
      <c r="I4" s="2">
        <v>7</v>
      </c>
      <c r="J4" s="2">
        <v>61</v>
      </c>
      <c r="K4" s="2">
        <v>45</v>
      </c>
      <c r="L4" s="2">
        <v>0</v>
      </c>
      <c r="M4" s="2">
        <v>0</v>
      </c>
      <c r="N4" s="2">
        <v>2</v>
      </c>
      <c r="O4" s="2">
        <v>0</v>
      </c>
      <c r="P4" s="2">
        <v>0</v>
      </c>
      <c r="Q4" s="2">
        <v>1</v>
      </c>
      <c r="R4" s="2">
        <v>0</v>
      </c>
      <c r="S4" s="2" t="s">
        <v>26</v>
      </c>
      <c r="T4" s="2">
        <v>0</v>
      </c>
      <c r="U4" s="2">
        <v>0</v>
      </c>
      <c r="V4" s="2" t="s">
        <v>15</v>
      </c>
      <c r="W4" s="2" t="s">
        <v>27</v>
      </c>
      <c r="X4">
        <v>1.3333333333333333</v>
      </c>
      <c r="Y4" s="6">
        <v>12.352112676056338</v>
      </c>
      <c r="Z4" s="1" t="s">
        <v>456</v>
      </c>
      <c r="AA4" s="1">
        <v>1</v>
      </c>
      <c r="AB4" s="12">
        <v>41456</v>
      </c>
      <c r="AC4" t="s">
        <v>476</v>
      </c>
      <c r="AD4" t="s">
        <v>477</v>
      </c>
      <c r="AE4" s="1">
        <v>301</v>
      </c>
      <c r="AF4" s="1">
        <v>19</v>
      </c>
      <c r="AG4"/>
    </row>
    <row r="5" spans="1:36" ht="99.95" customHeight="1" x14ac:dyDescent="0.25">
      <c r="A5" s="1">
        <v>4</v>
      </c>
      <c r="B5" s="1" t="s">
        <v>29</v>
      </c>
      <c r="C5" t="s">
        <v>30</v>
      </c>
      <c r="D5" s="1">
        <v>20</v>
      </c>
      <c r="E5" s="1">
        <v>128</v>
      </c>
      <c r="F5" s="2">
        <v>2141</v>
      </c>
      <c r="G5" s="2">
        <v>141</v>
      </c>
      <c r="H5" s="2">
        <v>180</v>
      </c>
      <c r="I5" s="2">
        <v>16</v>
      </c>
      <c r="J5" s="2">
        <v>174</v>
      </c>
      <c r="K5" s="2">
        <v>80</v>
      </c>
      <c r="L5" s="2">
        <v>0</v>
      </c>
      <c r="M5" s="2">
        <v>1</v>
      </c>
      <c r="N5" s="2">
        <v>1</v>
      </c>
      <c r="O5" s="2">
        <v>2</v>
      </c>
      <c r="P5" s="2">
        <v>0</v>
      </c>
      <c r="Q5" s="2">
        <v>3</v>
      </c>
      <c r="R5" s="2">
        <v>0</v>
      </c>
      <c r="S5" s="2" t="s">
        <v>26</v>
      </c>
      <c r="T5" s="2">
        <v>1</v>
      </c>
      <c r="U5" s="2">
        <v>1</v>
      </c>
      <c r="V5" s="2" t="s">
        <v>15</v>
      </c>
      <c r="W5" s="2" t="s">
        <v>29</v>
      </c>
      <c r="X5">
        <v>1.1015625</v>
      </c>
      <c r="Y5" s="6">
        <v>13.054878048780488</v>
      </c>
      <c r="Z5" s="1" t="s">
        <v>456</v>
      </c>
      <c r="AA5" s="1">
        <v>3</v>
      </c>
      <c r="AB5" s="12">
        <v>41456</v>
      </c>
      <c r="AC5" t="s">
        <v>478</v>
      </c>
      <c r="AD5" t="s">
        <v>479</v>
      </c>
      <c r="AE5" s="1">
        <v>208</v>
      </c>
      <c r="AF5" s="1">
        <v>19</v>
      </c>
      <c r="AG5"/>
    </row>
    <row r="6" spans="1:36" ht="99.95" customHeight="1" x14ac:dyDescent="0.25">
      <c r="A6" s="1">
        <v>5</v>
      </c>
      <c r="B6" s="1" t="s">
        <v>31</v>
      </c>
      <c r="C6" t="s">
        <v>32</v>
      </c>
      <c r="D6" s="1">
        <v>17</v>
      </c>
      <c r="E6" s="1">
        <v>84</v>
      </c>
      <c r="F6" s="2">
        <v>895</v>
      </c>
      <c r="G6" s="2">
        <v>80</v>
      </c>
      <c r="H6" s="2">
        <v>105</v>
      </c>
      <c r="I6" s="2">
        <v>8</v>
      </c>
      <c r="J6" s="2">
        <v>48</v>
      </c>
      <c r="K6" s="2">
        <v>49</v>
      </c>
      <c r="L6" s="2">
        <v>0</v>
      </c>
      <c r="M6" s="2">
        <v>1</v>
      </c>
      <c r="N6" s="2">
        <v>1</v>
      </c>
      <c r="O6" s="2">
        <v>0</v>
      </c>
      <c r="P6" s="2">
        <v>0</v>
      </c>
      <c r="Q6" s="2">
        <v>2</v>
      </c>
      <c r="R6" s="2">
        <v>3</v>
      </c>
      <c r="S6" s="2" t="s">
        <v>26</v>
      </c>
      <c r="T6" s="2">
        <v>0</v>
      </c>
      <c r="U6" s="2">
        <v>0</v>
      </c>
      <c r="V6" s="2" t="s">
        <v>15</v>
      </c>
      <c r="W6" s="2" t="s">
        <v>31</v>
      </c>
      <c r="X6">
        <v>0.95238095238095233</v>
      </c>
      <c r="Y6" s="6">
        <v>9.2268041237113394</v>
      </c>
      <c r="Z6" s="1" t="s">
        <v>457</v>
      </c>
      <c r="AA6" s="1">
        <v>5</v>
      </c>
      <c r="AB6" s="12">
        <v>41395</v>
      </c>
      <c r="AC6" t="s">
        <v>480</v>
      </c>
      <c r="AD6" t="s">
        <v>481</v>
      </c>
      <c r="AE6" s="1">
        <v>103</v>
      </c>
      <c r="AF6" s="1">
        <v>12</v>
      </c>
      <c r="AG6"/>
    </row>
    <row r="7" spans="1:36" ht="99.95" customHeight="1" x14ac:dyDescent="0.25">
      <c r="A7" s="1">
        <v>6</v>
      </c>
      <c r="B7" s="1" t="s">
        <v>33</v>
      </c>
      <c r="C7" t="s">
        <v>34</v>
      </c>
      <c r="D7" s="1">
        <v>12</v>
      </c>
      <c r="E7" s="1">
        <v>66</v>
      </c>
      <c r="F7" s="2">
        <v>781</v>
      </c>
      <c r="G7" s="2">
        <v>68</v>
      </c>
      <c r="H7" s="2">
        <v>70</v>
      </c>
      <c r="I7" s="2">
        <v>4</v>
      </c>
      <c r="J7" s="2">
        <v>49</v>
      </c>
      <c r="K7" s="2">
        <v>57</v>
      </c>
      <c r="L7" s="2">
        <v>1</v>
      </c>
      <c r="M7" s="2">
        <v>1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2" t="s">
        <v>26</v>
      </c>
      <c r="T7" s="2">
        <v>0</v>
      </c>
      <c r="U7" s="2">
        <v>0</v>
      </c>
      <c r="V7" s="2" t="s">
        <v>15</v>
      </c>
      <c r="W7" s="2" t="s">
        <v>33</v>
      </c>
      <c r="X7">
        <v>1.0303030303030303</v>
      </c>
      <c r="Y7" s="6">
        <v>11.833333333333334</v>
      </c>
      <c r="Z7" s="1" t="s">
        <v>456</v>
      </c>
      <c r="AA7" s="1">
        <v>2</v>
      </c>
      <c r="AB7" s="12">
        <v>41456</v>
      </c>
      <c r="AC7" t="s">
        <v>476</v>
      </c>
      <c r="AD7" t="s">
        <v>482</v>
      </c>
      <c r="AE7" s="1">
        <v>125</v>
      </c>
      <c r="AF7" s="1">
        <v>13</v>
      </c>
      <c r="AG7"/>
    </row>
    <row r="8" spans="1:36" ht="99.95" customHeight="1" x14ac:dyDescent="0.25">
      <c r="A8" s="1">
        <v>7</v>
      </c>
      <c r="B8" s="1" t="s">
        <v>35</v>
      </c>
      <c r="C8" t="s">
        <v>36</v>
      </c>
      <c r="D8" s="1">
        <v>3</v>
      </c>
      <c r="E8" s="1">
        <v>19</v>
      </c>
      <c r="F8" s="2">
        <v>251</v>
      </c>
      <c r="G8" s="2">
        <v>18</v>
      </c>
      <c r="H8" s="2">
        <v>25</v>
      </c>
      <c r="I8" s="2">
        <v>1</v>
      </c>
      <c r="J8" s="2">
        <v>11</v>
      </c>
      <c r="K8" s="2">
        <v>19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 t="s">
        <v>37</v>
      </c>
      <c r="T8" s="2">
        <v>0</v>
      </c>
      <c r="U8" s="2">
        <v>0</v>
      </c>
      <c r="V8" s="2" t="s">
        <v>15</v>
      </c>
      <c r="W8" s="2" t="s">
        <v>35</v>
      </c>
      <c r="X8">
        <v>0.94736842105263153</v>
      </c>
      <c r="Y8" s="6">
        <v>10.458333333333334</v>
      </c>
      <c r="Z8" s="1" t="s">
        <v>458</v>
      </c>
      <c r="AA8" s="1">
        <v>0</v>
      </c>
      <c r="AB8" s="12">
        <v>41699</v>
      </c>
      <c r="AC8" t="s">
        <v>473</v>
      </c>
      <c r="AD8" t="s">
        <v>483</v>
      </c>
      <c r="AE8" s="1">
        <v>141</v>
      </c>
      <c r="AF8" s="1">
        <v>12</v>
      </c>
      <c r="AG8"/>
    </row>
    <row r="9" spans="1:36" ht="99.95" customHeight="1" x14ac:dyDescent="0.25">
      <c r="A9" s="1">
        <v>8</v>
      </c>
      <c r="B9" s="1" t="s">
        <v>38</v>
      </c>
      <c r="C9" t="s">
        <v>39</v>
      </c>
      <c r="D9" s="1">
        <v>14</v>
      </c>
      <c r="E9" s="1">
        <v>48</v>
      </c>
      <c r="F9" s="2">
        <v>469</v>
      </c>
      <c r="G9" s="2">
        <v>53</v>
      </c>
      <c r="H9" s="2">
        <v>55</v>
      </c>
      <c r="I9" s="2">
        <v>3</v>
      </c>
      <c r="J9" s="2">
        <v>23</v>
      </c>
      <c r="K9" s="2">
        <v>14</v>
      </c>
      <c r="L9" s="2">
        <v>1</v>
      </c>
      <c r="M9" s="2">
        <v>0</v>
      </c>
      <c r="N9" s="2">
        <v>0</v>
      </c>
      <c r="O9" s="2">
        <v>0</v>
      </c>
      <c r="P9" s="2">
        <v>0</v>
      </c>
      <c r="Q9" s="2">
        <v>3</v>
      </c>
      <c r="R9" s="2">
        <v>0</v>
      </c>
      <c r="S9" s="2" t="s">
        <v>40</v>
      </c>
      <c r="T9" s="2">
        <v>0</v>
      </c>
      <c r="U9" s="2">
        <v>0</v>
      </c>
      <c r="V9" s="2" t="s">
        <v>15</v>
      </c>
      <c r="W9" s="2" t="s">
        <v>38</v>
      </c>
      <c r="X9">
        <v>1.1041666666666667</v>
      </c>
      <c r="Y9" s="6">
        <v>9.0192307692307701</v>
      </c>
      <c r="Z9" s="1" t="s">
        <v>459</v>
      </c>
      <c r="AA9" s="1">
        <v>3</v>
      </c>
      <c r="AB9" s="12">
        <v>41426</v>
      </c>
      <c r="AC9" t="s">
        <v>484</v>
      </c>
      <c r="AD9" t="s">
        <v>485</v>
      </c>
      <c r="AE9" s="1">
        <v>82</v>
      </c>
      <c r="AF9" s="1">
        <v>18</v>
      </c>
      <c r="AG9"/>
    </row>
    <row r="10" spans="1:36" ht="99.95" customHeight="1" x14ac:dyDescent="0.25">
      <c r="A10" s="1">
        <v>9</v>
      </c>
      <c r="B10" s="1" t="s">
        <v>41</v>
      </c>
      <c r="C10" t="s">
        <v>42</v>
      </c>
      <c r="D10" s="1">
        <v>5</v>
      </c>
      <c r="E10" s="1">
        <v>25</v>
      </c>
      <c r="F10" s="2">
        <v>426</v>
      </c>
      <c r="G10" s="2">
        <v>20</v>
      </c>
      <c r="H10" s="2">
        <v>33</v>
      </c>
      <c r="I10" s="2">
        <v>4</v>
      </c>
      <c r="J10" s="2">
        <v>36</v>
      </c>
      <c r="K10" s="2">
        <v>27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 t="s">
        <v>43</v>
      </c>
      <c r="T10" s="2">
        <v>0</v>
      </c>
      <c r="U10" s="2">
        <v>0</v>
      </c>
      <c r="V10" s="2" t="s">
        <v>15</v>
      </c>
      <c r="W10" s="2" t="s">
        <v>41</v>
      </c>
      <c r="X10">
        <v>0.8</v>
      </c>
      <c r="Y10" s="6">
        <v>14.689655172413794</v>
      </c>
      <c r="Z10" s="1" t="s">
        <v>458</v>
      </c>
      <c r="AA10" s="1">
        <v>0</v>
      </c>
      <c r="AB10" s="12">
        <v>42675</v>
      </c>
      <c r="AC10" t="s">
        <v>486</v>
      </c>
      <c r="AD10" t="s">
        <v>487</v>
      </c>
      <c r="AE10" s="1">
        <v>145</v>
      </c>
      <c r="AF10" s="1">
        <v>6</v>
      </c>
      <c r="AG10"/>
    </row>
    <row r="11" spans="1:36" ht="99.95" customHeight="1" x14ac:dyDescent="0.25">
      <c r="A11" s="1">
        <v>10</v>
      </c>
      <c r="B11" s="1" t="s">
        <v>44</v>
      </c>
      <c r="C11" t="s">
        <v>45</v>
      </c>
      <c r="D11" s="1">
        <v>15</v>
      </c>
      <c r="E11" s="1">
        <v>114</v>
      </c>
      <c r="F11" s="2">
        <v>1853</v>
      </c>
      <c r="G11" s="2">
        <v>164</v>
      </c>
      <c r="H11" s="2">
        <v>150</v>
      </c>
      <c r="I11" s="2">
        <v>14</v>
      </c>
      <c r="J11" s="2">
        <v>89</v>
      </c>
      <c r="K11" s="2">
        <v>91</v>
      </c>
      <c r="L11" s="2">
        <v>6</v>
      </c>
      <c r="M11" s="2">
        <v>0</v>
      </c>
      <c r="N11" s="2">
        <v>0</v>
      </c>
      <c r="O11" s="2">
        <v>0</v>
      </c>
      <c r="P11" s="2">
        <v>1</v>
      </c>
      <c r="Q11" s="2">
        <v>3</v>
      </c>
      <c r="R11" s="2">
        <v>2</v>
      </c>
      <c r="S11" s="2" t="s">
        <v>40</v>
      </c>
      <c r="T11" s="2">
        <v>0</v>
      </c>
      <c r="U11" s="2">
        <v>1</v>
      </c>
      <c r="V11" s="2" t="s">
        <v>15</v>
      </c>
      <c r="W11" s="2" t="s">
        <v>44</v>
      </c>
      <c r="X11">
        <v>1.4385964912280702</v>
      </c>
      <c r="Y11" s="6">
        <v>13.625</v>
      </c>
      <c r="Z11" s="1" t="s">
        <v>456</v>
      </c>
      <c r="AA11" s="1">
        <v>5</v>
      </c>
      <c r="AB11" s="12">
        <v>41334</v>
      </c>
      <c r="AC11" t="s">
        <v>488</v>
      </c>
      <c r="AD11" t="s">
        <v>489</v>
      </c>
      <c r="AE11" s="1">
        <v>251</v>
      </c>
      <c r="AF11" s="1">
        <v>26</v>
      </c>
      <c r="AG11"/>
    </row>
    <row r="12" spans="1:36" ht="99.95" customHeight="1" x14ac:dyDescent="0.25">
      <c r="A12" s="1">
        <v>11</v>
      </c>
      <c r="B12" s="1" t="s">
        <v>46</v>
      </c>
      <c r="C12" t="s">
        <v>47</v>
      </c>
      <c r="D12" s="1">
        <v>13</v>
      </c>
      <c r="E12" s="1">
        <v>86</v>
      </c>
      <c r="F12" s="2">
        <v>1853</v>
      </c>
      <c r="G12" s="2">
        <v>141</v>
      </c>
      <c r="H12" s="2">
        <v>161</v>
      </c>
      <c r="I12" s="2">
        <v>16</v>
      </c>
      <c r="J12" s="2">
        <v>130</v>
      </c>
      <c r="K12" s="2">
        <v>82</v>
      </c>
      <c r="L12" s="2">
        <v>0</v>
      </c>
      <c r="M12" s="2">
        <v>0</v>
      </c>
      <c r="N12" s="2">
        <v>0</v>
      </c>
      <c r="O12" s="2">
        <v>0</v>
      </c>
      <c r="P12" s="2">
        <v>1</v>
      </c>
      <c r="Q12" s="2">
        <v>2</v>
      </c>
      <c r="R12" s="2">
        <v>2</v>
      </c>
      <c r="S12" s="2" t="s">
        <v>48</v>
      </c>
      <c r="T12" s="2">
        <v>1</v>
      </c>
      <c r="U12" s="2">
        <v>1</v>
      </c>
      <c r="V12" s="2" t="s">
        <v>15</v>
      </c>
      <c r="W12" s="2" t="s">
        <v>46</v>
      </c>
      <c r="X12" s="5">
        <v>1.6395348837209303</v>
      </c>
      <c r="Y12" s="6">
        <v>12.779310344827586</v>
      </c>
      <c r="Z12" s="1" t="s">
        <v>456</v>
      </c>
      <c r="AA12" s="1">
        <v>4</v>
      </c>
      <c r="AB12" s="12">
        <v>41456</v>
      </c>
      <c r="AC12" t="s">
        <v>476</v>
      </c>
      <c r="AD12" t="s">
        <v>490</v>
      </c>
      <c r="AE12" s="1">
        <v>314</v>
      </c>
      <c r="AF12" s="1">
        <v>26</v>
      </c>
      <c r="AG12"/>
    </row>
    <row r="13" spans="1:36" ht="99.95" customHeight="1" x14ac:dyDescent="0.25">
      <c r="A13" s="1">
        <v>12</v>
      </c>
      <c r="B13" s="1" t="s">
        <v>49</v>
      </c>
      <c r="C13" t="s">
        <v>50</v>
      </c>
      <c r="D13" s="1">
        <v>3</v>
      </c>
      <c r="E13" s="1">
        <v>11</v>
      </c>
      <c r="F13" s="2">
        <v>113</v>
      </c>
      <c r="G13" s="2">
        <v>10</v>
      </c>
      <c r="H13" s="2">
        <v>15</v>
      </c>
      <c r="I13" s="2">
        <v>0</v>
      </c>
      <c r="J13" s="2">
        <v>7</v>
      </c>
      <c r="K13" s="2">
        <v>3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 t="s">
        <v>51</v>
      </c>
      <c r="T13" s="2">
        <v>0</v>
      </c>
      <c r="U13" s="2">
        <v>0</v>
      </c>
      <c r="V13" s="2" t="s">
        <v>15</v>
      </c>
      <c r="W13" s="2" t="s">
        <v>49</v>
      </c>
      <c r="X13">
        <v>0.90909090909090906</v>
      </c>
      <c r="Y13" s="6">
        <v>7.5333333333333332</v>
      </c>
      <c r="Z13" s="1" t="s">
        <v>457</v>
      </c>
      <c r="AA13" s="1">
        <v>0</v>
      </c>
      <c r="AB13" s="12">
        <v>41456</v>
      </c>
      <c r="AC13" t="s">
        <v>476</v>
      </c>
      <c r="AD13" t="s">
        <v>491</v>
      </c>
      <c r="AE13" s="1">
        <v>53</v>
      </c>
      <c r="AF13" s="1">
        <v>4</v>
      </c>
      <c r="AG13"/>
    </row>
    <row r="14" spans="1:36" ht="99.95" customHeight="1" x14ac:dyDescent="0.25">
      <c r="A14" s="1">
        <v>13</v>
      </c>
      <c r="B14" s="1" t="s">
        <v>52</v>
      </c>
      <c r="C14" t="s">
        <v>52</v>
      </c>
      <c r="D14" s="1">
        <v>23</v>
      </c>
      <c r="E14" s="1">
        <v>131</v>
      </c>
      <c r="F14" s="2">
        <v>1619</v>
      </c>
      <c r="G14" s="2">
        <v>118</v>
      </c>
      <c r="H14" s="2">
        <v>172</v>
      </c>
      <c r="I14" s="2">
        <v>8</v>
      </c>
      <c r="J14" s="2">
        <v>121</v>
      </c>
      <c r="K14" s="2">
        <v>84</v>
      </c>
      <c r="L14" s="2">
        <v>0</v>
      </c>
      <c r="M14" s="2">
        <v>1</v>
      </c>
      <c r="N14" s="2">
        <v>1</v>
      </c>
      <c r="O14" s="2">
        <v>0</v>
      </c>
      <c r="P14" s="2">
        <v>0</v>
      </c>
      <c r="Q14" s="2">
        <v>3</v>
      </c>
      <c r="R14" s="2">
        <v>1</v>
      </c>
      <c r="S14" s="2" t="s">
        <v>26</v>
      </c>
      <c r="T14" s="2">
        <v>0</v>
      </c>
      <c r="U14" s="2">
        <v>0</v>
      </c>
      <c r="V14" s="2" t="s">
        <v>15</v>
      </c>
      <c r="W14" s="2" t="s">
        <v>52</v>
      </c>
      <c r="X14">
        <v>0.9007633587786259</v>
      </c>
      <c r="Y14" s="6">
        <v>9.8719512195121943</v>
      </c>
      <c r="Z14" s="1" t="s">
        <v>457</v>
      </c>
      <c r="AA14" s="1">
        <v>4</v>
      </c>
      <c r="AB14" s="12">
        <v>41487</v>
      </c>
      <c r="AC14" t="s">
        <v>492</v>
      </c>
      <c r="AD14" t="s">
        <v>493</v>
      </c>
      <c r="AE14" s="1">
        <v>248</v>
      </c>
      <c r="AF14" s="1">
        <v>21</v>
      </c>
      <c r="AG14"/>
    </row>
    <row r="15" spans="1:36" ht="99.95" customHeight="1" x14ac:dyDescent="0.25">
      <c r="A15" s="1">
        <v>14</v>
      </c>
      <c r="B15" s="1" t="s">
        <v>53</v>
      </c>
      <c r="C15" t="s">
        <v>54</v>
      </c>
      <c r="D15" s="1">
        <v>1</v>
      </c>
      <c r="E15" s="1">
        <v>8</v>
      </c>
      <c r="F15" s="2">
        <v>78</v>
      </c>
      <c r="G15" s="2">
        <v>7</v>
      </c>
      <c r="H15" s="2">
        <v>8</v>
      </c>
      <c r="I15" s="2">
        <v>0</v>
      </c>
      <c r="J15" s="2">
        <v>3</v>
      </c>
      <c r="K15" s="2">
        <v>6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1</v>
      </c>
      <c r="S15" s="2" t="s">
        <v>51</v>
      </c>
      <c r="T15" s="2">
        <v>0</v>
      </c>
      <c r="U15" s="2">
        <v>0</v>
      </c>
      <c r="V15" s="2" t="s">
        <v>15</v>
      </c>
      <c r="W15" s="2" t="s">
        <v>53</v>
      </c>
      <c r="X15">
        <v>0.875</v>
      </c>
      <c r="Y15" s="6">
        <v>9.75</v>
      </c>
      <c r="Z15" s="1" t="s">
        <v>457</v>
      </c>
      <c r="AA15" s="1">
        <v>1</v>
      </c>
      <c r="AB15" s="12">
        <v>43952</v>
      </c>
      <c r="AC15" t="s">
        <v>494</v>
      </c>
      <c r="AD15" t="s">
        <v>495</v>
      </c>
      <c r="AE15" s="1">
        <v>78</v>
      </c>
      <c r="AF15" s="1">
        <v>7</v>
      </c>
      <c r="AG15"/>
    </row>
    <row r="16" spans="1:36" ht="99.95" customHeight="1" x14ac:dyDescent="0.25">
      <c r="A16" s="1">
        <v>15</v>
      </c>
      <c r="B16" s="1" t="s">
        <v>55</v>
      </c>
      <c r="C16" t="s">
        <v>56</v>
      </c>
      <c r="D16" s="1">
        <v>3</v>
      </c>
      <c r="E16" s="1">
        <v>20</v>
      </c>
      <c r="F16" s="2">
        <v>292</v>
      </c>
      <c r="G16" s="2">
        <v>16</v>
      </c>
      <c r="H16" s="2">
        <v>34</v>
      </c>
      <c r="I16" s="2">
        <v>2</v>
      </c>
      <c r="J16" s="2">
        <v>19</v>
      </c>
      <c r="K16" s="2">
        <v>19</v>
      </c>
      <c r="L16" s="2">
        <v>1</v>
      </c>
      <c r="M16" s="2">
        <v>1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 t="s">
        <v>40</v>
      </c>
      <c r="T16" s="2">
        <v>0</v>
      </c>
      <c r="U16" s="2">
        <v>0</v>
      </c>
      <c r="V16" s="2" t="s">
        <v>15</v>
      </c>
      <c r="W16" s="2" t="s">
        <v>55</v>
      </c>
      <c r="X16">
        <v>0.8</v>
      </c>
      <c r="Y16" s="6">
        <v>9.125</v>
      </c>
      <c r="Z16" s="1" t="s">
        <v>457</v>
      </c>
      <c r="AA16" s="1">
        <v>0</v>
      </c>
      <c r="AB16" s="12">
        <v>44013</v>
      </c>
      <c r="AC16" t="s">
        <v>496</v>
      </c>
      <c r="AD16" t="s">
        <v>497</v>
      </c>
      <c r="AE16" s="1">
        <v>186</v>
      </c>
      <c r="AF16" s="1">
        <v>11</v>
      </c>
      <c r="AG16"/>
    </row>
    <row r="17" spans="1:33" ht="99.95" customHeight="1" x14ac:dyDescent="0.25">
      <c r="A17" s="1">
        <v>16</v>
      </c>
      <c r="B17" s="1" t="s">
        <v>57</v>
      </c>
      <c r="C17" t="s">
        <v>58</v>
      </c>
      <c r="D17" s="1">
        <v>1</v>
      </c>
      <c r="E17" s="1">
        <v>5</v>
      </c>
      <c r="F17" s="2">
        <v>66</v>
      </c>
      <c r="G17" s="2">
        <v>4</v>
      </c>
      <c r="H17" s="2">
        <v>6</v>
      </c>
      <c r="I17" s="2">
        <v>0</v>
      </c>
      <c r="J17" s="2">
        <v>7</v>
      </c>
      <c r="K17" s="2">
        <v>2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 t="s">
        <v>59</v>
      </c>
      <c r="T17" s="2">
        <v>0</v>
      </c>
      <c r="U17" s="2">
        <v>0</v>
      </c>
      <c r="V17" s="2" t="s">
        <v>15</v>
      </c>
      <c r="W17" s="2" t="s">
        <v>57</v>
      </c>
      <c r="X17">
        <v>0.8</v>
      </c>
      <c r="Y17" s="6">
        <v>11</v>
      </c>
      <c r="Z17" s="1" t="s">
        <v>458</v>
      </c>
      <c r="AA17" s="1">
        <v>0</v>
      </c>
      <c r="AB17" s="12">
        <v>42401</v>
      </c>
      <c r="AC17" t="s">
        <v>498</v>
      </c>
      <c r="AD17" t="s">
        <v>499</v>
      </c>
      <c r="AE17" s="1">
        <v>66</v>
      </c>
      <c r="AF17" s="1">
        <v>4</v>
      </c>
      <c r="AG17"/>
    </row>
    <row r="18" spans="1:33" ht="99.95" customHeight="1" x14ac:dyDescent="0.25">
      <c r="A18" s="1">
        <v>17</v>
      </c>
      <c r="B18" s="1" t="s">
        <v>60</v>
      </c>
      <c r="C18" t="s">
        <v>61</v>
      </c>
      <c r="D18" s="1">
        <v>25</v>
      </c>
      <c r="E18" s="1">
        <v>168</v>
      </c>
      <c r="F18" s="2">
        <v>3317</v>
      </c>
      <c r="G18" s="2">
        <v>219</v>
      </c>
      <c r="H18" s="2">
        <v>248</v>
      </c>
      <c r="I18" s="2">
        <v>30</v>
      </c>
      <c r="J18" s="2">
        <v>200</v>
      </c>
      <c r="K18" s="2">
        <v>142</v>
      </c>
      <c r="L18" s="2">
        <v>3</v>
      </c>
      <c r="M18" s="2">
        <v>2</v>
      </c>
      <c r="N18" s="2">
        <v>2</v>
      </c>
      <c r="O18" s="2">
        <v>1</v>
      </c>
      <c r="P18" s="2">
        <v>1</v>
      </c>
      <c r="Q18" s="2">
        <v>2</v>
      </c>
      <c r="R18" s="2">
        <v>5</v>
      </c>
      <c r="S18" s="2" t="s">
        <v>26</v>
      </c>
      <c r="T18" s="2">
        <v>2</v>
      </c>
      <c r="U18" s="2">
        <v>1</v>
      </c>
      <c r="V18" s="2" t="s">
        <v>15</v>
      </c>
      <c r="W18" s="2" t="s">
        <v>60</v>
      </c>
      <c r="X18" s="3">
        <v>1.3035714285714286</v>
      </c>
      <c r="Y18" s="6">
        <v>15.215596330275229</v>
      </c>
      <c r="Z18" s="1" t="s">
        <v>460</v>
      </c>
      <c r="AA18" s="1">
        <v>7</v>
      </c>
      <c r="AB18" s="12">
        <v>41334</v>
      </c>
      <c r="AC18" t="s">
        <v>488</v>
      </c>
      <c r="AD18" t="s">
        <v>500</v>
      </c>
      <c r="AE18" s="1">
        <v>301</v>
      </c>
      <c r="AF18" s="1">
        <v>23</v>
      </c>
      <c r="AG18"/>
    </row>
    <row r="19" spans="1:33" ht="99.95" customHeight="1" x14ac:dyDescent="0.25">
      <c r="A19" s="1">
        <v>18</v>
      </c>
      <c r="B19" s="1" t="s">
        <v>62</v>
      </c>
      <c r="C19" t="s">
        <v>63</v>
      </c>
      <c r="D19" s="1">
        <v>22</v>
      </c>
      <c r="E19" s="1">
        <v>143</v>
      </c>
      <c r="F19" s="2">
        <v>1921</v>
      </c>
      <c r="G19" s="2">
        <v>219</v>
      </c>
      <c r="H19" s="2">
        <v>185</v>
      </c>
      <c r="I19" s="2">
        <v>38</v>
      </c>
      <c r="J19" s="2">
        <v>147</v>
      </c>
      <c r="K19" s="2">
        <v>130</v>
      </c>
      <c r="L19" s="2">
        <v>5</v>
      </c>
      <c r="M19" s="2">
        <v>2</v>
      </c>
      <c r="N19" s="2">
        <v>3</v>
      </c>
      <c r="O19" s="2">
        <v>1</v>
      </c>
      <c r="P19" s="2">
        <v>0</v>
      </c>
      <c r="Q19" s="2">
        <v>1</v>
      </c>
      <c r="R19" s="2">
        <v>4</v>
      </c>
      <c r="S19" s="2" t="s">
        <v>26</v>
      </c>
      <c r="T19" s="2">
        <v>0</v>
      </c>
      <c r="U19" s="2">
        <v>0</v>
      </c>
      <c r="V19" s="2" t="s">
        <v>15</v>
      </c>
      <c r="W19" s="2" t="s">
        <v>62</v>
      </c>
      <c r="X19" s="5">
        <v>1.5314685314685315</v>
      </c>
      <c r="Y19" s="6">
        <v>13.068027210884354</v>
      </c>
      <c r="Z19" s="1" t="s">
        <v>456</v>
      </c>
      <c r="AA19" s="1">
        <v>5</v>
      </c>
      <c r="AB19" s="12">
        <v>41548</v>
      </c>
      <c r="AC19" t="s">
        <v>501</v>
      </c>
      <c r="AD19" t="s">
        <v>502</v>
      </c>
      <c r="AE19" s="1">
        <v>278</v>
      </c>
      <c r="AF19" s="1">
        <v>22</v>
      </c>
      <c r="AG19"/>
    </row>
    <row r="20" spans="1:33" ht="99.95" customHeight="1" x14ac:dyDescent="0.25">
      <c r="A20" s="1">
        <v>19</v>
      </c>
      <c r="B20" s="1" t="s">
        <v>64</v>
      </c>
      <c r="C20" s="7" t="s">
        <v>65</v>
      </c>
      <c r="D20" s="1">
        <v>18</v>
      </c>
      <c r="E20" s="1">
        <v>100</v>
      </c>
      <c r="F20" s="2">
        <v>1679</v>
      </c>
      <c r="G20" s="2">
        <v>151</v>
      </c>
      <c r="H20" s="2">
        <v>153</v>
      </c>
      <c r="I20" s="2">
        <v>12</v>
      </c>
      <c r="J20" s="2">
        <v>149</v>
      </c>
      <c r="K20" s="2">
        <v>114</v>
      </c>
      <c r="L20" s="2">
        <v>4</v>
      </c>
      <c r="M20" s="2">
        <v>3</v>
      </c>
      <c r="N20" s="2">
        <v>1</v>
      </c>
      <c r="O20" s="2">
        <v>1</v>
      </c>
      <c r="P20" s="2">
        <v>0</v>
      </c>
      <c r="Q20" s="2">
        <v>0</v>
      </c>
      <c r="R20" s="2">
        <v>1</v>
      </c>
      <c r="S20" s="2" t="s">
        <v>26</v>
      </c>
      <c r="T20" s="2">
        <v>1</v>
      </c>
      <c r="U20" s="2">
        <v>1</v>
      </c>
      <c r="V20" s="2" t="s">
        <v>15</v>
      </c>
      <c r="W20" s="2" t="s">
        <v>64</v>
      </c>
      <c r="X20">
        <v>1.51</v>
      </c>
      <c r="Y20" s="6">
        <v>11.907801418439716</v>
      </c>
      <c r="Z20" s="1" t="s">
        <v>456</v>
      </c>
      <c r="AA20" s="1">
        <v>1</v>
      </c>
      <c r="AB20" s="12">
        <v>41609</v>
      </c>
      <c r="AC20" t="s">
        <v>503</v>
      </c>
      <c r="AD20" t="s">
        <v>504</v>
      </c>
      <c r="AE20" s="1">
        <v>301</v>
      </c>
      <c r="AF20" s="1">
        <v>19</v>
      </c>
      <c r="AG20"/>
    </row>
    <row r="21" spans="1:33" ht="99.95" customHeight="1" x14ac:dyDescent="0.25">
      <c r="A21" s="1">
        <v>20</v>
      </c>
      <c r="B21" s="1" t="s">
        <v>66</v>
      </c>
      <c r="C21" t="s">
        <v>67</v>
      </c>
      <c r="D21" s="1">
        <v>21</v>
      </c>
      <c r="E21" s="1">
        <v>128</v>
      </c>
      <c r="F21" s="2">
        <v>2152</v>
      </c>
      <c r="G21" s="2">
        <v>163</v>
      </c>
      <c r="H21" s="2">
        <v>190</v>
      </c>
      <c r="I21" s="2">
        <v>15</v>
      </c>
      <c r="J21" s="2">
        <v>120</v>
      </c>
      <c r="K21" s="2">
        <v>80</v>
      </c>
      <c r="L21" s="2">
        <v>0</v>
      </c>
      <c r="M21" s="2">
        <v>0</v>
      </c>
      <c r="N21" s="2">
        <v>2.5</v>
      </c>
      <c r="O21" s="2">
        <v>0</v>
      </c>
      <c r="P21" s="2">
        <v>0</v>
      </c>
      <c r="Q21" s="2">
        <v>1</v>
      </c>
      <c r="R21" s="2">
        <v>2</v>
      </c>
      <c r="S21" s="2" t="s">
        <v>26</v>
      </c>
      <c r="T21" s="2">
        <v>0</v>
      </c>
      <c r="U21" s="2">
        <v>1</v>
      </c>
      <c r="V21" s="2" t="s">
        <v>15</v>
      </c>
      <c r="W21" s="2" t="s">
        <v>66</v>
      </c>
      <c r="X21">
        <v>1.2734375</v>
      </c>
      <c r="Y21" s="6">
        <v>12.297142857142857</v>
      </c>
      <c r="Z21" s="1" t="s">
        <v>456</v>
      </c>
      <c r="AA21" s="1">
        <v>3</v>
      </c>
      <c r="AB21" s="12">
        <v>41334</v>
      </c>
      <c r="AC21" t="s">
        <v>488</v>
      </c>
      <c r="AD21" t="s">
        <v>505</v>
      </c>
      <c r="AE21" s="1">
        <v>298</v>
      </c>
      <c r="AF21" s="1">
        <v>23</v>
      </c>
      <c r="AG21"/>
    </row>
    <row r="22" spans="1:33" ht="99.95" customHeight="1" x14ac:dyDescent="0.25">
      <c r="A22" s="1">
        <v>21</v>
      </c>
      <c r="B22" s="1" t="s">
        <v>68</v>
      </c>
      <c r="C22" s="7" t="s">
        <v>69</v>
      </c>
      <c r="D22" s="1">
        <v>5</v>
      </c>
      <c r="E22" s="1">
        <v>27</v>
      </c>
      <c r="F22" s="2">
        <v>242</v>
      </c>
      <c r="G22" s="2">
        <v>31</v>
      </c>
      <c r="H22" s="2">
        <v>28</v>
      </c>
      <c r="I22" s="2">
        <v>0</v>
      </c>
      <c r="J22" s="2">
        <v>15</v>
      </c>
      <c r="K22" s="2">
        <v>16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1</v>
      </c>
      <c r="S22" s="2" t="s">
        <v>26</v>
      </c>
      <c r="T22" s="2">
        <v>0</v>
      </c>
      <c r="U22" s="2">
        <v>0</v>
      </c>
      <c r="V22" s="2" t="s">
        <v>15</v>
      </c>
      <c r="W22" s="2" t="s">
        <v>68</v>
      </c>
      <c r="X22">
        <v>1.1481481481481481</v>
      </c>
      <c r="Y22" s="6">
        <v>8.6428571428571423</v>
      </c>
      <c r="Z22" s="1" t="s">
        <v>459</v>
      </c>
      <c r="AA22" s="1">
        <v>1</v>
      </c>
      <c r="AB22" s="12">
        <v>43952</v>
      </c>
      <c r="AC22" t="s">
        <v>494</v>
      </c>
      <c r="AD22" t="s">
        <v>506</v>
      </c>
      <c r="AE22" s="1">
        <v>62</v>
      </c>
      <c r="AF22" s="1">
        <v>10</v>
      </c>
      <c r="AG22"/>
    </row>
    <row r="23" spans="1:33" ht="99.95" customHeight="1" x14ac:dyDescent="0.25">
      <c r="A23" s="1">
        <v>22</v>
      </c>
      <c r="B23" s="1" t="s">
        <v>70</v>
      </c>
      <c r="C23" s="7" t="s">
        <v>71</v>
      </c>
      <c r="D23" s="1">
        <v>23</v>
      </c>
      <c r="E23" s="1">
        <v>143</v>
      </c>
      <c r="F23" s="2">
        <v>2477</v>
      </c>
      <c r="G23" s="2">
        <v>176</v>
      </c>
      <c r="H23" s="2">
        <v>209</v>
      </c>
      <c r="I23" s="2">
        <v>10</v>
      </c>
      <c r="J23" s="2">
        <v>116</v>
      </c>
      <c r="K23" s="2">
        <v>134</v>
      </c>
      <c r="L23" s="2">
        <v>1</v>
      </c>
      <c r="M23" s="2">
        <v>2</v>
      </c>
      <c r="N23" s="2">
        <v>0</v>
      </c>
      <c r="O23" s="2">
        <v>0</v>
      </c>
      <c r="P23" s="2">
        <v>1</v>
      </c>
      <c r="Q23" s="2">
        <v>0</v>
      </c>
      <c r="R23" s="2">
        <v>5</v>
      </c>
      <c r="S23" s="2" t="s">
        <v>40</v>
      </c>
      <c r="T23" s="2">
        <v>0</v>
      </c>
      <c r="U23" s="2">
        <v>1</v>
      </c>
      <c r="V23" s="2" t="s">
        <v>15</v>
      </c>
      <c r="W23" s="2" t="s">
        <v>70</v>
      </c>
      <c r="X23">
        <v>1.2307692307692308</v>
      </c>
      <c r="Y23" s="6">
        <v>12.447236180904522</v>
      </c>
      <c r="Z23" s="1" t="s">
        <v>456</v>
      </c>
      <c r="AA23" s="1">
        <v>5</v>
      </c>
      <c r="AB23" s="12">
        <v>41365</v>
      </c>
      <c r="AC23" t="s">
        <v>507</v>
      </c>
      <c r="AD23" t="s">
        <v>508</v>
      </c>
      <c r="AE23" s="1">
        <v>256</v>
      </c>
      <c r="AF23" s="1">
        <v>23</v>
      </c>
      <c r="AG23"/>
    </row>
    <row r="24" spans="1:33" ht="99.95" customHeight="1" x14ac:dyDescent="0.25">
      <c r="A24" s="1">
        <v>23</v>
      </c>
      <c r="B24" s="1" t="s">
        <v>72</v>
      </c>
      <c r="C24" t="s">
        <v>73</v>
      </c>
      <c r="D24" s="1">
        <v>14</v>
      </c>
      <c r="E24" s="1">
        <v>80</v>
      </c>
      <c r="F24" s="2">
        <v>1642</v>
      </c>
      <c r="G24" s="2">
        <v>74</v>
      </c>
      <c r="H24" s="2">
        <v>124</v>
      </c>
      <c r="I24" s="2">
        <v>11</v>
      </c>
      <c r="J24" s="2">
        <v>71</v>
      </c>
      <c r="K24" s="2">
        <v>82</v>
      </c>
      <c r="L24" s="2">
        <v>0</v>
      </c>
      <c r="M24" s="2">
        <v>1</v>
      </c>
      <c r="N24" s="2">
        <v>2</v>
      </c>
      <c r="O24" s="2">
        <v>0</v>
      </c>
      <c r="P24" s="2">
        <v>0</v>
      </c>
      <c r="Q24" s="2">
        <v>1</v>
      </c>
      <c r="R24" s="2">
        <v>3</v>
      </c>
      <c r="S24" s="2" t="s">
        <v>26</v>
      </c>
      <c r="T24" s="2">
        <v>1</v>
      </c>
      <c r="U24" s="2">
        <v>0</v>
      </c>
      <c r="V24" s="2" t="s">
        <v>15</v>
      </c>
      <c r="W24" s="2" t="s">
        <v>72</v>
      </c>
      <c r="X24">
        <v>0.92500000000000004</v>
      </c>
      <c r="Y24" s="6">
        <v>14.530973451327434</v>
      </c>
      <c r="Z24" s="1" t="s">
        <v>458</v>
      </c>
      <c r="AA24" s="1">
        <v>4</v>
      </c>
      <c r="AB24" s="12">
        <v>41395</v>
      </c>
      <c r="AC24" t="s">
        <v>480</v>
      </c>
      <c r="AD24" t="s">
        <v>509</v>
      </c>
      <c r="AE24" s="1">
        <v>268</v>
      </c>
      <c r="AF24" s="1">
        <v>12</v>
      </c>
      <c r="AG24"/>
    </row>
    <row r="25" spans="1:33" ht="99.95" customHeight="1" x14ac:dyDescent="0.25">
      <c r="A25" s="1">
        <v>24</v>
      </c>
      <c r="B25" s="1" t="s">
        <v>74</v>
      </c>
      <c r="C25" t="s">
        <v>75</v>
      </c>
      <c r="D25" s="1">
        <v>13</v>
      </c>
      <c r="E25" s="1">
        <v>67</v>
      </c>
      <c r="F25" s="2">
        <v>1013</v>
      </c>
      <c r="G25" s="2">
        <v>59</v>
      </c>
      <c r="H25" s="2">
        <v>94</v>
      </c>
      <c r="I25" s="2">
        <v>5</v>
      </c>
      <c r="J25" s="2">
        <v>56</v>
      </c>
      <c r="K25" s="2">
        <v>40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1</v>
      </c>
      <c r="R25" s="2">
        <v>0</v>
      </c>
      <c r="S25" s="2" t="s">
        <v>23</v>
      </c>
      <c r="T25" s="2">
        <v>1</v>
      </c>
      <c r="U25" s="2">
        <v>0</v>
      </c>
      <c r="V25" s="2" t="s">
        <v>15</v>
      </c>
      <c r="W25" s="2" t="s">
        <v>74</v>
      </c>
      <c r="X25">
        <v>0.88059701492537312</v>
      </c>
      <c r="Y25" s="6">
        <v>11.382022471910112</v>
      </c>
      <c r="Z25" s="1" t="s">
        <v>458</v>
      </c>
      <c r="AA25" s="1">
        <v>1</v>
      </c>
      <c r="AB25" s="12">
        <v>41456</v>
      </c>
      <c r="AC25" t="s">
        <v>476</v>
      </c>
      <c r="AD25" t="s">
        <v>510</v>
      </c>
      <c r="AE25" s="1">
        <v>271</v>
      </c>
      <c r="AF25" s="1">
        <v>12</v>
      </c>
      <c r="AG25"/>
    </row>
    <row r="26" spans="1:33" ht="99.95" customHeight="1" x14ac:dyDescent="0.25">
      <c r="A26" s="1">
        <v>25</v>
      </c>
      <c r="B26" s="1" t="s">
        <v>76</v>
      </c>
      <c r="C26" s="7" t="s">
        <v>77</v>
      </c>
      <c r="D26" s="1">
        <v>18</v>
      </c>
      <c r="E26" s="1">
        <v>95</v>
      </c>
      <c r="F26" s="2">
        <v>1431</v>
      </c>
      <c r="G26" s="2">
        <v>95</v>
      </c>
      <c r="H26" s="2">
        <v>126</v>
      </c>
      <c r="I26" s="2">
        <v>10</v>
      </c>
      <c r="J26" s="2">
        <v>122</v>
      </c>
      <c r="K26" s="2">
        <v>87</v>
      </c>
      <c r="L26" s="2">
        <v>1</v>
      </c>
      <c r="M26" s="2">
        <v>4</v>
      </c>
      <c r="N26" s="2">
        <v>1</v>
      </c>
      <c r="O26" s="2">
        <v>0</v>
      </c>
      <c r="P26" s="2">
        <v>0</v>
      </c>
      <c r="Q26" s="2">
        <v>0</v>
      </c>
      <c r="R26" s="2">
        <v>2</v>
      </c>
      <c r="S26" s="2" t="s">
        <v>26</v>
      </c>
      <c r="T26" s="2">
        <v>1</v>
      </c>
      <c r="U26" s="2">
        <v>0</v>
      </c>
      <c r="V26" s="2" t="s">
        <v>15</v>
      </c>
      <c r="W26" s="2" t="s">
        <v>76</v>
      </c>
      <c r="X26">
        <v>1</v>
      </c>
      <c r="Y26" s="6">
        <v>12.336206896551724</v>
      </c>
      <c r="Z26" s="1" t="s">
        <v>456</v>
      </c>
      <c r="AA26" s="1">
        <v>2</v>
      </c>
      <c r="AB26" s="12">
        <v>41791</v>
      </c>
      <c r="AC26" t="s">
        <v>511</v>
      </c>
      <c r="AD26" t="s">
        <v>512</v>
      </c>
      <c r="AE26" s="1">
        <v>226</v>
      </c>
      <c r="AF26" s="1">
        <v>14</v>
      </c>
      <c r="AG26"/>
    </row>
    <row r="27" spans="1:33" ht="99.95" customHeight="1" x14ac:dyDescent="0.25">
      <c r="A27" s="1">
        <v>26</v>
      </c>
      <c r="B27" s="1" t="s">
        <v>78</v>
      </c>
      <c r="C27" t="s">
        <v>79</v>
      </c>
      <c r="D27" s="1">
        <v>15</v>
      </c>
      <c r="E27" s="1">
        <v>86</v>
      </c>
      <c r="F27" s="2">
        <v>1187</v>
      </c>
      <c r="G27" s="2">
        <v>87</v>
      </c>
      <c r="H27" s="2">
        <v>103</v>
      </c>
      <c r="I27" s="2">
        <v>14</v>
      </c>
      <c r="J27" s="2">
        <v>89</v>
      </c>
      <c r="K27" s="2">
        <v>84</v>
      </c>
      <c r="L27" s="2">
        <v>2</v>
      </c>
      <c r="M27" s="2">
        <v>3</v>
      </c>
      <c r="N27" s="2">
        <v>4.5</v>
      </c>
      <c r="O27" s="2">
        <v>0</v>
      </c>
      <c r="P27" s="2">
        <v>0</v>
      </c>
      <c r="Q27" s="2">
        <v>4</v>
      </c>
      <c r="R27" s="2">
        <v>0</v>
      </c>
      <c r="S27" s="2" t="s">
        <v>26</v>
      </c>
      <c r="T27" s="2">
        <v>0</v>
      </c>
      <c r="U27" s="2">
        <v>0</v>
      </c>
      <c r="V27" s="2" t="s">
        <v>15</v>
      </c>
      <c r="W27" s="2" t="s">
        <v>78</v>
      </c>
      <c r="X27">
        <v>1.0116279069767442</v>
      </c>
      <c r="Y27" s="6">
        <v>13.337078651685394</v>
      </c>
      <c r="Z27" s="1" t="s">
        <v>456</v>
      </c>
      <c r="AA27" s="1">
        <v>4</v>
      </c>
      <c r="AB27" s="12">
        <v>42125</v>
      </c>
      <c r="AC27" t="s">
        <v>513</v>
      </c>
      <c r="AD27" t="s">
        <v>514</v>
      </c>
      <c r="AE27" s="1">
        <v>230</v>
      </c>
      <c r="AF27" s="1">
        <v>18</v>
      </c>
      <c r="AG27"/>
    </row>
    <row r="28" spans="1:33" ht="99.95" customHeight="1" x14ac:dyDescent="0.25">
      <c r="A28" s="1">
        <v>27</v>
      </c>
      <c r="B28" s="1" t="s">
        <v>80</v>
      </c>
      <c r="C28" t="s">
        <v>81</v>
      </c>
      <c r="D28" s="1">
        <v>24</v>
      </c>
      <c r="E28" s="1">
        <v>161</v>
      </c>
      <c r="F28" s="2">
        <v>2641</v>
      </c>
      <c r="G28" s="2">
        <v>235</v>
      </c>
      <c r="H28" s="2">
        <v>233</v>
      </c>
      <c r="I28" s="2">
        <v>22</v>
      </c>
      <c r="J28" s="2">
        <v>198</v>
      </c>
      <c r="K28" s="2">
        <v>129</v>
      </c>
      <c r="L28" s="2">
        <v>2</v>
      </c>
      <c r="M28" s="2">
        <v>1</v>
      </c>
      <c r="N28" s="2">
        <v>0</v>
      </c>
      <c r="O28" s="2">
        <v>1</v>
      </c>
      <c r="P28" s="2">
        <v>0</v>
      </c>
      <c r="Q28" s="2">
        <v>3</v>
      </c>
      <c r="R28" s="2">
        <v>3</v>
      </c>
      <c r="S28" s="2" t="s">
        <v>40</v>
      </c>
      <c r="T28" s="2">
        <v>1</v>
      </c>
      <c r="U28" s="2">
        <v>3</v>
      </c>
      <c r="V28" s="2" t="s">
        <v>15</v>
      </c>
      <c r="W28" s="2" t="s">
        <v>80</v>
      </c>
      <c r="X28">
        <v>1.4596273291925466</v>
      </c>
      <c r="Y28" s="6">
        <v>12.516587677725118</v>
      </c>
      <c r="Z28" s="1" t="s">
        <v>456</v>
      </c>
      <c r="AA28" s="1">
        <v>6</v>
      </c>
      <c r="AB28" s="12">
        <v>41395</v>
      </c>
      <c r="AC28" t="s">
        <v>480</v>
      </c>
      <c r="AD28" t="s">
        <v>509</v>
      </c>
      <c r="AE28" s="1">
        <v>242</v>
      </c>
      <c r="AF28" s="1">
        <v>23</v>
      </c>
      <c r="AG28"/>
    </row>
    <row r="29" spans="1:33" ht="99.95" customHeight="1" x14ac:dyDescent="0.25">
      <c r="A29" s="1">
        <v>28</v>
      </c>
      <c r="B29" s="1" t="s">
        <v>82</v>
      </c>
      <c r="C29" t="s">
        <v>83</v>
      </c>
      <c r="D29" s="1">
        <v>1</v>
      </c>
      <c r="E29" s="1">
        <v>11</v>
      </c>
      <c r="F29" s="2">
        <v>47</v>
      </c>
      <c r="G29" s="2">
        <v>12</v>
      </c>
      <c r="H29" s="2">
        <v>11</v>
      </c>
      <c r="I29" s="2">
        <v>0</v>
      </c>
      <c r="J29" s="2">
        <v>4</v>
      </c>
      <c r="K29" s="2">
        <v>1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1</v>
      </c>
      <c r="R29" s="2">
        <v>0</v>
      </c>
      <c r="S29" s="2" t="s">
        <v>84</v>
      </c>
      <c r="T29" s="2">
        <v>0</v>
      </c>
      <c r="U29" s="2">
        <v>0</v>
      </c>
      <c r="V29" s="2" t="s">
        <v>15</v>
      </c>
      <c r="W29" s="2" t="s">
        <v>82</v>
      </c>
      <c r="X29">
        <v>1.0909090909090908</v>
      </c>
      <c r="Y29" s="6">
        <v>4.2727272727272725</v>
      </c>
      <c r="Z29" s="1" t="s">
        <v>459</v>
      </c>
      <c r="AA29" s="1">
        <v>1</v>
      </c>
      <c r="AB29" s="12">
        <v>43040</v>
      </c>
      <c r="AC29" t="s">
        <v>515</v>
      </c>
      <c r="AD29" t="s">
        <v>516</v>
      </c>
      <c r="AE29" s="1">
        <v>47</v>
      </c>
      <c r="AF29" s="1">
        <v>12</v>
      </c>
      <c r="AG29"/>
    </row>
    <row r="30" spans="1:33" ht="99.95" customHeight="1" x14ac:dyDescent="0.25">
      <c r="A30" s="1">
        <v>29</v>
      </c>
      <c r="B30" s="1" t="s">
        <v>85</v>
      </c>
      <c r="C30" t="s">
        <v>86</v>
      </c>
      <c r="D30" s="1">
        <v>20</v>
      </c>
      <c r="E30" s="1">
        <v>137</v>
      </c>
      <c r="F30" s="2">
        <v>2080</v>
      </c>
      <c r="G30" s="2">
        <v>190</v>
      </c>
      <c r="H30" s="2">
        <v>189</v>
      </c>
      <c r="I30" s="2">
        <v>12</v>
      </c>
      <c r="J30" s="2">
        <v>147</v>
      </c>
      <c r="K30" s="2">
        <v>126</v>
      </c>
      <c r="L30" s="2">
        <v>3</v>
      </c>
      <c r="M30" s="2">
        <v>3</v>
      </c>
      <c r="N30" s="2">
        <v>3</v>
      </c>
      <c r="O30" s="2">
        <v>0</v>
      </c>
      <c r="P30" s="2">
        <v>1</v>
      </c>
      <c r="Q30" s="2">
        <v>1</v>
      </c>
      <c r="R30" s="2">
        <v>2</v>
      </c>
      <c r="S30" s="2" t="s">
        <v>26</v>
      </c>
      <c r="T30" s="2">
        <v>0</v>
      </c>
      <c r="U30" s="2">
        <v>1</v>
      </c>
      <c r="V30" s="2" t="s">
        <v>15</v>
      </c>
      <c r="W30" s="2" t="s">
        <v>85</v>
      </c>
      <c r="X30">
        <v>1.3868613138686132</v>
      </c>
      <c r="Y30" s="6">
        <v>11.751412429378531</v>
      </c>
      <c r="Z30" s="1" t="s">
        <v>456</v>
      </c>
      <c r="AA30" s="1">
        <v>3</v>
      </c>
      <c r="AB30" s="12">
        <v>41609</v>
      </c>
      <c r="AC30" t="s">
        <v>503</v>
      </c>
      <c r="AD30" t="s">
        <v>517</v>
      </c>
      <c r="AE30" s="1">
        <v>224</v>
      </c>
      <c r="AF30" s="1">
        <v>22</v>
      </c>
      <c r="AG30" t="s">
        <v>1095</v>
      </c>
    </row>
    <row r="31" spans="1:33" ht="99.95" customHeight="1" x14ac:dyDescent="0.25">
      <c r="A31" s="1">
        <v>30</v>
      </c>
      <c r="B31" s="1" t="s">
        <v>87</v>
      </c>
      <c r="C31" t="s">
        <v>88</v>
      </c>
      <c r="D31" s="1">
        <v>6</v>
      </c>
      <c r="E31" s="1">
        <v>36</v>
      </c>
      <c r="F31" s="2">
        <v>611</v>
      </c>
      <c r="G31" s="2">
        <v>46</v>
      </c>
      <c r="H31" s="2">
        <v>52</v>
      </c>
      <c r="I31" s="2">
        <v>4</v>
      </c>
      <c r="J31" s="2">
        <v>57</v>
      </c>
      <c r="K31" s="2">
        <v>36</v>
      </c>
      <c r="L31" s="2">
        <v>0</v>
      </c>
      <c r="M31" s="2">
        <v>1</v>
      </c>
      <c r="N31" s="2">
        <v>2.5</v>
      </c>
      <c r="O31" s="2">
        <v>0</v>
      </c>
      <c r="P31" s="2">
        <v>0</v>
      </c>
      <c r="Q31" s="2">
        <v>0</v>
      </c>
      <c r="R31" s="2">
        <v>0</v>
      </c>
      <c r="S31" s="2" t="s">
        <v>26</v>
      </c>
      <c r="T31" s="2">
        <v>0</v>
      </c>
      <c r="U31" s="2">
        <v>0</v>
      </c>
      <c r="V31" s="2" t="s">
        <v>15</v>
      </c>
      <c r="W31" s="2" t="s">
        <v>87</v>
      </c>
      <c r="X31">
        <v>1.2777777777777777</v>
      </c>
      <c r="Y31" s="6">
        <v>12.729166666666666</v>
      </c>
      <c r="Z31" s="1" t="s">
        <v>456</v>
      </c>
      <c r="AA31" s="1">
        <v>0</v>
      </c>
      <c r="AB31" s="12">
        <v>44013</v>
      </c>
      <c r="AC31" t="s">
        <v>496</v>
      </c>
      <c r="AD31" t="s">
        <v>518</v>
      </c>
      <c r="AE31" s="1">
        <v>178</v>
      </c>
      <c r="AF31" s="1">
        <v>14</v>
      </c>
      <c r="AG31"/>
    </row>
    <row r="32" spans="1:33" ht="99.95" customHeight="1" x14ac:dyDescent="0.25">
      <c r="A32" s="1">
        <v>31</v>
      </c>
      <c r="B32" s="1" t="s">
        <v>89</v>
      </c>
      <c r="C32" t="s">
        <v>90</v>
      </c>
      <c r="D32" s="1">
        <v>3</v>
      </c>
      <c r="E32" s="1">
        <v>24</v>
      </c>
      <c r="F32" s="2">
        <v>414</v>
      </c>
      <c r="G32" s="2">
        <v>26</v>
      </c>
      <c r="H32" s="2">
        <v>34</v>
      </c>
      <c r="I32" s="2">
        <v>2</v>
      </c>
      <c r="J32" s="2">
        <v>39</v>
      </c>
      <c r="K32" s="2">
        <v>25</v>
      </c>
      <c r="L32" s="2">
        <v>0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0</v>
      </c>
      <c r="S32" s="2" t="s">
        <v>40</v>
      </c>
      <c r="T32" s="2">
        <v>0</v>
      </c>
      <c r="U32" s="2">
        <v>0</v>
      </c>
      <c r="V32" s="2" t="s">
        <v>15</v>
      </c>
      <c r="W32" s="2" t="s">
        <v>89</v>
      </c>
      <c r="X32">
        <v>1.0833333333333333</v>
      </c>
      <c r="Y32" s="6">
        <v>12.9375</v>
      </c>
      <c r="Z32" s="1" t="s">
        <v>456</v>
      </c>
      <c r="AA32" s="1">
        <v>0</v>
      </c>
      <c r="AB32" s="12">
        <v>44013</v>
      </c>
      <c r="AC32" t="s">
        <v>496</v>
      </c>
      <c r="AD32" t="s">
        <v>519</v>
      </c>
      <c r="AE32" s="1">
        <v>162</v>
      </c>
      <c r="AF32" s="1">
        <v>11</v>
      </c>
      <c r="AG32"/>
    </row>
    <row r="33" spans="1:33" ht="99.95" customHeight="1" x14ac:dyDescent="0.25">
      <c r="A33" s="1">
        <v>32</v>
      </c>
      <c r="B33" s="1" t="s">
        <v>91</v>
      </c>
      <c r="C33" t="s">
        <v>92</v>
      </c>
      <c r="D33" s="1">
        <v>7</v>
      </c>
      <c r="E33" s="1">
        <v>37</v>
      </c>
      <c r="F33" s="2">
        <v>426</v>
      </c>
      <c r="G33" s="2">
        <v>52</v>
      </c>
      <c r="H33" s="2">
        <v>38</v>
      </c>
      <c r="I33" s="2">
        <v>3</v>
      </c>
      <c r="J33" s="2">
        <v>40</v>
      </c>
      <c r="K33" s="2">
        <v>23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2</v>
      </c>
      <c r="S33" s="2" t="s">
        <v>51</v>
      </c>
      <c r="T33" s="2">
        <v>0</v>
      </c>
      <c r="U33" s="2">
        <v>0</v>
      </c>
      <c r="V33" s="2" t="s">
        <v>15</v>
      </c>
      <c r="W33" s="2" t="s">
        <v>91</v>
      </c>
      <c r="X33">
        <v>1.4054054054054055</v>
      </c>
      <c r="Y33" s="6">
        <v>12.171428571428571</v>
      </c>
      <c r="Z33" s="1" t="s">
        <v>456</v>
      </c>
      <c r="AA33" s="1">
        <v>2</v>
      </c>
      <c r="AB33" s="12">
        <v>42125</v>
      </c>
      <c r="AC33" t="s">
        <v>513</v>
      </c>
      <c r="AD33" t="s">
        <v>520</v>
      </c>
      <c r="AE33" s="1">
        <v>103</v>
      </c>
      <c r="AF33" s="1">
        <v>16</v>
      </c>
      <c r="AG33"/>
    </row>
    <row r="34" spans="1:33" ht="99.95" customHeight="1" x14ac:dyDescent="0.25">
      <c r="A34" s="1">
        <v>33</v>
      </c>
      <c r="B34" s="1" t="s">
        <v>93</v>
      </c>
      <c r="C34" t="s">
        <v>94</v>
      </c>
      <c r="D34" s="1">
        <v>26</v>
      </c>
      <c r="E34" s="1">
        <v>167</v>
      </c>
      <c r="F34" s="2">
        <v>2837</v>
      </c>
      <c r="G34" s="2">
        <v>332</v>
      </c>
      <c r="H34" s="2">
        <v>234</v>
      </c>
      <c r="I34" s="2">
        <v>22</v>
      </c>
      <c r="J34" s="2">
        <v>192</v>
      </c>
      <c r="K34" s="2">
        <v>130</v>
      </c>
      <c r="L34" s="2">
        <v>12</v>
      </c>
      <c r="M34" s="2">
        <v>4</v>
      </c>
      <c r="N34" s="2">
        <v>3.5</v>
      </c>
      <c r="O34" s="2">
        <v>2</v>
      </c>
      <c r="P34" s="2">
        <v>0</v>
      </c>
      <c r="Q34" s="2">
        <v>4</v>
      </c>
      <c r="R34" s="2">
        <v>3</v>
      </c>
      <c r="S34" s="2" t="s">
        <v>26</v>
      </c>
      <c r="T34" s="2">
        <v>2</v>
      </c>
      <c r="U34" s="2">
        <v>4</v>
      </c>
      <c r="V34" s="2" t="s">
        <v>15</v>
      </c>
      <c r="W34" s="2" t="s">
        <v>93</v>
      </c>
      <c r="X34" s="5">
        <v>1.9880239520958083</v>
      </c>
      <c r="Y34" s="6">
        <v>13.382075471698114</v>
      </c>
      <c r="Z34" s="1" t="s">
        <v>456</v>
      </c>
      <c r="AA34" s="1">
        <v>7</v>
      </c>
      <c r="AB34" s="12">
        <v>41334</v>
      </c>
      <c r="AC34" t="s">
        <v>488</v>
      </c>
      <c r="AD34" t="s">
        <v>500</v>
      </c>
      <c r="AE34" s="1">
        <v>411</v>
      </c>
      <c r="AF34" s="1">
        <v>36</v>
      </c>
      <c r="AG34" t="s">
        <v>1094</v>
      </c>
    </row>
    <row r="35" spans="1:33" ht="99.95" customHeight="1" x14ac:dyDescent="0.25">
      <c r="A35" s="1">
        <v>34</v>
      </c>
      <c r="B35" s="1" t="s">
        <v>95</v>
      </c>
      <c r="C35" t="s">
        <v>96</v>
      </c>
      <c r="D35" s="1">
        <v>29</v>
      </c>
      <c r="E35" s="1">
        <v>171</v>
      </c>
      <c r="F35" s="2">
        <v>2368</v>
      </c>
      <c r="G35" s="2">
        <v>261</v>
      </c>
      <c r="H35" s="2">
        <v>223</v>
      </c>
      <c r="I35" s="2">
        <v>20</v>
      </c>
      <c r="J35" s="2">
        <v>146</v>
      </c>
      <c r="K35" s="2">
        <v>125</v>
      </c>
      <c r="L35" s="2">
        <v>1</v>
      </c>
      <c r="M35" s="2">
        <v>3</v>
      </c>
      <c r="N35" s="2">
        <v>0</v>
      </c>
      <c r="O35" s="2">
        <v>0</v>
      </c>
      <c r="P35" s="2">
        <v>1</v>
      </c>
      <c r="Q35" s="2">
        <v>1</v>
      </c>
      <c r="R35" s="2">
        <v>4</v>
      </c>
      <c r="S35" s="2" t="s">
        <v>26</v>
      </c>
      <c r="T35" s="2">
        <v>0</v>
      </c>
      <c r="U35" s="2">
        <v>3</v>
      </c>
      <c r="V35" s="2" t="s">
        <v>15</v>
      </c>
      <c r="W35" s="2" t="s">
        <v>95</v>
      </c>
      <c r="X35" s="5">
        <v>1.5263157894736843</v>
      </c>
      <c r="Y35" s="6">
        <v>11.665024630541872</v>
      </c>
      <c r="Z35" s="1" t="s">
        <v>456</v>
      </c>
      <c r="AA35" s="1">
        <v>5</v>
      </c>
      <c r="AB35" s="12">
        <v>41334</v>
      </c>
      <c r="AC35" t="s">
        <v>488</v>
      </c>
      <c r="AD35" t="s">
        <v>505</v>
      </c>
      <c r="AE35" s="1">
        <v>241</v>
      </c>
      <c r="AF35" s="1">
        <v>29</v>
      </c>
      <c r="AG35" t="s">
        <v>1091</v>
      </c>
    </row>
    <row r="36" spans="1:33" ht="99.95" customHeight="1" x14ac:dyDescent="0.25">
      <c r="A36" s="1">
        <v>35</v>
      </c>
      <c r="B36" s="1" t="s">
        <v>97</v>
      </c>
      <c r="C36" t="s">
        <v>98</v>
      </c>
      <c r="D36" s="1">
        <v>9</v>
      </c>
      <c r="E36" s="1">
        <v>45</v>
      </c>
      <c r="F36" s="2">
        <v>766</v>
      </c>
      <c r="G36" s="2">
        <v>42</v>
      </c>
      <c r="H36" s="2">
        <v>61</v>
      </c>
      <c r="I36" s="2">
        <v>3</v>
      </c>
      <c r="J36" s="2">
        <v>44</v>
      </c>
      <c r="K36" s="2">
        <v>42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>
        <v>1</v>
      </c>
      <c r="R36" s="2">
        <v>1</v>
      </c>
      <c r="S36" s="2" t="s">
        <v>40</v>
      </c>
      <c r="T36" s="2">
        <v>0</v>
      </c>
      <c r="U36" s="2">
        <v>0</v>
      </c>
      <c r="V36" s="2" t="s">
        <v>15</v>
      </c>
      <c r="W36" s="2" t="s">
        <v>97</v>
      </c>
      <c r="X36">
        <v>0.93333333333333335</v>
      </c>
      <c r="Y36" s="6">
        <v>13.206896551724139</v>
      </c>
      <c r="Z36" s="1" t="s">
        <v>458</v>
      </c>
      <c r="AA36" s="1">
        <v>2</v>
      </c>
      <c r="AB36" s="12">
        <v>41609</v>
      </c>
      <c r="AC36" t="s">
        <v>503</v>
      </c>
      <c r="AD36" t="s">
        <v>521</v>
      </c>
      <c r="AE36" s="1">
        <v>268</v>
      </c>
      <c r="AF36" s="1">
        <v>9</v>
      </c>
      <c r="AG36"/>
    </row>
    <row r="37" spans="1:33" ht="99.95" customHeight="1" x14ac:dyDescent="0.25">
      <c r="A37" s="1">
        <v>36</v>
      </c>
      <c r="B37" s="1" t="s">
        <v>99</v>
      </c>
      <c r="C37" t="s">
        <v>100</v>
      </c>
      <c r="D37" s="1">
        <v>22</v>
      </c>
      <c r="E37" s="1">
        <v>135</v>
      </c>
      <c r="F37" s="2">
        <v>2202</v>
      </c>
      <c r="G37" s="2">
        <v>178</v>
      </c>
      <c r="H37" s="2">
        <v>191</v>
      </c>
      <c r="I37" s="2">
        <v>15</v>
      </c>
      <c r="J37" s="2">
        <v>131</v>
      </c>
      <c r="K37" s="2">
        <v>97</v>
      </c>
      <c r="L37" s="2">
        <v>1</v>
      </c>
      <c r="M37" s="2">
        <v>0</v>
      </c>
      <c r="N37" s="2">
        <v>0</v>
      </c>
      <c r="O37" s="2">
        <v>0</v>
      </c>
      <c r="P37" s="2">
        <v>0</v>
      </c>
      <c r="Q37" s="2">
        <v>1</v>
      </c>
      <c r="R37" s="2">
        <v>4</v>
      </c>
      <c r="S37" s="2" t="s">
        <v>101</v>
      </c>
      <c r="T37" s="2">
        <v>1</v>
      </c>
      <c r="U37" s="2">
        <v>1</v>
      </c>
      <c r="V37" s="2" t="s">
        <v>15</v>
      </c>
      <c r="W37" s="2" t="s">
        <v>99</v>
      </c>
      <c r="X37">
        <v>1.3185185185185184</v>
      </c>
      <c r="Y37" s="6">
        <v>12.511363636363637</v>
      </c>
      <c r="Z37" s="1" t="s">
        <v>456</v>
      </c>
      <c r="AA37" s="1">
        <v>5</v>
      </c>
      <c r="AB37" s="12">
        <v>41334</v>
      </c>
      <c r="AC37" t="s">
        <v>488</v>
      </c>
      <c r="AD37" t="s">
        <v>500</v>
      </c>
      <c r="AE37" s="1">
        <v>302</v>
      </c>
      <c r="AF37" s="1">
        <v>18</v>
      </c>
      <c r="AG37"/>
    </row>
    <row r="38" spans="1:33" ht="99.95" customHeight="1" x14ac:dyDescent="0.25">
      <c r="A38" s="1">
        <v>37</v>
      </c>
      <c r="B38" s="1" t="s">
        <v>102</v>
      </c>
      <c r="C38" t="s">
        <v>103</v>
      </c>
      <c r="D38" s="1">
        <v>13</v>
      </c>
      <c r="E38" s="1">
        <v>64</v>
      </c>
      <c r="F38" s="2">
        <v>740</v>
      </c>
      <c r="G38" s="2">
        <v>84</v>
      </c>
      <c r="H38" s="2">
        <v>67</v>
      </c>
      <c r="I38" s="2">
        <v>6</v>
      </c>
      <c r="J38" s="2">
        <v>58</v>
      </c>
      <c r="K38" s="2">
        <v>53</v>
      </c>
      <c r="L38" s="2">
        <v>1</v>
      </c>
      <c r="M38" s="2">
        <v>0</v>
      </c>
      <c r="N38" s="2">
        <v>2</v>
      </c>
      <c r="O38" s="2">
        <v>1</v>
      </c>
      <c r="P38" s="2">
        <v>0</v>
      </c>
      <c r="Q38" s="2">
        <v>1</v>
      </c>
      <c r="R38" s="2">
        <v>1</v>
      </c>
      <c r="S38" s="2" t="s">
        <v>26</v>
      </c>
      <c r="T38" s="2">
        <v>0</v>
      </c>
      <c r="U38" s="2">
        <v>1</v>
      </c>
      <c r="V38" s="2" t="s">
        <v>15</v>
      </c>
      <c r="W38" s="2" t="s">
        <v>102</v>
      </c>
      <c r="X38">
        <v>1.3125</v>
      </c>
      <c r="Y38" s="6">
        <v>12.131147540983607</v>
      </c>
      <c r="Z38" s="1" t="s">
        <v>456</v>
      </c>
      <c r="AA38" s="1">
        <v>2</v>
      </c>
      <c r="AB38" s="12">
        <v>41609</v>
      </c>
      <c r="AC38" t="s">
        <v>503</v>
      </c>
      <c r="AD38" t="s">
        <v>522</v>
      </c>
      <c r="AE38" s="1">
        <v>203</v>
      </c>
      <c r="AF38" s="1">
        <v>16</v>
      </c>
      <c r="AG38"/>
    </row>
    <row r="39" spans="1:33" ht="99.95" customHeight="1" x14ac:dyDescent="0.25">
      <c r="A39" s="1">
        <v>38</v>
      </c>
      <c r="B39" s="1" t="s">
        <v>104</v>
      </c>
      <c r="C39" s="7" t="s">
        <v>105</v>
      </c>
      <c r="D39" s="1">
        <v>11</v>
      </c>
      <c r="E39" s="1">
        <v>76</v>
      </c>
      <c r="F39" s="2">
        <v>1360</v>
      </c>
      <c r="G39" s="2">
        <v>111</v>
      </c>
      <c r="H39" s="2">
        <v>104</v>
      </c>
      <c r="I39" s="2">
        <v>11</v>
      </c>
      <c r="J39" s="2">
        <v>113</v>
      </c>
      <c r="K39" s="2">
        <v>81</v>
      </c>
      <c r="L39" s="2">
        <v>1</v>
      </c>
      <c r="M39" s="2">
        <v>0</v>
      </c>
      <c r="N39" s="2">
        <v>0</v>
      </c>
      <c r="O39" s="2">
        <v>1</v>
      </c>
      <c r="P39" s="2">
        <v>0</v>
      </c>
      <c r="Q39" s="2">
        <v>0</v>
      </c>
      <c r="R39" s="2">
        <v>1</v>
      </c>
      <c r="S39" s="2" t="s">
        <v>43</v>
      </c>
      <c r="T39" s="2">
        <v>0</v>
      </c>
      <c r="U39" s="2">
        <v>0</v>
      </c>
      <c r="V39" s="2" t="s">
        <v>15</v>
      </c>
      <c r="W39" s="2" t="s">
        <v>104</v>
      </c>
      <c r="X39">
        <v>1.4605263157894737</v>
      </c>
      <c r="Y39" s="6">
        <v>14.623655913978494</v>
      </c>
      <c r="Z39" s="1" t="s">
        <v>460</v>
      </c>
      <c r="AA39" s="1">
        <v>1</v>
      </c>
      <c r="AB39" s="12">
        <v>41791</v>
      </c>
      <c r="AC39" t="s">
        <v>511</v>
      </c>
      <c r="AD39" t="s">
        <v>523</v>
      </c>
      <c r="AE39" s="1">
        <v>375</v>
      </c>
      <c r="AF39" s="1">
        <v>28</v>
      </c>
      <c r="AG39"/>
    </row>
    <row r="40" spans="1:33" ht="99.95" customHeight="1" x14ac:dyDescent="0.25">
      <c r="A40" s="1">
        <v>39</v>
      </c>
      <c r="B40" s="1" t="s">
        <v>106</v>
      </c>
      <c r="C40" t="s">
        <v>107</v>
      </c>
      <c r="D40" s="1">
        <v>17</v>
      </c>
      <c r="E40" s="1">
        <v>116</v>
      </c>
      <c r="F40" s="2">
        <v>1773</v>
      </c>
      <c r="G40" s="2">
        <v>138</v>
      </c>
      <c r="H40" s="2">
        <v>155</v>
      </c>
      <c r="I40" s="2">
        <v>12</v>
      </c>
      <c r="J40" s="2">
        <v>123</v>
      </c>
      <c r="K40" s="2">
        <v>106</v>
      </c>
      <c r="L40" s="2">
        <v>2</v>
      </c>
      <c r="M40" s="2">
        <v>3</v>
      </c>
      <c r="N40" s="2">
        <v>0.5</v>
      </c>
      <c r="O40" s="2">
        <v>0</v>
      </c>
      <c r="P40" s="2">
        <v>1</v>
      </c>
      <c r="Q40" s="2">
        <v>2</v>
      </c>
      <c r="R40" s="2">
        <v>3</v>
      </c>
      <c r="S40" s="2" t="s">
        <v>108</v>
      </c>
      <c r="T40" s="2">
        <v>0</v>
      </c>
      <c r="U40" s="2">
        <v>0</v>
      </c>
      <c r="V40" s="2" t="s">
        <v>15</v>
      </c>
      <c r="W40" s="2" t="s">
        <v>106</v>
      </c>
      <c r="X40">
        <v>1.1896551724137931</v>
      </c>
      <c r="Y40" s="6">
        <v>12.398601398601398</v>
      </c>
      <c r="Z40" s="1" t="s">
        <v>456</v>
      </c>
      <c r="AA40" s="1">
        <v>5</v>
      </c>
      <c r="AB40" s="12">
        <v>42339</v>
      </c>
      <c r="AC40" t="s">
        <v>524</v>
      </c>
      <c r="AD40" t="s">
        <v>525</v>
      </c>
      <c r="AE40" s="1">
        <v>337</v>
      </c>
      <c r="AF40" s="1">
        <v>15</v>
      </c>
      <c r="AG40"/>
    </row>
    <row r="41" spans="1:33" ht="99.95" customHeight="1" x14ac:dyDescent="0.25">
      <c r="A41" s="1">
        <v>40</v>
      </c>
      <c r="B41" s="1" t="s">
        <v>109</v>
      </c>
      <c r="C41" t="s">
        <v>110</v>
      </c>
      <c r="D41" s="1">
        <v>4</v>
      </c>
      <c r="E41" s="1">
        <v>29</v>
      </c>
      <c r="F41" s="2">
        <v>438</v>
      </c>
      <c r="G41" s="2">
        <v>28</v>
      </c>
      <c r="H41" s="2">
        <v>35</v>
      </c>
      <c r="I41" s="2">
        <v>5</v>
      </c>
      <c r="J41" s="2">
        <v>28</v>
      </c>
      <c r="K41" s="2">
        <v>30</v>
      </c>
      <c r="L41" s="2">
        <v>0</v>
      </c>
      <c r="M41" s="2">
        <v>1</v>
      </c>
      <c r="N41" s="2">
        <v>0</v>
      </c>
      <c r="O41" s="2">
        <v>0</v>
      </c>
      <c r="P41" s="2">
        <v>1</v>
      </c>
      <c r="Q41" s="2">
        <v>0</v>
      </c>
      <c r="R41" s="2">
        <v>1</v>
      </c>
      <c r="S41" s="2" t="s">
        <v>26</v>
      </c>
      <c r="T41" s="2">
        <v>0</v>
      </c>
      <c r="U41" s="2">
        <v>0</v>
      </c>
      <c r="V41" s="2" t="s">
        <v>15</v>
      </c>
      <c r="W41" s="2" t="s">
        <v>109</v>
      </c>
      <c r="X41">
        <v>0.96551724137931039</v>
      </c>
      <c r="Y41" s="6">
        <v>14.6</v>
      </c>
      <c r="Z41" s="1" t="s">
        <v>458</v>
      </c>
      <c r="AA41" s="1">
        <v>1</v>
      </c>
      <c r="AB41" s="12">
        <v>44013</v>
      </c>
      <c r="AC41" t="s">
        <v>496</v>
      </c>
      <c r="AD41" t="s">
        <v>526</v>
      </c>
      <c r="AE41" s="1">
        <v>251</v>
      </c>
      <c r="AF41" s="1">
        <v>15</v>
      </c>
      <c r="AG41"/>
    </row>
    <row r="42" spans="1:33" ht="99.95" customHeight="1" x14ac:dyDescent="0.25">
      <c r="A42" s="1">
        <v>41</v>
      </c>
      <c r="B42" s="1" t="s">
        <v>111</v>
      </c>
      <c r="C42" t="s">
        <v>112</v>
      </c>
      <c r="D42" s="1">
        <v>3</v>
      </c>
      <c r="E42" s="1">
        <v>23</v>
      </c>
      <c r="F42" s="2">
        <v>306</v>
      </c>
      <c r="G42" s="2">
        <v>30</v>
      </c>
      <c r="H42" s="2">
        <v>33</v>
      </c>
      <c r="I42" s="2">
        <v>0</v>
      </c>
      <c r="J42" s="2">
        <v>30</v>
      </c>
      <c r="K42" s="2">
        <v>15</v>
      </c>
      <c r="L42" s="2">
        <v>0</v>
      </c>
      <c r="M42" s="2">
        <v>2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 t="s">
        <v>40</v>
      </c>
      <c r="T42" s="2">
        <v>0</v>
      </c>
      <c r="U42" s="2">
        <v>0</v>
      </c>
      <c r="V42" s="2" t="s">
        <v>15</v>
      </c>
      <c r="W42" s="2" t="s">
        <v>111</v>
      </c>
      <c r="X42">
        <v>1.3043478260869565</v>
      </c>
      <c r="Y42" s="6">
        <v>9.2727272727272734</v>
      </c>
      <c r="Z42" s="1" t="s">
        <v>459</v>
      </c>
      <c r="AA42" s="1">
        <v>0</v>
      </c>
      <c r="AB42" s="12">
        <v>44013</v>
      </c>
      <c r="AC42" t="s">
        <v>496</v>
      </c>
      <c r="AD42" t="s">
        <v>497</v>
      </c>
      <c r="AE42" s="1">
        <v>143</v>
      </c>
      <c r="AF42" s="1">
        <v>20</v>
      </c>
      <c r="AG42"/>
    </row>
    <row r="43" spans="1:33" ht="99.95" customHeight="1" x14ac:dyDescent="0.25">
      <c r="A43" s="1">
        <v>42</v>
      </c>
      <c r="B43" s="1" t="s">
        <v>113</v>
      </c>
      <c r="C43" t="s">
        <v>114</v>
      </c>
      <c r="D43" s="1">
        <v>11</v>
      </c>
      <c r="E43" s="1">
        <v>67</v>
      </c>
      <c r="F43" s="2">
        <v>995</v>
      </c>
      <c r="G43" s="2">
        <v>123</v>
      </c>
      <c r="H43" s="2">
        <v>89</v>
      </c>
      <c r="I43" s="2">
        <v>7</v>
      </c>
      <c r="J43" s="2">
        <v>59</v>
      </c>
      <c r="K43" s="2">
        <v>40</v>
      </c>
      <c r="L43" s="2">
        <v>3</v>
      </c>
      <c r="M43" s="2">
        <v>3</v>
      </c>
      <c r="N43" s="2">
        <v>3</v>
      </c>
      <c r="O43" s="2">
        <v>1</v>
      </c>
      <c r="P43" s="2">
        <v>0</v>
      </c>
      <c r="Q43" s="2">
        <v>1</v>
      </c>
      <c r="R43" s="2">
        <v>1</v>
      </c>
      <c r="S43" s="2" t="s">
        <v>26</v>
      </c>
      <c r="T43" s="2">
        <v>0</v>
      </c>
      <c r="U43" s="2">
        <v>1</v>
      </c>
      <c r="V43" s="2" t="s">
        <v>15</v>
      </c>
      <c r="W43" s="2" t="s">
        <v>113</v>
      </c>
      <c r="X43" s="5">
        <v>1.835820895522388</v>
      </c>
      <c r="Y43" s="6">
        <v>12.134146341463415</v>
      </c>
      <c r="Z43" s="1" t="s">
        <v>456</v>
      </c>
      <c r="AA43" s="1">
        <v>2</v>
      </c>
      <c r="AB43" s="12">
        <v>41334</v>
      </c>
      <c r="AC43" t="s">
        <v>488</v>
      </c>
      <c r="AD43" t="s">
        <v>489</v>
      </c>
      <c r="AE43" s="1">
        <v>164</v>
      </c>
      <c r="AF43" s="1">
        <v>24</v>
      </c>
      <c r="AG43"/>
    </row>
    <row r="44" spans="1:33" ht="99.95" customHeight="1" x14ac:dyDescent="0.25">
      <c r="A44" s="1">
        <v>43</v>
      </c>
      <c r="B44" s="1" t="s">
        <v>115</v>
      </c>
      <c r="C44" t="s">
        <v>116</v>
      </c>
      <c r="D44" s="1">
        <v>20</v>
      </c>
      <c r="E44" s="1">
        <v>140</v>
      </c>
      <c r="F44" s="2">
        <v>2443</v>
      </c>
      <c r="G44" s="2">
        <v>176</v>
      </c>
      <c r="H44" s="2">
        <v>207</v>
      </c>
      <c r="I44" s="2">
        <v>23</v>
      </c>
      <c r="J44" s="2">
        <v>216</v>
      </c>
      <c r="K44" s="2">
        <v>150</v>
      </c>
      <c r="L44" s="2">
        <v>4</v>
      </c>
      <c r="M44" s="2">
        <v>0</v>
      </c>
      <c r="N44" s="2">
        <v>5.5</v>
      </c>
      <c r="O44" s="2">
        <v>0</v>
      </c>
      <c r="P44" s="2">
        <v>2</v>
      </c>
      <c r="Q44" s="2">
        <v>5</v>
      </c>
      <c r="R44" s="2">
        <v>4</v>
      </c>
      <c r="S44" s="2" t="s">
        <v>26</v>
      </c>
      <c r="T44" s="2">
        <v>0</v>
      </c>
      <c r="U44" s="2">
        <v>0</v>
      </c>
      <c r="V44" s="2" t="s">
        <v>15</v>
      </c>
      <c r="W44" s="2" t="s">
        <v>115</v>
      </c>
      <c r="X44">
        <v>1.2571428571428571</v>
      </c>
      <c r="Y44" s="6">
        <v>13.277173913043478</v>
      </c>
      <c r="Z44" s="1" t="s">
        <v>456</v>
      </c>
      <c r="AA44" s="1">
        <v>9</v>
      </c>
      <c r="AB44" s="12">
        <v>41699</v>
      </c>
      <c r="AC44" t="s">
        <v>473</v>
      </c>
      <c r="AD44" t="s">
        <v>474</v>
      </c>
      <c r="AE44" s="1">
        <v>340</v>
      </c>
      <c r="AF44" s="1">
        <v>16</v>
      </c>
      <c r="AG44" t="s">
        <v>1092</v>
      </c>
    </row>
    <row r="45" spans="1:33" ht="99.95" customHeight="1" x14ac:dyDescent="0.25">
      <c r="A45" s="1">
        <v>44</v>
      </c>
      <c r="B45" s="1" t="s">
        <v>117</v>
      </c>
      <c r="C45" t="s">
        <v>118</v>
      </c>
      <c r="D45" s="1">
        <v>16</v>
      </c>
      <c r="E45" s="1">
        <v>108</v>
      </c>
      <c r="F45" s="2">
        <v>1336</v>
      </c>
      <c r="G45" s="2">
        <v>148</v>
      </c>
      <c r="H45" s="2">
        <v>140</v>
      </c>
      <c r="I45" s="2">
        <v>13</v>
      </c>
      <c r="J45" s="2">
        <v>108</v>
      </c>
      <c r="K45" s="2">
        <v>89</v>
      </c>
      <c r="L45" s="2">
        <v>3</v>
      </c>
      <c r="M45" s="2">
        <v>4</v>
      </c>
      <c r="N45" s="2">
        <v>3</v>
      </c>
      <c r="O45" s="2">
        <v>0</v>
      </c>
      <c r="P45" s="2">
        <v>0</v>
      </c>
      <c r="Q45" s="2">
        <v>1</v>
      </c>
      <c r="R45" s="2">
        <v>1</v>
      </c>
      <c r="S45" s="2" t="s">
        <v>26</v>
      </c>
      <c r="T45" s="2">
        <v>0</v>
      </c>
      <c r="U45" s="2">
        <v>1</v>
      </c>
      <c r="V45" s="2" t="s">
        <v>15</v>
      </c>
      <c r="W45" s="2" t="s">
        <v>117</v>
      </c>
      <c r="X45">
        <v>1.3703703703703705</v>
      </c>
      <c r="Y45" s="6">
        <v>10.51968503937008</v>
      </c>
      <c r="Z45" s="1" t="s">
        <v>456</v>
      </c>
      <c r="AA45" s="1">
        <v>2</v>
      </c>
      <c r="AB45" s="12">
        <v>42036</v>
      </c>
      <c r="AC45" t="s">
        <v>527</v>
      </c>
      <c r="AD45" t="s">
        <v>528</v>
      </c>
      <c r="AE45" s="1">
        <v>218</v>
      </c>
      <c r="AF45" s="1">
        <v>26</v>
      </c>
    </row>
    <row r="46" spans="1:33" ht="99.95" customHeight="1" x14ac:dyDescent="0.25">
      <c r="A46" s="1">
        <v>45</v>
      </c>
      <c r="B46" s="1" t="s">
        <v>119</v>
      </c>
      <c r="C46" t="s">
        <v>120</v>
      </c>
      <c r="D46" s="1">
        <v>12</v>
      </c>
      <c r="E46" s="1">
        <v>54</v>
      </c>
      <c r="F46" s="2">
        <v>880</v>
      </c>
      <c r="G46" s="2">
        <v>63</v>
      </c>
      <c r="H46" s="2">
        <v>80</v>
      </c>
      <c r="I46" s="2">
        <v>4</v>
      </c>
      <c r="J46" s="2">
        <v>45</v>
      </c>
      <c r="K46" s="2">
        <v>37</v>
      </c>
      <c r="L46" s="2">
        <v>0</v>
      </c>
      <c r="M46" s="2">
        <v>0</v>
      </c>
      <c r="N46" s="2">
        <v>1</v>
      </c>
      <c r="O46" s="2">
        <v>0</v>
      </c>
      <c r="P46" s="2">
        <v>0</v>
      </c>
      <c r="Q46" s="2">
        <v>1</v>
      </c>
      <c r="R46" s="2">
        <v>1</v>
      </c>
      <c r="S46" s="2" t="s">
        <v>26</v>
      </c>
      <c r="T46" s="2">
        <v>0</v>
      </c>
      <c r="U46" s="2">
        <v>0</v>
      </c>
      <c r="V46" s="2" t="s">
        <v>15</v>
      </c>
      <c r="W46" s="2" t="s">
        <v>119</v>
      </c>
      <c r="X46">
        <v>1.1666666666666667</v>
      </c>
      <c r="Y46" s="6">
        <v>11.578947368421053</v>
      </c>
      <c r="Z46" s="1" t="s">
        <v>456</v>
      </c>
      <c r="AA46" s="1">
        <v>2</v>
      </c>
      <c r="AB46" s="12">
        <v>41334</v>
      </c>
      <c r="AC46" t="s">
        <v>488</v>
      </c>
      <c r="AD46" t="s">
        <v>529</v>
      </c>
      <c r="AE46" s="1">
        <v>311</v>
      </c>
      <c r="AF46" s="1">
        <v>12</v>
      </c>
      <c r="AG46"/>
    </row>
    <row r="47" spans="1:33" ht="99.95" customHeight="1" x14ac:dyDescent="0.25">
      <c r="A47" s="1">
        <v>46</v>
      </c>
      <c r="B47" s="1" t="s">
        <v>121</v>
      </c>
      <c r="C47" s="7" t="s">
        <v>122</v>
      </c>
      <c r="D47" s="1">
        <v>18</v>
      </c>
      <c r="E47" s="1">
        <v>120</v>
      </c>
      <c r="F47" s="2">
        <v>2091</v>
      </c>
      <c r="G47" s="2">
        <v>129</v>
      </c>
      <c r="H47" s="2">
        <v>179</v>
      </c>
      <c r="I47" s="2">
        <v>15</v>
      </c>
      <c r="J47" s="2">
        <v>110</v>
      </c>
      <c r="K47" s="2">
        <v>125</v>
      </c>
      <c r="L47" s="2">
        <v>1</v>
      </c>
      <c r="M47" s="2">
        <v>0</v>
      </c>
      <c r="N47" s="2">
        <v>2</v>
      </c>
      <c r="O47" s="2">
        <v>0</v>
      </c>
      <c r="P47" s="2">
        <v>1</v>
      </c>
      <c r="Q47" s="2">
        <v>0</v>
      </c>
      <c r="R47" s="2">
        <v>4</v>
      </c>
      <c r="S47" s="2" t="s">
        <v>26</v>
      </c>
      <c r="T47" s="2">
        <v>0</v>
      </c>
      <c r="U47" s="2">
        <v>0</v>
      </c>
      <c r="V47" s="2" t="s">
        <v>15</v>
      </c>
      <c r="W47" s="2" t="s">
        <v>121</v>
      </c>
      <c r="X47">
        <v>1.075</v>
      </c>
      <c r="Y47" s="6">
        <v>12.75</v>
      </c>
      <c r="Z47" s="1" t="s">
        <v>456</v>
      </c>
      <c r="AA47" s="1">
        <v>4</v>
      </c>
      <c r="AB47" s="12">
        <v>41456</v>
      </c>
      <c r="AC47" t="s">
        <v>476</v>
      </c>
      <c r="AD47" t="s">
        <v>530</v>
      </c>
      <c r="AE47" s="1">
        <v>207</v>
      </c>
      <c r="AF47" s="1">
        <v>15</v>
      </c>
      <c r="AG47"/>
    </row>
    <row r="48" spans="1:33" ht="99.95" customHeight="1" x14ac:dyDescent="0.25">
      <c r="A48" s="1">
        <v>47</v>
      </c>
      <c r="B48" s="1" t="s">
        <v>123</v>
      </c>
      <c r="C48" t="s">
        <v>124</v>
      </c>
      <c r="D48" s="1">
        <v>16</v>
      </c>
      <c r="E48" s="1">
        <v>111</v>
      </c>
      <c r="F48" s="2">
        <v>1573</v>
      </c>
      <c r="G48" s="2">
        <v>133</v>
      </c>
      <c r="H48" s="2">
        <v>138</v>
      </c>
      <c r="I48" s="2">
        <v>17</v>
      </c>
      <c r="J48" s="2">
        <v>103</v>
      </c>
      <c r="K48" s="2">
        <v>59</v>
      </c>
      <c r="L48" s="2">
        <v>2</v>
      </c>
      <c r="M48" s="2">
        <v>1</v>
      </c>
      <c r="N48" s="2">
        <v>0</v>
      </c>
      <c r="O48" s="2">
        <v>0</v>
      </c>
      <c r="P48" s="2">
        <v>1</v>
      </c>
      <c r="Q48" s="2">
        <v>3</v>
      </c>
      <c r="R48" s="2">
        <v>0</v>
      </c>
      <c r="S48" s="2" t="s">
        <v>40</v>
      </c>
      <c r="T48" s="2">
        <v>0</v>
      </c>
      <c r="U48" s="2">
        <v>0</v>
      </c>
      <c r="V48" s="2" t="s">
        <v>15</v>
      </c>
      <c r="W48" s="2" t="s">
        <v>123</v>
      </c>
      <c r="X48">
        <v>1.1981981981981982</v>
      </c>
      <c r="Y48" s="6">
        <v>13</v>
      </c>
      <c r="Z48" s="1" t="s">
        <v>456</v>
      </c>
      <c r="AA48" s="1">
        <v>3</v>
      </c>
      <c r="AB48" s="12">
        <v>41456</v>
      </c>
      <c r="AC48" t="s">
        <v>476</v>
      </c>
      <c r="AD48" t="s">
        <v>531</v>
      </c>
      <c r="AE48" s="1">
        <v>237</v>
      </c>
      <c r="AF48" s="1">
        <v>19</v>
      </c>
      <c r="AG48"/>
    </row>
    <row r="49" spans="1:32" customFormat="1" ht="99.95" customHeight="1" x14ac:dyDescent="0.25">
      <c r="A49" s="1">
        <v>48</v>
      </c>
      <c r="B49" s="1" t="s">
        <v>125</v>
      </c>
      <c r="C49" s="7" t="s">
        <v>126</v>
      </c>
      <c r="D49" s="1">
        <v>13</v>
      </c>
      <c r="E49" s="1">
        <v>74</v>
      </c>
      <c r="F49" s="2">
        <v>970</v>
      </c>
      <c r="G49" s="2">
        <v>65</v>
      </c>
      <c r="H49" s="2">
        <v>94</v>
      </c>
      <c r="I49" s="2">
        <v>6</v>
      </c>
      <c r="J49" s="2">
        <v>87</v>
      </c>
      <c r="K49" s="2">
        <v>57</v>
      </c>
      <c r="L49" s="2">
        <v>2</v>
      </c>
      <c r="M49" s="2">
        <v>2</v>
      </c>
      <c r="N49" s="2">
        <v>3</v>
      </c>
      <c r="O49" s="2">
        <v>0</v>
      </c>
      <c r="P49" s="2">
        <v>0</v>
      </c>
      <c r="Q49" s="2">
        <v>0</v>
      </c>
      <c r="R49" s="2">
        <v>1</v>
      </c>
      <c r="S49" s="2" t="s">
        <v>26</v>
      </c>
      <c r="T49" s="2">
        <v>0</v>
      </c>
      <c r="U49" s="2">
        <v>0</v>
      </c>
      <c r="V49" s="2" t="s">
        <v>15</v>
      </c>
      <c r="W49" s="2" t="s">
        <v>125</v>
      </c>
      <c r="X49">
        <v>0.8783783783783784</v>
      </c>
      <c r="Y49" s="6">
        <v>11.022727272727273</v>
      </c>
      <c r="Z49" s="1" t="s">
        <v>458</v>
      </c>
      <c r="AA49" s="1">
        <v>1</v>
      </c>
      <c r="AB49" s="12">
        <v>42248</v>
      </c>
      <c r="AC49" t="s">
        <v>532</v>
      </c>
      <c r="AD49" t="s">
        <v>533</v>
      </c>
      <c r="AE49" s="1">
        <v>198</v>
      </c>
      <c r="AF49" s="1">
        <v>15</v>
      </c>
    </row>
    <row r="50" spans="1:32" customFormat="1" ht="99.95" customHeight="1" x14ac:dyDescent="0.25">
      <c r="A50" s="1">
        <v>49</v>
      </c>
      <c r="B50" s="1" t="s">
        <v>127</v>
      </c>
      <c r="C50" s="7" t="s">
        <v>128</v>
      </c>
      <c r="D50" s="1">
        <v>14</v>
      </c>
      <c r="E50" s="1">
        <v>90</v>
      </c>
      <c r="F50" s="2">
        <v>1026</v>
      </c>
      <c r="G50" s="2">
        <v>87</v>
      </c>
      <c r="H50" s="2">
        <v>112</v>
      </c>
      <c r="I50" s="2">
        <v>4</v>
      </c>
      <c r="J50" s="2">
        <v>88</v>
      </c>
      <c r="K50" s="2">
        <v>77</v>
      </c>
      <c r="L50" s="2">
        <v>1</v>
      </c>
      <c r="M50" s="2">
        <v>0</v>
      </c>
      <c r="N50" s="2">
        <v>1.5</v>
      </c>
      <c r="O50" s="2">
        <v>0</v>
      </c>
      <c r="P50" s="2">
        <v>0</v>
      </c>
      <c r="Q50" s="2">
        <v>0</v>
      </c>
      <c r="R50" s="2">
        <v>3</v>
      </c>
      <c r="S50" s="2" t="s">
        <v>26</v>
      </c>
      <c r="T50" s="2">
        <v>0</v>
      </c>
      <c r="U50" s="2">
        <v>0</v>
      </c>
      <c r="V50" s="2" t="s">
        <v>15</v>
      </c>
      <c r="W50" s="2" t="s">
        <v>127</v>
      </c>
      <c r="X50">
        <v>0.96666666666666667</v>
      </c>
      <c r="Y50" s="6">
        <v>9.5</v>
      </c>
      <c r="Z50" s="1" t="s">
        <v>457</v>
      </c>
      <c r="AA50" s="1">
        <v>3</v>
      </c>
      <c r="AB50" s="12">
        <v>42339</v>
      </c>
      <c r="AC50" t="s">
        <v>524</v>
      </c>
      <c r="AD50" t="s">
        <v>534</v>
      </c>
      <c r="AE50" s="1">
        <v>150</v>
      </c>
      <c r="AF50" s="1">
        <v>14</v>
      </c>
    </row>
    <row r="51" spans="1:32" customFormat="1" ht="99.95" customHeight="1" x14ac:dyDescent="0.25">
      <c r="A51" s="1">
        <v>50</v>
      </c>
      <c r="B51" s="1" t="s">
        <v>129</v>
      </c>
      <c r="C51" t="s">
        <v>130</v>
      </c>
      <c r="D51" s="1">
        <v>5</v>
      </c>
      <c r="E51" s="1">
        <v>26</v>
      </c>
      <c r="F51" s="2">
        <v>271</v>
      </c>
      <c r="G51" s="2">
        <v>12</v>
      </c>
      <c r="H51" s="2">
        <v>26</v>
      </c>
      <c r="I51" s="2">
        <v>0</v>
      </c>
      <c r="J51" s="2">
        <v>14</v>
      </c>
      <c r="K51" s="2">
        <v>24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1</v>
      </c>
      <c r="R51" s="2">
        <v>0</v>
      </c>
      <c r="S51" s="2" t="s">
        <v>40</v>
      </c>
      <c r="T51" s="2">
        <v>0</v>
      </c>
      <c r="U51" s="2">
        <v>0</v>
      </c>
      <c r="V51" s="2" t="s">
        <v>15</v>
      </c>
      <c r="W51" s="2" t="s">
        <v>129</v>
      </c>
      <c r="X51">
        <v>0.46153846153846156</v>
      </c>
      <c r="Y51" s="6">
        <v>10.423076923076923</v>
      </c>
      <c r="Z51" s="1" t="s">
        <v>458</v>
      </c>
      <c r="AA51" s="1">
        <v>1</v>
      </c>
      <c r="AB51" s="12">
        <v>42125</v>
      </c>
      <c r="AC51" t="s">
        <v>513</v>
      </c>
      <c r="AD51" t="s">
        <v>535</v>
      </c>
      <c r="AE51" s="1">
        <v>81</v>
      </c>
      <c r="AF51" s="1">
        <v>4</v>
      </c>
    </row>
    <row r="52" spans="1:32" customFormat="1" ht="99.95" customHeight="1" x14ac:dyDescent="0.25">
      <c r="A52" s="1">
        <v>51</v>
      </c>
      <c r="B52" s="1" t="s">
        <v>131</v>
      </c>
      <c r="C52" t="s">
        <v>132</v>
      </c>
      <c r="D52" s="1">
        <v>21</v>
      </c>
      <c r="E52" s="1">
        <v>129</v>
      </c>
      <c r="F52" s="2">
        <v>2745</v>
      </c>
      <c r="G52" s="2">
        <v>185</v>
      </c>
      <c r="H52" s="2">
        <v>206</v>
      </c>
      <c r="I52" s="2">
        <v>27</v>
      </c>
      <c r="J52" s="2">
        <v>212</v>
      </c>
      <c r="K52" s="2">
        <v>176</v>
      </c>
      <c r="L52" s="2">
        <v>3</v>
      </c>
      <c r="M52" s="2">
        <v>2.5</v>
      </c>
      <c r="N52" s="2">
        <v>3</v>
      </c>
      <c r="O52" s="2">
        <v>2</v>
      </c>
      <c r="P52" s="2">
        <v>1</v>
      </c>
      <c r="Q52" s="2">
        <v>2</v>
      </c>
      <c r="R52" s="2">
        <v>0</v>
      </c>
      <c r="S52" s="2" t="s">
        <v>26</v>
      </c>
      <c r="T52" s="2">
        <v>2</v>
      </c>
      <c r="U52" s="2">
        <v>0</v>
      </c>
      <c r="V52" s="2" t="s">
        <v>15</v>
      </c>
      <c r="W52" s="2" t="s">
        <v>131</v>
      </c>
      <c r="X52" s="3">
        <v>1.4341085271317831</v>
      </c>
      <c r="Y52" s="6">
        <v>15.335195530726256</v>
      </c>
      <c r="Z52" s="1" t="s">
        <v>460</v>
      </c>
      <c r="AA52" s="1">
        <v>2</v>
      </c>
      <c r="AB52" s="12">
        <v>41548</v>
      </c>
      <c r="AC52" t="s">
        <v>501</v>
      </c>
      <c r="AD52" t="s">
        <v>536</v>
      </c>
      <c r="AE52" s="1">
        <v>363</v>
      </c>
      <c r="AF52" s="1">
        <v>24</v>
      </c>
    </row>
    <row r="53" spans="1:32" customFormat="1" ht="99.95" customHeight="1" x14ac:dyDescent="0.25">
      <c r="A53" s="1">
        <v>52</v>
      </c>
      <c r="B53" s="1" t="s">
        <v>133</v>
      </c>
      <c r="C53" t="s">
        <v>134</v>
      </c>
      <c r="D53" s="1">
        <v>21</v>
      </c>
      <c r="E53" s="1">
        <v>129</v>
      </c>
      <c r="F53" s="2">
        <v>1697</v>
      </c>
      <c r="G53" s="2">
        <v>172</v>
      </c>
      <c r="H53" s="2">
        <v>173</v>
      </c>
      <c r="I53" s="2">
        <v>18</v>
      </c>
      <c r="J53" s="2">
        <v>128</v>
      </c>
      <c r="K53" s="2">
        <v>112</v>
      </c>
      <c r="L53" s="2">
        <v>2</v>
      </c>
      <c r="M53" s="2">
        <v>0</v>
      </c>
      <c r="N53" s="2">
        <v>2</v>
      </c>
      <c r="O53" s="2">
        <v>0</v>
      </c>
      <c r="P53" s="2">
        <v>0</v>
      </c>
      <c r="Q53" s="2">
        <v>1</v>
      </c>
      <c r="R53" s="2">
        <v>0</v>
      </c>
      <c r="S53" s="2" t="s">
        <v>26</v>
      </c>
      <c r="T53" s="2">
        <v>0</v>
      </c>
      <c r="U53" s="2">
        <v>1</v>
      </c>
      <c r="V53" s="2" t="s">
        <v>15</v>
      </c>
      <c r="W53" s="2" t="s">
        <v>133</v>
      </c>
      <c r="X53">
        <v>1.3333333333333333</v>
      </c>
      <c r="Y53" s="6">
        <v>10.948387096774194</v>
      </c>
      <c r="Z53" s="1" t="s">
        <v>456</v>
      </c>
      <c r="AA53" s="1">
        <v>1</v>
      </c>
      <c r="AB53" s="12">
        <v>41609</v>
      </c>
      <c r="AC53" t="s">
        <v>503</v>
      </c>
      <c r="AD53" t="s">
        <v>537</v>
      </c>
      <c r="AE53" s="1">
        <v>260</v>
      </c>
      <c r="AF53" s="1">
        <v>23</v>
      </c>
    </row>
    <row r="54" spans="1:32" customFormat="1" ht="99.95" customHeight="1" x14ac:dyDescent="0.25">
      <c r="A54" s="1">
        <v>53</v>
      </c>
      <c r="B54" s="1" t="s">
        <v>135</v>
      </c>
      <c r="C54" s="7" t="s">
        <v>136</v>
      </c>
      <c r="D54" s="1">
        <v>8</v>
      </c>
      <c r="E54" s="1">
        <v>42</v>
      </c>
      <c r="F54" s="2">
        <v>769</v>
      </c>
      <c r="G54" s="2">
        <v>49</v>
      </c>
      <c r="H54" s="2">
        <v>54</v>
      </c>
      <c r="I54" s="2">
        <v>3</v>
      </c>
      <c r="J54" s="2">
        <v>60</v>
      </c>
      <c r="K54" s="2">
        <v>53</v>
      </c>
      <c r="L54" s="2">
        <v>1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2</v>
      </c>
      <c r="S54" s="2" t="s">
        <v>43</v>
      </c>
      <c r="T54" s="2">
        <v>0</v>
      </c>
      <c r="U54" s="2">
        <v>0</v>
      </c>
      <c r="V54" s="2" t="s">
        <v>15</v>
      </c>
      <c r="W54" s="2" t="s">
        <v>135</v>
      </c>
      <c r="X54" s="3">
        <v>1.1666666666666667</v>
      </c>
      <c r="Y54" s="6">
        <v>15.078431372549019</v>
      </c>
      <c r="Z54" s="1" t="s">
        <v>457</v>
      </c>
      <c r="AA54" s="1">
        <v>2</v>
      </c>
      <c r="AB54" s="12">
        <v>41609</v>
      </c>
      <c r="AC54" t="s">
        <v>503</v>
      </c>
      <c r="AD54" t="s">
        <v>538</v>
      </c>
      <c r="AE54" s="1">
        <v>181</v>
      </c>
      <c r="AF54" s="1">
        <v>12</v>
      </c>
    </row>
    <row r="55" spans="1:32" customFormat="1" ht="99.95" customHeight="1" x14ac:dyDescent="0.25">
      <c r="A55" s="1">
        <v>54</v>
      </c>
      <c r="B55" s="1" t="s">
        <v>137</v>
      </c>
      <c r="C55" t="s">
        <v>138</v>
      </c>
      <c r="D55" s="1">
        <v>19</v>
      </c>
      <c r="E55" s="1">
        <v>123</v>
      </c>
      <c r="F55" s="2">
        <v>2568</v>
      </c>
      <c r="G55" s="2">
        <v>182</v>
      </c>
      <c r="H55" s="2">
        <v>202</v>
      </c>
      <c r="I55" s="2">
        <v>33</v>
      </c>
      <c r="J55" s="2">
        <v>185</v>
      </c>
      <c r="K55" s="2">
        <v>161</v>
      </c>
      <c r="L55" s="2">
        <v>1</v>
      </c>
      <c r="M55" s="2">
        <v>5</v>
      </c>
      <c r="N55" s="2">
        <v>8</v>
      </c>
      <c r="O55" s="2">
        <v>2</v>
      </c>
      <c r="P55" s="2">
        <v>1</v>
      </c>
      <c r="Q55" s="2">
        <v>1</v>
      </c>
      <c r="R55" s="2">
        <v>1</v>
      </c>
      <c r="S55" s="2" t="s">
        <v>26</v>
      </c>
      <c r="T55" s="2">
        <v>3</v>
      </c>
      <c r="U55" s="2">
        <v>2</v>
      </c>
      <c r="V55" s="2" t="s">
        <v>15</v>
      </c>
      <c r="W55" s="2" t="s">
        <v>137</v>
      </c>
      <c r="X55" s="3">
        <v>1.4796747967479675</v>
      </c>
      <c r="Y55" s="6">
        <v>15.195266272189349</v>
      </c>
      <c r="Z55" s="1" t="s">
        <v>460</v>
      </c>
      <c r="AA55" s="1">
        <v>2</v>
      </c>
      <c r="AB55" s="12">
        <v>42339</v>
      </c>
      <c r="AC55" t="s">
        <v>524</v>
      </c>
      <c r="AD55" t="s">
        <v>539</v>
      </c>
      <c r="AE55" s="1">
        <v>325</v>
      </c>
      <c r="AF55" s="1">
        <v>22</v>
      </c>
    </row>
    <row r="56" spans="1:32" customFormat="1" ht="99.95" customHeight="1" x14ac:dyDescent="0.25">
      <c r="A56" s="1">
        <v>55</v>
      </c>
      <c r="B56" s="1" t="s">
        <v>139</v>
      </c>
      <c r="C56" t="s">
        <v>140</v>
      </c>
      <c r="D56" s="1">
        <v>24</v>
      </c>
      <c r="E56" s="1">
        <v>136</v>
      </c>
      <c r="F56" s="2">
        <v>1845</v>
      </c>
      <c r="G56" s="2">
        <v>131</v>
      </c>
      <c r="H56" s="2">
        <v>175</v>
      </c>
      <c r="I56" s="2">
        <v>10</v>
      </c>
      <c r="J56" s="2">
        <v>129</v>
      </c>
      <c r="K56" s="2">
        <v>110</v>
      </c>
      <c r="L56" s="2">
        <v>0</v>
      </c>
      <c r="M56" s="2">
        <v>4</v>
      </c>
      <c r="N56" s="2">
        <v>4</v>
      </c>
      <c r="O56" s="2">
        <v>0</v>
      </c>
      <c r="P56" s="2">
        <v>0</v>
      </c>
      <c r="Q56" s="2">
        <v>3</v>
      </c>
      <c r="R56" s="2">
        <v>2</v>
      </c>
      <c r="S56" s="2" t="s">
        <v>26</v>
      </c>
      <c r="T56" s="2">
        <v>0</v>
      </c>
      <c r="U56" s="2">
        <v>0</v>
      </c>
      <c r="V56" s="2" t="s">
        <v>15</v>
      </c>
      <c r="W56" s="2" t="s">
        <v>139</v>
      </c>
      <c r="X56">
        <v>0.96323529411764708</v>
      </c>
      <c r="Y56" s="6">
        <v>11.181818181818182</v>
      </c>
      <c r="Z56" s="1" t="s">
        <v>458</v>
      </c>
      <c r="AA56" s="1">
        <v>5</v>
      </c>
      <c r="AB56" s="12">
        <v>41456</v>
      </c>
      <c r="AC56" t="s">
        <v>476</v>
      </c>
      <c r="AD56" t="s">
        <v>540</v>
      </c>
      <c r="AE56" s="1">
        <v>221</v>
      </c>
      <c r="AF56" s="1">
        <v>16</v>
      </c>
    </row>
    <row r="57" spans="1:32" customFormat="1" ht="99.95" customHeight="1" x14ac:dyDescent="0.25">
      <c r="A57" s="1">
        <v>56</v>
      </c>
      <c r="B57" s="1" t="s">
        <v>141</v>
      </c>
      <c r="C57" t="s">
        <v>142</v>
      </c>
      <c r="D57" s="1">
        <v>13</v>
      </c>
      <c r="E57" s="1">
        <v>76</v>
      </c>
      <c r="F57" s="2">
        <v>905</v>
      </c>
      <c r="G57" s="2">
        <v>82</v>
      </c>
      <c r="H57" s="2">
        <v>83</v>
      </c>
      <c r="I57" s="2">
        <v>5</v>
      </c>
      <c r="J57" s="2">
        <v>70</v>
      </c>
      <c r="K57" s="2">
        <v>57</v>
      </c>
      <c r="L57" s="2">
        <v>2</v>
      </c>
      <c r="M57" s="2">
        <v>1</v>
      </c>
      <c r="N57" s="2">
        <v>1.5</v>
      </c>
      <c r="O57" s="2">
        <v>0</v>
      </c>
      <c r="P57" s="2">
        <v>0</v>
      </c>
      <c r="Q57" s="2">
        <v>2</v>
      </c>
      <c r="R57" s="2">
        <v>1</v>
      </c>
      <c r="S57" s="2" t="s">
        <v>26</v>
      </c>
      <c r="T57" s="2">
        <v>0</v>
      </c>
      <c r="U57" s="2">
        <v>0</v>
      </c>
      <c r="V57" s="2" t="s">
        <v>15</v>
      </c>
      <c r="W57" s="2" t="s">
        <v>141</v>
      </c>
      <c r="X57">
        <v>1.0789473684210527</v>
      </c>
      <c r="Y57" s="6">
        <v>11.602564102564102</v>
      </c>
      <c r="Z57" s="1" t="s">
        <v>456</v>
      </c>
      <c r="AA57" s="1">
        <v>3</v>
      </c>
      <c r="AB57" s="12">
        <v>42339</v>
      </c>
      <c r="AC57" t="s">
        <v>541</v>
      </c>
      <c r="AD57" t="s">
        <v>542</v>
      </c>
      <c r="AE57" s="1">
        <v>188</v>
      </c>
      <c r="AF57" s="1">
        <v>20</v>
      </c>
    </row>
    <row r="58" spans="1:32" customFormat="1" ht="99.95" customHeight="1" x14ac:dyDescent="0.25">
      <c r="A58" s="1">
        <v>57</v>
      </c>
      <c r="B58" s="1" t="s">
        <v>143</v>
      </c>
      <c r="C58" t="s">
        <v>144</v>
      </c>
      <c r="D58" s="1">
        <v>10</v>
      </c>
      <c r="E58" s="1">
        <v>45</v>
      </c>
      <c r="F58" s="2">
        <v>689</v>
      </c>
      <c r="G58" s="2">
        <v>32</v>
      </c>
      <c r="H58" s="2">
        <v>54</v>
      </c>
      <c r="I58" s="2">
        <v>3</v>
      </c>
      <c r="J58" s="2">
        <v>47</v>
      </c>
      <c r="K58" s="2">
        <v>41</v>
      </c>
      <c r="L58" s="2">
        <v>0</v>
      </c>
      <c r="M58" s="2">
        <v>4.5</v>
      </c>
      <c r="N58" s="2">
        <v>4</v>
      </c>
      <c r="O58" s="2">
        <v>1</v>
      </c>
      <c r="P58" s="2">
        <v>1</v>
      </c>
      <c r="Q58" s="2">
        <v>2</v>
      </c>
      <c r="R58" s="2">
        <v>1</v>
      </c>
      <c r="S58" s="2" t="s">
        <v>26</v>
      </c>
      <c r="T58" s="2">
        <v>1</v>
      </c>
      <c r="U58" s="2">
        <v>0</v>
      </c>
      <c r="V58" s="2" t="s">
        <v>15</v>
      </c>
      <c r="W58" s="2" t="s">
        <v>143</v>
      </c>
      <c r="X58">
        <v>0.71111111111111114</v>
      </c>
      <c r="Y58" s="6">
        <v>13.509803921568627</v>
      </c>
      <c r="Z58" s="1" t="s">
        <v>458</v>
      </c>
      <c r="AA58" s="1">
        <v>3</v>
      </c>
      <c r="AB58" s="12">
        <v>41426</v>
      </c>
      <c r="AC58" t="s">
        <v>484</v>
      </c>
      <c r="AD58" t="s">
        <v>543</v>
      </c>
      <c r="AE58" s="1">
        <v>189</v>
      </c>
      <c r="AF58" s="1">
        <v>11</v>
      </c>
    </row>
    <row r="59" spans="1:32" customFormat="1" ht="99.95" customHeight="1" x14ac:dyDescent="0.25">
      <c r="A59" s="1">
        <v>58</v>
      </c>
      <c r="B59" s="1" t="s">
        <v>145</v>
      </c>
      <c r="C59" t="s">
        <v>146</v>
      </c>
      <c r="D59" s="1">
        <v>18</v>
      </c>
      <c r="E59" s="1">
        <v>102</v>
      </c>
      <c r="F59" s="2">
        <v>2167</v>
      </c>
      <c r="G59" s="2">
        <v>181</v>
      </c>
      <c r="H59" s="2">
        <v>161</v>
      </c>
      <c r="I59" s="2">
        <v>20</v>
      </c>
      <c r="J59" s="2">
        <v>122</v>
      </c>
      <c r="K59" s="2">
        <v>78</v>
      </c>
      <c r="L59" s="2">
        <v>0</v>
      </c>
      <c r="M59" s="2">
        <v>0</v>
      </c>
      <c r="N59" s="2">
        <v>0</v>
      </c>
      <c r="O59" s="2">
        <v>2</v>
      </c>
      <c r="P59" s="2">
        <v>4</v>
      </c>
      <c r="Q59" s="2">
        <v>4</v>
      </c>
      <c r="R59" s="2">
        <v>2</v>
      </c>
      <c r="S59" s="2" t="s">
        <v>101</v>
      </c>
      <c r="T59" s="2">
        <v>0</v>
      </c>
      <c r="U59" s="2">
        <v>0</v>
      </c>
      <c r="V59" s="2" t="s">
        <v>15</v>
      </c>
      <c r="W59" s="2" t="s">
        <v>145</v>
      </c>
      <c r="X59" s="3">
        <v>1.7745098039215685</v>
      </c>
      <c r="Y59" s="6">
        <v>15.368794326241135</v>
      </c>
      <c r="Z59" s="1" t="s">
        <v>461</v>
      </c>
      <c r="AA59" s="1">
        <v>6</v>
      </c>
      <c r="AB59" s="12">
        <v>41334</v>
      </c>
      <c r="AC59" t="s">
        <v>488</v>
      </c>
      <c r="AD59" t="s">
        <v>544</v>
      </c>
      <c r="AE59" s="1">
        <v>257</v>
      </c>
      <c r="AF59" s="1">
        <v>24</v>
      </c>
    </row>
    <row r="60" spans="1:32" customFormat="1" ht="99.95" customHeight="1" x14ac:dyDescent="0.25">
      <c r="A60" s="1">
        <v>59</v>
      </c>
      <c r="B60" s="1" t="s">
        <v>147</v>
      </c>
      <c r="C60" t="s">
        <v>148</v>
      </c>
      <c r="D60" s="1">
        <v>20</v>
      </c>
      <c r="E60" s="1">
        <v>136</v>
      </c>
      <c r="F60" s="2">
        <v>1773</v>
      </c>
      <c r="G60" s="2">
        <v>149</v>
      </c>
      <c r="H60" s="2">
        <v>174</v>
      </c>
      <c r="I60" s="2">
        <v>6</v>
      </c>
      <c r="J60" s="2">
        <v>125</v>
      </c>
      <c r="K60" s="2">
        <v>98</v>
      </c>
      <c r="L60" s="2">
        <v>1</v>
      </c>
      <c r="M60" s="2">
        <v>3</v>
      </c>
      <c r="N60" s="2">
        <v>4</v>
      </c>
      <c r="O60" s="2">
        <v>0</v>
      </c>
      <c r="P60" s="2">
        <v>0</v>
      </c>
      <c r="Q60" s="2">
        <v>3</v>
      </c>
      <c r="R60" s="2">
        <v>2</v>
      </c>
      <c r="S60" s="2" t="s">
        <v>26</v>
      </c>
      <c r="T60" s="2">
        <v>0</v>
      </c>
      <c r="U60" s="2">
        <v>2</v>
      </c>
      <c r="V60" s="2" t="s">
        <v>15</v>
      </c>
      <c r="W60" s="2" t="s">
        <v>147</v>
      </c>
      <c r="X60">
        <v>1.0955882352941178</v>
      </c>
      <c r="Y60" s="6">
        <v>10.553571428571429</v>
      </c>
      <c r="Z60" s="1" t="s">
        <v>456</v>
      </c>
      <c r="AA60" s="1">
        <v>5</v>
      </c>
      <c r="AB60" s="12">
        <v>41456</v>
      </c>
      <c r="AC60" t="s">
        <v>476</v>
      </c>
      <c r="AD60" t="s">
        <v>482</v>
      </c>
      <c r="AE60" s="1">
        <v>222</v>
      </c>
      <c r="AF60" s="1">
        <v>27</v>
      </c>
    </row>
    <row r="61" spans="1:32" customFormat="1" ht="99.95" customHeight="1" x14ac:dyDescent="0.25">
      <c r="A61" s="1">
        <v>60</v>
      </c>
      <c r="B61" s="1" t="s">
        <v>149</v>
      </c>
      <c r="C61" t="s">
        <v>150</v>
      </c>
      <c r="D61" s="1">
        <v>17</v>
      </c>
      <c r="E61" s="1">
        <v>122</v>
      </c>
      <c r="F61" s="2">
        <v>2083</v>
      </c>
      <c r="G61" s="2">
        <v>180</v>
      </c>
      <c r="H61" s="2">
        <v>170</v>
      </c>
      <c r="I61" s="2">
        <v>14</v>
      </c>
      <c r="J61" s="2">
        <v>166</v>
      </c>
      <c r="K61" s="2">
        <v>142</v>
      </c>
      <c r="L61" s="2">
        <v>1</v>
      </c>
      <c r="M61" s="2">
        <v>0</v>
      </c>
      <c r="N61" s="2">
        <v>4.5</v>
      </c>
      <c r="O61" s="2">
        <v>1</v>
      </c>
      <c r="P61" s="2">
        <v>1</v>
      </c>
      <c r="Q61" s="2">
        <v>1</v>
      </c>
      <c r="R61" s="2">
        <v>3</v>
      </c>
      <c r="S61" s="2" t="s">
        <v>26</v>
      </c>
      <c r="T61" s="2">
        <v>1</v>
      </c>
      <c r="U61" s="2">
        <v>2</v>
      </c>
      <c r="V61" s="2" t="s">
        <v>15</v>
      </c>
      <c r="W61" s="2" t="s">
        <v>149</v>
      </c>
      <c r="X61" s="5">
        <v>1.4754098360655739</v>
      </c>
      <c r="Y61" s="6">
        <v>13.352564102564102</v>
      </c>
      <c r="Z61" s="1" t="s">
        <v>456</v>
      </c>
      <c r="AA61" s="1">
        <v>4</v>
      </c>
      <c r="AB61" s="12">
        <v>42036</v>
      </c>
      <c r="AC61" t="s">
        <v>527</v>
      </c>
      <c r="AD61" t="s">
        <v>545</v>
      </c>
      <c r="AE61" s="1">
        <v>321</v>
      </c>
      <c r="AF61" s="1">
        <v>30</v>
      </c>
    </row>
    <row r="62" spans="1:32" customFormat="1" ht="99.95" customHeight="1" x14ac:dyDescent="0.25">
      <c r="A62" s="1">
        <v>61</v>
      </c>
      <c r="B62" s="1" t="s">
        <v>151</v>
      </c>
      <c r="C62" t="s">
        <v>152</v>
      </c>
      <c r="D62" s="1">
        <v>4</v>
      </c>
      <c r="E62" s="1">
        <v>29</v>
      </c>
      <c r="F62" s="2">
        <v>434</v>
      </c>
      <c r="G62" s="2">
        <v>41</v>
      </c>
      <c r="H62" s="2">
        <v>35</v>
      </c>
      <c r="I62" s="2">
        <v>5</v>
      </c>
      <c r="J62" s="2">
        <v>46</v>
      </c>
      <c r="K62" s="2">
        <v>21</v>
      </c>
      <c r="L62" s="2">
        <v>1</v>
      </c>
      <c r="M62" s="2">
        <v>2</v>
      </c>
      <c r="N62" s="2">
        <v>1</v>
      </c>
      <c r="O62" s="2">
        <v>0</v>
      </c>
      <c r="P62" s="2">
        <v>1</v>
      </c>
      <c r="Q62" s="2">
        <v>2</v>
      </c>
      <c r="R62" s="2">
        <v>0</v>
      </c>
      <c r="S62" s="2" t="s">
        <v>40</v>
      </c>
      <c r="T62" s="2">
        <v>0</v>
      </c>
      <c r="U62" s="2">
        <v>0</v>
      </c>
      <c r="V62" s="2" t="s">
        <v>15</v>
      </c>
      <c r="W62" s="2" t="s">
        <v>151</v>
      </c>
      <c r="X62">
        <v>1.4137931034482758</v>
      </c>
      <c r="Y62" s="6">
        <v>14.466666666666667</v>
      </c>
      <c r="Z62" s="1" t="s">
        <v>460</v>
      </c>
      <c r="AA62" s="1">
        <v>2</v>
      </c>
      <c r="AB62" s="12">
        <v>43952</v>
      </c>
      <c r="AC62" t="s">
        <v>494</v>
      </c>
      <c r="AD62" t="s">
        <v>546</v>
      </c>
      <c r="AE62" s="1">
        <v>169</v>
      </c>
      <c r="AF62" s="1">
        <v>11</v>
      </c>
    </row>
    <row r="63" spans="1:32" customFormat="1" ht="99.95" customHeight="1" x14ac:dyDescent="0.25">
      <c r="A63" s="1">
        <v>62</v>
      </c>
      <c r="B63" s="1" t="s">
        <v>153</v>
      </c>
      <c r="C63" t="s">
        <v>154</v>
      </c>
      <c r="D63" s="1">
        <v>25</v>
      </c>
      <c r="E63" s="1">
        <v>146</v>
      </c>
      <c r="F63" s="2">
        <v>2540</v>
      </c>
      <c r="G63" s="2">
        <v>213</v>
      </c>
      <c r="H63" s="2">
        <v>215</v>
      </c>
      <c r="I63" s="2">
        <v>28</v>
      </c>
      <c r="J63" s="2">
        <v>138</v>
      </c>
      <c r="K63" s="2">
        <v>129</v>
      </c>
      <c r="L63" s="2">
        <v>1</v>
      </c>
      <c r="M63" s="2">
        <v>6</v>
      </c>
      <c r="N63" s="2">
        <v>2</v>
      </c>
      <c r="O63" s="2">
        <v>1</v>
      </c>
      <c r="P63" s="2">
        <v>0</v>
      </c>
      <c r="Q63" s="2">
        <v>3</v>
      </c>
      <c r="R63" s="2">
        <v>0</v>
      </c>
      <c r="S63" s="2" t="s">
        <v>26</v>
      </c>
      <c r="T63" s="2">
        <v>1</v>
      </c>
      <c r="U63" s="2">
        <v>0</v>
      </c>
      <c r="V63" s="2" t="s">
        <v>15</v>
      </c>
      <c r="W63" s="2" t="s">
        <v>153</v>
      </c>
      <c r="X63">
        <v>1.4589041095890412</v>
      </c>
      <c r="Y63" s="6">
        <v>13.582887700534759</v>
      </c>
      <c r="Z63" s="1" t="s">
        <v>456</v>
      </c>
      <c r="AA63" s="1">
        <v>3</v>
      </c>
      <c r="AB63" s="12">
        <v>41334</v>
      </c>
      <c r="AC63" t="s">
        <v>488</v>
      </c>
      <c r="AD63" t="s">
        <v>544</v>
      </c>
      <c r="AE63" s="1">
        <v>270</v>
      </c>
      <c r="AF63" s="1">
        <v>26</v>
      </c>
    </row>
    <row r="64" spans="1:32" customFormat="1" ht="99.95" customHeight="1" x14ac:dyDescent="0.25">
      <c r="A64" s="1">
        <v>63</v>
      </c>
      <c r="B64" s="1" t="s">
        <v>155</v>
      </c>
      <c r="C64" s="7" t="s">
        <v>156</v>
      </c>
      <c r="D64" s="1">
        <v>14</v>
      </c>
      <c r="E64" s="1">
        <v>74</v>
      </c>
      <c r="F64" s="2">
        <v>1161</v>
      </c>
      <c r="G64" s="2">
        <v>67</v>
      </c>
      <c r="H64" s="2">
        <v>105</v>
      </c>
      <c r="I64" s="2">
        <v>5</v>
      </c>
      <c r="J64" s="2">
        <v>84</v>
      </c>
      <c r="K64" s="2">
        <v>79</v>
      </c>
      <c r="L64" s="2">
        <v>0</v>
      </c>
      <c r="M64" s="2">
        <v>1</v>
      </c>
      <c r="N64" s="2">
        <v>1</v>
      </c>
      <c r="O64" s="2">
        <v>0</v>
      </c>
      <c r="P64" s="2">
        <v>0</v>
      </c>
      <c r="Q64" s="2">
        <v>0</v>
      </c>
      <c r="R64" s="2">
        <v>1</v>
      </c>
      <c r="S64" s="2" t="s">
        <v>40</v>
      </c>
      <c r="T64" s="2">
        <v>1</v>
      </c>
      <c r="U64" s="2">
        <v>0</v>
      </c>
      <c r="V64" s="2" t="s">
        <v>15</v>
      </c>
      <c r="W64" s="2" t="s">
        <v>155</v>
      </c>
      <c r="X64">
        <v>0.90540540540540537</v>
      </c>
      <c r="Y64" s="6">
        <v>11.61</v>
      </c>
      <c r="Z64" s="1" t="s">
        <v>458</v>
      </c>
      <c r="AA64" s="1">
        <v>1</v>
      </c>
      <c r="AB64" s="12">
        <v>41487</v>
      </c>
      <c r="AC64" t="s">
        <v>492</v>
      </c>
      <c r="AD64" t="s">
        <v>547</v>
      </c>
      <c r="AE64" s="1">
        <v>287</v>
      </c>
      <c r="AF64" s="1">
        <v>14</v>
      </c>
    </row>
    <row r="65" spans="1:32" customFormat="1" ht="99.95" customHeight="1" x14ac:dyDescent="0.25">
      <c r="A65" s="1">
        <v>64</v>
      </c>
      <c r="B65" s="1" t="s">
        <v>157</v>
      </c>
      <c r="C65" t="s">
        <v>158</v>
      </c>
      <c r="D65" s="1">
        <v>18</v>
      </c>
      <c r="E65" s="1">
        <v>108</v>
      </c>
      <c r="F65" s="2">
        <v>1604</v>
      </c>
      <c r="G65" s="2">
        <v>124</v>
      </c>
      <c r="H65" s="2">
        <v>131</v>
      </c>
      <c r="I65" s="2">
        <v>18</v>
      </c>
      <c r="J65" s="2">
        <v>90</v>
      </c>
      <c r="K65" s="2">
        <v>112</v>
      </c>
      <c r="L65" s="2">
        <v>4</v>
      </c>
      <c r="M65" s="2">
        <v>3</v>
      </c>
      <c r="N65" s="2">
        <v>2</v>
      </c>
      <c r="O65" s="2">
        <v>1</v>
      </c>
      <c r="P65" s="2">
        <v>0</v>
      </c>
      <c r="Q65" s="2">
        <v>2</v>
      </c>
      <c r="R65" s="2">
        <v>2</v>
      </c>
      <c r="S65" s="2" t="s">
        <v>26</v>
      </c>
      <c r="T65" s="2">
        <v>0</v>
      </c>
      <c r="U65" s="2">
        <v>1</v>
      </c>
      <c r="V65" s="2" t="s">
        <v>15</v>
      </c>
      <c r="W65" s="2" t="s">
        <v>157</v>
      </c>
      <c r="X65">
        <v>1.1481481481481481</v>
      </c>
      <c r="Y65" s="6">
        <v>14.194690265486726</v>
      </c>
      <c r="Z65" s="1" t="s">
        <v>457</v>
      </c>
      <c r="AA65" s="1">
        <v>4</v>
      </c>
      <c r="AB65" s="12">
        <v>41609</v>
      </c>
      <c r="AC65" t="s">
        <v>503</v>
      </c>
      <c r="AD65" t="s">
        <v>522</v>
      </c>
      <c r="AE65" s="1">
        <v>237</v>
      </c>
      <c r="AF65" s="1">
        <v>29</v>
      </c>
    </row>
    <row r="66" spans="1:32" customFormat="1" ht="99.95" customHeight="1" x14ac:dyDescent="0.25">
      <c r="A66" s="1">
        <v>65</v>
      </c>
      <c r="B66" s="1" t="s">
        <v>159</v>
      </c>
      <c r="C66" t="s">
        <v>160</v>
      </c>
      <c r="D66" s="1">
        <v>14</v>
      </c>
      <c r="E66" s="1">
        <v>85</v>
      </c>
      <c r="F66" s="2">
        <v>1179</v>
      </c>
      <c r="G66" s="2">
        <v>121</v>
      </c>
      <c r="H66" s="2">
        <v>116</v>
      </c>
      <c r="I66" s="2">
        <v>7</v>
      </c>
      <c r="J66" s="2">
        <v>75</v>
      </c>
      <c r="K66" s="2">
        <v>58</v>
      </c>
      <c r="L66" s="2">
        <v>0</v>
      </c>
      <c r="M66" s="2">
        <v>2</v>
      </c>
      <c r="N66" s="2">
        <v>1.5</v>
      </c>
      <c r="O66" s="2">
        <v>0</v>
      </c>
      <c r="P66" s="2">
        <v>0</v>
      </c>
      <c r="Q66" s="2">
        <v>1</v>
      </c>
      <c r="R66" s="2">
        <v>2</v>
      </c>
      <c r="S66" s="2" t="s">
        <v>26</v>
      </c>
      <c r="T66" s="2">
        <v>0</v>
      </c>
      <c r="U66" s="2">
        <v>0</v>
      </c>
      <c r="V66" s="2" t="s">
        <v>15</v>
      </c>
      <c r="W66" s="2" t="s">
        <v>159</v>
      </c>
      <c r="X66">
        <v>1.4235294117647059</v>
      </c>
      <c r="Y66" s="6">
        <v>10.81651376146789</v>
      </c>
      <c r="Z66" s="1" t="s">
        <v>456</v>
      </c>
      <c r="AA66" s="1">
        <v>3</v>
      </c>
      <c r="AB66" s="12">
        <v>41456</v>
      </c>
      <c r="AC66" t="s">
        <v>476</v>
      </c>
      <c r="AD66" t="s">
        <v>530</v>
      </c>
      <c r="AE66" s="1">
        <v>288</v>
      </c>
      <c r="AF66" s="1">
        <v>23</v>
      </c>
    </row>
    <row r="67" spans="1:32" customFormat="1" ht="99.95" customHeight="1" x14ac:dyDescent="0.25">
      <c r="A67" s="1">
        <v>66</v>
      </c>
      <c r="B67" s="1" t="s">
        <v>161</v>
      </c>
      <c r="C67" t="s">
        <v>162</v>
      </c>
      <c r="D67" s="1">
        <v>2</v>
      </c>
      <c r="E67" s="1">
        <v>15</v>
      </c>
      <c r="F67" s="2">
        <v>97</v>
      </c>
      <c r="G67" s="2">
        <v>13</v>
      </c>
      <c r="H67" s="2">
        <v>14</v>
      </c>
      <c r="I67" s="2">
        <v>0</v>
      </c>
      <c r="J67" s="2">
        <v>4</v>
      </c>
      <c r="K67" s="2">
        <v>5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1</v>
      </c>
      <c r="R67" s="2">
        <v>0</v>
      </c>
      <c r="S67" s="2" t="s">
        <v>163</v>
      </c>
      <c r="T67" s="2">
        <v>0</v>
      </c>
      <c r="U67" s="2">
        <v>0</v>
      </c>
      <c r="V67" s="2" t="s">
        <v>15</v>
      </c>
      <c r="W67" s="2" t="s">
        <v>161</v>
      </c>
      <c r="X67">
        <v>0.8666666666666667</v>
      </c>
      <c r="Y67" s="6">
        <v>6.9285714285714288</v>
      </c>
      <c r="Z67" s="1" t="s">
        <v>457</v>
      </c>
      <c r="AA67" s="1">
        <v>1</v>
      </c>
      <c r="AB67" s="12">
        <v>42036</v>
      </c>
      <c r="AC67" t="s">
        <v>527</v>
      </c>
      <c r="AD67" t="s">
        <v>548</v>
      </c>
      <c r="AE67" s="1">
        <v>74</v>
      </c>
      <c r="AF67" s="1">
        <v>12</v>
      </c>
    </row>
    <row r="68" spans="1:32" customFormat="1" ht="99.95" customHeight="1" x14ac:dyDescent="0.25">
      <c r="A68" s="1">
        <v>67</v>
      </c>
      <c r="B68" s="1" t="s">
        <v>164</v>
      </c>
      <c r="C68" s="7" t="s">
        <v>165</v>
      </c>
      <c r="D68" s="1">
        <v>3</v>
      </c>
      <c r="E68" s="1">
        <v>19</v>
      </c>
      <c r="F68" s="2">
        <v>317</v>
      </c>
      <c r="G68" s="2">
        <v>22</v>
      </c>
      <c r="H68" s="2">
        <v>28</v>
      </c>
      <c r="I68" s="2">
        <v>3</v>
      </c>
      <c r="J68" s="2">
        <v>27</v>
      </c>
      <c r="K68" s="2">
        <v>15</v>
      </c>
      <c r="L68" s="2">
        <v>2</v>
      </c>
      <c r="M68" s="2">
        <v>3</v>
      </c>
      <c r="N68" s="2">
        <v>1</v>
      </c>
      <c r="O68" s="2">
        <v>0</v>
      </c>
      <c r="P68" s="2">
        <v>0</v>
      </c>
      <c r="Q68" s="2">
        <v>0</v>
      </c>
      <c r="R68" s="2">
        <v>0</v>
      </c>
      <c r="S68" s="2" t="s">
        <v>40</v>
      </c>
      <c r="T68" s="2">
        <v>0</v>
      </c>
      <c r="U68" s="2">
        <v>0</v>
      </c>
      <c r="V68" s="2" t="s">
        <v>15</v>
      </c>
      <c r="W68" s="2" t="s">
        <v>164</v>
      </c>
      <c r="X68">
        <v>1.1578947368421053</v>
      </c>
      <c r="Y68" s="6">
        <v>12.68</v>
      </c>
      <c r="Z68" s="1" t="s">
        <v>456</v>
      </c>
      <c r="AA68" s="1">
        <v>0</v>
      </c>
      <c r="AB68" s="12">
        <v>41699</v>
      </c>
      <c r="AC68" t="s">
        <v>473</v>
      </c>
      <c r="AD68" t="s">
        <v>549</v>
      </c>
      <c r="AE68" s="1">
        <v>225</v>
      </c>
      <c r="AF68" s="1">
        <v>17</v>
      </c>
    </row>
    <row r="69" spans="1:32" customFormat="1" ht="99.95" customHeight="1" x14ac:dyDescent="0.25">
      <c r="A69" s="1">
        <v>68</v>
      </c>
      <c r="B69" s="1" t="s">
        <v>166</v>
      </c>
      <c r="C69" t="s">
        <v>167</v>
      </c>
      <c r="D69" s="1">
        <v>1</v>
      </c>
      <c r="E69" s="1">
        <v>8</v>
      </c>
      <c r="F69" s="2">
        <v>81</v>
      </c>
      <c r="G69" s="2">
        <v>3</v>
      </c>
      <c r="H69" s="2">
        <v>8</v>
      </c>
      <c r="I69" s="2">
        <v>0</v>
      </c>
      <c r="J69" s="2">
        <v>2</v>
      </c>
      <c r="K69" s="2">
        <v>4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 t="s">
        <v>101</v>
      </c>
      <c r="T69" s="2">
        <v>0</v>
      </c>
      <c r="U69" s="2">
        <v>0</v>
      </c>
      <c r="V69" s="2" t="s">
        <v>15</v>
      </c>
      <c r="W69" s="2" t="s">
        <v>166</v>
      </c>
      <c r="X69">
        <v>0.375</v>
      </c>
      <c r="Y69" s="6">
        <v>10.125</v>
      </c>
      <c r="Z69" s="1" t="s">
        <v>458</v>
      </c>
      <c r="AA69" s="1">
        <v>0</v>
      </c>
      <c r="AB69" s="12">
        <v>44013</v>
      </c>
      <c r="AC69" t="s">
        <v>496</v>
      </c>
      <c r="AD69" t="s">
        <v>550</v>
      </c>
      <c r="AE69" s="1">
        <v>81</v>
      </c>
      <c r="AF69" s="1">
        <v>3</v>
      </c>
    </row>
    <row r="70" spans="1:32" customFormat="1" ht="99.95" customHeight="1" x14ac:dyDescent="0.25">
      <c r="A70" s="1">
        <v>69</v>
      </c>
      <c r="B70" s="1" t="s">
        <v>168</v>
      </c>
      <c r="C70" t="s">
        <v>169</v>
      </c>
      <c r="D70" s="1">
        <v>5</v>
      </c>
      <c r="E70" s="1">
        <v>32</v>
      </c>
      <c r="F70" s="2">
        <v>610</v>
      </c>
      <c r="G70" s="2">
        <v>12</v>
      </c>
      <c r="H70" s="2">
        <v>40</v>
      </c>
      <c r="I70" s="2">
        <v>4</v>
      </c>
      <c r="J70" s="2">
        <v>37</v>
      </c>
      <c r="K70" s="2">
        <v>31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2</v>
      </c>
      <c r="R70" s="2">
        <v>0</v>
      </c>
      <c r="S70" s="2" t="s">
        <v>51</v>
      </c>
      <c r="T70" s="2">
        <v>0</v>
      </c>
      <c r="U70" s="2">
        <v>0</v>
      </c>
      <c r="V70" s="2" t="s">
        <v>15</v>
      </c>
      <c r="W70" s="2" t="s">
        <v>168</v>
      </c>
      <c r="X70">
        <v>0.375</v>
      </c>
      <c r="Y70" s="6">
        <v>16.944444444444443</v>
      </c>
      <c r="Z70" s="1" t="s">
        <v>458</v>
      </c>
      <c r="AA70" s="1">
        <v>2</v>
      </c>
      <c r="AB70" s="12">
        <v>42036</v>
      </c>
      <c r="AC70" t="s">
        <v>527</v>
      </c>
      <c r="AD70" t="s">
        <v>551</v>
      </c>
      <c r="AE70" s="1">
        <v>319</v>
      </c>
      <c r="AF70" s="1">
        <v>6</v>
      </c>
    </row>
    <row r="71" spans="1:32" customFormat="1" ht="99.95" customHeight="1" x14ac:dyDescent="0.25">
      <c r="A71" s="1">
        <v>70</v>
      </c>
      <c r="B71" s="1" t="s">
        <v>170</v>
      </c>
      <c r="C71" t="s">
        <v>171</v>
      </c>
      <c r="D71" s="1">
        <v>10</v>
      </c>
      <c r="E71" s="1">
        <v>59</v>
      </c>
      <c r="F71" s="2">
        <v>624</v>
      </c>
      <c r="G71" s="2">
        <v>69</v>
      </c>
      <c r="H71" s="2">
        <v>70</v>
      </c>
      <c r="I71" s="2">
        <v>9</v>
      </c>
      <c r="J71" s="2">
        <v>35</v>
      </c>
      <c r="K71" s="2">
        <v>39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3</v>
      </c>
      <c r="R71" s="2">
        <v>1</v>
      </c>
      <c r="S71" s="2" t="s">
        <v>84</v>
      </c>
      <c r="T71" s="2">
        <v>0</v>
      </c>
      <c r="U71" s="2">
        <v>0</v>
      </c>
      <c r="V71" s="2" t="s">
        <v>15</v>
      </c>
      <c r="W71" s="2" t="s">
        <v>170</v>
      </c>
      <c r="X71">
        <v>1.1694915254237288</v>
      </c>
      <c r="Y71" s="6">
        <v>10.229508196721312</v>
      </c>
      <c r="Z71" s="1" t="s">
        <v>456</v>
      </c>
      <c r="AA71" s="1">
        <v>4</v>
      </c>
      <c r="AB71" s="12">
        <v>41456</v>
      </c>
      <c r="AC71" t="s">
        <v>478</v>
      </c>
      <c r="AD71" t="s">
        <v>552</v>
      </c>
      <c r="AE71" s="1">
        <v>198</v>
      </c>
      <c r="AF71" s="1">
        <v>15</v>
      </c>
    </row>
    <row r="72" spans="1:32" customFormat="1" ht="99.95" customHeight="1" x14ac:dyDescent="0.25">
      <c r="A72" s="1">
        <v>71</v>
      </c>
      <c r="B72" s="1" t="s">
        <v>172</v>
      </c>
      <c r="C72" t="s">
        <v>173</v>
      </c>
      <c r="D72" s="1">
        <v>10</v>
      </c>
      <c r="E72" s="1">
        <v>67</v>
      </c>
      <c r="F72" s="2">
        <v>774</v>
      </c>
      <c r="G72" s="2">
        <v>66</v>
      </c>
      <c r="H72" s="2">
        <v>69</v>
      </c>
      <c r="I72" s="2">
        <v>29</v>
      </c>
      <c r="J72" s="2">
        <v>59</v>
      </c>
      <c r="K72" s="2">
        <v>34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1</v>
      </c>
      <c r="S72" s="2" t="s">
        <v>51</v>
      </c>
      <c r="T72" s="2">
        <v>0</v>
      </c>
      <c r="U72" s="2">
        <v>0</v>
      </c>
      <c r="V72" s="2" t="s">
        <v>15</v>
      </c>
      <c r="W72" s="2" t="s">
        <v>172</v>
      </c>
      <c r="X72">
        <v>0.9850746268656716</v>
      </c>
      <c r="Y72" s="6">
        <v>19.350000000000001</v>
      </c>
      <c r="Z72" s="1" t="s">
        <v>458</v>
      </c>
      <c r="AA72" s="1">
        <v>1</v>
      </c>
      <c r="AB72" s="12">
        <v>42036</v>
      </c>
      <c r="AC72" t="s">
        <v>527</v>
      </c>
      <c r="AD72" t="s">
        <v>528</v>
      </c>
      <c r="AE72" s="1">
        <v>153</v>
      </c>
      <c r="AF72" s="1">
        <v>14</v>
      </c>
    </row>
    <row r="73" spans="1:32" customFormat="1" ht="99.95" customHeight="1" x14ac:dyDescent="0.25">
      <c r="A73" s="1">
        <v>72</v>
      </c>
      <c r="B73" s="1" t="s">
        <v>174</v>
      </c>
      <c r="C73" t="s">
        <v>175</v>
      </c>
      <c r="D73" s="1">
        <v>15</v>
      </c>
      <c r="E73" s="1">
        <v>96</v>
      </c>
      <c r="F73" s="2">
        <v>1298</v>
      </c>
      <c r="G73" s="2">
        <v>97</v>
      </c>
      <c r="H73" s="2">
        <v>113</v>
      </c>
      <c r="I73" s="2">
        <v>5</v>
      </c>
      <c r="J73" s="2">
        <v>94</v>
      </c>
      <c r="K73" s="2">
        <v>70</v>
      </c>
      <c r="L73" s="2">
        <v>0</v>
      </c>
      <c r="M73" s="2">
        <v>2</v>
      </c>
      <c r="N73" s="2">
        <v>0</v>
      </c>
      <c r="O73" s="2">
        <v>0</v>
      </c>
      <c r="P73" s="2">
        <v>0</v>
      </c>
      <c r="Q73" s="2">
        <v>2</v>
      </c>
      <c r="R73" s="2">
        <v>1</v>
      </c>
      <c r="S73" s="2" t="s">
        <v>26</v>
      </c>
      <c r="T73" s="2">
        <v>0</v>
      </c>
      <c r="U73" s="2">
        <v>0</v>
      </c>
      <c r="V73" s="2" t="s">
        <v>15</v>
      </c>
      <c r="W73" s="2" t="s">
        <v>174</v>
      </c>
      <c r="X73">
        <v>1.0104166666666667</v>
      </c>
      <c r="Y73" s="6">
        <v>12.018518518518519</v>
      </c>
      <c r="Z73" s="1" t="s">
        <v>456</v>
      </c>
      <c r="AA73" s="1">
        <v>3</v>
      </c>
      <c r="AB73" s="12">
        <v>41699</v>
      </c>
      <c r="AC73" t="s">
        <v>473</v>
      </c>
      <c r="AD73" t="s">
        <v>549</v>
      </c>
      <c r="AE73" s="1">
        <v>196</v>
      </c>
      <c r="AF73" s="1">
        <v>16</v>
      </c>
    </row>
    <row r="74" spans="1:32" customFormat="1" ht="99.95" customHeight="1" x14ac:dyDescent="0.25">
      <c r="A74" s="1">
        <v>73</v>
      </c>
      <c r="B74" s="1" t="s">
        <v>176</v>
      </c>
      <c r="C74" t="s">
        <v>177</v>
      </c>
      <c r="D74" s="1">
        <v>5</v>
      </c>
      <c r="E74" s="1">
        <v>33</v>
      </c>
      <c r="F74" s="2">
        <v>346</v>
      </c>
      <c r="G74" s="2">
        <v>31</v>
      </c>
      <c r="H74" s="2">
        <v>42</v>
      </c>
      <c r="I74" s="2">
        <v>5</v>
      </c>
      <c r="J74" s="2">
        <v>36</v>
      </c>
      <c r="K74" s="2">
        <v>14</v>
      </c>
      <c r="L74" s="2">
        <v>2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 t="s">
        <v>40</v>
      </c>
      <c r="T74" s="2">
        <v>0</v>
      </c>
      <c r="U74" s="2">
        <v>0</v>
      </c>
      <c r="V74" s="2" t="s">
        <v>15</v>
      </c>
      <c r="W74" s="2" t="s">
        <v>176</v>
      </c>
      <c r="X74">
        <v>0.93939393939393945</v>
      </c>
      <c r="Y74" s="6">
        <v>9.3513513513513509</v>
      </c>
      <c r="Z74" s="1" t="s">
        <v>457</v>
      </c>
      <c r="AA74" s="1">
        <v>0</v>
      </c>
      <c r="AB74" s="12">
        <v>42795</v>
      </c>
      <c r="AC74" t="s">
        <v>553</v>
      </c>
      <c r="AD74" t="s">
        <v>554</v>
      </c>
      <c r="AE74" s="1">
        <v>83</v>
      </c>
      <c r="AF74" s="1">
        <v>13</v>
      </c>
    </row>
    <row r="75" spans="1:32" customFormat="1" ht="99.95" customHeight="1" x14ac:dyDescent="0.25">
      <c r="A75" s="1">
        <v>74</v>
      </c>
      <c r="B75" s="1" t="s">
        <v>178</v>
      </c>
      <c r="C75" t="s">
        <v>179</v>
      </c>
      <c r="D75" s="1">
        <v>3</v>
      </c>
      <c r="E75" s="1">
        <v>20</v>
      </c>
      <c r="F75" s="2">
        <v>263</v>
      </c>
      <c r="G75" s="2">
        <v>19</v>
      </c>
      <c r="H75" s="2">
        <v>27</v>
      </c>
      <c r="I75" s="2">
        <v>2</v>
      </c>
      <c r="J75" s="2">
        <v>24</v>
      </c>
      <c r="K75" s="2">
        <v>13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 t="s">
        <v>48</v>
      </c>
      <c r="T75" s="2">
        <v>0</v>
      </c>
      <c r="U75" s="2">
        <v>0</v>
      </c>
      <c r="V75" s="2" t="s">
        <v>15</v>
      </c>
      <c r="W75" s="2" t="s">
        <v>178</v>
      </c>
      <c r="X75">
        <v>0.95</v>
      </c>
      <c r="Y75" s="6">
        <v>10.52</v>
      </c>
      <c r="Z75" s="1" t="s">
        <v>458</v>
      </c>
      <c r="AA75" s="1">
        <v>0</v>
      </c>
      <c r="AB75" s="12">
        <v>42401</v>
      </c>
      <c r="AC75" t="s">
        <v>498</v>
      </c>
      <c r="AD75" t="s">
        <v>555</v>
      </c>
      <c r="AE75" s="1">
        <v>129</v>
      </c>
      <c r="AF75" s="1">
        <v>11</v>
      </c>
    </row>
    <row r="76" spans="1:32" customFormat="1" ht="99.95" customHeight="1" x14ac:dyDescent="0.25">
      <c r="A76" s="1">
        <v>75</v>
      </c>
      <c r="B76" s="1" t="s">
        <v>180</v>
      </c>
      <c r="C76" t="s">
        <v>181</v>
      </c>
      <c r="D76" s="1">
        <v>10</v>
      </c>
      <c r="E76" s="1">
        <v>63</v>
      </c>
      <c r="F76" s="2">
        <v>882</v>
      </c>
      <c r="G76" s="2">
        <v>84</v>
      </c>
      <c r="H76" s="2">
        <v>80</v>
      </c>
      <c r="I76" s="2">
        <v>7</v>
      </c>
      <c r="J76" s="2">
        <v>65</v>
      </c>
      <c r="K76" s="2">
        <v>48</v>
      </c>
      <c r="L76" s="2">
        <v>1</v>
      </c>
      <c r="M76" s="2">
        <v>0</v>
      </c>
      <c r="N76" s="2">
        <v>0</v>
      </c>
      <c r="O76" s="2">
        <v>0</v>
      </c>
      <c r="P76" s="2">
        <v>0</v>
      </c>
      <c r="Q76" s="2">
        <v>1</v>
      </c>
      <c r="R76" s="2">
        <v>1</v>
      </c>
      <c r="S76" s="2" t="s">
        <v>48</v>
      </c>
      <c r="T76" s="2">
        <v>0</v>
      </c>
      <c r="U76" s="2">
        <v>0</v>
      </c>
      <c r="V76" s="2" t="s">
        <v>15</v>
      </c>
      <c r="W76" s="2" t="s">
        <v>180</v>
      </c>
      <c r="X76">
        <v>1.3333333333333333</v>
      </c>
      <c r="Y76" s="6">
        <v>12.082191780821917</v>
      </c>
      <c r="Z76" s="1" t="s">
        <v>456</v>
      </c>
      <c r="AA76" s="1">
        <v>2</v>
      </c>
      <c r="AB76" s="12">
        <v>41456</v>
      </c>
      <c r="AC76" t="s">
        <v>476</v>
      </c>
      <c r="AD76" t="s">
        <v>490</v>
      </c>
      <c r="AE76" s="1">
        <v>222</v>
      </c>
      <c r="AF76" s="1">
        <v>16</v>
      </c>
    </row>
    <row r="77" spans="1:32" customFormat="1" ht="99.95" customHeight="1" x14ac:dyDescent="0.25">
      <c r="A77" s="1">
        <v>76</v>
      </c>
      <c r="B77" s="1" t="s">
        <v>182</v>
      </c>
      <c r="C77" t="s">
        <v>183</v>
      </c>
      <c r="D77" s="1">
        <v>8</v>
      </c>
      <c r="E77" s="1">
        <v>49</v>
      </c>
      <c r="F77" s="2">
        <v>566</v>
      </c>
      <c r="G77" s="2">
        <v>34</v>
      </c>
      <c r="H77" s="2">
        <v>53</v>
      </c>
      <c r="I77" s="2">
        <v>1</v>
      </c>
      <c r="J77" s="2">
        <v>43</v>
      </c>
      <c r="K77" s="2">
        <v>34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1</v>
      </c>
      <c r="S77" s="2" t="s">
        <v>43</v>
      </c>
      <c r="T77" s="2">
        <v>0</v>
      </c>
      <c r="U77" s="2">
        <v>0</v>
      </c>
      <c r="V77" s="2" t="s">
        <v>15</v>
      </c>
      <c r="W77" s="2" t="s">
        <v>182</v>
      </c>
      <c r="X77">
        <v>0.69387755102040816</v>
      </c>
      <c r="Y77" s="6">
        <v>10.884615384615385</v>
      </c>
      <c r="Z77" s="1" t="s">
        <v>458</v>
      </c>
      <c r="AA77" s="1">
        <v>1</v>
      </c>
      <c r="AB77" s="12">
        <v>42339</v>
      </c>
      <c r="AC77" t="s">
        <v>524</v>
      </c>
      <c r="AD77" t="s">
        <v>539</v>
      </c>
      <c r="AE77" s="1">
        <v>176</v>
      </c>
      <c r="AF77" s="1">
        <v>7</v>
      </c>
    </row>
    <row r="78" spans="1:32" customFormat="1" ht="99.95" customHeight="1" x14ac:dyDescent="0.25">
      <c r="A78" s="1">
        <v>77</v>
      </c>
      <c r="B78" s="1" t="s">
        <v>184</v>
      </c>
      <c r="C78" t="s">
        <v>185</v>
      </c>
      <c r="D78" s="1">
        <v>16</v>
      </c>
      <c r="E78" s="1">
        <v>59</v>
      </c>
      <c r="F78" s="2">
        <v>1085</v>
      </c>
      <c r="G78" s="2">
        <v>100</v>
      </c>
      <c r="H78" s="2">
        <v>81</v>
      </c>
      <c r="I78" s="2">
        <v>5</v>
      </c>
      <c r="J78" s="2">
        <v>28</v>
      </c>
      <c r="K78" s="2">
        <v>44</v>
      </c>
      <c r="L78" s="2">
        <v>0</v>
      </c>
      <c r="M78" s="2">
        <v>0</v>
      </c>
      <c r="N78" s="2">
        <v>0</v>
      </c>
      <c r="O78" s="2">
        <v>1</v>
      </c>
      <c r="P78" s="2">
        <v>0</v>
      </c>
      <c r="Q78" s="2">
        <v>4</v>
      </c>
      <c r="R78" s="2">
        <v>0</v>
      </c>
      <c r="S78" s="2" t="s">
        <v>186</v>
      </c>
      <c r="T78" s="2">
        <v>1</v>
      </c>
      <c r="U78" s="2">
        <v>2</v>
      </c>
      <c r="V78" s="2" t="s">
        <v>15</v>
      </c>
      <c r="W78" s="2" t="s">
        <v>184</v>
      </c>
      <c r="X78" s="5">
        <v>1.6949152542372881</v>
      </c>
      <c r="Y78" s="6">
        <v>14.276315789473685</v>
      </c>
      <c r="Z78" s="1" t="s">
        <v>460</v>
      </c>
      <c r="AA78" s="1">
        <v>4</v>
      </c>
      <c r="AB78" s="12">
        <v>41334</v>
      </c>
      <c r="AC78" t="s">
        <v>488</v>
      </c>
      <c r="AD78" t="s">
        <v>505</v>
      </c>
      <c r="AE78" s="1">
        <v>333</v>
      </c>
      <c r="AF78" s="1">
        <v>22</v>
      </c>
    </row>
    <row r="79" spans="1:32" customFormat="1" ht="99.95" customHeight="1" x14ac:dyDescent="0.25">
      <c r="A79" s="1">
        <v>78</v>
      </c>
      <c r="B79" s="1" t="s">
        <v>187</v>
      </c>
      <c r="C79" t="s">
        <v>188</v>
      </c>
      <c r="D79" s="1">
        <v>3</v>
      </c>
      <c r="E79" s="1">
        <v>19</v>
      </c>
      <c r="F79" s="2">
        <v>262</v>
      </c>
      <c r="G79" s="2">
        <v>19</v>
      </c>
      <c r="H79" s="2">
        <v>24</v>
      </c>
      <c r="I79" s="2">
        <v>1</v>
      </c>
      <c r="J79" s="2">
        <v>22</v>
      </c>
      <c r="K79" s="2">
        <v>16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 t="s">
        <v>84</v>
      </c>
      <c r="T79" s="2">
        <v>0</v>
      </c>
      <c r="U79" s="2">
        <v>0</v>
      </c>
      <c r="V79" s="2" t="s">
        <v>15</v>
      </c>
      <c r="W79" s="2" t="s">
        <v>187</v>
      </c>
      <c r="X79">
        <v>1</v>
      </c>
      <c r="Y79" s="6">
        <v>11.391304347826088</v>
      </c>
      <c r="Z79" s="1" t="s">
        <v>456</v>
      </c>
      <c r="AA79" s="1">
        <v>0</v>
      </c>
      <c r="AB79" s="12">
        <v>42401</v>
      </c>
      <c r="AC79" t="s">
        <v>498</v>
      </c>
      <c r="AD79" t="s">
        <v>555</v>
      </c>
      <c r="AE79" s="1">
        <v>150</v>
      </c>
      <c r="AF79" s="1">
        <v>12</v>
      </c>
    </row>
    <row r="80" spans="1:32" customFormat="1" ht="99.95" customHeight="1" x14ac:dyDescent="0.25">
      <c r="A80" s="1">
        <v>79</v>
      </c>
      <c r="B80" s="1" t="s">
        <v>189</v>
      </c>
      <c r="C80" t="s">
        <v>190</v>
      </c>
      <c r="D80" s="1">
        <v>2</v>
      </c>
      <c r="E80" s="1">
        <v>7</v>
      </c>
      <c r="F80" s="2">
        <v>80</v>
      </c>
      <c r="G80" s="2">
        <v>7</v>
      </c>
      <c r="H80" s="2">
        <v>11</v>
      </c>
      <c r="I80" s="2">
        <v>1</v>
      </c>
      <c r="J80" s="2">
        <v>11</v>
      </c>
      <c r="K80" s="2">
        <v>3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1</v>
      </c>
      <c r="R80" s="2">
        <v>0</v>
      </c>
      <c r="S80" s="2" t="s">
        <v>48</v>
      </c>
      <c r="T80" s="2">
        <v>0</v>
      </c>
      <c r="U80" s="2">
        <v>0</v>
      </c>
      <c r="V80" s="2" t="s">
        <v>15</v>
      </c>
      <c r="W80" s="2" t="s">
        <v>189</v>
      </c>
      <c r="X80">
        <v>1</v>
      </c>
      <c r="Y80" s="6">
        <v>8</v>
      </c>
      <c r="Z80" s="1" t="s">
        <v>459</v>
      </c>
      <c r="AA80" s="1">
        <v>1</v>
      </c>
      <c r="AB80" s="12">
        <v>42675</v>
      </c>
      <c r="AC80" t="s">
        <v>486</v>
      </c>
      <c r="AD80" t="s">
        <v>556</v>
      </c>
      <c r="AE80" s="1">
        <v>50</v>
      </c>
      <c r="AF80" s="1">
        <v>5</v>
      </c>
    </row>
    <row r="81" spans="1:32" customFormat="1" ht="99.95" customHeight="1" x14ac:dyDescent="0.25">
      <c r="A81" s="1">
        <v>80</v>
      </c>
      <c r="B81" s="1" t="s">
        <v>191</v>
      </c>
      <c r="C81" t="s">
        <v>191</v>
      </c>
      <c r="D81" s="1">
        <v>1</v>
      </c>
      <c r="E81" s="1">
        <v>7</v>
      </c>
      <c r="F81" s="2">
        <v>80</v>
      </c>
      <c r="G81" s="2">
        <v>7</v>
      </c>
      <c r="H81" s="2">
        <v>9</v>
      </c>
      <c r="I81" s="2">
        <v>2</v>
      </c>
      <c r="J81" s="2">
        <v>7</v>
      </c>
      <c r="K81" s="2">
        <v>7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 t="s">
        <v>48</v>
      </c>
      <c r="T81" s="2">
        <v>0</v>
      </c>
      <c r="U81" s="2">
        <v>0</v>
      </c>
      <c r="V81" s="2" t="s">
        <v>15</v>
      </c>
      <c r="W81" s="2" t="s">
        <v>191</v>
      </c>
      <c r="X81">
        <v>1</v>
      </c>
      <c r="Y81" s="6">
        <v>11.428571428571429</v>
      </c>
      <c r="Z81" s="1" t="s">
        <v>456</v>
      </c>
      <c r="AA81" s="1">
        <v>0</v>
      </c>
      <c r="AB81" s="12">
        <v>42795</v>
      </c>
      <c r="AC81" t="s">
        <v>553</v>
      </c>
      <c r="AD81" t="s">
        <v>557</v>
      </c>
      <c r="AE81" s="1">
        <v>80</v>
      </c>
      <c r="AF81" s="1">
        <v>7</v>
      </c>
    </row>
    <row r="82" spans="1:32" customFormat="1" ht="99.95" customHeight="1" x14ac:dyDescent="0.25">
      <c r="A82" s="1">
        <v>81</v>
      </c>
      <c r="B82" s="1" t="s">
        <v>192</v>
      </c>
      <c r="C82" t="s">
        <v>193</v>
      </c>
      <c r="D82" s="1">
        <v>10</v>
      </c>
      <c r="E82" s="1">
        <v>74</v>
      </c>
      <c r="F82" s="2">
        <v>989</v>
      </c>
      <c r="G82" s="2">
        <v>60</v>
      </c>
      <c r="H82" s="2">
        <v>85</v>
      </c>
      <c r="I82" s="2">
        <v>4</v>
      </c>
      <c r="J82" s="2">
        <v>92</v>
      </c>
      <c r="K82" s="2">
        <v>47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2</v>
      </c>
      <c r="R82" s="2">
        <v>3</v>
      </c>
      <c r="S82" s="2" t="s">
        <v>26</v>
      </c>
      <c r="T82" s="2">
        <v>0</v>
      </c>
      <c r="U82" s="2">
        <v>0</v>
      </c>
      <c r="V82" s="2" t="s">
        <v>15</v>
      </c>
      <c r="W82" s="2" t="s">
        <v>192</v>
      </c>
      <c r="X82">
        <v>0.81081081081081086</v>
      </c>
      <c r="Y82" s="6">
        <v>12.209876543209877</v>
      </c>
      <c r="Z82" s="1" t="s">
        <v>458</v>
      </c>
      <c r="AA82" s="1">
        <v>5</v>
      </c>
      <c r="AB82" s="12">
        <v>41791</v>
      </c>
      <c r="AC82" t="s">
        <v>511</v>
      </c>
      <c r="AD82" t="s">
        <v>558</v>
      </c>
      <c r="AE82" s="1">
        <v>207</v>
      </c>
      <c r="AF82" s="1">
        <v>20</v>
      </c>
    </row>
    <row r="83" spans="1:32" customFormat="1" ht="99.95" customHeight="1" x14ac:dyDescent="0.25">
      <c r="A83" s="1">
        <v>82</v>
      </c>
      <c r="B83" s="1" t="s">
        <v>194</v>
      </c>
      <c r="C83" t="s">
        <v>195</v>
      </c>
      <c r="D83" s="1">
        <v>10</v>
      </c>
      <c r="E83" s="1">
        <v>46</v>
      </c>
      <c r="F83" s="2">
        <v>443</v>
      </c>
      <c r="G83" s="2">
        <v>46</v>
      </c>
      <c r="H83" s="2">
        <v>51</v>
      </c>
      <c r="I83" s="2">
        <v>2</v>
      </c>
      <c r="J83" s="2">
        <v>32</v>
      </c>
      <c r="K83" s="2">
        <v>28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1</v>
      </c>
      <c r="S83" s="2" t="s">
        <v>23</v>
      </c>
      <c r="T83" s="2">
        <v>0</v>
      </c>
      <c r="U83" s="2">
        <v>0</v>
      </c>
      <c r="V83" s="2" t="s">
        <v>15</v>
      </c>
      <c r="W83" s="2" t="s">
        <v>194</v>
      </c>
      <c r="X83">
        <v>1</v>
      </c>
      <c r="Y83" s="6">
        <v>9.0408163265306118</v>
      </c>
      <c r="Z83" s="1" t="s">
        <v>459</v>
      </c>
      <c r="AA83" s="1">
        <v>1</v>
      </c>
      <c r="AB83" s="12">
        <v>42339</v>
      </c>
      <c r="AC83" t="s">
        <v>524</v>
      </c>
      <c r="AD83" t="s">
        <v>559</v>
      </c>
      <c r="AE83" s="1">
        <v>145</v>
      </c>
      <c r="AF83" s="1">
        <v>12</v>
      </c>
    </row>
    <row r="84" spans="1:32" customFormat="1" ht="99.95" customHeight="1" x14ac:dyDescent="0.25">
      <c r="A84" s="1">
        <v>83</v>
      </c>
      <c r="B84" s="1" t="s">
        <v>196</v>
      </c>
      <c r="C84" t="s">
        <v>197</v>
      </c>
      <c r="D84" s="1">
        <v>8</v>
      </c>
      <c r="E84" s="1">
        <v>41</v>
      </c>
      <c r="F84" s="2">
        <v>730</v>
      </c>
      <c r="G84" s="2">
        <v>42</v>
      </c>
      <c r="H84" s="2">
        <v>56</v>
      </c>
      <c r="I84" s="2">
        <v>4</v>
      </c>
      <c r="J84" s="2">
        <v>64</v>
      </c>
      <c r="K84" s="2">
        <v>35</v>
      </c>
      <c r="L84" s="2">
        <v>0</v>
      </c>
      <c r="M84" s="2">
        <v>0</v>
      </c>
      <c r="N84" s="2">
        <v>0</v>
      </c>
      <c r="O84" s="2">
        <v>1</v>
      </c>
      <c r="P84" s="2">
        <v>0</v>
      </c>
      <c r="Q84" s="2">
        <v>1</v>
      </c>
      <c r="R84" s="2">
        <v>0</v>
      </c>
      <c r="S84" s="2" t="s">
        <v>23</v>
      </c>
      <c r="T84" s="2">
        <v>1</v>
      </c>
      <c r="U84" s="2">
        <v>0</v>
      </c>
      <c r="V84" s="2" t="s">
        <v>15</v>
      </c>
      <c r="W84" s="2" t="s">
        <v>196</v>
      </c>
      <c r="X84">
        <v>1.024390243902439</v>
      </c>
      <c r="Y84" s="6">
        <v>14.038461538461538</v>
      </c>
      <c r="Z84" s="1" t="s">
        <v>457</v>
      </c>
      <c r="AA84" s="1">
        <v>1</v>
      </c>
      <c r="AB84" s="12">
        <v>41791</v>
      </c>
      <c r="AC84" t="s">
        <v>511</v>
      </c>
      <c r="AD84" t="s">
        <v>560</v>
      </c>
      <c r="AE84" s="1">
        <v>217</v>
      </c>
      <c r="AF84" s="1">
        <v>12</v>
      </c>
    </row>
    <row r="85" spans="1:32" customFormat="1" ht="99.95" customHeight="1" x14ac:dyDescent="0.25">
      <c r="A85" s="1">
        <v>84</v>
      </c>
      <c r="B85" s="1" t="s">
        <v>198</v>
      </c>
      <c r="C85" t="s">
        <v>199</v>
      </c>
      <c r="D85" s="1">
        <v>11</v>
      </c>
      <c r="E85" s="1">
        <v>50</v>
      </c>
      <c r="F85" s="2">
        <v>778</v>
      </c>
      <c r="G85" s="2">
        <v>51</v>
      </c>
      <c r="H85" s="2">
        <v>60</v>
      </c>
      <c r="I85" s="2">
        <v>11</v>
      </c>
      <c r="J85" s="2">
        <v>67</v>
      </c>
      <c r="K85" s="2">
        <v>42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2</v>
      </c>
      <c r="R85" s="2">
        <v>2</v>
      </c>
      <c r="S85" s="2" t="s">
        <v>26</v>
      </c>
      <c r="T85" s="2">
        <v>0</v>
      </c>
      <c r="U85" s="2">
        <v>0</v>
      </c>
      <c r="V85" s="2" t="s">
        <v>15</v>
      </c>
      <c r="W85" s="2" t="s">
        <v>198</v>
      </c>
      <c r="X85" s="3">
        <v>1.02</v>
      </c>
      <c r="Y85" s="6">
        <v>15.877551020408163</v>
      </c>
      <c r="Z85" s="1" t="s">
        <v>457</v>
      </c>
      <c r="AA85" s="1">
        <v>4</v>
      </c>
      <c r="AB85" s="12">
        <v>41699</v>
      </c>
      <c r="AC85" t="s">
        <v>473</v>
      </c>
      <c r="AD85" t="s">
        <v>474</v>
      </c>
      <c r="AE85" s="1">
        <v>181</v>
      </c>
      <c r="AF85" s="1">
        <v>8</v>
      </c>
    </row>
    <row r="86" spans="1:32" customFormat="1" ht="99.95" customHeight="1" x14ac:dyDescent="0.25">
      <c r="A86" s="1">
        <v>85</v>
      </c>
      <c r="B86" s="1" t="s">
        <v>200</v>
      </c>
      <c r="C86" t="s">
        <v>201</v>
      </c>
      <c r="D86" s="1">
        <v>8</v>
      </c>
      <c r="E86" s="1">
        <v>53</v>
      </c>
      <c r="F86" s="2">
        <v>985</v>
      </c>
      <c r="G86" s="2">
        <v>50</v>
      </c>
      <c r="H86" s="2">
        <v>75</v>
      </c>
      <c r="I86" s="2">
        <v>9</v>
      </c>
      <c r="J86" s="2">
        <v>73</v>
      </c>
      <c r="K86" s="2">
        <v>61</v>
      </c>
      <c r="L86" s="2">
        <v>0</v>
      </c>
      <c r="M86" s="2">
        <v>0</v>
      </c>
      <c r="N86" s="2">
        <v>0</v>
      </c>
      <c r="O86" s="2">
        <v>0</v>
      </c>
      <c r="P86" s="2">
        <v>1</v>
      </c>
      <c r="Q86" s="2">
        <v>1</v>
      </c>
      <c r="R86" s="2">
        <v>1</v>
      </c>
      <c r="S86" s="2" t="s">
        <v>40</v>
      </c>
      <c r="T86" s="2">
        <v>1</v>
      </c>
      <c r="U86" s="2">
        <v>0</v>
      </c>
      <c r="V86" s="2" t="s">
        <v>15</v>
      </c>
      <c r="W86" s="2" t="s">
        <v>200</v>
      </c>
      <c r="X86">
        <v>0.94339622641509435</v>
      </c>
      <c r="Y86" s="6">
        <v>14.924242424242424</v>
      </c>
      <c r="Z86" s="1" t="s">
        <v>458</v>
      </c>
      <c r="AA86" s="1">
        <v>2</v>
      </c>
      <c r="AB86" s="12">
        <v>42125</v>
      </c>
      <c r="AC86" t="s">
        <v>513</v>
      </c>
      <c r="AD86" t="s">
        <v>561</v>
      </c>
      <c r="AE86" s="1">
        <v>169</v>
      </c>
      <c r="AF86" s="1">
        <v>11</v>
      </c>
    </row>
    <row r="87" spans="1:32" customFormat="1" ht="99.95" customHeight="1" x14ac:dyDescent="0.25">
      <c r="A87" s="1">
        <v>86</v>
      </c>
      <c r="B87" s="1" t="s">
        <v>202</v>
      </c>
      <c r="C87" t="s">
        <v>203</v>
      </c>
      <c r="D87" s="1">
        <v>9</v>
      </c>
      <c r="E87" s="1">
        <v>67</v>
      </c>
      <c r="F87" s="2">
        <v>949</v>
      </c>
      <c r="G87" s="2">
        <v>82</v>
      </c>
      <c r="H87" s="2">
        <v>90</v>
      </c>
      <c r="I87" s="2">
        <v>6</v>
      </c>
      <c r="J87" s="2">
        <v>54</v>
      </c>
      <c r="K87" s="2">
        <v>52</v>
      </c>
      <c r="L87" s="2">
        <v>0</v>
      </c>
      <c r="M87" s="2">
        <v>0</v>
      </c>
      <c r="N87" s="2">
        <v>0</v>
      </c>
      <c r="O87" s="2">
        <v>0</v>
      </c>
      <c r="P87" s="2">
        <v>1</v>
      </c>
      <c r="Q87" s="2">
        <v>0</v>
      </c>
      <c r="R87" s="2">
        <v>3</v>
      </c>
      <c r="S87" s="2" t="s">
        <v>48</v>
      </c>
      <c r="T87" s="2">
        <v>0</v>
      </c>
      <c r="U87" s="2">
        <v>0</v>
      </c>
      <c r="V87" s="2" t="s">
        <v>15</v>
      </c>
      <c r="W87" s="2" t="s">
        <v>202</v>
      </c>
      <c r="X87">
        <v>1.2238805970149254</v>
      </c>
      <c r="Y87" s="6">
        <v>11.297619047619047</v>
      </c>
      <c r="Z87" s="1" t="s">
        <v>456</v>
      </c>
      <c r="AA87" s="1">
        <v>3</v>
      </c>
      <c r="AB87" s="12">
        <v>41426</v>
      </c>
      <c r="AC87" t="s">
        <v>484</v>
      </c>
      <c r="AD87" t="s">
        <v>562</v>
      </c>
      <c r="AE87" s="1">
        <v>265</v>
      </c>
      <c r="AF87" s="1">
        <v>17</v>
      </c>
    </row>
    <row r="88" spans="1:32" customFormat="1" ht="99.95" customHeight="1" x14ac:dyDescent="0.25">
      <c r="A88" s="1">
        <v>87</v>
      </c>
      <c r="B88" s="1" t="s">
        <v>204</v>
      </c>
      <c r="C88" t="s">
        <v>205</v>
      </c>
      <c r="D88" s="1">
        <v>9</v>
      </c>
      <c r="E88" s="1">
        <v>29</v>
      </c>
      <c r="F88" s="2">
        <v>561</v>
      </c>
      <c r="G88" s="2">
        <v>42</v>
      </c>
      <c r="H88" s="2">
        <v>43</v>
      </c>
      <c r="I88" s="2">
        <v>4</v>
      </c>
      <c r="J88" s="2">
        <v>14</v>
      </c>
      <c r="K88" s="2">
        <v>11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1</v>
      </c>
      <c r="R88" s="2">
        <v>1</v>
      </c>
      <c r="S88" s="2" t="s">
        <v>48</v>
      </c>
      <c r="T88" s="2">
        <v>0</v>
      </c>
      <c r="U88" s="2">
        <v>0</v>
      </c>
      <c r="V88" s="2" t="s">
        <v>15</v>
      </c>
      <c r="W88" s="2" t="s">
        <v>204</v>
      </c>
      <c r="X88">
        <v>1.4482758620689655</v>
      </c>
      <c r="Y88" s="6">
        <v>14.384615384615385</v>
      </c>
      <c r="Z88" s="1" t="s">
        <v>460</v>
      </c>
      <c r="AA88" s="1">
        <v>2</v>
      </c>
      <c r="AB88" s="12">
        <v>41334</v>
      </c>
      <c r="AC88" t="s">
        <v>488</v>
      </c>
      <c r="AD88" t="s">
        <v>489</v>
      </c>
      <c r="AE88" s="1">
        <v>168</v>
      </c>
      <c r="AF88" s="1">
        <v>8</v>
      </c>
    </row>
    <row r="89" spans="1:32" customFormat="1" ht="99.95" customHeight="1" x14ac:dyDescent="0.25">
      <c r="A89" s="1">
        <v>88</v>
      </c>
      <c r="B89" s="1" t="s">
        <v>206</v>
      </c>
      <c r="C89" t="s">
        <v>207</v>
      </c>
      <c r="D89" s="1">
        <v>9</v>
      </c>
      <c r="E89" s="1">
        <v>37</v>
      </c>
      <c r="F89" s="2">
        <v>693</v>
      </c>
      <c r="G89" s="2">
        <v>32</v>
      </c>
      <c r="H89" s="2">
        <v>57</v>
      </c>
      <c r="I89" s="2">
        <v>4</v>
      </c>
      <c r="J89" s="2">
        <v>6</v>
      </c>
      <c r="K89" s="2">
        <v>6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1</v>
      </c>
      <c r="R89" s="2">
        <v>0</v>
      </c>
      <c r="S89" s="2" t="s">
        <v>208</v>
      </c>
      <c r="T89" s="2">
        <v>0</v>
      </c>
      <c r="U89" s="2">
        <v>0</v>
      </c>
      <c r="V89" s="2" t="s">
        <v>15</v>
      </c>
      <c r="W89" s="2" t="s">
        <v>206</v>
      </c>
      <c r="X89">
        <v>0.86486486486486491</v>
      </c>
      <c r="Y89" s="6">
        <v>13.075471698113208</v>
      </c>
      <c r="Z89" s="1" t="s">
        <v>458</v>
      </c>
      <c r="AA89" s="1">
        <v>1</v>
      </c>
      <c r="AB89" s="12">
        <v>41334</v>
      </c>
      <c r="AC89" t="s">
        <v>488</v>
      </c>
      <c r="AD89" t="s">
        <v>544</v>
      </c>
      <c r="AE89" s="1">
        <v>183</v>
      </c>
      <c r="AF89" s="1">
        <v>14</v>
      </c>
    </row>
    <row r="90" spans="1:32" customFormat="1" ht="99.95" customHeight="1" x14ac:dyDescent="0.25">
      <c r="A90" s="1">
        <v>89</v>
      </c>
      <c r="B90" s="1" t="s">
        <v>209</v>
      </c>
      <c r="C90" t="s">
        <v>210</v>
      </c>
      <c r="D90" s="1">
        <v>7</v>
      </c>
      <c r="E90" s="1">
        <v>31</v>
      </c>
      <c r="F90" s="2">
        <v>390</v>
      </c>
      <c r="G90" s="2">
        <v>34</v>
      </c>
      <c r="H90" s="2">
        <v>40</v>
      </c>
      <c r="I90" s="2">
        <v>3</v>
      </c>
      <c r="J90" s="2">
        <v>4</v>
      </c>
      <c r="K90" s="2">
        <v>3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1</v>
      </c>
      <c r="R90" s="2">
        <v>1</v>
      </c>
      <c r="S90" s="2" t="s">
        <v>211</v>
      </c>
      <c r="T90" s="2">
        <v>0</v>
      </c>
      <c r="U90" s="2">
        <v>0</v>
      </c>
      <c r="V90" s="2" t="s">
        <v>15</v>
      </c>
      <c r="W90" s="2" t="s">
        <v>209</v>
      </c>
      <c r="X90">
        <v>1.096774193548387</v>
      </c>
      <c r="Y90" s="6">
        <v>10.54054054054054</v>
      </c>
      <c r="Z90" s="1" t="s">
        <v>456</v>
      </c>
      <c r="AA90" s="1">
        <v>2</v>
      </c>
      <c r="AB90" s="12">
        <v>41334</v>
      </c>
      <c r="AC90" t="s">
        <v>488</v>
      </c>
      <c r="AD90" t="s">
        <v>544</v>
      </c>
      <c r="AE90" s="1">
        <v>173</v>
      </c>
      <c r="AF90" s="1">
        <v>14</v>
      </c>
    </row>
    <row r="91" spans="1:32" customFormat="1" ht="99.95" customHeight="1" x14ac:dyDescent="0.25">
      <c r="A91" s="1">
        <v>90</v>
      </c>
      <c r="B91" s="1" t="s">
        <v>212</v>
      </c>
      <c r="C91" t="s">
        <v>213</v>
      </c>
      <c r="D91" s="1">
        <v>4</v>
      </c>
      <c r="E91" s="1">
        <v>9</v>
      </c>
      <c r="F91" s="2">
        <v>231</v>
      </c>
      <c r="G91" s="2">
        <v>6</v>
      </c>
      <c r="H91" s="2">
        <v>11</v>
      </c>
      <c r="I91" s="2">
        <v>1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1</v>
      </c>
      <c r="R91" s="2">
        <v>1</v>
      </c>
      <c r="S91" s="2" t="s">
        <v>211</v>
      </c>
      <c r="T91" s="2">
        <v>0</v>
      </c>
      <c r="U91" s="2">
        <v>0</v>
      </c>
      <c r="V91" s="2" t="s">
        <v>15</v>
      </c>
      <c r="W91" s="2" t="s">
        <v>212</v>
      </c>
      <c r="X91">
        <v>0.66666666666666663</v>
      </c>
      <c r="Y91" s="6">
        <v>23.1</v>
      </c>
      <c r="Z91" s="1" t="s">
        <v>458</v>
      </c>
      <c r="AA91" s="1">
        <v>2</v>
      </c>
      <c r="AB91" s="12">
        <v>41334</v>
      </c>
      <c r="AC91" t="s">
        <v>488</v>
      </c>
      <c r="AD91" t="s">
        <v>544</v>
      </c>
      <c r="AE91" s="1">
        <v>218</v>
      </c>
      <c r="AF91" s="1">
        <v>6</v>
      </c>
    </row>
    <row r="92" spans="1:32" customFormat="1" ht="99.95" customHeight="1" x14ac:dyDescent="0.25">
      <c r="A92" s="1">
        <v>91</v>
      </c>
      <c r="B92" s="1" t="s">
        <v>214</v>
      </c>
      <c r="C92" t="s">
        <v>215</v>
      </c>
      <c r="D92" s="1">
        <v>6</v>
      </c>
      <c r="E92" s="1">
        <v>22</v>
      </c>
      <c r="F92" s="2">
        <v>188</v>
      </c>
      <c r="G92" s="2">
        <v>32</v>
      </c>
      <c r="H92" s="2">
        <v>26</v>
      </c>
      <c r="I92" s="2">
        <v>0</v>
      </c>
      <c r="J92" s="2">
        <v>8</v>
      </c>
      <c r="K92" s="2">
        <v>4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3</v>
      </c>
      <c r="R92" s="2">
        <v>1</v>
      </c>
      <c r="S92" s="2" t="s">
        <v>211</v>
      </c>
      <c r="T92" s="2">
        <v>0</v>
      </c>
      <c r="U92" s="2">
        <v>0</v>
      </c>
      <c r="V92" s="2" t="s">
        <v>15</v>
      </c>
      <c r="W92" s="2" t="s">
        <v>214</v>
      </c>
      <c r="X92">
        <v>1.4545454545454546</v>
      </c>
      <c r="Y92" s="6">
        <v>7.2307692307692308</v>
      </c>
      <c r="Z92" s="1" t="s">
        <v>459</v>
      </c>
      <c r="AA92" s="1">
        <v>4</v>
      </c>
      <c r="AB92" s="12">
        <v>41334</v>
      </c>
      <c r="AC92" t="s">
        <v>488</v>
      </c>
      <c r="AD92" t="s">
        <v>544</v>
      </c>
      <c r="AE92" s="1">
        <v>92</v>
      </c>
      <c r="AF92" s="1">
        <v>8</v>
      </c>
    </row>
    <row r="93" spans="1:32" customFormat="1" ht="99.95" customHeight="1" x14ac:dyDescent="0.25">
      <c r="A93" s="1">
        <v>92</v>
      </c>
      <c r="B93" s="1" t="s">
        <v>216</v>
      </c>
      <c r="C93" t="s">
        <v>217</v>
      </c>
      <c r="D93" s="1">
        <v>1</v>
      </c>
      <c r="E93" s="1">
        <v>1</v>
      </c>
      <c r="F93" s="2">
        <v>13</v>
      </c>
      <c r="G93" s="2">
        <v>2</v>
      </c>
      <c r="H93" s="2">
        <v>1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1</v>
      </c>
      <c r="S93" s="2" t="s">
        <v>218</v>
      </c>
      <c r="T93" s="2">
        <v>0</v>
      </c>
      <c r="U93" s="2">
        <v>0</v>
      </c>
      <c r="V93" s="2" t="s">
        <v>15</v>
      </c>
      <c r="W93" s="2" t="s">
        <v>216</v>
      </c>
      <c r="X93" s="5">
        <v>2</v>
      </c>
      <c r="Y93" s="6">
        <v>13</v>
      </c>
      <c r="Z93" s="1" t="s">
        <v>456</v>
      </c>
      <c r="AA93" s="1">
        <v>1</v>
      </c>
      <c r="AB93" s="12">
        <v>41334</v>
      </c>
      <c r="AC93" t="s">
        <v>488</v>
      </c>
      <c r="AD93" t="s">
        <v>500</v>
      </c>
      <c r="AE93" s="1">
        <v>13</v>
      </c>
      <c r="AF93" s="1">
        <v>2</v>
      </c>
    </row>
    <row r="94" spans="1:32" customFormat="1" ht="99.95" customHeight="1" x14ac:dyDescent="0.25">
      <c r="A94" s="1">
        <v>93</v>
      </c>
      <c r="B94" s="1" t="s">
        <v>219</v>
      </c>
      <c r="C94" t="s">
        <v>219</v>
      </c>
      <c r="D94" s="1">
        <v>1</v>
      </c>
      <c r="E94" s="1">
        <v>1</v>
      </c>
      <c r="F94" s="2">
        <v>2</v>
      </c>
      <c r="G94" s="2">
        <v>0</v>
      </c>
      <c r="H94" s="2">
        <v>1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1</v>
      </c>
      <c r="S94" s="2" t="s">
        <v>218</v>
      </c>
      <c r="T94" s="2">
        <v>0</v>
      </c>
      <c r="U94" s="2">
        <v>0</v>
      </c>
      <c r="V94" s="2" t="s">
        <v>15</v>
      </c>
      <c r="W94" s="2" t="s">
        <v>219</v>
      </c>
      <c r="X94">
        <v>0</v>
      </c>
      <c r="Y94" s="6">
        <v>2</v>
      </c>
      <c r="Z94" s="1" t="s">
        <v>457</v>
      </c>
      <c r="AA94" s="1">
        <v>1</v>
      </c>
      <c r="AB94" s="12">
        <v>41334</v>
      </c>
      <c r="AC94" t="s">
        <v>488</v>
      </c>
      <c r="AD94" t="s">
        <v>500</v>
      </c>
      <c r="AE94" s="1">
        <v>2</v>
      </c>
      <c r="AF94" s="1">
        <v>0</v>
      </c>
    </row>
    <row r="95" spans="1:32" customFormat="1" ht="99.95" customHeight="1" x14ac:dyDescent="0.25">
      <c r="A95" s="1">
        <v>94</v>
      </c>
      <c r="B95" s="1" t="s">
        <v>220</v>
      </c>
      <c r="C95" t="s">
        <v>221</v>
      </c>
      <c r="D95" s="1">
        <v>4</v>
      </c>
      <c r="E95" s="1">
        <v>21</v>
      </c>
      <c r="F95" s="2">
        <v>259</v>
      </c>
      <c r="G95" s="2">
        <v>19</v>
      </c>
      <c r="H95" s="2">
        <v>25</v>
      </c>
      <c r="I95" s="2">
        <v>1</v>
      </c>
      <c r="J95" s="2">
        <v>13</v>
      </c>
      <c r="K95" s="2">
        <v>18</v>
      </c>
      <c r="L95" s="2">
        <v>0</v>
      </c>
      <c r="M95" s="2">
        <v>2</v>
      </c>
      <c r="N95" s="2">
        <v>0</v>
      </c>
      <c r="O95" s="2">
        <v>0</v>
      </c>
      <c r="P95" s="2">
        <v>0</v>
      </c>
      <c r="Q95" s="2">
        <v>0</v>
      </c>
      <c r="R95" s="2">
        <v>1</v>
      </c>
      <c r="S95" s="2" t="s">
        <v>40</v>
      </c>
      <c r="T95" s="2">
        <v>0</v>
      </c>
      <c r="U95" s="2">
        <v>0</v>
      </c>
      <c r="V95" s="2" t="s">
        <v>15</v>
      </c>
      <c r="W95" s="2" t="s">
        <v>220</v>
      </c>
      <c r="X95">
        <v>0.90476190476190477</v>
      </c>
      <c r="Y95" s="6">
        <v>10.791666666666666</v>
      </c>
      <c r="Z95" s="1" t="s">
        <v>458</v>
      </c>
      <c r="AA95" s="1">
        <v>1</v>
      </c>
      <c r="AB95" s="12">
        <v>41334</v>
      </c>
      <c r="AC95" t="s">
        <v>488</v>
      </c>
      <c r="AD95" t="s">
        <v>500</v>
      </c>
      <c r="AE95" s="1">
        <v>173</v>
      </c>
      <c r="AF95" s="1">
        <v>10</v>
      </c>
    </row>
    <row r="96" spans="1:32" customFormat="1" ht="99.95" customHeight="1" x14ac:dyDescent="0.25">
      <c r="A96" s="1">
        <v>95</v>
      </c>
      <c r="B96" s="1" t="s">
        <v>222</v>
      </c>
      <c r="C96" s="7" t="s">
        <v>223</v>
      </c>
      <c r="D96" s="1">
        <v>10</v>
      </c>
      <c r="E96" s="1">
        <v>30</v>
      </c>
      <c r="F96" s="2">
        <v>449</v>
      </c>
      <c r="G96" s="2">
        <v>28</v>
      </c>
      <c r="H96" s="2">
        <v>34</v>
      </c>
      <c r="I96" s="2">
        <v>1</v>
      </c>
      <c r="J96" s="2">
        <v>8</v>
      </c>
      <c r="K96" s="2">
        <v>7</v>
      </c>
      <c r="L96" s="2">
        <v>0</v>
      </c>
      <c r="M96" s="2">
        <v>0</v>
      </c>
      <c r="N96" s="2">
        <v>0</v>
      </c>
      <c r="O96" s="2">
        <v>0</v>
      </c>
      <c r="P96" s="2">
        <v>1</v>
      </c>
      <c r="Q96" s="2">
        <v>0</v>
      </c>
      <c r="R96" s="2">
        <v>2</v>
      </c>
      <c r="S96" s="2" t="s">
        <v>51</v>
      </c>
      <c r="T96" s="2">
        <v>0</v>
      </c>
      <c r="U96" s="2">
        <v>0</v>
      </c>
      <c r="V96" s="2" t="s">
        <v>15</v>
      </c>
      <c r="W96" s="2" t="s">
        <v>222</v>
      </c>
      <c r="X96">
        <v>0.93333333333333335</v>
      </c>
      <c r="Y96" s="6">
        <v>13.606060606060606</v>
      </c>
      <c r="Z96" s="1" t="s">
        <v>458</v>
      </c>
      <c r="AA96" s="1">
        <v>2</v>
      </c>
      <c r="AB96" s="12">
        <v>41334</v>
      </c>
      <c r="AC96" t="s">
        <v>488</v>
      </c>
      <c r="AD96" t="s">
        <v>529</v>
      </c>
      <c r="AE96" s="1">
        <v>155</v>
      </c>
      <c r="AF96" s="1">
        <v>8</v>
      </c>
    </row>
    <row r="97" spans="1:33" ht="99.95" customHeight="1" x14ac:dyDescent="0.25">
      <c r="A97" s="1">
        <v>96</v>
      </c>
      <c r="B97" s="1" t="s">
        <v>224</v>
      </c>
      <c r="C97" t="s">
        <v>225</v>
      </c>
      <c r="D97" s="1">
        <v>8</v>
      </c>
      <c r="E97" s="1">
        <v>35</v>
      </c>
      <c r="F97" s="2">
        <v>525</v>
      </c>
      <c r="G97" s="2">
        <v>51</v>
      </c>
      <c r="H97" s="2">
        <v>46</v>
      </c>
      <c r="I97" s="2">
        <v>0</v>
      </c>
      <c r="J97" s="2">
        <v>22</v>
      </c>
      <c r="K97" s="2">
        <v>19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1</v>
      </c>
      <c r="S97" s="2" t="s">
        <v>37</v>
      </c>
      <c r="T97" s="2">
        <v>0</v>
      </c>
      <c r="U97" s="2">
        <v>0</v>
      </c>
      <c r="V97" s="2" t="s">
        <v>15</v>
      </c>
      <c r="W97" s="2" t="s">
        <v>224</v>
      </c>
      <c r="X97">
        <v>1.4571428571428571</v>
      </c>
      <c r="Y97" s="6">
        <v>11.413043478260869</v>
      </c>
      <c r="Z97" s="1" t="s">
        <v>456</v>
      </c>
      <c r="AA97" s="1">
        <v>1</v>
      </c>
      <c r="AB97" s="12">
        <v>41334</v>
      </c>
      <c r="AC97" t="s">
        <v>488</v>
      </c>
      <c r="AD97" t="s">
        <v>529</v>
      </c>
      <c r="AE97" s="1">
        <v>158</v>
      </c>
      <c r="AF97" s="1">
        <v>12</v>
      </c>
      <c r="AG97"/>
    </row>
    <row r="98" spans="1:33" ht="99.95" customHeight="1" x14ac:dyDescent="0.25">
      <c r="A98" s="1">
        <v>97</v>
      </c>
      <c r="B98" s="1" t="s">
        <v>226</v>
      </c>
      <c r="C98" t="s">
        <v>227</v>
      </c>
      <c r="D98" s="1">
        <v>7</v>
      </c>
      <c r="E98" s="1">
        <v>35</v>
      </c>
      <c r="F98" s="2">
        <v>635</v>
      </c>
      <c r="G98" s="2">
        <v>43</v>
      </c>
      <c r="H98" s="2">
        <v>49</v>
      </c>
      <c r="I98" s="2">
        <v>3</v>
      </c>
      <c r="J98" s="2">
        <v>6</v>
      </c>
      <c r="K98" s="2">
        <v>2</v>
      </c>
      <c r="L98" s="2">
        <v>0</v>
      </c>
      <c r="M98" s="2">
        <v>0</v>
      </c>
      <c r="N98" s="2">
        <v>0</v>
      </c>
      <c r="O98" s="2">
        <v>1</v>
      </c>
      <c r="P98" s="2">
        <v>0</v>
      </c>
      <c r="Q98" s="2">
        <v>0</v>
      </c>
      <c r="R98" s="2">
        <v>2</v>
      </c>
      <c r="S98" s="2" t="s">
        <v>228</v>
      </c>
      <c r="T98" s="2">
        <v>0</v>
      </c>
      <c r="U98" s="2">
        <v>0</v>
      </c>
      <c r="V98" s="2" t="s">
        <v>15</v>
      </c>
      <c r="W98" s="2" t="s">
        <v>226</v>
      </c>
      <c r="X98">
        <v>1.2285714285714286</v>
      </c>
      <c r="Y98" s="6">
        <v>13.804347826086957</v>
      </c>
      <c r="Z98" s="1" t="s">
        <v>456</v>
      </c>
      <c r="AA98" s="1">
        <v>2</v>
      </c>
      <c r="AB98" s="12">
        <v>41334</v>
      </c>
      <c r="AC98" t="s">
        <v>488</v>
      </c>
      <c r="AD98" t="s">
        <v>529</v>
      </c>
      <c r="AE98" s="1">
        <v>297</v>
      </c>
      <c r="AF98" s="1">
        <v>14</v>
      </c>
      <c r="AG98"/>
    </row>
    <row r="99" spans="1:33" ht="99.95" customHeight="1" x14ac:dyDescent="0.25">
      <c r="A99" s="1">
        <v>98</v>
      </c>
      <c r="B99" s="1" t="s">
        <v>229</v>
      </c>
      <c r="C99" t="s">
        <v>230</v>
      </c>
      <c r="D99" s="1">
        <v>24</v>
      </c>
      <c r="E99" s="1">
        <v>152</v>
      </c>
      <c r="F99" s="2">
        <v>2809</v>
      </c>
      <c r="G99" s="2">
        <v>250</v>
      </c>
      <c r="H99" s="2">
        <v>202</v>
      </c>
      <c r="I99" s="2">
        <v>28</v>
      </c>
      <c r="J99" s="2">
        <v>188</v>
      </c>
      <c r="K99" s="2">
        <v>134</v>
      </c>
      <c r="L99" s="2">
        <v>5</v>
      </c>
      <c r="M99" s="2">
        <v>6</v>
      </c>
      <c r="N99" s="2">
        <v>4</v>
      </c>
      <c r="O99" s="2">
        <v>1</v>
      </c>
      <c r="P99" s="2">
        <v>2</v>
      </c>
      <c r="Q99" s="2">
        <v>6</v>
      </c>
      <c r="R99" s="2">
        <v>2</v>
      </c>
      <c r="S99" s="2" t="s">
        <v>26</v>
      </c>
      <c r="T99" s="2">
        <v>0</v>
      </c>
      <c r="U99" s="2">
        <v>1</v>
      </c>
      <c r="V99" s="2" t="s">
        <v>15</v>
      </c>
      <c r="W99" s="2" t="s">
        <v>229</v>
      </c>
      <c r="X99" s="3">
        <v>1.6447368421052631</v>
      </c>
      <c r="Y99" s="6">
        <v>16.143678160919539</v>
      </c>
      <c r="Z99" s="1" t="s">
        <v>461</v>
      </c>
      <c r="AA99" s="1">
        <v>8</v>
      </c>
      <c r="AB99" s="12">
        <v>41334</v>
      </c>
      <c r="AC99" t="s">
        <v>488</v>
      </c>
      <c r="AD99" t="s">
        <v>529</v>
      </c>
      <c r="AE99" s="1">
        <v>253</v>
      </c>
      <c r="AF99" s="1">
        <v>26</v>
      </c>
      <c r="AG99" s="4" t="s">
        <v>1090</v>
      </c>
    </row>
    <row r="100" spans="1:33" ht="99.95" customHeight="1" x14ac:dyDescent="0.25">
      <c r="A100" s="1">
        <v>99</v>
      </c>
      <c r="B100" s="1" t="s">
        <v>231</v>
      </c>
      <c r="C100" t="s">
        <v>232</v>
      </c>
      <c r="D100" s="1">
        <v>7</v>
      </c>
      <c r="E100" s="1">
        <v>30</v>
      </c>
      <c r="F100" s="2">
        <v>399</v>
      </c>
      <c r="G100" s="2">
        <v>21</v>
      </c>
      <c r="H100" s="2">
        <v>35</v>
      </c>
      <c r="I100" s="2">
        <v>1</v>
      </c>
      <c r="J100" s="2">
        <v>11</v>
      </c>
      <c r="K100" s="2">
        <v>9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1</v>
      </c>
      <c r="R100" s="2">
        <v>0</v>
      </c>
      <c r="S100" s="2" t="s">
        <v>37</v>
      </c>
      <c r="T100" s="2">
        <v>0</v>
      </c>
      <c r="U100" s="2">
        <v>0</v>
      </c>
      <c r="V100" s="2" t="s">
        <v>15</v>
      </c>
      <c r="W100" s="2" t="s">
        <v>231</v>
      </c>
      <c r="X100">
        <v>0.7</v>
      </c>
      <c r="Y100" s="6">
        <v>11.735294117647058</v>
      </c>
      <c r="Z100" s="1" t="s">
        <v>458</v>
      </c>
      <c r="AA100" s="1">
        <v>1</v>
      </c>
      <c r="AB100" s="12">
        <v>41334</v>
      </c>
      <c r="AC100" t="s">
        <v>488</v>
      </c>
      <c r="AD100" t="s">
        <v>505</v>
      </c>
      <c r="AE100" s="1">
        <v>155</v>
      </c>
      <c r="AF100" s="1">
        <v>12</v>
      </c>
      <c r="AG100"/>
    </row>
    <row r="101" spans="1:33" ht="99.95" customHeight="1" x14ac:dyDescent="0.25">
      <c r="A101" s="1">
        <v>100</v>
      </c>
      <c r="B101" s="1" t="s">
        <v>233</v>
      </c>
      <c r="C101" t="s">
        <v>234</v>
      </c>
      <c r="D101" s="1">
        <v>1</v>
      </c>
      <c r="E101" s="1">
        <v>5</v>
      </c>
      <c r="F101" s="2">
        <v>28</v>
      </c>
      <c r="G101" s="2">
        <v>7</v>
      </c>
      <c r="H101" s="2">
        <v>5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 t="s">
        <v>218</v>
      </c>
      <c r="T101" s="2">
        <v>0</v>
      </c>
      <c r="U101" s="2">
        <v>0</v>
      </c>
      <c r="V101" s="2" t="s">
        <v>15</v>
      </c>
      <c r="W101" s="2" t="s">
        <v>233</v>
      </c>
      <c r="X101">
        <v>1.4</v>
      </c>
      <c r="Y101" s="6">
        <v>5.6</v>
      </c>
      <c r="Z101" s="1" t="s">
        <v>459</v>
      </c>
      <c r="AA101" s="1">
        <v>0</v>
      </c>
      <c r="AB101" s="12">
        <v>41334</v>
      </c>
      <c r="AC101" t="s">
        <v>488</v>
      </c>
      <c r="AD101" t="s">
        <v>505</v>
      </c>
      <c r="AE101" s="1">
        <v>28</v>
      </c>
      <c r="AF101" s="1">
        <v>7</v>
      </c>
      <c r="AG101"/>
    </row>
    <row r="102" spans="1:33" ht="99.95" customHeight="1" x14ac:dyDescent="0.25">
      <c r="A102" s="1">
        <v>101</v>
      </c>
      <c r="B102" s="1" t="s">
        <v>235</v>
      </c>
      <c r="C102" t="s">
        <v>236</v>
      </c>
      <c r="D102" s="1">
        <v>3</v>
      </c>
      <c r="E102" s="1">
        <v>14</v>
      </c>
      <c r="F102" s="2">
        <v>108</v>
      </c>
      <c r="G102" s="2">
        <v>10</v>
      </c>
      <c r="H102" s="2">
        <v>14</v>
      </c>
      <c r="I102" s="2">
        <v>1</v>
      </c>
      <c r="J102" s="2">
        <v>5</v>
      </c>
      <c r="K102" s="2">
        <v>5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1</v>
      </c>
      <c r="S102" s="2" t="s">
        <v>101</v>
      </c>
      <c r="T102" s="2">
        <v>0</v>
      </c>
      <c r="U102" s="2">
        <v>0</v>
      </c>
      <c r="V102" s="2" t="s">
        <v>15</v>
      </c>
      <c r="W102" s="2" t="s">
        <v>235</v>
      </c>
      <c r="X102">
        <v>0.7142857142857143</v>
      </c>
      <c r="Y102" s="6">
        <v>8.3076923076923084</v>
      </c>
      <c r="Z102" s="1" t="s">
        <v>457</v>
      </c>
      <c r="AA102" s="1">
        <v>1</v>
      </c>
      <c r="AB102" s="12">
        <v>41334</v>
      </c>
      <c r="AC102" t="s">
        <v>488</v>
      </c>
      <c r="AD102" t="s">
        <v>505</v>
      </c>
      <c r="AE102" s="1">
        <v>41</v>
      </c>
      <c r="AF102" s="1">
        <v>5</v>
      </c>
      <c r="AG102"/>
    </row>
    <row r="103" spans="1:33" ht="99.95" customHeight="1" x14ac:dyDescent="0.25">
      <c r="A103" s="1">
        <v>102</v>
      </c>
      <c r="B103" s="1" t="s">
        <v>237</v>
      </c>
      <c r="C103" t="s">
        <v>238</v>
      </c>
      <c r="D103" s="1">
        <v>2</v>
      </c>
      <c r="E103" s="1">
        <v>1</v>
      </c>
      <c r="F103" s="2">
        <v>2</v>
      </c>
      <c r="G103" s="2">
        <v>0</v>
      </c>
      <c r="H103" s="2">
        <v>1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 t="s">
        <v>239</v>
      </c>
      <c r="T103" s="2">
        <v>0</v>
      </c>
      <c r="U103" s="2">
        <v>0</v>
      </c>
      <c r="V103" s="2" t="s">
        <v>15</v>
      </c>
      <c r="W103" s="2" t="s">
        <v>237</v>
      </c>
      <c r="X103">
        <v>0</v>
      </c>
      <c r="Y103" s="6">
        <v>2</v>
      </c>
      <c r="Z103" s="1" t="s">
        <v>457</v>
      </c>
      <c r="AA103" s="1">
        <v>0</v>
      </c>
      <c r="AB103" s="12">
        <v>41334</v>
      </c>
      <c r="AC103" t="s">
        <v>488</v>
      </c>
      <c r="AD103" t="s">
        <v>489</v>
      </c>
      <c r="AE103" s="1">
        <v>2</v>
      </c>
      <c r="AF103" s="1">
        <v>0</v>
      </c>
      <c r="AG103"/>
    </row>
    <row r="104" spans="1:33" ht="99.95" customHeight="1" x14ac:dyDescent="0.25">
      <c r="A104" s="1">
        <v>103</v>
      </c>
      <c r="B104" s="1" t="s">
        <v>240</v>
      </c>
      <c r="C104" t="s">
        <v>241</v>
      </c>
      <c r="D104" s="1">
        <v>14</v>
      </c>
      <c r="E104" s="1">
        <v>69</v>
      </c>
      <c r="F104" s="2">
        <v>1076</v>
      </c>
      <c r="G104" s="2">
        <v>98</v>
      </c>
      <c r="H104" s="2">
        <v>100</v>
      </c>
      <c r="I104" s="2">
        <v>9</v>
      </c>
      <c r="J104" s="2">
        <v>50</v>
      </c>
      <c r="K104" s="2">
        <v>64</v>
      </c>
      <c r="L104" s="2">
        <v>1</v>
      </c>
      <c r="M104" s="2">
        <v>0.5</v>
      </c>
      <c r="N104" s="2">
        <v>0.5</v>
      </c>
      <c r="O104" s="2">
        <v>0</v>
      </c>
      <c r="P104" s="2">
        <v>0</v>
      </c>
      <c r="Q104" s="2">
        <v>1</v>
      </c>
      <c r="R104" s="2">
        <v>1</v>
      </c>
      <c r="S104" s="2" t="s">
        <v>108</v>
      </c>
      <c r="T104" s="2">
        <v>0</v>
      </c>
      <c r="U104" s="2">
        <v>0</v>
      </c>
      <c r="V104" s="2" t="s">
        <v>15</v>
      </c>
      <c r="W104" s="2" t="s">
        <v>240</v>
      </c>
      <c r="X104">
        <v>1.4202898550724639</v>
      </c>
      <c r="Y104" s="6">
        <v>11.824175824175825</v>
      </c>
      <c r="Z104" s="1" t="s">
        <v>456</v>
      </c>
      <c r="AA104" s="1">
        <v>2</v>
      </c>
      <c r="AB104" s="12">
        <v>41334</v>
      </c>
      <c r="AC104" t="s">
        <v>488</v>
      </c>
      <c r="AD104" t="s">
        <v>489</v>
      </c>
      <c r="AE104" s="1">
        <v>206</v>
      </c>
      <c r="AF104" s="1">
        <v>22</v>
      </c>
      <c r="AG104"/>
    </row>
    <row r="105" spans="1:33" ht="99.95" customHeight="1" x14ac:dyDescent="0.25">
      <c r="A105" s="1">
        <v>104</v>
      </c>
      <c r="B105" s="1" t="s">
        <v>242</v>
      </c>
      <c r="C105" t="s">
        <v>243</v>
      </c>
      <c r="D105" s="1">
        <v>3</v>
      </c>
      <c r="E105" s="1">
        <v>12</v>
      </c>
      <c r="F105" s="2">
        <v>159</v>
      </c>
      <c r="G105" s="2">
        <v>12</v>
      </c>
      <c r="H105" s="2">
        <v>17</v>
      </c>
      <c r="I105" s="2">
        <v>0</v>
      </c>
      <c r="J105" s="2">
        <v>0</v>
      </c>
      <c r="K105" s="2">
        <v>1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 t="s">
        <v>228</v>
      </c>
      <c r="T105" s="2">
        <v>0</v>
      </c>
      <c r="U105" s="2">
        <v>0</v>
      </c>
      <c r="V105" s="2" t="s">
        <v>15</v>
      </c>
      <c r="W105" s="2" t="s">
        <v>242</v>
      </c>
      <c r="X105">
        <v>1</v>
      </c>
      <c r="Y105" s="6">
        <v>9.3529411764705888</v>
      </c>
      <c r="Z105" s="1" t="s">
        <v>459</v>
      </c>
      <c r="AA105" s="1">
        <v>0</v>
      </c>
      <c r="AB105" s="12">
        <v>41334</v>
      </c>
      <c r="AC105" t="s">
        <v>488</v>
      </c>
      <c r="AD105" t="s">
        <v>489</v>
      </c>
      <c r="AE105" s="1">
        <v>89</v>
      </c>
      <c r="AF105" s="1">
        <v>12</v>
      </c>
      <c r="AG105"/>
    </row>
    <row r="106" spans="1:33" ht="99.95" customHeight="1" x14ac:dyDescent="0.25">
      <c r="A106" s="1">
        <v>105</v>
      </c>
      <c r="B106" s="1" t="s">
        <v>244</v>
      </c>
      <c r="C106" t="s">
        <v>244</v>
      </c>
      <c r="D106" s="1">
        <v>2</v>
      </c>
      <c r="E106" s="1">
        <v>11</v>
      </c>
      <c r="F106" s="2">
        <v>267</v>
      </c>
      <c r="G106" s="2">
        <v>20</v>
      </c>
      <c r="H106" s="2">
        <v>22</v>
      </c>
      <c r="I106" s="2">
        <v>3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1</v>
      </c>
      <c r="S106" s="2" t="s">
        <v>245</v>
      </c>
      <c r="T106" s="2">
        <v>0</v>
      </c>
      <c r="U106" s="2">
        <v>0</v>
      </c>
      <c r="V106" s="2" t="s">
        <v>15</v>
      </c>
      <c r="W106" s="2" t="s">
        <v>244</v>
      </c>
      <c r="X106" s="5">
        <v>1.8181818181818181</v>
      </c>
      <c r="Y106" s="6">
        <v>14.052631578947368</v>
      </c>
      <c r="Z106" s="1" t="s">
        <v>460</v>
      </c>
      <c r="AA106" s="1">
        <v>1</v>
      </c>
      <c r="AB106" s="12">
        <v>41365</v>
      </c>
      <c r="AC106" t="s">
        <v>507</v>
      </c>
      <c r="AD106" t="s">
        <v>563</v>
      </c>
      <c r="AE106" s="1">
        <v>171</v>
      </c>
      <c r="AF106" s="1">
        <v>11</v>
      </c>
      <c r="AG106"/>
    </row>
    <row r="107" spans="1:33" ht="99.95" customHeight="1" x14ac:dyDescent="0.25">
      <c r="A107" s="1">
        <v>106</v>
      </c>
      <c r="B107" s="1" t="s">
        <v>246</v>
      </c>
      <c r="C107" t="s">
        <v>247</v>
      </c>
      <c r="D107" s="1">
        <v>13</v>
      </c>
      <c r="E107" s="1">
        <v>62</v>
      </c>
      <c r="F107" s="2">
        <v>1134</v>
      </c>
      <c r="G107" s="2">
        <v>93</v>
      </c>
      <c r="H107" s="2">
        <v>100</v>
      </c>
      <c r="I107" s="2">
        <v>4</v>
      </c>
      <c r="J107" s="2">
        <v>63</v>
      </c>
      <c r="K107" s="2">
        <v>32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1</v>
      </c>
      <c r="R107" s="2">
        <v>1</v>
      </c>
      <c r="S107" s="2" t="s">
        <v>40</v>
      </c>
      <c r="T107" s="2">
        <v>0</v>
      </c>
      <c r="U107" s="2">
        <v>0</v>
      </c>
      <c r="V107" s="2" t="s">
        <v>15</v>
      </c>
      <c r="W107" s="2" t="s">
        <v>246</v>
      </c>
      <c r="X107" s="5">
        <v>1.5</v>
      </c>
      <c r="Y107" s="6">
        <v>11.8125</v>
      </c>
      <c r="Z107" s="1" t="s">
        <v>456</v>
      </c>
      <c r="AA107" s="1">
        <v>2</v>
      </c>
      <c r="AB107" s="12">
        <v>41365</v>
      </c>
      <c r="AC107" t="s">
        <v>507</v>
      </c>
      <c r="AD107" t="s">
        <v>563</v>
      </c>
      <c r="AE107" s="1">
        <v>189</v>
      </c>
      <c r="AF107" s="1">
        <v>14</v>
      </c>
      <c r="AG107"/>
    </row>
    <row r="108" spans="1:33" ht="99.95" customHeight="1" x14ac:dyDescent="0.25">
      <c r="A108" s="1">
        <v>107</v>
      </c>
      <c r="B108" s="1" t="s">
        <v>248</v>
      </c>
      <c r="C108" t="s">
        <v>249</v>
      </c>
      <c r="D108" s="1">
        <v>1</v>
      </c>
      <c r="E108" s="1">
        <v>5</v>
      </c>
      <c r="F108" s="2">
        <v>141</v>
      </c>
      <c r="G108" s="2">
        <v>9</v>
      </c>
      <c r="H108" s="2">
        <v>12</v>
      </c>
      <c r="I108" s="2">
        <v>1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1</v>
      </c>
      <c r="R108" s="2">
        <v>0</v>
      </c>
      <c r="S108" s="2" t="s">
        <v>250</v>
      </c>
      <c r="T108" s="2">
        <v>0</v>
      </c>
      <c r="U108" s="2">
        <v>0</v>
      </c>
      <c r="V108" s="2" t="s">
        <v>15</v>
      </c>
      <c r="W108" s="2" t="s">
        <v>248</v>
      </c>
      <c r="X108" s="5">
        <v>1.8</v>
      </c>
      <c r="Y108" s="6">
        <v>12.818181818181818</v>
      </c>
      <c r="Z108" s="1" t="s">
        <v>456</v>
      </c>
      <c r="AA108" s="1">
        <v>1</v>
      </c>
      <c r="AB108" s="12">
        <v>41365</v>
      </c>
      <c r="AC108" t="s">
        <v>507</v>
      </c>
      <c r="AD108" t="s">
        <v>564</v>
      </c>
      <c r="AE108" s="1">
        <v>141</v>
      </c>
      <c r="AF108" s="1">
        <v>9</v>
      </c>
      <c r="AG108"/>
    </row>
    <row r="109" spans="1:33" ht="99.95" customHeight="1" x14ac:dyDescent="0.25">
      <c r="A109" s="1">
        <v>108</v>
      </c>
      <c r="B109" s="1" t="s">
        <v>251</v>
      </c>
      <c r="C109" t="s">
        <v>252</v>
      </c>
      <c r="D109" s="1">
        <v>3</v>
      </c>
      <c r="E109" s="1">
        <v>9</v>
      </c>
      <c r="F109" s="2">
        <v>81</v>
      </c>
      <c r="G109" s="2">
        <v>7</v>
      </c>
      <c r="H109" s="2">
        <v>14</v>
      </c>
      <c r="I109" s="2">
        <v>0</v>
      </c>
      <c r="J109" s="2">
        <v>3</v>
      </c>
      <c r="K109" s="2">
        <v>1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1</v>
      </c>
      <c r="R109" s="2">
        <v>1</v>
      </c>
      <c r="S109" s="2" t="s">
        <v>253</v>
      </c>
      <c r="T109" s="2">
        <v>0</v>
      </c>
      <c r="U109" s="2">
        <v>0</v>
      </c>
      <c r="V109" s="2" t="s">
        <v>15</v>
      </c>
      <c r="W109" s="2" t="s">
        <v>251</v>
      </c>
      <c r="X109">
        <v>0.77777777777777779</v>
      </c>
      <c r="Y109" s="6">
        <v>5.7857142857142856</v>
      </c>
      <c r="Z109" s="1" t="s">
        <v>457</v>
      </c>
      <c r="AA109" s="1">
        <v>2</v>
      </c>
      <c r="AB109" s="12">
        <v>41365</v>
      </c>
      <c r="AC109" t="s">
        <v>507</v>
      </c>
      <c r="AD109" t="s">
        <v>564</v>
      </c>
      <c r="AE109" s="1">
        <v>52</v>
      </c>
      <c r="AF109" s="1">
        <v>7</v>
      </c>
      <c r="AG109"/>
    </row>
    <row r="110" spans="1:33" ht="99.95" customHeight="1" x14ac:dyDescent="0.25">
      <c r="A110" s="1">
        <v>109</v>
      </c>
      <c r="B110" s="1" t="s">
        <v>254</v>
      </c>
      <c r="C110" t="s">
        <v>255</v>
      </c>
      <c r="D110" s="1">
        <v>1</v>
      </c>
      <c r="E110" s="1">
        <v>5</v>
      </c>
      <c r="F110" s="2">
        <v>7</v>
      </c>
      <c r="G110" s="2">
        <v>15</v>
      </c>
      <c r="H110" s="2">
        <v>2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1</v>
      </c>
      <c r="R110" s="2">
        <v>0</v>
      </c>
      <c r="S110" s="2" t="s">
        <v>250</v>
      </c>
      <c r="T110" s="2">
        <v>0</v>
      </c>
      <c r="U110" s="2">
        <v>0</v>
      </c>
      <c r="V110" s="2" t="s">
        <v>15</v>
      </c>
      <c r="W110" s="2" t="s">
        <v>254</v>
      </c>
      <c r="X110" s="5">
        <v>3</v>
      </c>
      <c r="Y110" s="6">
        <v>3.5</v>
      </c>
      <c r="Z110" s="1" t="s">
        <v>459</v>
      </c>
      <c r="AA110" s="1">
        <v>1</v>
      </c>
      <c r="AB110" s="12">
        <v>41365</v>
      </c>
      <c r="AC110" t="s">
        <v>507</v>
      </c>
      <c r="AD110" t="s">
        <v>564</v>
      </c>
      <c r="AE110" s="1">
        <v>7</v>
      </c>
      <c r="AF110" s="1">
        <v>15</v>
      </c>
      <c r="AG110"/>
    </row>
    <row r="111" spans="1:33" ht="99.95" customHeight="1" x14ac:dyDescent="0.25">
      <c r="A111" s="1">
        <v>110</v>
      </c>
      <c r="B111" s="1" t="s">
        <v>256</v>
      </c>
      <c r="C111" t="s">
        <v>257</v>
      </c>
      <c r="D111" s="1">
        <v>3</v>
      </c>
      <c r="E111" s="1">
        <v>12</v>
      </c>
      <c r="F111" s="2">
        <v>161</v>
      </c>
      <c r="G111" s="2">
        <v>21</v>
      </c>
      <c r="H111" s="2">
        <v>21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 t="s">
        <v>239</v>
      </c>
      <c r="T111" s="2">
        <v>0</v>
      </c>
      <c r="U111" s="2">
        <v>0</v>
      </c>
      <c r="V111" s="2" t="s">
        <v>15</v>
      </c>
      <c r="W111" s="2" t="s">
        <v>256</v>
      </c>
      <c r="X111" s="5">
        <v>1.75</v>
      </c>
      <c r="Y111" s="6">
        <v>7.666666666666667</v>
      </c>
      <c r="Z111" s="1" t="s">
        <v>459</v>
      </c>
      <c r="AA111" s="1">
        <v>0</v>
      </c>
      <c r="AB111" s="12">
        <v>41365</v>
      </c>
      <c r="AC111" t="s">
        <v>507</v>
      </c>
      <c r="AD111" t="s">
        <v>565</v>
      </c>
      <c r="AE111" s="1">
        <v>77</v>
      </c>
      <c r="AF111" s="1">
        <v>10</v>
      </c>
      <c r="AG111"/>
    </row>
    <row r="112" spans="1:33" ht="99.95" customHeight="1" x14ac:dyDescent="0.25">
      <c r="A112" s="1">
        <v>111</v>
      </c>
      <c r="B112" s="1" t="s">
        <v>258</v>
      </c>
      <c r="C112" t="s">
        <v>259</v>
      </c>
      <c r="D112" s="1">
        <v>2</v>
      </c>
      <c r="E112" s="1">
        <v>7</v>
      </c>
      <c r="F112" s="2">
        <v>41</v>
      </c>
      <c r="G112" s="2">
        <v>11</v>
      </c>
      <c r="H112" s="2">
        <v>7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1</v>
      </c>
      <c r="S112" s="2" t="s">
        <v>245</v>
      </c>
      <c r="T112" s="2">
        <v>0</v>
      </c>
      <c r="U112" s="2">
        <v>0</v>
      </c>
      <c r="V112" s="2" t="s">
        <v>15</v>
      </c>
      <c r="W112" s="2" t="s">
        <v>258</v>
      </c>
      <c r="X112" s="5">
        <v>1.5714285714285714</v>
      </c>
      <c r="Y112" s="6">
        <v>5.8571428571428568</v>
      </c>
      <c r="Z112" s="1" t="s">
        <v>459</v>
      </c>
      <c r="AA112" s="1">
        <v>1</v>
      </c>
      <c r="AB112" s="12">
        <v>41365</v>
      </c>
      <c r="AC112" t="s">
        <v>507</v>
      </c>
      <c r="AD112" t="s">
        <v>565</v>
      </c>
      <c r="AE112" s="1">
        <v>31</v>
      </c>
      <c r="AF112" s="1">
        <v>10</v>
      </c>
      <c r="AG112"/>
    </row>
    <row r="113" spans="1:33" ht="99.95" customHeight="1" x14ac:dyDescent="0.25">
      <c r="A113" s="1">
        <v>112</v>
      </c>
      <c r="B113" s="1" t="s">
        <v>260</v>
      </c>
      <c r="C113" t="s">
        <v>261</v>
      </c>
      <c r="D113" s="1">
        <v>3</v>
      </c>
      <c r="E113" s="1">
        <v>1</v>
      </c>
      <c r="F113" s="2">
        <v>0</v>
      </c>
      <c r="G113" s="2">
        <v>2</v>
      </c>
      <c r="H113" s="2">
        <v>1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2</v>
      </c>
      <c r="S113" s="2" t="s">
        <v>84</v>
      </c>
      <c r="T113" s="2">
        <v>0</v>
      </c>
      <c r="U113" s="2">
        <v>0</v>
      </c>
      <c r="V113" s="2" t="s">
        <v>15</v>
      </c>
      <c r="W113" s="2" t="s">
        <v>260</v>
      </c>
      <c r="X113" s="5">
        <v>2</v>
      </c>
      <c r="Y113" s="6">
        <v>0</v>
      </c>
      <c r="Z113" s="1" t="s">
        <v>459</v>
      </c>
      <c r="AA113" s="1">
        <v>2</v>
      </c>
      <c r="AB113" s="12">
        <v>41395</v>
      </c>
      <c r="AC113" t="s">
        <v>480</v>
      </c>
      <c r="AD113" t="s">
        <v>566</v>
      </c>
      <c r="AE113" s="1">
        <v>0</v>
      </c>
      <c r="AF113" s="1">
        <v>2</v>
      </c>
      <c r="AG113"/>
    </row>
    <row r="114" spans="1:33" ht="99.95" customHeight="1" x14ac:dyDescent="0.25">
      <c r="A114" s="1">
        <v>113</v>
      </c>
      <c r="B114" s="1" t="s">
        <v>262</v>
      </c>
      <c r="C114" t="s">
        <v>263</v>
      </c>
      <c r="D114" s="1">
        <v>3</v>
      </c>
      <c r="E114" s="1">
        <v>9</v>
      </c>
      <c r="F114" s="2">
        <v>75</v>
      </c>
      <c r="G114" s="2">
        <v>9</v>
      </c>
      <c r="H114" s="2">
        <v>12</v>
      </c>
      <c r="I114" s="2">
        <v>1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 t="s">
        <v>264</v>
      </c>
      <c r="T114" s="2">
        <v>0</v>
      </c>
      <c r="U114" s="2">
        <v>0</v>
      </c>
      <c r="V114" s="2" t="s">
        <v>15</v>
      </c>
      <c r="W114" s="2" t="s">
        <v>262</v>
      </c>
      <c r="X114">
        <v>1</v>
      </c>
      <c r="Y114" s="6">
        <v>6.8181818181818183</v>
      </c>
      <c r="Z114" s="1" t="s">
        <v>459</v>
      </c>
      <c r="AA114" s="1">
        <v>2</v>
      </c>
      <c r="AB114" s="12">
        <v>41395</v>
      </c>
      <c r="AC114" t="s">
        <v>480</v>
      </c>
      <c r="AD114" t="s">
        <v>567</v>
      </c>
      <c r="AE114" s="1">
        <v>36</v>
      </c>
      <c r="AF114" s="1">
        <v>5</v>
      </c>
    </row>
    <row r="115" spans="1:33" ht="99.95" customHeight="1" x14ac:dyDescent="0.25">
      <c r="A115" s="1">
        <v>114</v>
      </c>
      <c r="B115" s="1" t="s">
        <v>265</v>
      </c>
      <c r="C115" t="s">
        <v>266</v>
      </c>
      <c r="D115" s="1">
        <v>1</v>
      </c>
      <c r="E115" s="1">
        <v>3</v>
      </c>
      <c r="F115" s="2">
        <v>24</v>
      </c>
      <c r="G115" s="2">
        <v>5</v>
      </c>
      <c r="H115" s="2">
        <v>6</v>
      </c>
      <c r="I115" s="2">
        <v>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 t="s">
        <v>245</v>
      </c>
      <c r="T115" s="2">
        <v>0</v>
      </c>
      <c r="U115" s="2">
        <v>0</v>
      </c>
      <c r="V115" s="2" t="s">
        <v>15</v>
      </c>
      <c r="W115" s="2" t="s">
        <v>265</v>
      </c>
      <c r="X115" s="5">
        <v>1.6666666666666667</v>
      </c>
      <c r="Y115" s="6">
        <v>4.8</v>
      </c>
      <c r="Z115" s="1" t="s">
        <v>459</v>
      </c>
      <c r="AA115" s="1">
        <v>0</v>
      </c>
      <c r="AB115" s="12">
        <v>41395</v>
      </c>
      <c r="AC115" t="s">
        <v>480</v>
      </c>
      <c r="AD115" t="s">
        <v>568</v>
      </c>
      <c r="AE115" s="1">
        <v>24</v>
      </c>
      <c r="AF115" s="1">
        <v>5</v>
      </c>
      <c r="AG115"/>
    </row>
    <row r="116" spans="1:33" ht="99.95" customHeight="1" x14ac:dyDescent="0.25">
      <c r="A116" s="1">
        <v>115</v>
      </c>
      <c r="B116" s="1" t="s">
        <v>267</v>
      </c>
      <c r="C116" t="s">
        <v>268</v>
      </c>
      <c r="D116" s="1">
        <v>3</v>
      </c>
      <c r="E116" s="1">
        <v>7</v>
      </c>
      <c r="F116" s="2">
        <v>103</v>
      </c>
      <c r="G116" s="2">
        <v>6</v>
      </c>
      <c r="H116" s="2">
        <v>12</v>
      </c>
      <c r="I116" s="2">
        <v>0</v>
      </c>
      <c r="J116" s="2">
        <v>4</v>
      </c>
      <c r="K116" s="2">
        <v>7</v>
      </c>
      <c r="L116" s="2">
        <v>0</v>
      </c>
      <c r="M116" s="2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 t="s">
        <v>26</v>
      </c>
      <c r="T116" s="2">
        <v>0</v>
      </c>
      <c r="U116" s="2">
        <v>0</v>
      </c>
      <c r="V116" s="2" t="s">
        <v>15</v>
      </c>
      <c r="W116" s="2" t="s">
        <v>267</v>
      </c>
      <c r="X116">
        <v>0.8571428571428571</v>
      </c>
      <c r="Y116" s="6">
        <v>8.5833333333333339</v>
      </c>
      <c r="Z116" s="1" t="s">
        <v>457</v>
      </c>
      <c r="AA116" s="1">
        <v>0</v>
      </c>
      <c r="AB116" s="12">
        <v>41395</v>
      </c>
      <c r="AC116" t="s">
        <v>480</v>
      </c>
      <c r="AD116" t="s">
        <v>568</v>
      </c>
      <c r="AE116" s="1">
        <v>64</v>
      </c>
      <c r="AF116" s="1">
        <v>4</v>
      </c>
      <c r="AG116"/>
    </row>
    <row r="117" spans="1:33" ht="99.95" customHeight="1" x14ac:dyDescent="0.25">
      <c r="A117" s="1">
        <v>116</v>
      </c>
      <c r="B117" s="1" t="s">
        <v>269</v>
      </c>
      <c r="C117" t="s">
        <v>270</v>
      </c>
      <c r="D117" s="1">
        <v>1</v>
      </c>
      <c r="E117" s="1">
        <v>3</v>
      </c>
      <c r="F117" s="2">
        <v>32</v>
      </c>
      <c r="G117" s="2">
        <v>3</v>
      </c>
      <c r="H117" s="2">
        <v>5</v>
      </c>
      <c r="I117" s="2">
        <v>1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 t="s">
        <v>245</v>
      </c>
      <c r="T117" s="2">
        <v>0</v>
      </c>
      <c r="U117" s="2">
        <v>0</v>
      </c>
      <c r="V117" s="2" t="s">
        <v>15</v>
      </c>
      <c r="W117" s="2" t="s">
        <v>269</v>
      </c>
      <c r="X117">
        <v>1</v>
      </c>
      <c r="Y117" s="6">
        <v>8</v>
      </c>
      <c r="Z117" s="1" t="s">
        <v>459</v>
      </c>
      <c r="AA117" s="1">
        <v>0</v>
      </c>
      <c r="AB117" s="12">
        <v>41395</v>
      </c>
      <c r="AC117" t="s">
        <v>480</v>
      </c>
      <c r="AD117" t="s">
        <v>569</v>
      </c>
      <c r="AE117" s="1">
        <v>32</v>
      </c>
      <c r="AF117" s="1">
        <v>3</v>
      </c>
      <c r="AG117"/>
    </row>
    <row r="118" spans="1:33" ht="99.95" customHeight="1" x14ac:dyDescent="0.25">
      <c r="A118" s="1">
        <v>117</v>
      </c>
      <c r="B118" s="1" t="s">
        <v>271</v>
      </c>
      <c r="C118" t="s">
        <v>272</v>
      </c>
      <c r="D118" s="1">
        <v>1</v>
      </c>
      <c r="E118" s="1">
        <v>1</v>
      </c>
      <c r="F118" s="2">
        <v>7</v>
      </c>
      <c r="G118" s="2">
        <v>0</v>
      </c>
      <c r="H118" s="2">
        <v>1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 t="s">
        <v>245</v>
      </c>
      <c r="T118" s="2">
        <v>0</v>
      </c>
      <c r="U118" s="2">
        <v>0</v>
      </c>
      <c r="V118" s="2" t="s">
        <v>15</v>
      </c>
      <c r="W118" s="2" t="s">
        <v>271</v>
      </c>
      <c r="X118">
        <v>0</v>
      </c>
      <c r="Y118" s="6">
        <v>7</v>
      </c>
      <c r="Z118" s="1" t="s">
        <v>457</v>
      </c>
      <c r="AA118" s="1">
        <v>0</v>
      </c>
      <c r="AB118" s="12">
        <v>41395</v>
      </c>
      <c r="AC118" t="s">
        <v>480</v>
      </c>
      <c r="AD118" t="s">
        <v>570</v>
      </c>
      <c r="AE118" s="1">
        <v>7</v>
      </c>
      <c r="AF118" s="1">
        <v>0</v>
      </c>
      <c r="AG118"/>
    </row>
    <row r="119" spans="1:33" ht="99.95" customHeight="1" x14ac:dyDescent="0.25">
      <c r="A119" s="1">
        <v>118</v>
      </c>
      <c r="B119" s="1" t="s">
        <v>273</v>
      </c>
      <c r="C119" t="s">
        <v>274</v>
      </c>
      <c r="D119" s="1">
        <v>2</v>
      </c>
      <c r="E119" s="1">
        <v>5</v>
      </c>
      <c r="F119" s="2">
        <v>43</v>
      </c>
      <c r="G119" s="2">
        <v>5</v>
      </c>
      <c r="H119" s="2">
        <v>5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1</v>
      </c>
      <c r="R119" s="2">
        <v>0</v>
      </c>
      <c r="S119" s="2" t="s">
        <v>239</v>
      </c>
      <c r="T119" s="2">
        <v>0</v>
      </c>
      <c r="U119" s="2">
        <v>0</v>
      </c>
      <c r="V119" s="2" t="s">
        <v>15</v>
      </c>
      <c r="W119" s="2" t="s">
        <v>273</v>
      </c>
      <c r="X119">
        <v>1</v>
      </c>
      <c r="Y119" s="6">
        <v>8.6</v>
      </c>
      <c r="Z119" s="1" t="s">
        <v>459</v>
      </c>
      <c r="AA119" s="1">
        <v>1</v>
      </c>
      <c r="AB119" s="12">
        <v>41395</v>
      </c>
      <c r="AC119" t="s">
        <v>480</v>
      </c>
      <c r="AD119" t="s">
        <v>571</v>
      </c>
      <c r="AE119" s="1">
        <v>43</v>
      </c>
      <c r="AF119" s="1">
        <v>4</v>
      </c>
      <c r="AG119"/>
    </row>
    <row r="120" spans="1:33" ht="99.95" customHeight="1" x14ac:dyDescent="0.25">
      <c r="A120" s="1">
        <v>119</v>
      </c>
      <c r="B120" s="1" t="s">
        <v>275</v>
      </c>
      <c r="C120" t="s">
        <v>276</v>
      </c>
      <c r="D120" s="1">
        <v>3</v>
      </c>
      <c r="E120" s="1">
        <v>10</v>
      </c>
      <c r="F120" s="2">
        <v>211</v>
      </c>
      <c r="G120" s="2">
        <v>35</v>
      </c>
      <c r="H120" s="2">
        <v>19</v>
      </c>
      <c r="I120" s="2">
        <v>1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1</v>
      </c>
      <c r="P120" s="2">
        <v>0</v>
      </c>
      <c r="Q120" s="2">
        <v>1</v>
      </c>
      <c r="R120" s="2">
        <v>1</v>
      </c>
      <c r="S120" s="2" t="s">
        <v>264</v>
      </c>
      <c r="T120" s="2">
        <v>1</v>
      </c>
      <c r="U120" s="2">
        <v>1</v>
      </c>
      <c r="V120" s="2" t="s">
        <v>15</v>
      </c>
      <c r="W120" s="2" t="s">
        <v>275</v>
      </c>
      <c r="X120" s="5">
        <v>3.5</v>
      </c>
      <c r="Y120" s="6">
        <v>11.722222222222221</v>
      </c>
      <c r="Z120" s="1" t="s">
        <v>456</v>
      </c>
      <c r="AA120" s="1">
        <v>2</v>
      </c>
      <c r="AB120" s="12">
        <v>41395</v>
      </c>
      <c r="AC120" t="s">
        <v>480</v>
      </c>
      <c r="AD120" t="s">
        <v>572</v>
      </c>
      <c r="AE120" s="1">
        <v>148</v>
      </c>
      <c r="AF120" s="1">
        <v>24</v>
      </c>
      <c r="AG120"/>
    </row>
    <row r="121" spans="1:33" ht="99.95" customHeight="1" x14ac:dyDescent="0.25">
      <c r="A121" s="1">
        <v>120</v>
      </c>
      <c r="B121" s="1" t="s">
        <v>277</v>
      </c>
      <c r="C121" t="s">
        <v>278</v>
      </c>
      <c r="D121" s="1">
        <v>5</v>
      </c>
      <c r="E121" s="1">
        <v>18</v>
      </c>
      <c r="F121" s="2">
        <v>293</v>
      </c>
      <c r="G121" s="2">
        <v>17</v>
      </c>
      <c r="H121" s="2">
        <v>24</v>
      </c>
      <c r="I121" s="2">
        <v>3</v>
      </c>
      <c r="J121" s="2">
        <v>4</v>
      </c>
      <c r="K121" s="2">
        <v>4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 t="s">
        <v>279</v>
      </c>
      <c r="T121" s="2">
        <v>0</v>
      </c>
      <c r="U121" s="2">
        <v>0</v>
      </c>
      <c r="V121" s="2" t="s">
        <v>15</v>
      </c>
      <c r="W121" s="2" t="s">
        <v>277</v>
      </c>
      <c r="X121">
        <v>0.94444444444444442</v>
      </c>
      <c r="Y121" s="6">
        <v>13.952380952380953</v>
      </c>
      <c r="Z121" s="1" t="s">
        <v>458</v>
      </c>
      <c r="AA121" s="1">
        <v>1</v>
      </c>
      <c r="AB121" s="12">
        <v>41395</v>
      </c>
      <c r="AC121" t="s">
        <v>480</v>
      </c>
      <c r="AD121" t="s">
        <v>573</v>
      </c>
      <c r="AE121" s="1">
        <v>114</v>
      </c>
      <c r="AF121" s="1">
        <v>6</v>
      </c>
      <c r="AG121"/>
    </row>
    <row r="122" spans="1:33" ht="99.95" customHeight="1" x14ac:dyDescent="0.25">
      <c r="A122" s="1">
        <v>121</v>
      </c>
      <c r="B122" s="1" t="s">
        <v>280</v>
      </c>
      <c r="C122" t="s">
        <v>281</v>
      </c>
      <c r="D122" s="1">
        <v>6</v>
      </c>
      <c r="E122" s="1">
        <v>20</v>
      </c>
      <c r="F122" s="2">
        <v>240</v>
      </c>
      <c r="G122" s="2">
        <v>21</v>
      </c>
      <c r="H122" s="2">
        <v>23</v>
      </c>
      <c r="I122" s="2">
        <v>1</v>
      </c>
      <c r="J122" s="2">
        <v>10</v>
      </c>
      <c r="K122" s="2">
        <v>9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 t="s">
        <v>282</v>
      </c>
      <c r="T122" s="2">
        <v>0</v>
      </c>
      <c r="U122" s="2">
        <v>0</v>
      </c>
      <c r="V122" s="2" t="s">
        <v>15</v>
      </c>
      <c r="W122" s="2" t="s">
        <v>280</v>
      </c>
      <c r="X122">
        <v>1.05</v>
      </c>
      <c r="Y122" s="6">
        <v>10.909090909090908</v>
      </c>
      <c r="Z122" s="1" t="s">
        <v>456</v>
      </c>
      <c r="AA122" s="1">
        <v>0</v>
      </c>
      <c r="AB122" s="12">
        <v>41426</v>
      </c>
      <c r="AC122" t="s">
        <v>484</v>
      </c>
      <c r="AD122" t="s">
        <v>543</v>
      </c>
      <c r="AE122" s="1">
        <v>73</v>
      </c>
      <c r="AF122" s="1">
        <v>8</v>
      </c>
      <c r="AG122"/>
    </row>
    <row r="123" spans="1:33" ht="99.95" customHeight="1" x14ac:dyDescent="0.25">
      <c r="A123" s="1">
        <v>122</v>
      </c>
      <c r="B123" s="1" t="s">
        <v>283</v>
      </c>
      <c r="C123" t="s">
        <v>284</v>
      </c>
      <c r="D123" s="1">
        <v>15</v>
      </c>
      <c r="E123" s="1">
        <v>82</v>
      </c>
      <c r="F123" s="2">
        <v>1161</v>
      </c>
      <c r="G123" s="2">
        <v>90</v>
      </c>
      <c r="H123" s="2">
        <v>100</v>
      </c>
      <c r="I123" s="2">
        <v>5</v>
      </c>
      <c r="J123" s="2">
        <v>39</v>
      </c>
      <c r="K123" s="2">
        <v>39</v>
      </c>
      <c r="L123" s="2">
        <v>0</v>
      </c>
      <c r="M123" s="2">
        <v>0</v>
      </c>
      <c r="N123" s="2">
        <v>1</v>
      </c>
      <c r="O123" s="2">
        <v>0</v>
      </c>
      <c r="P123" s="2">
        <v>0</v>
      </c>
      <c r="Q123" s="2">
        <v>2</v>
      </c>
      <c r="R123" s="2">
        <v>1</v>
      </c>
      <c r="S123" s="2" t="s">
        <v>26</v>
      </c>
      <c r="T123" s="2">
        <v>0</v>
      </c>
      <c r="U123" s="2">
        <v>0</v>
      </c>
      <c r="V123" s="2" t="s">
        <v>15</v>
      </c>
      <c r="W123" s="2" t="s">
        <v>283</v>
      </c>
      <c r="X123">
        <v>1.0975609756097562</v>
      </c>
      <c r="Y123" s="6">
        <v>12.221052631578948</v>
      </c>
      <c r="Z123" s="1" t="s">
        <v>456</v>
      </c>
      <c r="AA123" s="1">
        <v>3</v>
      </c>
      <c r="AB123" s="12">
        <v>41395</v>
      </c>
      <c r="AC123" t="s">
        <v>480</v>
      </c>
      <c r="AD123" t="s">
        <v>574</v>
      </c>
      <c r="AE123" s="1">
        <v>242</v>
      </c>
      <c r="AF123" s="1">
        <v>14</v>
      </c>
      <c r="AG123"/>
    </row>
    <row r="124" spans="1:33" ht="99.95" customHeight="1" x14ac:dyDescent="0.25">
      <c r="A124" s="1">
        <v>123</v>
      </c>
      <c r="B124" s="1" t="s">
        <v>285</v>
      </c>
      <c r="C124" t="s">
        <v>286</v>
      </c>
      <c r="D124" s="1">
        <v>4</v>
      </c>
      <c r="E124" s="1">
        <v>11</v>
      </c>
      <c r="F124" s="2">
        <v>204</v>
      </c>
      <c r="G124" s="2">
        <v>19</v>
      </c>
      <c r="H124" s="2">
        <v>18</v>
      </c>
      <c r="I124" s="2">
        <v>1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1</v>
      </c>
      <c r="S124" s="2" t="s">
        <v>287</v>
      </c>
      <c r="T124" s="2">
        <v>0</v>
      </c>
      <c r="U124" s="2">
        <v>0</v>
      </c>
      <c r="V124" s="2" t="s">
        <v>15</v>
      </c>
      <c r="W124" s="2" t="s">
        <v>285</v>
      </c>
      <c r="X124" s="5">
        <v>1.7272727272727273</v>
      </c>
      <c r="Y124" s="6">
        <v>12</v>
      </c>
      <c r="Z124" s="1" t="s">
        <v>456</v>
      </c>
      <c r="AA124" s="1">
        <v>1</v>
      </c>
      <c r="AB124" s="12">
        <v>41426</v>
      </c>
      <c r="AC124" t="s">
        <v>484</v>
      </c>
      <c r="AD124" t="s">
        <v>575</v>
      </c>
      <c r="AE124" s="1">
        <v>79</v>
      </c>
      <c r="AF124" s="1">
        <v>10</v>
      </c>
      <c r="AG124"/>
    </row>
    <row r="125" spans="1:33" ht="99.95" customHeight="1" x14ac:dyDescent="0.25">
      <c r="A125" s="1">
        <v>124</v>
      </c>
      <c r="B125" s="1" t="s">
        <v>288</v>
      </c>
      <c r="C125" t="s">
        <v>289</v>
      </c>
      <c r="D125" s="1">
        <v>1</v>
      </c>
      <c r="E125" s="1">
        <v>2</v>
      </c>
      <c r="F125" s="2">
        <v>71</v>
      </c>
      <c r="G125" s="2">
        <v>3</v>
      </c>
      <c r="H125" s="2">
        <v>3</v>
      </c>
      <c r="I125" s="2">
        <v>1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 t="s">
        <v>239</v>
      </c>
      <c r="T125" s="2">
        <v>0</v>
      </c>
      <c r="U125" s="2">
        <v>0</v>
      </c>
      <c r="V125" s="2" t="s">
        <v>15</v>
      </c>
      <c r="W125" s="2" t="s">
        <v>288</v>
      </c>
      <c r="X125" s="3">
        <v>1.5</v>
      </c>
      <c r="Y125" s="6">
        <v>35.5</v>
      </c>
      <c r="Z125" s="1" t="s">
        <v>461</v>
      </c>
      <c r="AA125" s="1">
        <v>0</v>
      </c>
      <c r="AB125" s="12">
        <v>41426</v>
      </c>
      <c r="AC125" t="s">
        <v>484</v>
      </c>
      <c r="AD125" t="s">
        <v>576</v>
      </c>
      <c r="AE125" s="1">
        <v>71</v>
      </c>
      <c r="AF125" s="1">
        <v>3</v>
      </c>
      <c r="AG125"/>
    </row>
    <row r="126" spans="1:33" ht="99.95" customHeight="1" x14ac:dyDescent="0.25">
      <c r="A126" s="1">
        <v>125</v>
      </c>
      <c r="B126" s="1" t="s">
        <v>290</v>
      </c>
      <c r="C126" t="s">
        <v>291</v>
      </c>
      <c r="D126" s="1">
        <v>2</v>
      </c>
      <c r="E126" s="1">
        <v>4</v>
      </c>
      <c r="F126" s="2">
        <v>24</v>
      </c>
      <c r="G126" s="2">
        <v>7</v>
      </c>
      <c r="H126" s="2">
        <v>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1</v>
      </c>
      <c r="R126" s="2">
        <v>0</v>
      </c>
      <c r="S126" s="2" t="s">
        <v>264</v>
      </c>
      <c r="T126" s="2">
        <v>0</v>
      </c>
      <c r="U126" s="2">
        <v>0</v>
      </c>
      <c r="V126" s="2" t="s">
        <v>15</v>
      </c>
      <c r="W126" s="2" t="s">
        <v>290</v>
      </c>
      <c r="X126">
        <v>1.75</v>
      </c>
      <c r="Y126" s="6">
        <v>4.8</v>
      </c>
      <c r="Z126" s="1" t="s">
        <v>459</v>
      </c>
      <c r="AA126" s="1">
        <v>1</v>
      </c>
      <c r="AB126" s="12">
        <v>41426</v>
      </c>
      <c r="AC126" t="s">
        <v>484</v>
      </c>
      <c r="AD126" t="s">
        <v>577</v>
      </c>
      <c r="AE126" s="1">
        <v>21</v>
      </c>
      <c r="AF126" s="1">
        <v>4</v>
      </c>
      <c r="AG126"/>
    </row>
    <row r="127" spans="1:33" ht="99.95" customHeight="1" x14ac:dyDescent="0.25">
      <c r="A127" s="1">
        <v>126</v>
      </c>
      <c r="B127" s="1" t="s">
        <v>292</v>
      </c>
      <c r="C127" t="s">
        <v>293</v>
      </c>
      <c r="D127" s="1">
        <v>5</v>
      </c>
      <c r="E127" s="1">
        <v>15</v>
      </c>
      <c r="F127" s="2">
        <v>187</v>
      </c>
      <c r="G127" s="2">
        <v>5</v>
      </c>
      <c r="H127" s="2">
        <v>19</v>
      </c>
      <c r="I127" s="2">
        <v>2</v>
      </c>
      <c r="J127" s="2">
        <v>0</v>
      </c>
      <c r="K127" s="2">
        <v>1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1</v>
      </c>
      <c r="R127" s="2">
        <v>0</v>
      </c>
      <c r="S127" s="2" t="s">
        <v>294</v>
      </c>
      <c r="T127" s="2">
        <v>0</v>
      </c>
      <c r="U127" s="2">
        <v>0</v>
      </c>
      <c r="V127" s="2" t="s">
        <v>15</v>
      </c>
      <c r="W127" s="2" t="s">
        <v>292</v>
      </c>
      <c r="X127">
        <v>0.33333333333333331</v>
      </c>
      <c r="Y127" s="6">
        <v>11</v>
      </c>
      <c r="Z127" s="1" t="s">
        <v>458</v>
      </c>
      <c r="AA127" s="1">
        <v>1</v>
      </c>
      <c r="AB127" s="12">
        <v>41456</v>
      </c>
      <c r="AC127" t="s">
        <v>478</v>
      </c>
      <c r="AD127" t="s">
        <v>578</v>
      </c>
      <c r="AE127" s="1">
        <v>153</v>
      </c>
      <c r="AF127" s="1">
        <v>4</v>
      </c>
      <c r="AG127"/>
    </row>
    <row r="128" spans="1:33" ht="99.95" customHeight="1" x14ac:dyDescent="0.25">
      <c r="A128" s="1">
        <v>127</v>
      </c>
      <c r="B128" s="1" t="s">
        <v>295</v>
      </c>
      <c r="C128" t="s">
        <v>296</v>
      </c>
      <c r="D128" s="1">
        <v>2</v>
      </c>
      <c r="E128" s="1">
        <v>13</v>
      </c>
      <c r="F128" s="2">
        <v>190</v>
      </c>
      <c r="G128" s="2">
        <v>10</v>
      </c>
      <c r="H128" s="2">
        <v>19</v>
      </c>
      <c r="I128" s="2">
        <v>0</v>
      </c>
      <c r="J128" s="2">
        <v>3</v>
      </c>
      <c r="K128" s="2">
        <v>10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 t="s">
        <v>228</v>
      </c>
      <c r="T128" s="2">
        <v>0</v>
      </c>
      <c r="U128" s="2">
        <v>0</v>
      </c>
      <c r="V128" s="2" t="s">
        <v>15</v>
      </c>
      <c r="W128" s="2" t="s">
        <v>295</v>
      </c>
      <c r="X128">
        <v>0.76923076923076927</v>
      </c>
      <c r="Y128" s="6">
        <v>10</v>
      </c>
      <c r="Z128" s="1" t="s">
        <v>457</v>
      </c>
      <c r="AA128" s="1">
        <v>0</v>
      </c>
      <c r="AB128" s="12">
        <v>41456</v>
      </c>
      <c r="AC128" t="s">
        <v>476</v>
      </c>
      <c r="AD128" t="s">
        <v>579</v>
      </c>
      <c r="AE128" s="1">
        <v>115</v>
      </c>
      <c r="AF128" s="1">
        <v>7</v>
      </c>
      <c r="AG128"/>
    </row>
    <row r="129" spans="1:32" customFormat="1" ht="99.95" customHeight="1" x14ac:dyDescent="0.25">
      <c r="A129" s="1">
        <v>128</v>
      </c>
      <c r="B129" s="1" t="s">
        <v>297</v>
      </c>
      <c r="C129" t="s">
        <v>298</v>
      </c>
      <c r="D129" s="1">
        <v>11</v>
      </c>
      <c r="E129" s="1">
        <v>54</v>
      </c>
      <c r="F129" s="2">
        <v>836</v>
      </c>
      <c r="G129" s="2">
        <v>68</v>
      </c>
      <c r="H129" s="2">
        <v>67</v>
      </c>
      <c r="I129" s="2">
        <v>2</v>
      </c>
      <c r="J129" s="2">
        <v>55</v>
      </c>
      <c r="K129" s="2">
        <v>59</v>
      </c>
      <c r="L129" s="2">
        <v>0</v>
      </c>
      <c r="M129" s="2">
        <v>0</v>
      </c>
      <c r="N129" s="2">
        <v>0</v>
      </c>
      <c r="O129" s="2">
        <v>1</v>
      </c>
      <c r="P129" s="2">
        <v>0</v>
      </c>
      <c r="Q129" s="2">
        <v>0</v>
      </c>
      <c r="R129" s="2">
        <v>1</v>
      </c>
      <c r="S129" s="2" t="s">
        <v>43</v>
      </c>
      <c r="T129" s="2">
        <v>0</v>
      </c>
      <c r="U129" s="2">
        <v>0</v>
      </c>
      <c r="V129" s="2" t="s">
        <v>15</v>
      </c>
      <c r="W129" s="2" t="s">
        <v>297</v>
      </c>
      <c r="X129">
        <v>1.2592592592592593</v>
      </c>
      <c r="Y129" s="6">
        <v>12.861538461538462</v>
      </c>
      <c r="Z129" s="1" t="s">
        <v>456</v>
      </c>
      <c r="AA129" s="1">
        <v>1</v>
      </c>
      <c r="AB129" s="12">
        <v>41456</v>
      </c>
      <c r="AC129" t="s">
        <v>476</v>
      </c>
      <c r="AD129" t="s">
        <v>579</v>
      </c>
      <c r="AE129" s="1">
        <v>214</v>
      </c>
      <c r="AF129" s="1">
        <v>17</v>
      </c>
    </row>
    <row r="130" spans="1:32" customFormat="1" ht="99.95" customHeight="1" x14ac:dyDescent="0.25">
      <c r="A130" s="1">
        <v>129</v>
      </c>
      <c r="B130" s="1" t="s">
        <v>299</v>
      </c>
      <c r="C130" s="7" t="s">
        <v>300</v>
      </c>
      <c r="D130" s="1">
        <v>13</v>
      </c>
      <c r="E130" s="1">
        <v>66</v>
      </c>
      <c r="F130" s="2">
        <v>1042</v>
      </c>
      <c r="G130" s="2">
        <v>59</v>
      </c>
      <c r="H130" s="2">
        <v>87</v>
      </c>
      <c r="I130" s="2">
        <v>9</v>
      </c>
      <c r="J130" s="2">
        <v>50</v>
      </c>
      <c r="K130" s="2">
        <v>70</v>
      </c>
      <c r="L130" s="2">
        <v>1</v>
      </c>
      <c r="M130" s="2">
        <v>0</v>
      </c>
      <c r="N130" s="2">
        <v>1</v>
      </c>
      <c r="O130" s="2">
        <v>0</v>
      </c>
      <c r="P130" s="2">
        <v>0</v>
      </c>
      <c r="Q130" s="2">
        <v>0</v>
      </c>
      <c r="R130" s="2">
        <v>1</v>
      </c>
      <c r="S130" s="2" t="s">
        <v>26</v>
      </c>
      <c r="T130" s="2">
        <v>1</v>
      </c>
      <c r="U130" s="2">
        <v>0</v>
      </c>
      <c r="V130" s="2" t="s">
        <v>15</v>
      </c>
      <c r="W130" s="2" t="s">
        <v>299</v>
      </c>
      <c r="X130" s="5">
        <v>0.89393939393939392</v>
      </c>
      <c r="Y130" s="6">
        <v>13.358974358974359</v>
      </c>
      <c r="Z130" s="1" t="s">
        <v>458</v>
      </c>
      <c r="AA130" s="1">
        <v>1</v>
      </c>
      <c r="AB130" s="12">
        <v>41456</v>
      </c>
      <c r="AC130" t="s">
        <v>476</v>
      </c>
      <c r="AD130" t="s">
        <v>580</v>
      </c>
      <c r="AE130" s="1">
        <v>271</v>
      </c>
      <c r="AF130" s="1">
        <v>10</v>
      </c>
    </row>
    <row r="131" spans="1:32" customFormat="1" ht="99.95" customHeight="1" x14ac:dyDescent="0.25">
      <c r="A131" s="1">
        <v>130</v>
      </c>
      <c r="B131" s="1" t="s">
        <v>301</v>
      </c>
      <c r="C131" t="s">
        <v>302</v>
      </c>
      <c r="D131" s="1">
        <v>5</v>
      </c>
      <c r="E131" s="1">
        <v>24</v>
      </c>
      <c r="F131" s="2">
        <v>212</v>
      </c>
      <c r="G131" s="2">
        <v>21</v>
      </c>
      <c r="H131" s="2">
        <v>26</v>
      </c>
      <c r="I131" s="2">
        <v>0</v>
      </c>
      <c r="J131" s="2">
        <v>9</v>
      </c>
      <c r="K131" s="2">
        <v>6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 t="s">
        <v>294</v>
      </c>
      <c r="T131" s="2">
        <v>0</v>
      </c>
      <c r="U131" s="2">
        <v>0</v>
      </c>
      <c r="V131" s="2" t="s">
        <v>15</v>
      </c>
      <c r="W131" s="2" t="s">
        <v>301</v>
      </c>
      <c r="X131">
        <v>0.875</v>
      </c>
      <c r="Y131" s="6">
        <v>8.1538461538461533</v>
      </c>
      <c r="Z131" s="1" t="s">
        <v>457</v>
      </c>
      <c r="AA131" s="1">
        <v>0</v>
      </c>
      <c r="AB131" s="12">
        <v>41456</v>
      </c>
      <c r="AC131" t="s">
        <v>476</v>
      </c>
      <c r="AD131" t="s">
        <v>580</v>
      </c>
      <c r="AE131" s="1">
        <v>70</v>
      </c>
      <c r="AF131" s="1">
        <v>9</v>
      </c>
    </row>
    <row r="132" spans="1:32" customFormat="1" ht="99.95" customHeight="1" x14ac:dyDescent="0.25">
      <c r="A132" s="1">
        <v>131</v>
      </c>
      <c r="B132" s="1" t="s">
        <v>303</v>
      </c>
      <c r="C132" t="s">
        <v>304</v>
      </c>
      <c r="D132" s="1">
        <v>6</v>
      </c>
      <c r="E132" s="1">
        <v>35</v>
      </c>
      <c r="F132" s="2">
        <v>708</v>
      </c>
      <c r="G132" s="2">
        <v>53</v>
      </c>
      <c r="H132" s="2">
        <v>55</v>
      </c>
      <c r="I132" s="2">
        <v>6</v>
      </c>
      <c r="J132" s="2">
        <v>39</v>
      </c>
      <c r="K132" s="2">
        <v>41</v>
      </c>
      <c r="L132" s="2">
        <v>0</v>
      </c>
      <c r="M132" s="2">
        <v>0</v>
      </c>
      <c r="N132" s="2">
        <v>0</v>
      </c>
      <c r="O132" s="2">
        <v>1</v>
      </c>
      <c r="P132" s="2">
        <v>0</v>
      </c>
      <c r="Q132" s="2">
        <v>2</v>
      </c>
      <c r="R132" s="2">
        <v>1</v>
      </c>
      <c r="S132" s="2" t="s">
        <v>37</v>
      </c>
      <c r="T132" s="2">
        <v>0</v>
      </c>
      <c r="U132" s="2">
        <v>0</v>
      </c>
      <c r="V132" s="2" t="s">
        <v>15</v>
      </c>
      <c r="W132" s="2" t="s">
        <v>303</v>
      </c>
      <c r="X132">
        <v>1.5142857142857142</v>
      </c>
      <c r="Y132" s="6">
        <v>14.448979591836734</v>
      </c>
      <c r="Z132" s="1" t="s">
        <v>460</v>
      </c>
      <c r="AA132" s="1">
        <v>3</v>
      </c>
      <c r="AB132" s="12">
        <v>41456</v>
      </c>
      <c r="AC132" t="s">
        <v>478</v>
      </c>
      <c r="AD132" t="s">
        <v>479</v>
      </c>
      <c r="AE132" s="1">
        <v>312</v>
      </c>
      <c r="AF132" s="1">
        <v>25</v>
      </c>
    </row>
    <row r="133" spans="1:32" customFormat="1" ht="99.95" customHeight="1" x14ac:dyDescent="0.25">
      <c r="A133" s="1">
        <v>132</v>
      </c>
      <c r="B133" s="1" t="s">
        <v>305</v>
      </c>
      <c r="C133" t="s">
        <v>306</v>
      </c>
      <c r="D133" s="1">
        <v>4</v>
      </c>
      <c r="E133" s="1">
        <v>21</v>
      </c>
      <c r="F133" s="2">
        <v>134</v>
      </c>
      <c r="G133" s="2">
        <v>23</v>
      </c>
      <c r="H133" s="2">
        <v>23</v>
      </c>
      <c r="I133" s="2">
        <v>0</v>
      </c>
      <c r="J133" s="2">
        <v>2</v>
      </c>
      <c r="K133" s="2">
        <v>1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 t="s">
        <v>211</v>
      </c>
      <c r="T133" s="2">
        <v>0</v>
      </c>
      <c r="U133" s="2">
        <v>0</v>
      </c>
      <c r="V133" s="2" t="s">
        <v>15</v>
      </c>
      <c r="W133" s="2" t="s">
        <v>305</v>
      </c>
      <c r="X133">
        <v>1.0952380952380953</v>
      </c>
      <c r="Y133" s="6">
        <v>5.8260869565217392</v>
      </c>
      <c r="Z133" s="1" t="s">
        <v>459</v>
      </c>
      <c r="AA133" s="1">
        <v>0</v>
      </c>
      <c r="AB133" s="12">
        <v>41456</v>
      </c>
      <c r="AC133" t="s">
        <v>476</v>
      </c>
      <c r="AD133" t="s">
        <v>477</v>
      </c>
      <c r="AE133" s="1">
        <v>43</v>
      </c>
      <c r="AF133" s="1">
        <v>9</v>
      </c>
    </row>
    <row r="134" spans="1:32" customFormat="1" ht="99.95" customHeight="1" x14ac:dyDescent="0.25">
      <c r="A134" s="1">
        <v>133</v>
      </c>
      <c r="B134" s="1" t="s">
        <v>307</v>
      </c>
      <c r="C134" t="s">
        <v>308</v>
      </c>
      <c r="D134" s="1">
        <v>4</v>
      </c>
      <c r="E134" s="1">
        <v>16</v>
      </c>
      <c r="F134" s="2">
        <v>331</v>
      </c>
      <c r="G134" s="2">
        <v>19</v>
      </c>
      <c r="H134" s="2">
        <v>29</v>
      </c>
      <c r="I134" s="2">
        <v>4</v>
      </c>
      <c r="J134" s="2">
        <v>11</v>
      </c>
      <c r="K134" s="2">
        <v>12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1</v>
      </c>
      <c r="R134" s="2">
        <v>1</v>
      </c>
      <c r="S134" s="2" t="s">
        <v>282</v>
      </c>
      <c r="T134" s="2">
        <v>0</v>
      </c>
      <c r="U134" s="2">
        <v>0</v>
      </c>
      <c r="V134" s="2" t="s">
        <v>15</v>
      </c>
      <c r="W134" s="2" t="s">
        <v>307</v>
      </c>
      <c r="X134" s="3">
        <v>1.1875</v>
      </c>
      <c r="Y134" s="6">
        <v>13.24</v>
      </c>
      <c r="Z134" s="1" t="s">
        <v>456</v>
      </c>
      <c r="AA134" s="1">
        <v>2</v>
      </c>
      <c r="AB134" s="12">
        <v>41456</v>
      </c>
      <c r="AC134" t="s">
        <v>476</v>
      </c>
      <c r="AD134" t="s">
        <v>581</v>
      </c>
      <c r="AE134" s="1">
        <v>212</v>
      </c>
      <c r="AF134" s="1">
        <v>11</v>
      </c>
    </row>
    <row r="135" spans="1:32" customFormat="1" ht="99.95" customHeight="1" x14ac:dyDescent="0.25">
      <c r="A135" s="1">
        <v>134</v>
      </c>
      <c r="B135" s="1" t="s">
        <v>309</v>
      </c>
      <c r="C135" t="s">
        <v>310</v>
      </c>
      <c r="D135" s="1">
        <v>1</v>
      </c>
      <c r="E135" s="1">
        <v>2</v>
      </c>
      <c r="F135" s="2">
        <v>25</v>
      </c>
      <c r="G135" s="2">
        <v>2</v>
      </c>
      <c r="H135" s="2">
        <v>2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 t="s">
        <v>287</v>
      </c>
      <c r="T135" s="2">
        <v>0</v>
      </c>
      <c r="U135" s="2">
        <v>0</v>
      </c>
      <c r="V135" s="2" t="s">
        <v>15</v>
      </c>
      <c r="W135" s="2" t="s">
        <v>309</v>
      </c>
      <c r="X135">
        <v>1</v>
      </c>
      <c r="Y135" s="6">
        <v>12.5</v>
      </c>
      <c r="Z135" s="1" t="s">
        <v>456</v>
      </c>
      <c r="AA135" s="1">
        <v>0</v>
      </c>
      <c r="AB135" s="12">
        <v>41456</v>
      </c>
      <c r="AC135" t="s">
        <v>476</v>
      </c>
      <c r="AD135" t="s">
        <v>581</v>
      </c>
      <c r="AE135" s="1">
        <v>25</v>
      </c>
      <c r="AF135" s="1">
        <v>2</v>
      </c>
    </row>
    <row r="136" spans="1:32" customFormat="1" ht="99.95" customHeight="1" x14ac:dyDescent="0.25">
      <c r="A136" s="1">
        <v>135</v>
      </c>
      <c r="B136" s="1" t="s">
        <v>311</v>
      </c>
      <c r="C136" t="s">
        <v>312</v>
      </c>
      <c r="D136" s="1">
        <v>1</v>
      </c>
      <c r="E136" s="1">
        <v>2</v>
      </c>
      <c r="F136" s="2">
        <v>3</v>
      </c>
      <c r="G136" s="2">
        <v>0</v>
      </c>
      <c r="H136" s="2">
        <v>2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 t="s">
        <v>287</v>
      </c>
      <c r="T136" s="2">
        <v>0</v>
      </c>
      <c r="U136" s="2">
        <v>0</v>
      </c>
      <c r="V136" s="2" t="s">
        <v>15</v>
      </c>
      <c r="W136" s="2" t="s">
        <v>311</v>
      </c>
      <c r="X136">
        <v>0</v>
      </c>
      <c r="Y136" s="6">
        <v>1.5</v>
      </c>
      <c r="Z136" s="1" t="s">
        <v>457</v>
      </c>
      <c r="AA136" s="1">
        <v>0</v>
      </c>
      <c r="AB136" s="12">
        <v>41456</v>
      </c>
      <c r="AC136" t="s">
        <v>476</v>
      </c>
      <c r="AD136" t="s">
        <v>482</v>
      </c>
      <c r="AE136" s="1">
        <v>3</v>
      </c>
      <c r="AF136" s="1">
        <v>0</v>
      </c>
    </row>
    <row r="137" spans="1:32" customFormat="1" ht="99.95" customHeight="1" x14ac:dyDescent="0.25">
      <c r="A137" s="1">
        <v>136</v>
      </c>
      <c r="B137" s="1" t="s">
        <v>313</v>
      </c>
      <c r="C137" t="s">
        <v>314</v>
      </c>
      <c r="D137" s="1">
        <v>1</v>
      </c>
      <c r="E137" s="1">
        <v>2</v>
      </c>
      <c r="F137" s="2">
        <v>28</v>
      </c>
      <c r="G137" s="2">
        <v>3</v>
      </c>
      <c r="H137" s="2">
        <v>2</v>
      </c>
      <c r="I137" s="2">
        <v>1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 t="s">
        <v>287</v>
      </c>
      <c r="T137" s="2">
        <v>0</v>
      </c>
      <c r="U137" s="2">
        <v>0</v>
      </c>
      <c r="V137" s="2" t="s">
        <v>15</v>
      </c>
      <c r="W137" s="2" t="s">
        <v>313</v>
      </c>
      <c r="X137">
        <v>1.5</v>
      </c>
      <c r="Y137" s="6">
        <v>28</v>
      </c>
      <c r="Z137" s="1" t="s">
        <v>461</v>
      </c>
      <c r="AA137" s="1">
        <v>0</v>
      </c>
      <c r="AB137" s="12">
        <v>41456</v>
      </c>
      <c r="AC137" t="s">
        <v>476</v>
      </c>
      <c r="AD137" t="s">
        <v>482</v>
      </c>
      <c r="AE137" s="1">
        <v>28</v>
      </c>
      <c r="AF137" s="1">
        <v>3</v>
      </c>
    </row>
    <row r="138" spans="1:32" customFormat="1" ht="99.95" customHeight="1" x14ac:dyDescent="0.25">
      <c r="A138" s="1">
        <v>137</v>
      </c>
      <c r="B138" s="1" t="s">
        <v>315</v>
      </c>
      <c r="C138" t="s">
        <v>316</v>
      </c>
      <c r="D138" s="1">
        <v>1</v>
      </c>
      <c r="E138" s="1">
        <v>1</v>
      </c>
      <c r="F138" s="2">
        <v>2</v>
      </c>
      <c r="G138" s="2">
        <v>0</v>
      </c>
      <c r="H138" s="2">
        <v>1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 t="s">
        <v>287</v>
      </c>
      <c r="T138" s="2">
        <v>0</v>
      </c>
      <c r="U138" s="2">
        <v>0</v>
      </c>
      <c r="V138" s="2" t="s">
        <v>15</v>
      </c>
      <c r="W138" s="2" t="s">
        <v>315</v>
      </c>
      <c r="X138">
        <v>0</v>
      </c>
      <c r="Y138" s="6">
        <v>2</v>
      </c>
      <c r="Z138" s="1" t="s">
        <v>457</v>
      </c>
      <c r="AA138" s="1">
        <v>0</v>
      </c>
      <c r="AB138" s="12">
        <v>41456</v>
      </c>
      <c r="AC138" t="s">
        <v>476</v>
      </c>
      <c r="AD138" t="s">
        <v>582</v>
      </c>
      <c r="AE138" s="1">
        <v>2</v>
      </c>
      <c r="AF138" s="1">
        <v>0</v>
      </c>
    </row>
    <row r="139" spans="1:32" customFormat="1" ht="99.95" customHeight="1" x14ac:dyDescent="0.25">
      <c r="A139" s="1">
        <v>138</v>
      </c>
      <c r="B139" s="1" t="s">
        <v>317</v>
      </c>
      <c r="C139" t="s">
        <v>318</v>
      </c>
      <c r="D139" s="1">
        <v>1</v>
      </c>
      <c r="E139" s="1">
        <v>2</v>
      </c>
      <c r="F139" s="2">
        <v>8</v>
      </c>
      <c r="G139" s="2">
        <v>1</v>
      </c>
      <c r="H139" s="2">
        <v>4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 t="s">
        <v>287</v>
      </c>
      <c r="T139" s="2">
        <v>0</v>
      </c>
      <c r="U139" s="2">
        <v>0</v>
      </c>
      <c r="V139" s="2" t="s">
        <v>15</v>
      </c>
      <c r="W139" s="2" t="s">
        <v>317</v>
      </c>
      <c r="X139">
        <v>0.5</v>
      </c>
      <c r="Y139" s="6">
        <v>2</v>
      </c>
      <c r="Z139" s="1" t="s">
        <v>457</v>
      </c>
      <c r="AA139" s="1">
        <v>0</v>
      </c>
      <c r="AB139" s="12">
        <v>41456</v>
      </c>
      <c r="AC139" t="s">
        <v>476</v>
      </c>
      <c r="AD139" t="s">
        <v>491</v>
      </c>
      <c r="AE139" s="1">
        <v>8</v>
      </c>
      <c r="AF139" s="1">
        <v>1</v>
      </c>
    </row>
    <row r="140" spans="1:32" customFormat="1" ht="99.95" customHeight="1" x14ac:dyDescent="0.25">
      <c r="A140" s="1">
        <v>139</v>
      </c>
      <c r="B140" s="1" t="s">
        <v>319</v>
      </c>
      <c r="C140" t="s">
        <v>320</v>
      </c>
      <c r="D140" s="1">
        <v>10</v>
      </c>
      <c r="E140" s="1">
        <v>68</v>
      </c>
      <c r="F140" s="2">
        <v>1198</v>
      </c>
      <c r="G140" s="2">
        <v>86</v>
      </c>
      <c r="H140" s="2">
        <v>100</v>
      </c>
      <c r="I140" s="2">
        <v>15</v>
      </c>
      <c r="J140" s="2">
        <v>76</v>
      </c>
      <c r="K140" s="2">
        <v>49</v>
      </c>
      <c r="L140" s="2">
        <v>0</v>
      </c>
      <c r="M140" s="2">
        <v>0</v>
      </c>
      <c r="N140" s="2">
        <v>0</v>
      </c>
      <c r="O140" s="2">
        <v>0</v>
      </c>
      <c r="P140" s="2">
        <v>1</v>
      </c>
      <c r="Q140" s="2">
        <v>2</v>
      </c>
      <c r="R140" s="2">
        <v>2</v>
      </c>
      <c r="S140" s="2" t="s">
        <v>101</v>
      </c>
      <c r="T140" s="2">
        <v>0</v>
      </c>
      <c r="U140" s="2">
        <v>0</v>
      </c>
      <c r="V140" s="2" t="s">
        <v>15</v>
      </c>
      <c r="W140" s="2" t="s">
        <v>319</v>
      </c>
      <c r="X140">
        <v>1.2647058823529411</v>
      </c>
      <c r="Y140" s="6">
        <v>14.094117647058823</v>
      </c>
      <c r="Z140" s="1" t="s">
        <v>460</v>
      </c>
      <c r="AA140" s="1">
        <v>4</v>
      </c>
      <c r="AB140" s="12">
        <v>41456</v>
      </c>
      <c r="AC140" t="s">
        <v>476</v>
      </c>
      <c r="AD140" t="s">
        <v>491</v>
      </c>
      <c r="AE140" s="1">
        <v>269</v>
      </c>
      <c r="AF140" s="1">
        <v>21</v>
      </c>
    </row>
    <row r="141" spans="1:32" customFormat="1" ht="99.95" customHeight="1" x14ac:dyDescent="0.25">
      <c r="A141" s="1">
        <v>140</v>
      </c>
      <c r="B141" s="1" t="s">
        <v>321</v>
      </c>
      <c r="C141" t="s">
        <v>322</v>
      </c>
      <c r="D141" s="1">
        <v>1</v>
      </c>
      <c r="E141" s="1">
        <v>8</v>
      </c>
      <c r="F141" s="2">
        <v>139</v>
      </c>
      <c r="G141" s="2">
        <v>3</v>
      </c>
      <c r="H141" s="2">
        <v>8</v>
      </c>
      <c r="I141" s="2">
        <v>0</v>
      </c>
      <c r="J141" s="2">
        <v>11</v>
      </c>
      <c r="K141" s="2">
        <v>8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1</v>
      </c>
      <c r="S141" s="2" t="s">
        <v>228</v>
      </c>
      <c r="T141" s="2">
        <v>0</v>
      </c>
      <c r="U141" s="2">
        <v>0</v>
      </c>
      <c r="V141" s="2" t="s">
        <v>15</v>
      </c>
      <c r="W141" s="2" t="s">
        <v>321</v>
      </c>
      <c r="X141">
        <v>0.375</v>
      </c>
      <c r="Y141" s="6">
        <v>17.375</v>
      </c>
      <c r="Z141" s="1" t="s">
        <v>458</v>
      </c>
      <c r="AA141" s="1">
        <v>1</v>
      </c>
      <c r="AB141" s="12">
        <v>41487</v>
      </c>
      <c r="AC141" t="s">
        <v>492</v>
      </c>
      <c r="AD141" t="s">
        <v>583</v>
      </c>
      <c r="AE141" s="1">
        <v>139</v>
      </c>
      <c r="AF141" s="1">
        <v>3</v>
      </c>
    </row>
    <row r="142" spans="1:32" customFormat="1" ht="99.95" customHeight="1" x14ac:dyDescent="0.25">
      <c r="A142" s="1">
        <v>141</v>
      </c>
      <c r="B142" s="1" t="s">
        <v>323</v>
      </c>
      <c r="C142" t="s">
        <v>324</v>
      </c>
      <c r="D142" s="1">
        <v>1</v>
      </c>
      <c r="E142" s="1">
        <v>1</v>
      </c>
      <c r="F142" s="2">
        <v>3</v>
      </c>
      <c r="G142" s="2">
        <v>0</v>
      </c>
      <c r="H142" s="2">
        <v>1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1</v>
      </c>
      <c r="S142" s="2" t="s">
        <v>228</v>
      </c>
      <c r="T142" s="2">
        <v>0</v>
      </c>
      <c r="U142" s="2">
        <v>0</v>
      </c>
      <c r="V142" s="2" t="s">
        <v>15</v>
      </c>
      <c r="W142" s="2" t="s">
        <v>323</v>
      </c>
      <c r="X142">
        <v>0</v>
      </c>
      <c r="Y142" s="6">
        <v>3</v>
      </c>
      <c r="Z142" s="1" t="s">
        <v>457</v>
      </c>
      <c r="AA142" s="1">
        <v>1</v>
      </c>
      <c r="AB142" s="12">
        <v>41487</v>
      </c>
      <c r="AC142" t="s">
        <v>492</v>
      </c>
      <c r="AD142" t="s">
        <v>583</v>
      </c>
      <c r="AE142" s="1">
        <v>3</v>
      </c>
      <c r="AF142" s="1">
        <v>0</v>
      </c>
    </row>
    <row r="143" spans="1:32" customFormat="1" ht="99.95" customHeight="1" x14ac:dyDescent="0.25">
      <c r="A143" s="1">
        <v>142</v>
      </c>
      <c r="B143" s="1" t="s">
        <v>325</v>
      </c>
      <c r="C143" t="s">
        <v>326</v>
      </c>
      <c r="D143" s="1">
        <v>1</v>
      </c>
      <c r="E143" s="1">
        <v>2</v>
      </c>
      <c r="F143" s="2">
        <v>18</v>
      </c>
      <c r="G143" s="2">
        <v>2</v>
      </c>
      <c r="H143" s="2">
        <v>2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 t="s">
        <v>327</v>
      </c>
      <c r="T143" s="2">
        <v>0</v>
      </c>
      <c r="U143" s="2">
        <v>0</v>
      </c>
      <c r="V143" s="2" t="s">
        <v>15</v>
      </c>
      <c r="W143" s="2" t="s">
        <v>325</v>
      </c>
      <c r="X143">
        <v>1</v>
      </c>
      <c r="Y143" s="6">
        <v>9</v>
      </c>
      <c r="Z143" s="1" t="s">
        <v>459</v>
      </c>
      <c r="AA143" s="1">
        <v>0</v>
      </c>
      <c r="AB143" s="12">
        <v>41548</v>
      </c>
      <c r="AC143" t="s">
        <v>501</v>
      </c>
      <c r="AD143" t="s">
        <v>584</v>
      </c>
      <c r="AE143" s="1">
        <v>18</v>
      </c>
      <c r="AF143" s="1">
        <v>2</v>
      </c>
    </row>
    <row r="144" spans="1:32" customFormat="1" ht="99.95" customHeight="1" x14ac:dyDescent="0.25">
      <c r="A144" s="1">
        <v>143</v>
      </c>
      <c r="B144" s="1" t="s">
        <v>328</v>
      </c>
      <c r="C144" t="s">
        <v>329</v>
      </c>
      <c r="D144" s="1">
        <v>2</v>
      </c>
      <c r="E144" s="1">
        <v>12</v>
      </c>
      <c r="F144" s="2">
        <v>78</v>
      </c>
      <c r="G144" s="2">
        <v>14</v>
      </c>
      <c r="H144" s="2">
        <v>10</v>
      </c>
      <c r="I144" s="2">
        <v>1</v>
      </c>
      <c r="J144" s="2">
        <v>3</v>
      </c>
      <c r="K144" s="2">
        <v>1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 t="s">
        <v>37</v>
      </c>
      <c r="T144" s="2">
        <v>0</v>
      </c>
      <c r="U144" s="2">
        <v>0</v>
      </c>
      <c r="V144" s="2" t="s">
        <v>15</v>
      </c>
      <c r="W144" s="2" t="s">
        <v>328</v>
      </c>
      <c r="X144">
        <v>1.1666666666666667</v>
      </c>
      <c r="Y144" s="6">
        <v>8.6666666666666661</v>
      </c>
      <c r="Z144" s="1" t="s">
        <v>459</v>
      </c>
      <c r="AA144" s="1">
        <v>0</v>
      </c>
      <c r="AB144" s="12">
        <v>41548</v>
      </c>
      <c r="AC144" t="s">
        <v>501</v>
      </c>
      <c r="AD144" t="s">
        <v>585</v>
      </c>
      <c r="AE144" s="1">
        <v>42</v>
      </c>
      <c r="AF144" s="1">
        <v>7</v>
      </c>
    </row>
    <row r="145" spans="1:32" customFormat="1" ht="99.95" customHeight="1" x14ac:dyDescent="0.25">
      <c r="A145" s="1">
        <v>144</v>
      </c>
      <c r="B145" s="1" t="s">
        <v>330</v>
      </c>
      <c r="C145" t="s">
        <v>331</v>
      </c>
      <c r="D145" s="1">
        <v>1</v>
      </c>
      <c r="E145" s="1">
        <v>5</v>
      </c>
      <c r="F145" s="2">
        <v>58</v>
      </c>
      <c r="G145" s="2">
        <v>1</v>
      </c>
      <c r="H145" s="2">
        <v>6</v>
      </c>
      <c r="I145" s="2">
        <v>2</v>
      </c>
      <c r="J145" s="2">
        <v>5</v>
      </c>
      <c r="K145" s="2">
        <v>4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 t="s">
        <v>211</v>
      </c>
      <c r="T145" s="2">
        <v>0</v>
      </c>
      <c r="U145" s="2">
        <v>0</v>
      </c>
      <c r="V145" s="2" t="s">
        <v>15</v>
      </c>
      <c r="W145" s="2" t="s">
        <v>330</v>
      </c>
      <c r="X145">
        <v>0.2</v>
      </c>
      <c r="Y145" s="6">
        <v>14.5</v>
      </c>
      <c r="Z145" s="1" t="s">
        <v>458</v>
      </c>
      <c r="AA145" s="1">
        <v>0</v>
      </c>
      <c r="AB145" s="12">
        <v>41609</v>
      </c>
      <c r="AC145" t="s">
        <v>503</v>
      </c>
      <c r="AD145" t="s">
        <v>586</v>
      </c>
      <c r="AE145" s="1">
        <v>58</v>
      </c>
      <c r="AF145" s="1">
        <v>1</v>
      </c>
    </row>
    <row r="146" spans="1:32" customFormat="1" ht="99.95" customHeight="1" x14ac:dyDescent="0.25">
      <c r="A146" s="1">
        <v>145</v>
      </c>
      <c r="B146" s="1" t="s">
        <v>332</v>
      </c>
      <c r="C146" t="s">
        <v>333</v>
      </c>
      <c r="D146" s="1">
        <v>1</v>
      </c>
      <c r="E146" s="1">
        <v>2</v>
      </c>
      <c r="F146" s="2">
        <v>5</v>
      </c>
      <c r="G146" s="2">
        <v>2</v>
      </c>
      <c r="H146" s="2">
        <v>3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 t="s">
        <v>211</v>
      </c>
      <c r="T146" s="2">
        <v>0</v>
      </c>
      <c r="U146" s="2">
        <v>0</v>
      </c>
      <c r="V146" s="2" t="s">
        <v>15</v>
      </c>
      <c r="W146" s="2" t="s">
        <v>332</v>
      </c>
      <c r="X146">
        <v>1</v>
      </c>
      <c r="Y146" s="6">
        <v>1.6666666666666667</v>
      </c>
      <c r="Z146" s="1" t="s">
        <v>459</v>
      </c>
      <c r="AA146" s="1">
        <v>0</v>
      </c>
      <c r="AB146" s="12">
        <v>41609</v>
      </c>
      <c r="AC146" t="s">
        <v>503</v>
      </c>
      <c r="AD146" t="s">
        <v>537</v>
      </c>
      <c r="AE146" s="1">
        <v>5</v>
      </c>
      <c r="AF146" s="1">
        <v>2</v>
      </c>
    </row>
    <row r="147" spans="1:32" customFormat="1" ht="99.95" customHeight="1" x14ac:dyDescent="0.25">
      <c r="A147" s="1">
        <v>146</v>
      </c>
      <c r="B147" s="1" t="s">
        <v>334</v>
      </c>
      <c r="C147" t="s">
        <v>335</v>
      </c>
      <c r="D147" s="1">
        <v>7</v>
      </c>
      <c r="E147" s="1">
        <v>38</v>
      </c>
      <c r="F147" s="2">
        <v>412</v>
      </c>
      <c r="G147" s="2">
        <v>37</v>
      </c>
      <c r="H147" s="2">
        <v>44</v>
      </c>
      <c r="I147" s="2">
        <v>2</v>
      </c>
      <c r="J147" s="2">
        <v>25</v>
      </c>
      <c r="K147" s="2">
        <v>18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1</v>
      </c>
      <c r="S147" s="2" t="s">
        <v>59</v>
      </c>
      <c r="T147" s="2">
        <v>0</v>
      </c>
      <c r="U147" s="2">
        <v>0</v>
      </c>
      <c r="V147" s="2" t="s">
        <v>15</v>
      </c>
      <c r="W147" s="2" t="s">
        <v>334</v>
      </c>
      <c r="X147">
        <v>0.97368421052631582</v>
      </c>
      <c r="Y147" s="6">
        <v>9.8095238095238102</v>
      </c>
      <c r="Z147" s="1" t="s">
        <v>457</v>
      </c>
      <c r="AA147" s="1">
        <v>1</v>
      </c>
      <c r="AB147" s="12">
        <v>41548</v>
      </c>
      <c r="AC147" t="s">
        <v>501</v>
      </c>
      <c r="AD147" t="s">
        <v>587</v>
      </c>
      <c r="AE147" s="1">
        <v>86</v>
      </c>
      <c r="AF147" s="1">
        <v>14</v>
      </c>
    </row>
    <row r="148" spans="1:32" customFormat="1" ht="99.95" customHeight="1" x14ac:dyDescent="0.25">
      <c r="A148" s="1">
        <v>147</v>
      </c>
      <c r="B148" s="1" t="s">
        <v>336</v>
      </c>
      <c r="C148" t="s">
        <v>337</v>
      </c>
      <c r="D148" s="1">
        <v>2</v>
      </c>
      <c r="E148" s="1">
        <v>19</v>
      </c>
      <c r="F148" s="2">
        <v>148</v>
      </c>
      <c r="G148" s="2">
        <v>17</v>
      </c>
      <c r="H148" s="2">
        <v>22</v>
      </c>
      <c r="I148" s="2">
        <v>0</v>
      </c>
      <c r="J148" s="2">
        <v>11</v>
      </c>
      <c r="K148" s="2">
        <v>6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 t="s">
        <v>294</v>
      </c>
      <c r="T148" s="2">
        <v>0</v>
      </c>
      <c r="U148" s="2">
        <v>0</v>
      </c>
      <c r="V148" s="2" t="s">
        <v>15</v>
      </c>
      <c r="W148" s="2" t="s">
        <v>336</v>
      </c>
      <c r="X148">
        <v>0.89473684210526316</v>
      </c>
      <c r="Y148" s="6">
        <v>6.7272727272727275</v>
      </c>
      <c r="Z148" s="1" t="s">
        <v>457</v>
      </c>
      <c r="AA148" s="1">
        <v>0</v>
      </c>
      <c r="AB148" s="12">
        <v>41609</v>
      </c>
      <c r="AC148" t="s">
        <v>503</v>
      </c>
      <c r="AD148" t="s">
        <v>588</v>
      </c>
      <c r="AE148" s="1">
        <v>85</v>
      </c>
      <c r="AF148" s="1">
        <v>12</v>
      </c>
    </row>
    <row r="149" spans="1:32" customFormat="1" ht="99.95" customHeight="1" x14ac:dyDescent="0.25">
      <c r="A149" s="1">
        <v>148</v>
      </c>
      <c r="B149" s="1" t="s">
        <v>338</v>
      </c>
      <c r="C149" t="s">
        <v>339</v>
      </c>
      <c r="D149" s="1">
        <v>4</v>
      </c>
      <c r="E149" s="1">
        <v>26</v>
      </c>
      <c r="F149" s="2">
        <v>465</v>
      </c>
      <c r="G149" s="2">
        <v>39</v>
      </c>
      <c r="H149" s="2">
        <v>39</v>
      </c>
      <c r="I149" s="2">
        <v>4</v>
      </c>
      <c r="J149" s="2">
        <v>32</v>
      </c>
      <c r="K149" s="2">
        <v>31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 t="s">
        <v>279</v>
      </c>
      <c r="T149" s="2">
        <v>0</v>
      </c>
      <c r="U149" s="2">
        <v>0</v>
      </c>
      <c r="V149" s="2" t="s">
        <v>15</v>
      </c>
      <c r="W149" s="2" t="s">
        <v>338</v>
      </c>
      <c r="X149" s="5">
        <v>1.5</v>
      </c>
      <c r="Y149" s="6">
        <v>13.285714285714286</v>
      </c>
      <c r="Z149" s="1" t="s">
        <v>456</v>
      </c>
      <c r="AA149" s="1">
        <v>0</v>
      </c>
      <c r="AB149" s="12">
        <v>41609</v>
      </c>
      <c r="AC149" t="s">
        <v>503</v>
      </c>
      <c r="AD149" t="s">
        <v>588</v>
      </c>
      <c r="AE149" s="1">
        <v>177</v>
      </c>
      <c r="AF149" s="1">
        <v>24</v>
      </c>
    </row>
    <row r="150" spans="1:32" customFormat="1" ht="99.95" customHeight="1" x14ac:dyDescent="0.25">
      <c r="A150" s="1">
        <v>149</v>
      </c>
      <c r="B150" s="1" t="s">
        <v>340</v>
      </c>
      <c r="C150" t="s">
        <v>341</v>
      </c>
      <c r="D150" s="1">
        <v>1</v>
      </c>
      <c r="E150" s="1">
        <v>2</v>
      </c>
      <c r="F150" s="2">
        <v>3</v>
      </c>
      <c r="G150" s="2">
        <v>1</v>
      </c>
      <c r="H150" s="2">
        <v>2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 t="s">
        <v>211</v>
      </c>
      <c r="T150" s="2">
        <v>0</v>
      </c>
      <c r="U150" s="2">
        <v>0</v>
      </c>
      <c r="V150" s="2" t="s">
        <v>15</v>
      </c>
      <c r="W150" s="2" t="s">
        <v>340</v>
      </c>
      <c r="X150">
        <v>0.5</v>
      </c>
      <c r="Y150" s="6">
        <v>1.5</v>
      </c>
      <c r="Z150" s="1" t="s">
        <v>457</v>
      </c>
      <c r="AA150" s="1">
        <v>0</v>
      </c>
      <c r="AB150" s="12">
        <v>41609</v>
      </c>
      <c r="AC150" t="s">
        <v>503</v>
      </c>
      <c r="AD150" t="s">
        <v>589</v>
      </c>
      <c r="AE150" s="1">
        <v>3</v>
      </c>
      <c r="AF150" s="1">
        <v>1</v>
      </c>
    </row>
    <row r="151" spans="1:32" customFormat="1" ht="99.95" customHeight="1" x14ac:dyDescent="0.25">
      <c r="A151" s="1">
        <v>150</v>
      </c>
      <c r="B151" s="1" t="s">
        <v>342</v>
      </c>
      <c r="C151" t="s">
        <v>343</v>
      </c>
      <c r="D151" s="1">
        <v>2</v>
      </c>
      <c r="E151" s="1">
        <v>17</v>
      </c>
      <c r="F151" s="2">
        <v>163</v>
      </c>
      <c r="G151" s="2">
        <v>15</v>
      </c>
      <c r="H151" s="2">
        <v>18</v>
      </c>
      <c r="I151" s="2">
        <v>2</v>
      </c>
      <c r="J151" s="2">
        <v>16</v>
      </c>
      <c r="K151" s="2">
        <v>12</v>
      </c>
      <c r="L151" s="2">
        <v>1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 t="s">
        <v>294</v>
      </c>
      <c r="T151" s="2">
        <v>0</v>
      </c>
      <c r="U151" s="2">
        <v>0</v>
      </c>
      <c r="V151" s="2" t="s">
        <v>15</v>
      </c>
      <c r="W151" s="2" t="s">
        <v>342</v>
      </c>
      <c r="X151">
        <v>0.88235294117647056</v>
      </c>
      <c r="Y151" s="6">
        <v>10.1875</v>
      </c>
      <c r="Z151" s="1" t="s">
        <v>458</v>
      </c>
      <c r="AA151" s="1">
        <v>0</v>
      </c>
      <c r="AB151" s="12">
        <v>41609</v>
      </c>
      <c r="AC151" t="s">
        <v>503</v>
      </c>
      <c r="AD151" t="s">
        <v>586</v>
      </c>
      <c r="AE151" s="1">
        <v>85</v>
      </c>
      <c r="AF151" s="1">
        <v>13</v>
      </c>
    </row>
    <row r="152" spans="1:32" customFormat="1" ht="99.95" customHeight="1" x14ac:dyDescent="0.25">
      <c r="A152" s="1">
        <v>151</v>
      </c>
      <c r="B152" s="1" t="s">
        <v>344</v>
      </c>
      <c r="C152" t="s">
        <v>345</v>
      </c>
      <c r="D152" s="1">
        <v>1</v>
      </c>
      <c r="E152" s="1">
        <v>12</v>
      </c>
      <c r="F152" s="2">
        <v>93</v>
      </c>
      <c r="G152" s="2">
        <v>16</v>
      </c>
      <c r="H152" s="2">
        <v>11</v>
      </c>
      <c r="I152" s="2">
        <v>1</v>
      </c>
      <c r="J152" s="2">
        <v>4</v>
      </c>
      <c r="K152" s="2">
        <v>5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1</v>
      </c>
      <c r="S152" s="2" t="s">
        <v>211</v>
      </c>
      <c r="T152" s="2">
        <v>0</v>
      </c>
      <c r="U152" s="2">
        <v>0</v>
      </c>
      <c r="V152" s="2" t="s">
        <v>15</v>
      </c>
      <c r="W152" s="2" t="s">
        <v>344</v>
      </c>
      <c r="X152">
        <v>1.3333333333333333</v>
      </c>
      <c r="Y152" s="6">
        <v>9.3000000000000007</v>
      </c>
      <c r="Z152" s="1" t="s">
        <v>459</v>
      </c>
      <c r="AA152" s="1">
        <v>1</v>
      </c>
      <c r="AB152" s="12">
        <v>41609</v>
      </c>
      <c r="AC152" t="s">
        <v>503</v>
      </c>
      <c r="AD152" t="s">
        <v>590</v>
      </c>
      <c r="AE152" s="1">
        <v>93</v>
      </c>
      <c r="AF152" s="1">
        <v>16</v>
      </c>
    </row>
    <row r="153" spans="1:32" customFormat="1" ht="99.95" customHeight="1" x14ac:dyDescent="0.25">
      <c r="A153" s="1">
        <v>152</v>
      </c>
      <c r="B153" s="1" t="s">
        <v>346</v>
      </c>
      <c r="C153" t="s">
        <v>347</v>
      </c>
      <c r="D153" s="1">
        <v>1</v>
      </c>
      <c r="E153" s="1">
        <v>2</v>
      </c>
      <c r="F153" s="2">
        <v>14</v>
      </c>
      <c r="G153" s="2">
        <v>0</v>
      </c>
      <c r="H153" s="2">
        <v>2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 t="s">
        <v>211</v>
      </c>
      <c r="T153" s="2">
        <v>0</v>
      </c>
      <c r="U153" s="2">
        <v>0</v>
      </c>
      <c r="V153" s="2" t="s">
        <v>15</v>
      </c>
      <c r="W153" s="2" t="s">
        <v>346</v>
      </c>
      <c r="X153">
        <v>0</v>
      </c>
      <c r="Y153" s="6">
        <v>7</v>
      </c>
      <c r="Z153" s="1" t="s">
        <v>457</v>
      </c>
      <c r="AA153" s="1">
        <v>0</v>
      </c>
      <c r="AB153" s="12">
        <v>41609</v>
      </c>
      <c r="AC153" t="s">
        <v>503</v>
      </c>
      <c r="AD153" t="s">
        <v>591</v>
      </c>
      <c r="AE153" s="1">
        <v>14</v>
      </c>
      <c r="AF153" s="1">
        <v>0</v>
      </c>
    </row>
    <row r="154" spans="1:32" customFormat="1" ht="99.95" customHeight="1" x14ac:dyDescent="0.25">
      <c r="A154" s="1">
        <v>153</v>
      </c>
      <c r="B154" s="1" t="s">
        <v>348</v>
      </c>
      <c r="C154" t="s">
        <v>349</v>
      </c>
      <c r="D154" s="1">
        <v>2</v>
      </c>
      <c r="E154" s="1">
        <v>6</v>
      </c>
      <c r="F154" s="2">
        <v>79</v>
      </c>
      <c r="G154" s="2">
        <v>9</v>
      </c>
      <c r="H154" s="2">
        <v>11</v>
      </c>
      <c r="I154" s="2">
        <v>0</v>
      </c>
      <c r="J154" s="2">
        <v>2</v>
      </c>
      <c r="K154" s="2">
        <v>3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1</v>
      </c>
      <c r="S154" s="2" t="s">
        <v>294</v>
      </c>
      <c r="T154" s="2">
        <v>0</v>
      </c>
      <c r="U154" s="2">
        <v>0</v>
      </c>
      <c r="V154" s="2" t="s">
        <v>15</v>
      </c>
      <c r="W154" s="2" t="s">
        <v>348</v>
      </c>
      <c r="X154" s="5">
        <v>1.5</v>
      </c>
      <c r="Y154" s="6">
        <v>7.1818181818181817</v>
      </c>
      <c r="Z154" s="1" t="s">
        <v>459</v>
      </c>
      <c r="AA154" s="1">
        <v>1</v>
      </c>
      <c r="AB154" s="12">
        <v>41699</v>
      </c>
      <c r="AC154" t="s">
        <v>473</v>
      </c>
      <c r="AD154" t="s">
        <v>592</v>
      </c>
      <c r="AE154" s="1">
        <v>68</v>
      </c>
      <c r="AF154" s="1">
        <v>5</v>
      </c>
    </row>
    <row r="155" spans="1:32" customFormat="1" ht="99.95" customHeight="1" x14ac:dyDescent="0.25">
      <c r="A155" s="1">
        <v>154</v>
      </c>
      <c r="B155" s="1" t="s">
        <v>350</v>
      </c>
      <c r="C155" t="s">
        <v>351</v>
      </c>
      <c r="D155" s="1">
        <v>3</v>
      </c>
      <c r="E155" s="1">
        <v>7</v>
      </c>
      <c r="F155" s="2">
        <v>75</v>
      </c>
      <c r="G155" s="2">
        <v>6</v>
      </c>
      <c r="H155" s="2">
        <v>10</v>
      </c>
      <c r="I155" s="2">
        <v>0</v>
      </c>
      <c r="J155" s="2">
        <v>3</v>
      </c>
      <c r="K155" s="2">
        <v>3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 t="s">
        <v>37</v>
      </c>
      <c r="T155" s="2">
        <v>0</v>
      </c>
      <c r="U155" s="2">
        <v>0</v>
      </c>
      <c r="V155" s="2" t="s">
        <v>15</v>
      </c>
      <c r="W155" s="2" t="s">
        <v>350</v>
      </c>
      <c r="X155">
        <v>0.8571428571428571</v>
      </c>
      <c r="Y155" s="6">
        <v>7.5</v>
      </c>
      <c r="Z155" s="1" t="s">
        <v>457</v>
      </c>
      <c r="AA155" s="1">
        <v>0</v>
      </c>
      <c r="AB155" s="12">
        <v>41699</v>
      </c>
      <c r="AC155" t="s">
        <v>473</v>
      </c>
      <c r="AD155" t="s">
        <v>593</v>
      </c>
      <c r="AE155" s="1">
        <v>40</v>
      </c>
      <c r="AF155" s="1">
        <v>2</v>
      </c>
    </row>
    <row r="156" spans="1:32" customFormat="1" ht="99.95" customHeight="1" x14ac:dyDescent="0.25">
      <c r="A156" s="1">
        <v>155</v>
      </c>
      <c r="B156" s="1" t="s">
        <v>352</v>
      </c>
      <c r="C156" t="s">
        <v>353</v>
      </c>
      <c r="D156" s="1">
        <v>7</v>
      </c>
      <c r="E156" s="1">
        <v>48</v>
      </c>
      <c r="F156" s="2">
        <v>536</v>
      </c>
      <c r="G156" s="2">
        <v>62</v>
      </c>
      <c r="H156" s="2">
        <v>48</v>
      </c>
      <c r="I156" s="2">
        <v>4</v>
      </c>
      <c r="J156" s="2">
        <v>36</v>
      </c>
      <c r="K156" s="2">
        <v>29</v>
      </c>
      <c r="L156" s="2">
        <v>1</v>
      </c>
      <c r="M156" s="2">
        <v>1</v>
      </c>
      <c r="N156" s="2">
        <v>2</v>
      </c>
      <c r="O156" s="2">
        <v>0</v>
      </c>
      <c r="P156" s="2">
        <v>0</v>
      </c>
      <c r="Q156" s="2">
        <v>1</v>
      </c>
      <c r="R156" s="2">
        <v>2</v>
      </c>
      <c r="S156" s="2" t="s">
        <v>40</v>
      </c>
      <c r="T156" s="2">
        <v>0</v>
      </c>
      <c r="U156" s="2">
        <v>0</v>
      </c>
      <c r="V156" s="2" t="s">
        <v>15</v>
      </c>
      <c r="W156" s="2" t="s">
        <v>352</v>
      </c>
      <c r="X156">
        <v>1.2916666666666667</v>
      </c>
      <c r="Y156" s="6">
        <v>12.181818181818182</v>
      </c>
      <c r="Z156" s="1" t="s">
        <v>456</v>
      </c>
      <c r="AA156" s="1">
        <v>3</v>
      </c>
      <c r="AB156" s="12">
        <v>41699</v>
      </c>
      <c r="AC156" t="s">
        <v>473</v>
      </c>
      <c r="AD156" t="s">
        <v>592</v>
      </c>
      <c r="AE156" s="1">
        <v>209</v>
      </c>
      <c r="AF156" s="1">
        <v>20</v>
      </c>
    </row>
    <row r="157" spans="1:32" customFormat="1" ht="99.95" customHeight="1" x14ac:dyDescent="0.25">
      <c r="A157" s="1">
        <v>156</v>
      </c>
      <c r="B157" s="1" t="s">
        <v>354</v>
      </c>
      <c r="C157" t="s">
        <v>355</v>
      </c>
      <c r="D157" s="1">
        <v>7</v>
      </c>
      <c r="E157" s="1">
        <v>34</v>
      </c>
      <c r="F157" s="2">
        <v>442</v>
      </c>
      <c r="G157" s="2">
        <v>32</v>
      </c>
      <c r="H157" s="2">
        <v>43</v>
      </c>
      <c r="I157" s="2">
        <v>2</v>
      </c>
      <c r="J157" s="2">
        <v>33</v>
      </c>
      <c r="K157" s="2">
        <v>33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1</v>
      </c>
      <c r="R157" s="2">
        <v>1</v>
      </c>
      <c r="S157" s="2" t="s">
        <v>101</v>
      </c>
      <c r="T157" s="2">
        <v>0</v>
      </c>
      <c r="U157" s="2">
        <v>0</v>
      </c>
      <c r="V157" s="2" t="s">
        <v>15</v>
      </c>
      <c r="W157" s="2" t="s">
        <v>354</v>
      </c>
      <c r="X157">
        <v>0.94117647058823528</v>
      </c>
      <c r="Y157" s="6">
        <v>10.780487804878049</v>
      </c>
      <c r="Z157" s="1" t="s">
        <v>458</v>
      </c>
      <c r="AA157" s="1">
        <v>2</v>
      </c>
      <c r="AB157" s="12">
        <v>41699</v>
      </c>
      <c r="AC157" t="s">
        <v>473</v>
      </c>
      <c r="AD157" t="s">
        <v>594</v>
      </c>
      <c r="AE157" s="1">
        <v>190</v>
      </c>
      <c r="AF157" s="1">
        <v>10</v>
      </c>
    </row>
    <row r="158" spans="1:32" customFormat="1" ht="99.95" customHeight="1" x14ac:dyDescent="0.25">
      <c r="A158" s="1">
        <v>157</v>
      </c>
      <c r="B158" s="1" t="s">
        <v>356</v>
      </c>
      <c r="C158" t="s">
        <v>357</v>
      </c>
      <c r="D158" s="1">
        <v>3</v>
      </c>
      <c r="E158" s="1">
        <v>13</v>
      </c>
      <c r="F158" s="2">
        <v>134</v>
      </c>
      <c r="G158" s="2">
        <v>15</v>
      </c>
      <c r="H158" s="2">
        <v>12</v>
      </c>
      <c r="I158" s="2">
        <v>1</v>
      </c>
      <c r="J158" s="2">
        <v>9</v>
      </c>
      <c r="K158" s="2">
        <v>7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 t="s">
        <v>37</v>
      </c>
      <c r="T158" s="2">
        <v>0</v>
      </c>
      <c r="U158" s="2">
        <v>0</v>
      </c>
      <c r="V158" s="2" t="s">
        <v>15</v>
      </c>
      <c r="W158" s="2" t="s">
        <v>356</v>
      </c>
      <c r="X158">
        <v>1.1538461538461537</v>
      </c>
      <c r="Y158" s="6">
        <v>12.181818181818182</v>
      </c>
      <c r="Z158" s="1" t="s">
        <v>456</v>
      </c>
      <c r="AA158" s="1">
        <v>0</v>
      </c>
      <c r="AB158" s="12">
        <v>41791</v>
      </c>
      <c r="AC158" t="s">
        <v>511</v>
      </c>
      <c r="AD158" t="s">
        <v>595</v>
      </c>
      <c r="AE158" s="1">
        <v>65</v>
      </c>
      <c r="AF158" s="1">
        <v>9</v>
      </c>
    </row>
    <row r="159" spans="1:32" customFormat="1" ht="99.95" customHeight="1" x14ac:dyDescent="0.25">
      <c r="A159" s="1">
        <v>158</v>
      </c>
      <c r="B159" s="1" t="s">
        <v>358</v>
      </c>
      <c r="C159" t="s">
        <v>359</v>
      </c>
      <c r="D159" s="1">
        <v>4</v>
      </c>
      <c r="E159" s="1">
        <v>20</v>
      </c>
      <c r="F159" s="2">
        <v>339</v>
      </c>
      <c r="G159" s="2">
        <v>27</v>
      </c>
      <c r="H159" s="2">
        <v>25</v>
      </c>
      <c r="I159" s="2">
        <v>1</v>
      </c>
      <c r="J159" s="2">
        <v>14</v>
      </c>
      <c r="K159" s="2">
        <v>12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1</v>
      </c>
      <c r="R159" s="2">
        <v>0</v>
      </c>
      <c r="S159" s="2" t="s">
        <v>101</v>
      </c>
      <c r="T159" s="2">
        <v>0</v>
      </c>
      <c r="U159" s="2">
        <v>0</v>
      </c>
      <c r="V159" s="2" t="s">
        <v>15</v>
      </c>
      <c r="W159" s="2" t="s">
        <v>358</v>
      </c>
      <c r="X159">
        <v>1.35</v>
      </c>
      <c r="Y159" s="6">
        <v>14.125</v>
      </c>
      <c r="Z159" s="1" t="s">
        <v>460</v>
      </c>
      <c r="AA159" s="1">
        <v>1</v>
      </c>
      <c r="AB159" s="12">
        <v>41456</v>
      </c>
      <c r="AC159" t="s">
        <v>476</v>
      </c>
      <c r="AD159" t="s">
        <v>582</v>
      </c>
      <c r="AE159" s="1">
        <v>152</v>
      </c>
      <c r="AF159" s="1">
        <v>13</v>
      </c>
    </row>
    <row r="160" spans="1:32" customFormat="1" ht="99.95" customHeight="1" x14ac:dyDescent="0.25">
      <c r="A160" s="1">
        <v>159</v>
      </c>
      <c r="B160" s="1" t="s">
        <v>360</v>
      </c>
      <c r="C160" t="s">
        <v>361</v>
      </c>
      <c r="D160" s="1">
        <v>1</v>
      </c>
      <c r="E160" s="1">
        <v>9</v>
      </c>
      <c r="F160" s="2">
        <v>126</v>
      </c>
      <c r="G160" s="2">
        <v>11</v>
      </c>
      <c r="H160" s="2">
        <v>12</v>
      </c>
      <c r="I160" s="2">
        <v>0</v>
      </c>
      <c r="J160" s="2">
        <v>6</v>
      </c>
      <c r="K160" s="2">
        <v>11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 t="s">
        <v>294</v>
      </c>
      <c r="T160" s="2">
        <v>0</v>
      </c>
      <c r="U160" s="2">
        <v>0</v>
      </c>
      <c r="V160" s="2" t="s">
        <v>15</v>
      </c>
      <c r="W160" s="2" t="s">
        <v>360</v>
      </c>
      <c r="X160">
        <v>1.2222222222222223</v>
      </c>
      <c r="Y160" s="6">
        <v>10.5</v>
      </c>
      <c r="Z160" s="1" t="s">
        <v>456</v>
      </c>
      <c r="AA160" s="1">
        <v>0</v>
      </c>
      <c r="AB160" s="12">
        <v>41791</v>
      </c>
      <c r="AC160" t="s">
        <v>511</v>
      </c>
      <c r="AD160" t="s">
        <v>558</v>
      </c>
      <c r="AE160" s="1">
        <v>126</v>
      </c>
      <c r="AF160" s="1">
        <v>11</v>
      </c>
    </row>
    <row r="161" spans="1:32" customFormat="1" ht="99.95" customHeight="1" x14ac:dyDescent="0.25">
      <c r="A161" s="1">
        <v>160</v>
      </c>
      <c r="B161" s="1" t="s">
        <v>362</v>
      </c>
      <c r="C161" t="s">
        <v>363</v>
      </c>
      <c r="D161" s="1">
        <v>1</v>
      </c>
      <c r="E161" s="1">
        <v>5</v>
      </c>
      <c r="F161" s="2">
        <v>164</v>
      </c>
      <c r="G161" s="2">
        <v>7</v>
      </c>
      <c r="H161" s="2">
        <v>10</v>
      </c>
      <c r="I161" s="2">
        <v>0</v>
      </c>
      <c r="J161" s="2">
        <v>7</v>
      </c>
      <c r="K161" s="2">
        <v>12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 t="s">
        <v>294</v>
      </c>
      <c r="T161" s="2">
        <v>0</v>
      </c>
      <c r="U161" s="2">
        <v>0</v>
      </c>
      <c r="V161" s="2" t="s">
        <v>15</v>
      </c>
      <c r="W161" s="2" t="s">
        <v>362</v>
      </c>
      <c r="X161" s="3">
        <v>1.4</v>
      </c>
      <c r="Y161" s="6">
        <v>16.399999999999999</v>
      </c>
      <c r="Z161" s="1" t="s">
        <v>460</v>
      </c>
      <c r="AA161" s="1">
        <v>0</v>
      </c>
      <c r="AB161" s="12">
        <v>41791</v>
      </c>
      <c r="AC161" t="s">
        <v>511</v>
      </c>
      <c r="AD161" t="s">
        <v>560</v>
      </c>
      <c r="AE161" s="1">
        <v>164</v>
      </c>
      <c r="AF161" s="1">
        <v>7</v>
      </c>
    </row>
    <row r="162" spans="1:32" customFormat="1" ht="99.95" customHeight="1" x14ac:dyDescent="0.25">
      <c r="A162" s="1">
        <v>161</v>
      </c>
      <c r="B162" s="1" t="s">
        <v>364</v>
      </c>
      <c r="C162" t="s">
        <v>365</v>
      </c>
      <c r="D162" s="1">
        <v>1</v>
      </c>
      <c r="E162" s="1">
        <v>4</v>
      </c>
      <c r="F162" s="2">
        <v>91</v>
      </c>
      <c r="G162" s="2">
        <v>5</v>
      </c>
      <c r="H162" s="2">
        <v>10</v>
      </c>
      <c r="I162" s="2">
        <v>1</v>
      </c>
      <c r="J162" s="2">
        <v>3</v>
      </c>
      <c r="K162" s="2">
        <v>5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 t="s">
        <v>279</v>
      </c>
      <c r="T162" s="2">
        <v>0</v>
      </c>
      <c r="U162" s="2">
        <v>0</v>
      </c>
      <c r="V162" s="2" t="s">
        <v>15</v>
      </c>
      <c r="W162" s="2" t="s">
        <v>364</v>
      </c>
      <c r="X162">
        <v>1.25</v>
      </c>
      <c r="Y162" s="6">
        <v>10.111111111111111</v>
      </c>
      <c r="Z162" s="1" t="s">
        <v>456</v>
      </c>
      <c r="AA162" s="1">
        <v>0</v>
      </c>
      <c r="AB162" s="12">
        <v>42339</v>
      </c>
      <c r="AC162" t="s">
        <v>524</v>
      </c>
      <c r="AD162" t="s">
        <v>596</v>
      </c>
      <c r="AE162" s="1">
        <v>91</v>
      </c>
      <c r="AF162" s="1">
        <v>5</v>
      </c>
    </row>
    <row r="163" spans="1:32" customFormat="1" ht="99.95" customHeight="1" x14ac:dyDescent="0.25">
      <c r="A163" s="1">
        <v>162</v>
      </c>
      <c r="B163" s="1" t="s">
        <v>366</v>
      </c>
      <c r="C163" t="s">
        <v>367</v>
      </c>
      <c r="D163" s="1">
        <v>2</v>
      </c>
      <c r="E163" s="1">
        <v>8</v>
      </c>
      <c r="F163" s="2">
        <v>65</v>
      </c>
      <c r="G163" s="2">
        <v>4</v>
      </c>
      <c r="H163" s="2">
        <v>9</v>
      </c>
      <c r="I163" s="2">
        <v>1</v>
      </c>
      <c r="J163" s="2">
        <v>5</v>
      </c>
      <c r="K163" s="2">
        <v>2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1</v>
      </c>
      <c r="R163" s="2">
        <v>0</v>
      </c>
      <c r="S163" s="2" t="s">
        <v>368</v>
      </c>
      <c r="T163" s="2">
        <v>0</v>
      </c>
      <c r="U163" s="2">
        <v>0</v>
      </c>
      <c r="V163" s="2" t="s">
        <v>15</v>
      </c>
      <c r="W163" s="2" t="s">
        <v>366</v>
      </c>
      <c r="X163">
        <v>0.5</v>
      </c>
      <c r="Y163" s="6">
        <v>8.125</v>
      </c>
      <c r="Z163" s="1" t="s">
        <v>457</v>
      </c>
      <c r="AA163" s="1">
        <v>1</v>
      </c>
      <c r="AB163" s="12">
        <v>42339</v>
      </c>
      <c r="AC163" t="s">
        <v>524</v>
      </c>
      <c r="AD163" t="s">
        <v>597</v>
      </c>
      <c r="AE163" s="1">
        <v>53</v>
      </c>
      <c r="AF163" s="1">
        <v>2</v>
      </c>
    </row>
    <row r="164" spans="1:32" customFormat="1" ht="99.95" customHeight="1" x14ac:dyDescent="0.25">
      <c r="A164" s="1">
        <v>163</v>
      </c>
      <c r="B164" s="1" t="s">
        <v>369</v>
      </c>
      <c r="C164" t="s">
        <v>370</v>
      </c>
      <c r="D164" s="1">
        <v>1</v>
      </c>
      <c r="E164" s="1">
        <v>5</v>
      </c>
      <c r="F164" s="2">
        <v>187</v>
      </c>
      <c r="G164" s="2">
        <v>5</v>
      </c>
      <c r="H164" s="2">
        <v>7</v>
      </c>
      <c r="I164" s="2">
        <v>0</v>
      </c>
      <c r="J164" s="2">
        <v>13</v>
      </c>
      <c r="K164" s="2">
        <v>13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 t="s">
        <v>279</v>
      </c>
      <c r="T164" s="2">
        <v>0</v>
      </c>
      <c r="U164" s="2">
        <v>0</v>
      </c>
      <c r="V164" s="2" t="s">
        <v>15</v>
      </c>
      <c r="W164" s="2" t="s">
        <v>369</v>
      </c>
      <c r="X164" s="3">
        <v>1</v>
      </c>
      <c r="Y164" s="6">
        <v>26.714285714285715</v>
      </c>
      <c r="Z164" s="1" t="s">
        <v>457</v>
      </c>
      <c r="AA164" s="1">
        <v>0</v>
      </c>
      <c r="AB164" s="12">
        <v>42339</v>
      </c>
      <c r="AC164" t="s">
        <v>524</v>
      </c>
      <c r="AD164" t="s">
        <v>525</v>
      </c>
      <c r="AE164" s="1">
        <v>187</v>
      </c>
      <c r="AF164" s="1">
        <v>5</v>
      </c>
    </row>
    <row r="165" spans="1:32" customFormat="1" ht="99.95" customHeight="1" x14ac:dyDescent="0.25">
      <c r="A165" s="1">
        <v>164</v>
      </c>
      <c r="B165" s="1" t="s">
        <v>371</v>
      </c>
      <c r="C165" t="s">
        <v>372</v>
      </c>
      <c r="D165" s="1">
        <v>1</v>
      </c>
      <c r="E165" s="1">
        <v>5</v>
      </c>
      <c r="F165" s="2">
        <v>61</v>
      </c>
      <c r="G165" s="2">
        <v>2</v>
      </c>
      <c r="H165" s="2">
        <v>5</v>
      </c>
      <c r="I165" s="2">
        <v>0</v>
      </c>
      <c r="J165" s="2">
        <v>4</v>
      </c>
      <c r="K165" s="2">
        <v>4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 t="s">
        <v>279</v>
      </c>
      <c r="T165" s="2">
        <v>0</v>
      </c>
      <c r="U165" s="2">
        <v>0</v>
      </c>
      <c r="V165" s="2" t="s">
        <v>15</v>
      </c>
      <c r="W165" s="2" t="s">
        <v>371</v>
      </c>
      <c r="X165">
        <v>0.4</v>
      </c>
      <c r="Y165" s="6">
        <v>12.2</v>
      </c>
      <c r="Z165" s="1" t="s">
        <v>458</v>
      </c>
      <c r="AA165" s="1">
        <v>0</v>
      </c>
      <c r="AB165" s="12">
        <v>42339</v>
      </c>
      <c r="AC165" t="s">
        <v>524</v>
      </c>
      <c r="AD165" t="s">
        <v>598</v>
      </c>
      <c r="AE165" s="1">
        <v>61</v>
      </c>
      <c r="AF165" s="1">
        <v>2</v>
      </c>
    </row>
    <row r="166" spans="1:32" customFormat="1" ht="99.95" customHeight="1" x14ac:dyDescent="0.25">
      <c r="A166" s="1">
        <v>165</v>
      </c>
      <c r="B166" s="1" t="s">
        <v>373</v>
      </c>
      <c r="C166" t="s">
        <v>374</v>
      </c>
      <c r="D166" s="1">
        <v>2</v>
      </c>
      <c r="E166" s="1">
        <v>13</v>
      </c>
      <c r="F166" s="2">
        <v>87</v>
      </c>
      <c r="G166" s="2">
        <v>11</v>
      </c>
      <c r="H166" s="2">
        <v>13</v>
      </c>
      <c r="I166" s="2">
        <v>0</v>
      </c>
      <c r="J166" s="2">
        <v>5</v>
      </c>
      <c r="K166" s="2">
        <v>2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 t="s">
        <v>37</v>
      </c>
      <c r="T166" s="2">
        <v>0</v>
      </c>
      <c r="U166" s="2">
        <v>0</v>
      </c>
      <c r="V166" s="2" t="s">
        <v>15</v>
      </c>
      <c r="W166" s="2" t="s">
        <v>373</v>
      </c>
      <c r="X166">
        <v>0.84615384615384615</v>
      </c>
      <c r="Y166" s="6">
        <v>6.6923076923076925</v>
      </c>
      <c r="Z166" s="1" t="s">
        <v>457</v>
      </c>
      <c r="AA166" s="1">
        <v>0</v>
      </c>
      <c r="AB166" s="12">
        <v>42339</v>
      </c>
      <c r="AC166" t="s">
        <v>524</v>
      </c>
      <c r="AD166" t="s">
        <v>599</v>
      </c>
      <c r="AE166" s="1">
        <v>81</v>
      </c>
      <c r="AF166" s="1">
        <v>11</v>
      </c>
    </row>
    <row r="167" spans="1:32" customFormat="1" ht="99.95" customHeight="1" x14ac:dyDescent="0.25">
      <c r="A167" s="1">
        <v>166</v>
      </c>
      <c r="B167" s="1" t="s">
        <v>375</v>
      </c>
      <c r="C167" t="s">
        <v>376</v>
      </c>
      <c r="D167" s="1">
        <v>1</v>
      </c>
      <c r="E167" s="1">
        <v>4</v>
      </c>
      <c r="F167" s="2">
        <v>66</v>
      </c>
      <c r="G167" s="2">
        <v>5</v>
      </c>
      <c r="H167" s="2">
        <v>5</v>
      </c>
      <c r="I167" s="2">
        <v>0</v>
      </c>
      <c r="J167" s="2">
        <v>4</v>
      </c>
      <c r="K167" s="2">
        <v>5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 t="s">
        <v>279</v>
      </c>
      <c r="T167" s="2">
        <v>0</v>
      </c>
      <c r="U167" s="2">
        <v>0</v>
      </c>
      <c r="V167" s="2" t="s">
        <v>15</v>
      </c>
      <c r="W167" s="2" t="s">
        <v>375</v>
      </c>
      <c r="X167">
        <v>1.25</v>
      </c>
      <c r="Y167" s="6">
        <v>13.2</v>
      </c>
      <c r="Z167" s="1" t="s">
        <v>456</v>
      </c>
      <c r="AA167" s="1">
        <v>0</v>
      </c>
      <c r="AB167" s="12">
        <v>42339</v>
      </c>
      <c r="AC167" t="s">
        <v>524</v>
      </c>
      <c r="AD167" t="s">
        <v>599</v>
      </c>
      <c r="AE167" s="1">
        <v>66</v>
      </c>
      <c r="AF167" s="1">
        <v>5</v>
      </c>
    </row>
    <row r="168" spans="1:32" customFormat="1" ht="99.95" customHeight="1" x14ac:dyDescent="0.25">
      <c r="A168" s="1">
        <v>167</v>
      </c>
      <c r="B168" s="1" t="s">
        <v>377</v>
      </c>
      <c r="C168" t="s">
        <v>377</v>
      </c>
      <c r="D168" s="1">
        <v>1</v>
      </c>
      <c r="E168" s="1">
        <v>2</v>
      </c>
      <c r="F168" s="2">
        <v>0</v>
      </c>
      <c r="G168" s="2">
        <v>0</v>
      </c>
      <c r="H168" s="2">
        <v>1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 t="s">
        <v>279</v>
      </c>
      <c r="T168" s="2">
        <v>0</v>
      </c>
      <c r="U168" s="2">
        <v>0</v>
      </c>
      <c r="V168" s="2" t="s">
        <v>15</v>
      </c>
      <c r="W168" s="2" t="s">
        <v>377</v>
      </c>
      <c r="X168">
        <v>0</v>
      </c>
      <c r="Y168" s="6">
        <v>0</v>
      </c>
      <c r="Z168" s="1" t="s">
        <v>457</v>
      </c>
      <c r="AA168" s="1">
        <v>0</v>
      </c>
      <c r="AB168" s="12">
        <v>42339</v>
      </c>
      <c r="AC168" t="s">
        <v>524</v>
      </c>
      <c r="AD168" t="s">
        <v>600</v>
      </c>
      <c r="AE168" s="1">
        <v>0</v>
      </c>
      <c r="AF168" s="1">
        <v>0</v>
      </c>
    </row>
    <row r="169" spans="1:32" customFormat="1" ht="99.95" customHeight="1" x14ac:dyDescent="0.25">
      <c r="A169" s="1">
        <v>168</v>
      </c>
      <c r="B169" s="1" t="s">
        <v>378</v>
      </c>
      <c r="C169" t="s">
        <v>379</v>
      </c>
      <c r="D169" s="1">
        <v>2</v>
      </c>
      <c r="E169" s="1">
        <v>14</v>
      </c>
      <c r="F169" s="2">
        <v>160</v>
      </c>
      <c r="G169" s="2">
        <v>16</v>
      </c>
      <c r="H169" s="2">
        <v>11</v>
      </c>
      <c r="I169" s="2">
        <v>0</v>
      </c>
      <c r="J169" s="2">
        <v>8</v>
      </c>
      <c r="K169" s="2">
        <v>7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1</v>
      </c>
      <c r="R169" s="2">
        <v>1</v>
      </c>
      <c r="S169" s="2" t="s">
        <v>253</v>
      </c>
      <c r="T169" s="2">
        <v>0</v>
      </c>
      <c r="U169" s="2">
        <v>0</v>
      </c>
      <c r="V169" s="2" t="s">
        <v>15</v>
      </c>
      <c r="W169" s="2" t="s">
        <v>378</v>
      </c>
      <c r="X169">
        <v>1.1428571428571428</v>
      </c>
      <c r="Y169" s="6">
        <v>14.545454545454545</v>
      </c>
      <c r="Z169" s="1" t="s">
        <v>457</v>
      </c>
      <c r="AA169" s="1">
        <v>2</v>
      </c>
      <c r="AB169" s="12">
        <v>42036</v>
      </c>
      <c r="AC169" t="s">
        <v>527</v>
      </c>
      <c r="AD169" t="s">
        <v>548</v>
      </c>
      <c r="AE169" s="1">
        <v>115</v>
      </c>
      <c r="AF169" s="1">
        <v>16</v>
      </c>
    </row>
    <row r="170" spans="1:32" customFormat="1" ht="99.95" customHeight="1" x14ac:dyDescent="0.25">
      <c r="A170" s="1">
        <v>169</v>
      </c>
      <c r="B170" s="1" t="s">
        <v>380</v>
      </c>
      <c r="C170" t="s">
        <v>381</v>
      </c>
      <c r="D170" s="1">
        <v>1</v>
      </c>
      <c r="E170" s="1">
        <v>4</v>
      </c>
      <c r="F170" s="2">
        <v>33</v>
      </c>
      <c r="G170" s="2">
        <v>7</v>
      </c>
      <c r="H170" s="2">
        <v>4</v>
      </c>
      <c r="I170" s="2">
        <v>0</v>
      </c>
      <c r="J170" s="2">
        <v>3</v>
      </c>
      <c r="K170" s="2">
        <v>1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 t="s">
        <v>37</v>
      </c>
      <c r="T170" s="2">
        <v>0</v>
      </c>
      <c r="U170" s="2">
        <v>0</v>
      </c>
      <c r="V170" s="2" t="s">
        <v>15</v>
      </c>
      <c r="W170" s="2" t="s">
        <v>380</v>
      </c>
      <c r="X170" s="5">
        <v>1.75</v>
      </c>
      <c r="Y170" s="6">
        <v>8.25</v>
      </c>
      <c r="Z170" s="1" t="s">
        <v>459</v>
      </c>
      <c r="AA170" s="1">
        <v>0</v>
      </c>
      <c r="AB170" s="12">
        <v>42036</v>
      </c>
      <c r="AC170" t="s">
        <v>527</v>
      </c>
      <c r="AD170" t="s">
        <v>601</v>
      </c>
      <c r="AE170" s="1">
        <v>33</v>
      </c>
      <c r="AF170" s="1">
        <v>7</v>
      </c>
    </row>
    <row r="171" spans="1:32" customFormat="1" ht="99.95" customHeight="1" x14ac:dyDescent="0.25">
      <c r="A171" s="1">
        <v>170</v>
      </c>
      <c r="B171" s="1" t="s">
        <v>382</v>
      </c>
      <c r="C171" t="s">
        <v>383</v>
      </c>
      <c r="D171" s="1">
        <v>6</v>
      </c>
      <c r="E171" s="1">
        <v>41</v>
      </c>
      <c r="F171" s="2">
        <v>489</v>
      </c>
      <c r="G171" s="2">
        <v>51</v>
      </c>
      <c r="H171" s="2">
        <v>44</v>
      </c>
      <c r="I171" s="2">
        <v>2</v>
      </c>
      <c r="J171" s="2">
        <v>33</v>
      </c>
      <c r="K171" s="2">
        <v>32</v>
      </c>
      <c r="L171" s="2">
        <v>0</v>
      </c>
      <c r="M171" s="2">
        <v>1</v>
      </c>
      <c r="N171" s="2">
        <v>1</v>
      </c>
      <c r="O171" s="2">
        <v>0</v>
      </c>
      <c r="P171" s="2">
        <v>0</v>
      </c>
      <c r="Q171" s="2">
        <v>1</v>
      </c>
      <c r="R171" s="2">
        <v>1</v>
      </c>
      <c r="S171" s="2" t="s">
        <v>26</v>
      </c>
      <c r="T171" s="2">
        <v>0</v>
      </c>
      <c r="U171" s="2">
        <v>0</v>
      </c>
      <c r="V171" s="2" t="s">
        <v>15</v>
      </c>
      <c r="W171" s="2" t="s">
        <v>382</v>
      </c>
      <c r="X171">
        <v>1.2439024390243902</v>
      </c>
      <c r="Y171" s="6">
        <v>11.642857142857142</v>
      </c>
      <c r="Z171" s="1" t="s">
        <v>456</v>
      </c>
      <c r="AA171" s="1">
        <v>2</v>
      </c>
      <c r="AB171" s="12">
        <v>42036</v>
      </c>
      <c r="AC171" t="s">
        <v>527</v>
      </c>
      <c r="AD171" t="s">
        <v>602</v>
      </c>
      <c r="AE171" s="1">
        <v>158</v>
      </c>
      <c r="AF171" s="1">
        <v>19</v>
      </c>
    </row>
    <row r="172" spans="1:32" customFormat="1" ht="99.95" customHeight="1" x14ac:dyDescent="0.25">
      <c r="A172" s="1">
        <v>171</v>
      </c>
      <c r="B172" s="1" t="s">
        <v>384</v>
      </c>
      <c r="C172" t="s">
        <v>385</v>
      </c>
      <c r="D172" s="1">
        <v>1</v>
      </c>
      <c r="E172" s="1">
        <v>5</v>
      </c>
      <c r="F172" s="2">
        <v>64</v>
      </c>
      <c r="G172" s="2">
        <v>3</v>
      </c>
      <c r="H172" s="2">
        <v>8</v>
      </c>
      <c r="I172" s="2">
        <v>0</v>
      </c>
      <c r="J172" s="2">
        <v>2</v>
      </c>
      <c r="K172" s="2">
        <v>4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 t="s">
        <v>253</v>
      </c>
      <c r="T172" s="2">
        <v>0</v>
      </c>
      <c r="U172" s="2">
        <v>0</v>
      </c>
      <c r="V172" s="2" t="s">
        <v>15</v>
      </c>
      <c r="W172" s="2" t="s">
        <v>384</v>
      </c>
      <c r="X172">
        <v>0.6</v>
      </c>
      <c r="Y172" s="6">
        <v>8</v>
      </c>
      <c r="Z172" s="1" t="s">
        <v>457</v>
      </c>
      <c r="AA172" s="1">
        <v>0</v>
      </c>
      <c r="AB172" s="12">
        <v>42125</v>
      </c>
      <c r="AC172" t="s">
        <v>513</v>
      </c>
      <c r="AD172" t="s">
        <v>603</v>
      </c>
      <c r="AE172" s="1">
        <v>64</v>
      </c>
      <c r="AF172" s="1">
        <v>3</v>
      </c>
    </row>
    <row r="173" spans="1:32" customFormat="1" ht="99.95" customHeight="1" x14ac:dyDescent="0.25">
      <c r="A173" s="1">
        <v>172</v>
      </c>
      <c r="B173" s="1" t="s">
        <v>386</v>
      </c>
      <c r="C173" t="s">
        <v>387</v>
      </c>
      <c r="D173" s="1">
        <v>3</v>
      </c>
      <c r="E173" s="1">
        <v>17</v>
      </c>
      <c r="F173" s="2">
        <v>428</v>
      </c>
      <c r="G173" s="2">
        <v>17</v>
      </c>
      <c r="H173" s="2">
        <v>25</v>
      </c>
      <c r="I173" s="2">
        <v>2</v>
      </c>
      <c r="J173" s="2">
        <v>37</v>
      </c>
      <c r="K173" s="2">
        <v>30</v>
      </c>
      <c r="L173" s="2">
        <v>0</v>
      </c>
      <c r="M173" s="2">
        <v>0</v>
      </c>
      <c r="N173" s="2">
        <v>0</v>
      </c>
      <c r="O173" s="2">
        <v>0</v>
      </c>
      <c r="P173" s="2">
        <v>1</v>
      </c>
      <c r="Q173" s="2">
        <v>0</v>
      </c>
      <c r="R173" s="2">
        <v>0</v>
      </c>
      <c r="S173" s="2" t="s">
        <v>84</v>
      </c>
      <c r="T173" s="2">
        <v>0</v>
      </c>
      <c r="U173" s="2">
        <v>0</v>
      </c>
      <c r="V173" s="2" t="s">
        <v>15</v>
      </c>
      <c r="W173" s="2" t="s">
        <v>386</v>
      </c>
      <c r="X173" s="3">
        <v>1</v>
      </c>
      <c r="Y173" s="6">
        <v>18.608695652173914</v>
      </c>
      <c r="Z173" s="1" t="s">
        <v>457</v>
      </c>
      <c r="AA173" s="1">
        <v>0</v>
      </c>
      <c r="AB173" s="12">
        <v>42125</v>
      </c>
      <c r="AC173" t="s">
        <v>513</v>
      </c>
      <c r="AD173" t="s">
        <v>604</v>
      </c>
      <c r="AE173" s="1">
        <v>241</v>
      </c>
      <c r="AF173" s="1">
        <v>12</v>
      </c>
    </row>
    <row r="174" spans="1:32" customFormat="1" ht="99.95" customHeight="1" x14ac:dyDescent="0.25">
      <c r="A174" s="1">
        <v>173</v>
      </c>
      <c r="B174" s="1" t="s">
        <v>388</v>
      </c>
      <c r="C174" t="s">
        <v>389</v>
      </c>
      <c r="D174" s="1">
        <v>1</v>
      </c>
      <c r="E174" s="1">
        <v>6</v>
      </c>
      <c r="F174" s="2">
        <v>116</v>
      </c>
      <c r="G174" s="2">
        <v>4</v>
      </c>
      <c r="H174" s="2">
        <v>8</v>
      </c>
      <c r="I174" s="2">
        <v>0</v>
      </c>
      <c r="J174" s="2">
        <v>8</v>
      </c>
      <c r="K174" s="2">
        <v>4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 t="s">
        <v>253</v>
      </c>
      <c r="T174" s="2">
        <v>0</v>
      </c>
      <c r="U174" s="2">
        <v>0</v>
      </c>
      <c r="V174" s="2" t="s">
        <v>15</v>
      </c>
      <c r="W174" s="2" t="s">
        <v>388</v>
      </c>
      <c r="X174">
        <v>0.66666666666666663</v>
      </c>
      <c r="Y174" s="6">
        <v>14.5</v>
      </c>
      <c r="Z174" s="1" t="s">
        <v>458</v>
      </c>
      <c r="AA174" s="1">
        <v>0</v>
      </c>
      <c r="AB174" s="12">
        <v>42125</v>
      </c>
      <c r="AC174" t="s">
        <v>513</v>
      </c>
      <c r="AD174" t="s">
        <v>605</v>
      </c>
      <c r="AE174" s="1">
        <v>116</v>
      </c>
      <c r="AF174" s="1">
        <v>4</v>
      </c>
    </row>
    <row r="175" spans="1:32" customFormat="1" ht="99.95" customHeight="1" x14ac:dyDescent="0.25">
      <c r="A175" s="1">
        <v>174</v>
      </c>
      <c r="B175" s="1" t="s">
        <v>390</v>
      </c>
      <c r="C175" t="s">
        <v>391</v>
      </c>
      <c r="D175" s="1">
        <v>1</v>
      </c>
      <c r="E175" s="1">
        <v>2</v>
      </c>
      <c r="F175" s="2">
        <v>35</v>
      </c>
      <c r="G175" s="2">
        <v>1</v>
      </c>
      <c r="H175" s="2">
        <v>2</v>
      </c>
      <c r="I175" s="2">
        <v>0</v>
      </c>
      <c r="J175" s="2">
        <v>1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 t="s">
        <v>208</v>
      </c>
      <c r="T175" s="2">
        <v>0</v>
      </c>
      <c r="U175" s="2">
        <v>0</v>
      </c>
      <c r="V175" s="2" t="s">
        <v>15</v>
      </c>
      <c r="W175" s="2" t="s">
        <v>390</v>
      </c>
      <c r="X175">
        <v>0.5</v>
      </c>
      <c r="Y175" s="6">
        <v>17.5</v>
      </c>
      <c r="Z175" s="1" t="s">
        <v>458</v>
      </c>
      <c r="AA175" s="1">
        <v>0</v>
      </c>
      <c r="AB175" s="12">
        <v>42248</v>
      </c>
      <c r="AC175" t="s">
        <v>532</v>
      </c>
      <c r="AD175" t="s">
        <v>606</v>
      </c>
      <c r="AE175" s="1">
        <v>35</v>
      </c>
      <c r="AF175" s="1">
        <v>1</v>
      </c>
    </row>
    <row r="176" spans="1:32" customFormat="1" ht="99.95" customHeight="1" x14ac:dyDescent="0.25">
      <c r="A176" s="1">
        <v>175</v>
      </c>
      <c r="B176" s="1" t="s">
        <v>392</v>
      </c>
      <c r="C176" t="s">
        <v>393</v>
      </c>
      <c r="D176" s="1">
        <v>1</v>
      </c>
      <c r="E176" s="1">
        <v>2</v>
      </c>
      <c r="F176" s="2">
        <v>7</v>
      </c>
      <c r="G176" s="2">
        <v>2</v>
      </c>
      <c r="H176" s="2">
        <v>1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 t="s">
        <v>59</v>
      </c>
      <c r="T176" s="2">
        <v>0</v>
      </c>
      <c r="U176" s="2">
        <v>0</v>
      </c>
      <c r="V176" s="2" t="s">
        <v>15</v>
      </c>
      <c r="W176" s="2" t="s">
        <v>392</v>
      </c>
      <c r="X176">
        <v>1</v>
      </c>
      <c r="Y176" s="6">
        <v>7</v>
      </c>
      <c r="Z176" s="1" t="s">
        <v>459</v>
      </c>
      <c r="AA176" s="1">
        <v>0</v>
      </c>
      <c r="AB176" s="12">
        <v>42401</v>
      </c>
      <c r="AC176" t="s">
        <v>498</v>
      </c>
      <c r="AD176" t="s">
        <v>607</v>
      </c>
      <c r="AE176" s="1">
        <v>7</v>
      </c>
      <c r="AF176" s="1">
        <v>2</v>
      </c>
    </row>
    <row r="177" spans="1:32" customFormat="1" ht="99.95" customHeight="1" x14ac:dyDescent="0.25">
      <c r="A177" s="1">
        <v>176</v>
      </c>
      <c r="B177" s="1" t="s">
        <v>394</v>
      </c>
      <c r="C177" t="s">
        <v>395</v>
      </c>
      <c r="D177" s="1">
        <v>2</v>
      </c>
      <c r="E177" s="1">
        <v>6</v>
      </c>
      <c r="F177" s="2">
        <v>77</v>
      </c>
      <c r="G177" s="2">
        <v>7</v>
      </c>
      <c r="H177" s="2">
        <v>8</v>
      </c>
      <c r="I177" s="2">
        <v>0</v>
      </c>
      <c r="J177" s="2">
        <v>5</v>
      </c>
      <c r="K177" s="2">
        <v>6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 t="s">
        <v>163</v>
      </c>
      <c r="T177" s="2">
        <v>0</v>
      </c>
      <c r="U177" s="2">
        <v>0</v>
      </c>
      <c r="V177" s="2" t="s">
        <v>15</v>
      </c>
      <c r="W177" s="2" t="s">
        <v>394</v>
      </c>
      <c r="X177">
        <v>1.1666666666666667</v>
      </c>
      <c r="Y177" s="6">
        <v>9.625</v>
      </c>
      <c r="Z177" s="1" t="s">
        <v>459</v>
      </c>
      <c r="AA177" s="1">
        <v>0</v>
      </c>
      <c r="AB177" s="12">
        <v>42401</v>
      </c>
      <c r="AC177" t="s">
        <v>498</v>
      </c>
      <c r="AD177" t="s">
        <v>607</v>
      </c>
      <c r="AE177" s="1">
        <v>77</v>
      </c>
      <c r="AF177" s="1">
        <v>7</v>
      </c>
    </row>
    <row r="178" spans="1:32" customFormat="1" ht="99.95" customHeight="1" x14ac:dyDescent="0.25">
      <c r="A178" s="1">
        <v>177</v>
      </c>
      <c r="B178" s="1" t="s">
        <v>396</v>
      </c>
      <c r="C178" t="s">
        <v>397</v>
      </c>
      <c r="D178" s="1">
        <v>1</v>
      </c>
      <c r="E178" s="1">
        <v>1</v>
      </c>
      <c r="F178" s="2">
        <v>5</v>
      </c>
      <c r="G178" s="2">
        <v>0</v>
      </c>
      <c r="H178" s="2">
        <v>1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 t="s">
        <v>59</v>
      </c>
      <c r="T178" s="2">
        <v>0</v>
      </c>
      <c r="U178" s="2">
        <v>0</v>
      </c>
      <c r="V178" s="2" t="s">
        <v>15</v>
      </c>
      <c r="W178" s="2" t="s">
        <v>396</v>
      </c>
      <c r="X178">
        <v>0</v>
      </c>
      <c r="Y178" s="6">
        <v>5</v>
      </c>
      <c r="Z178" s="1" t="s">
        <v>457</v>
      </c>
      <c r="AA178" s="1">
        <v>0</v>
      </c>
      <c r="AB178" s="12">
        <v>42401</v>
      </c>
      <c r="AC178" t="s">
        <v>498</v>
      </c>
      <c r="AD178" t="s">
        <v>499</v>
      </c>
      <c r="AE178" s="1">
        <v>5</v>
      </c>
      <c r="AF178" s="1">
        <v>0</v>
      </c>
    </row>
    <row r="179" spans="1:32" customFormat="1" ht="99.95" customHeight="1" x14ac:dyDescent="0.25">
      <c r="A179" s="1">
        <v>178</v>
      </c>
      <c r="B179" s="1" t="s">
        <v>398</v>
      </c>
      <c r="C179" t="s">
        <v>399</v>
      </c>
      <c r="D179" s="1">
        <v>2</v>
      </c>
      <c r="E179" s="1">
        <v>10</v>
      </c>
      <c r="F179" s="2">
        <v>130</v>
      </c>
      <c r="G179" s="2">
        <v>13</v>
      </c>
      <c r="H179" s="2">
        <v>12</v>
      </c>
      <c r="I179" s="2">
        <v>1</v>
      </c>
      <c r="J179" s="2">
        <v>7</v>
      </c>
      <c r="K179" s="2">
        <v>9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 t="s">
        <v>163</v>
      </c>
      <c r="T179" s="2">
        <v>0</v>
      </c>
      <c r="U179" s="2">
        <v>0</v>
      </c>
      <c r="V179" s="2" t="s">
        <v>15</v>
      </c>
      <c r="W179" s="2" t="s">
        <v>398</v>
      </c>
      <c r="X179">
        <v>1.3</v>
      </c>
      <c r="Y179" s="6">
        <v>11.818181818181818</v>
      </c>
      <c r="Z179" s="1" t="s">
        <v>456</v>
      </c>
      <c r="AA179" s="1">
        <v>0</v>
      </c>
      <c r="AB179" s="12">
        <v>42401</v>
      </c>
      <c r="AC179" t="s">
        <v>498</v>
      </c>
      <c r="AD179" t="s">
        <v>555</v>
      </c>
      <c r="AE179" s="1">
        <v>85</v>
      </c>
      <c r="AF179" s="1">
        <v>9</v>
      </c>
    </row>
    <row r="180" spans="1:32" customFormat="1" ht="99.95" customHeight="1" x14ac:dyDescent="0.25">
      <c r="A180" s="1">
        <v>179</v>
      </c>
      <c r="B180" s="1" t="s">
        <v>400</v>
      </c>
      <c r="C180" t="s">
        <v>401</v>
      </c>
      <c r="D180" s="1">
        <v>4</v>
      </c>
      <c r="E180" s="1">
        <v>25</v>
      </c>
      <c r="F180" s="2">
        <v>420</v>
      </c>
      <c r="G180" s="2">
        <v>34</v>
      </c>
      <c r="H180" s="2">
        <v>30</v>
      </c>
      <c r="I180" s="2">
        <v>3</v>
      </c>
      <c r="J180" s="2">
        <v>34</v>
      </c>
      <c r="K180" s="2">
        <v>24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 t="s">
        <v>368</v>
      </c>
      <c r="T180" s="2">
        <v>0</v>
      </c>
      <c r="U180" s="2">
        <v>0</v>
      </c>
      <c r="V180" s="2" t="s">
        <v>15</v>
      </c>
      <c r="W180" s="2" t="s">
        <v>400</v>
      </c>
      <c r="X180" s="3">
        <v>1.36</v>
      </c>
      <c r="Y180" s="6">
        <v>15.555555555555555</v>
      </c>
      <c r="Z180" s="1" t="s">
        <v>460</v>
      </c>
      <c r="AA180" s="1">
        <v>0</v>
      </c>
      <c r="AB180" s="12">
        <v>42401</v>
      </c>
      <c r="AC180" t="s">
        <v>498</v>
      </c>
      <c r="AD180" t="s">
        <v>607</v>
      </c>
      <c r="AE180" s="1">
        <v>124</v>
      </c>
      <c r="AF180" s="1">
        <v>12</v>
      </c>
    </row>
    <row r="181" spans="1:32" customFormat="1" ht="99.95" customHeight="1" x14ac:dyDescent="0.25">
      <c r="A181" s="1">
        <v>180</v>
      </c>
      <c r="B181" s="1" t="s">
        <v>402</v>
      </c>
      <c r="C181" t="s">
        <v>403</v>
      </c>
      <c r="D181" s="1">
        <v>3</v>
      </c>
      <c r="E181" s="1">
        <v>18</v>
      </c>
      <c r="F181" s="2">
        <v>205</v>
      </c>
      <c r="G181" s="2">
        <v>22</v>
      </c>
      <c r="H181" s="2">
        <v>23</v>
      </c>
      <c r="I181" s="2">
        <v>0</v>
      </c>
      <c r="J181" s="2">
        <v>8</v>
      </c>
      <c r="K181" s="2">
        <v>8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 t="s">
        <v>404</v>
      </c>
      <c r="T181" s="2">
        <v>0</v>
      </c>
      <c r="U181" s="2">
        <v>0</v>
      </c>
      <c r="V181" s="2" t="s">
        <v>15</v>
      </c>
      <c r="W181" s="2" t="s">
        <v>402</v>
      </c>
      <c r="X181">
        <v>1.2222222222222223</v>
      </c>
      <c r="Y181" s="6">
        <v>8.9130434782608692</v>
      </c>
      <c r="Z181" s="1" t="s">
        <v>459</v>
      </c>
      <c r="AA181" s="1">
        <v>0</v>
      </c>
      <c r="AB181" s="12">
        <v>42401</v>
      </c>
      <c r="AC181" t="s">
        <v>498</v>
      </c>
      <c r="AD181" t="s">
        <v>608</v>
      </c>
      <c r="AE181" s="1">
        <v>101</v>
      </c>
      <c r="AF181" s="1">
        <v>9</v>
      </c>
    </row>
    <row r="182" spans="1:32" customFormat="1" ht="99.95" customHeight="1" x14ac:dyDescent="0.25">
      <c r="A182" s="1">
        <v>181</v>
      </c>
      <c r="B182" s="1" t="s">
        <v>405</v>
      </c>
      <c r="C182" t="s">
        <v>406</v>
      </c>
      <c r="D182" s="1">
        <v>9</v>
      </c>
      <c r="E182" s="1">
        <v>55</v>
      </c>
      <c r="F182" s="2">
        <v>832</v>
      </c>
      <c r="G182" s="2">
        <v>59</v>
      </c>
      <c r="H182" s="2">
        <v>68</v>
      </c>
      <c r="I182" s="2">
        <v>7</v>
      </c>
      <c r="J182" s="2">
        <v>76</v>
      </c>
      <c r="K182" s="2">
        <v>40</v>
      </c>
      <c r="L182" s="2">
        <v>2</v>
      </c>
      <c r="M182" s="2">
        <v>2</v>
      </c>
      <c r="N182" s="2">
        <v>3</v>
      </c>
      <c r="O182" s="2">
        <v>0</v>
      </c>
      <c r="P182" s="2">
        <v>1</v>
      </c>
      <c r="Q182" s="2">
        <v>2</v>
      </c>
      <c r="R182" s="2">
        <v>1</v>
      </c>
      <c r="S182" s="2" t="s">
        <v>26</v>
      </c>
      <c r="T182" s="2">
        <v>0</v>
      </c>
      <c r="U182" s="2">
        <v>0</v>
      </c>
      <c r="V182" s="2" t="s">
        <v>15</v>
      </c>
      <c r="W182" s="2" t="s">
        <v>405</v>
      </c>
      <c r="X182">
        <v>1.0727272727272728</v>
      </c>
      <c r="Y182" s="6">
        <v>13.639344262295081</v>
      </c>
      <c r="Z182" s="1" t="s">
        <v>456</v>
      </c>
      <c r="AA182" s="1">
        <v>3</v>
      </c>
      <c r="AB182" s="12">
        <v>43435</v>
      </c>
      <c r="AC182" t="s">
        <v>609</v>
      </c>
      <c r="AD182" t="s">
        <v>610</v>
      </c>
      <c r="AE182" s="1">
        <v>214</v>
      </c>
      <c r="AF182" s="1">
        <v>17</v>
      </c>
    </row>
    <row r="183" spans="1:32" customFormat="1" ht="99.95" customHeight="1" x14ac:dyDescent="0.25">
      <c r="A183" s="1">
        <v>182</v>
      </c>
      <c r="B183" s="1" t="s">
        <v>407</v>
      </c>
      <c r="C183" t="s">
        <v>408</v>
      </c>
      <c r="D183" s="1">
        <v>1</v>
      </c>
      <c r="E183" s="1">
        <v>1</v>
      </c>
      <c r="F183" s="2">
        <v>3</v>
      </c>
      <c r="G183" s="2">
        <v>2</v>
      </c>
      <c r="H183" s="2">
        <v>1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 t="s">
        <v>163</v>
      </c>
      <c r="T183" s="2">
        <v>0</v>
      </c>
      <c r="U183" s="2">
        <v>0</v>
      </c>
      <c r="V183" s="2" t="s">
        <v>15</v>
      </c>
      <c r="W183" s="2" t="s">
        <v>407</v>
      </c>
      <c r="X183" s="5">
        <v>2</v>
      </c>
      <c r="Y183" s="6">
        <v>3</v>
      </c>
      <c r="Z183" s="1" t="s">
        <v>459</v>
      </c>
      <c r="AA183" s="1">
        <v>0</v>
      </c>
      <c r="AB183" s="12">
        <v>42339</v>
      </c>
      <c r="AC183" t="s">
        <v>541</v>
      </c>
      <c r="AD183" t="s">
        <v>611</v>
      </c>
      <c r="AE183" s="1">
        <v>3</v>
      </c>
      <c r="AF183" s="1">
        <v>2</v>
      </c>
    </row>
    <row r="184" spans="1:32" customFormat="1" ht="99.95" customHeight="1" x14ac:dyDescent="0.25">
      <c r="A184" s="1">
        <v>183</v>
      </c>
      <c r="B184" s="1" t="s">
        <v>409</v>
      </c>
      <c r="C184" t="s">
        <v>410</v>
      </c>
      <c r="D184" s="1">
        <v>1</v>
      </c>
      <c r="E184" s="1">
        <v>6</v>
      </c>
      <c r="F184" s="2">
        <v>77</v>
      </c>
      <c r="G184" s="2">
        <v>5</v>
      </c>
      <c r="H184" s="2">
        <v>8</v>
      </c>
      <c r="I184" s="2">
        <v>1</v>
      </c>
      <c r="J184" s="2">
        <v>2</v>
      </c>
      <c r="K184" s="2">
        <v>2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 t="s">
        <v>163</v>
      </c>
      <c r="T184" s="2">
        <v>0</v>
      </c>
      <c r="U184" s="2">
        <v>0</v>
      </c>
      <c r="V184" s="2" t="s">
        <v>15</v>
      </c>
      <c r="W184" s="2" t="s">
        <v>409</v>
      </c>
      <c r="X184">
        <v>0.83333333333333337</v>
      </c>
      <c r="Y184" s="6">
        <v>11</v>
      </c>
      <c r="Z184" s="1" t="s">
        <v>458</v>
      </c>
      <c r="AA184" s="1">
        <v>0</v>
      </c>
      <c r="AB184" s="12">
        <v>42339</v>
      </c>
      <c r="AC184" t="s">
        <v>541</v>
      </c>
      <c r="AD184" t="s">
        <v>611</v>
      </c>
      <c r="AE184" s="1">
        <v>77</v>
      </c>
      <c r="AF184" s="1">
        <v>5</v>
      </c>
    </row>
    <row r="185" spans="1:32" customFormat="1" ht="99.95" customHeight="1" x14ac:dyDescent="0.25">
      <c r="A185" s="1">
        <v>184</v>
      </c>
      <c r="B185" s="1" t="s">
        <v>411</v>
      </c>
      <c r="C185" t="s">
        <v>412</v>
      </c>
      <c r="D185" s="1">
        <v>1</v>
      </c>
      <c r="E185" s="1">
        <v>1</v>
      </c>
      <c r="F185" s="2">
        <v>2</v>
      </c>
      <c r="G185" s="2">
        <v>0</v>
      </c>
      <c r="H185" s="2">
        <v>1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 t="s">
        <v>163</v>
      </c>
      <c r="T185" s="2">
        <v>0</v>
      </c>
      <c r="U185" s="2">
        <v>0</v>
      </c>
      <c r="V185" s="2" t="s">
        <v>15</v>
      </c>
      <c r="W185" s="2" t="s">
        <v>411</v>
      </c>
      <c r="X185">
        <v>0</v>
      </c>
      <c r="Y185" s="6">
        <v>2</v>
      </c>
      <c r="Z185" s="1" t="s">
        <v>457</v>
      </c>
      <c r="AA185" s="1">
        <v>0</v>
      </c>
      <c r="AB185" s="12">
        <v>42339</v>
      </c>
      <c r="AC185" t="s">
        <v>541</v>
      </c>
      <c r="AD185" t="s">
        <v>612</v>
      </c>
      <c r="AE185" s="1">
        <v>2</v>
      </c>
      <c r="AF185" s="1">
        <v>0</v>
      </c>
    </row>
    <row r="186" spans="1:32" customFormat="1" ht="99.95" customHeight="1" x14ac:dyDescent="0.25">
      <c r="A186" s="1">
        <v>185</v>
      </c>
      <c r="B186" s="1" t="s">
        <v>413</v>
      </c>
      <c r="C186" t="s">
        <v>414</v>
      </c>
      <c r="D186" s="1">
        <v>2</v>
      </c>
      <c r="E186" s="1">
        <v>18</v>
      </c>
      <c r="F186" s="2">
        <v>256</v>
      </c>
      <c r="G186" s="2">
        <v>16</v>
      </c>
      <c r="H186" s="2">
        <v>18</v>
      </c>
      <c r="I186" s="2">
        <v>3</v>
      </c>
      <c r="J186" s="2">
        <v>13</v>
      </c>
      <c r="K186" s="2">
        <v>20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 t="s">
        <v>84</v>
      </c>
      <c r="T186" s="2">
        <v>0</v>
      </c>
      <c r="U186" s="2">
        <v>0</v>
      </c>
      <c r="V186" s="2" t="s">
        <v>15</v>
      </c>
      <c r="W186" s="2" t="s">
        <v>413</v>
      </c>
      <c r="X186">
        <v>0.88888888888888884</v>
      </c>
      <c r="Y186" s="6">
        <v>17.066666666666666</v>
      </c>
      <c r="Z186" s="1" t="s">
        <v>458</v>
      </c>
      <c r="AA186" s="1">
        <v>0</v>
      </c>
      <c r="AB186" s="12">
        <v>42675</v>
      </c>
      <c r="AC186" t="s">
        <v>486</v>
      </c>
      <c r="AD186" t="s">
        <v>613</v>
      </c>
      <c r="AE186" s="1">
        <v>163</v>
      </c>
      <c r="AF186" s="1">
        <v>8</v>
      </c>
    </row>
    <row r="187" spans="1:32" customFormat="1" ht="99.95" customHeight="1" x14ac:dyDescent="0.25">
      <c r="A187" s="1">
        <v>186</v>
      </c>
      <c r="B187" s="1" t="s">
        <v>415</v>
      </c>
      <c r="C187" t="s">
        <v>416</v>
      </c>
      <c r="D187" s="1">
        <v>1</v>
      </c>
      <c r="E187" s="1">
        <v>13</v>
      </c>
      <c r="F187" s="2">
        <v>220</v>
      </c>
      <c r="G187" s="2">
        <v>8</v>
      </c>
      <c r="H187" s="2">
        <v>16</v>
      </c>
      <c r="I187" s="2">
        <v>2</v>
      </c>
      <c r="J187" s="2">
        <v>16</v>
      </c>
      <c r="K187" s="2">
        <v>17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 t="s">
        <v>417</v>
      </c>
      <c r="T187" s="2">
        <v>0</v>
      </c>
      <c r="U187" s="2">
        <v>0</v>
      </c>
      <c r="V187" s="2" t="s">
        <v>15</v>
      </c>
      <c r="W187" s="2" t="s">
        <v>415</v>
      </c>
      <c r="X187">
        <v>0.61538461538461542</v>
      </c>
      <c r="Y187" s="6">
        <v>15.714285714285714</v>
      </c>
      <c r="Z187" s="1" t="s">
        <v>458</v>
      </c>
      <c r="AA187" s="1">
        <v>0</v>
      </c>
      <c r="AB187" s="12">
        <v>42675</v>
      </c>
      <c r="AC187" t="s">
        <v>486</v>
      </c>
      <c r="AD187" t="s">
        <v>614</v>
      </c>
      <c r="AE187" s="1">
        <v>220</v>
      </c>
      <c r="AF187" s="1">
        <v>8</v>
      </c>
    </row>
    <row r="188" spans="1:32" customFormat="1" ht="99.95" customHeight="1" x14ac:dyDescent="0.25">
      <c r="A188" s="1">
        <v>187</v>
      </c>
      <c r="B188" s="1" t="s">
        <v>418</v>
      </c>
      <c r="C188" t="s">
        <v>419</v>
      </c>
      <c r="D188" s="1">
        <v>1</v>
      </c>
      <c r="E188" s="1">
        <v>6</v>
      </c>
      <c r="F188" s="2">
        <v>48</v>
      </c>
      <c r="G188" s="2">
        <v>9</v>
      </c>
      <c r="H188" s="2">
        <v>6</v>
      </c>
      <c r="I188" s="2">
        <v>0</v>
      </c>
      <c r="J188" s="2">
        <v>3</v>
      </c>
      <c r="K188" s="2">
        <v>4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 t="s">
        <v>84</v>
      </c>
      <c r="T188" s="2">
        <v>0</v>
      </c>
      <c r="U188" s="2">
        <v>0</v>
      </c>
      <c r="V188" s="2" t="s">
        <v>15</v>
      </c>
      <c r="W188" s="2" t="s">
        <v>418</v>
      </c>
      <c r="X188" s="5">
        <v>1.5</v>
      </c>
      <c r="Y188" s="6">
        <v>8</v>
      </c>
      <c r="Z188" s="1" t="s">
        <v>459</v>
      </c>
      <c r="AA188" s="1">
        <v>0</v>
      </c>
      <c r="AB188" s="12">
        <v>43040</v>
      </c>
      <c r="AC188" t="s">
        <v>515</v>
      </c>
      <c r="AD188" t="s">
        <v>615</v>
      </c>
      <c r="AE188" s="1">
        <v>48</v>
      </c>
      <c r="AF188" s="1">
        <v>9</v>
      </c>
    </row>
    <row r="189" spans="1:32" customFormat="1" ht="99.95" customHeight="1" x14ac:dyDescent="0.25">
      <c r="A189" s="1">
        <v>188</v>
      </c>
      <c r="B189" s="1" t="s">
        <v>420</v>
      </c>
      <c r="C189" t="s">
        <v>421</v>
      </c>
      <c r="D189" s="1">
        <v>1</v>
      </c>
      <c r="E189" s="1">
        <v>3</v>
      </c>
      <c r="F189" s="2">
        <v>13</v>
      </c>
      <c r="G189" s="2">
        <v>1</v>
      </c>
      <c r="H189" s="2">
        <v>4</v>
      </c>
      <c r="I189" s="2">
        <v>0</v>
      </c>
      <c r="J189" s="2">
        <v>1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 t="s">
        <v>368</v>
      </c>
      <c r="T189" s="2">
        <v>0</v>
      </c>
      <c r="U189" s="2">
        <v>0</v>
      </c>
      <c r="V189" s="2" t="s">
        <v>15</v>
      </c>
      <c r="W189" s="2" t="s">
        <v>420</v>
      </c>
      <c r="X189">
        <v>0.33333333333333331</v>
      </c>
      <c r="Y189" s="6">
        <v>3.25</v>
      </c>
      <c r="Z189" s="1" t="s">
        <v>457</v>
      </c>
      <c r="AA189" s="1">
        <v>0</v>
      </c>
      <c r="AB189" s="12">
        <v>43435</v>
      </c>
      <c r="AC189" t="s">
        <v>515</v>
      </c>
      <c r="AD189" t="s">
        <v>616</v>
      </c>
      <c r="AE189" s="1">
        <v>13</v>
      </c>
      <c r="AF189" s="1">
        <v>1</v>
      </c>
    </row>
    <row r="190" spans="1:32" customFormat="1" ht="99.95" customHeight="1" x14ac:dyDescent="0.25">
      <c r="A190" s="1">
        <v>189</v>
      </c>
      <c r="B190" s="1" t="s">
        <v>422</v>
      </c>
      <c r="C190" t="s">
        <v>423</v>
      </c>
      <c r="D190" s="1">
        <v>1</v>
      </c>
      <c r="E190" s="1">
        <v>3</v>
      </c>
      <c r="F190" s="2">
        <v>54</v>
      </c>
      <c r="G190" s="2">
        <v>3</v>
      </c>
      <c r="H190" s="2">
        <v>4</v>
      </c>
      <c r="I190" s="2">
        <v>0</v>
      </c>
      <c r="J190" s="2">
        <v>6</v>
      </c>
      <c r="K190" s="2">
        <v>4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 t="s">
        <v>368</v>
      </c>
      <c r="T190" s="2">
        <v>0</v>
      </c>
      <c r="U190" s="2">
        <v>0</v>
      </c>
      <c r="V190" s="2" t="s">
        <v>15</v>
      </c>
      <c r="W190" s="2" t="s">
        <v>422</v>
      </c>
      <c r="X190">
        <v>1</v>
      </c>
      <c r="Y190" s="6">
        <v>13.5</v>
      </c>
      <c r="Z190" s="1" t="s">
        <v>456</v>
      </c>
      <c r="AA190" s="1">
        <v>0</v>
      </c>
      <c r="AB190" s="12">
        <v>43435</v>
      </c>
      <c r="AC190" t="s">
        <v>515</v>
      </c>
      <c r="AD190" t="s">
        <v>617</v>
      </c>
      <c r="AE190" s="1">
        <v>54</v>
      </c>
      <c r="AF190" s="1">
        <v>3</v>
      </c>
    </row>
    <row r="191" spans="1:32" customFormat="1" ht="99.95" customHeight="1" x14ac:dyDescent="0.25">
      <c r="A191" s="1">
        <v>190</v>
      </c>
      <c r="B191" s="1" t="s">
        <v>424</v>
      </c>
      <c r="C191" t="s">
        <v>425</v>
      </c>
      <c r="D191" s="1">
        <v>2</v>
      </c>
      <c r="E191" s="1">
        <v>19</v>
      </c>
      <c r="F191" s="2">
        <v>269</v>
      </c>
      <c r="G191" s="2">
        <v>19</v>
      </c>
      <c r="H191" s="2">
        <v>26</v>
      </c>
      <c r="I191" s="2">
        <v>2</v>
      </c>
      <c r="J191" s="2">
        <v>23</v>
      </c>
      <c r="K191" s="2">
        <v>19</v>
      </c>
      <c r="L191" s="2">
        <v>0</v>
      </c>
      <c r="M191" s="2">
        <v>0</v>
      </c>
      <c r="N191" s="2">
        <v>1</v>
      </c>
      <c r="O191" s="2">
        <v>0</v>
      </c>
      <c r="P191" s="2">
        <v>0</v>
      </c>
      <c r="Q191" s="2">
        <v>1</v>
      </c>
      <c r="R191" s="2">
        <v>0</v>
      </c>
      <c r="S191" s="2" t="s">
        <v>40</v>
      </c>
      <c r="T191" s="2">
        <v>0</v>
      </c>
      <c r="U191" s="2">
        <v>0</v>
      </c>
      <c r="V191" s="2" t="s">
        <v>15</v>
      </c>
      <c r="W191" s="2" t="s">
        <v>424</v>
      </c>
      <c r="X191">
        <v>1</v>
      </c>
      <c r="Y191" s="6">
        <v>11.208333333333334</v>
      </c>
      <c r="Z191" s="1" t="s">
        <v>456</v>
      </c>
      <c r="AA191" s="1">
        <v>1</v>
      </c>
      <c r="AB191" s="12">
        <v>44013</v>
      </c>
      <c r="AC191" t="s">
        <v>496</v>
      </c>
      <c r="AD191" t="s">
        <v>618</v>
      </c>
      <c r="AE191" s="1">
        <v>136</v>
      </c>
      <c r="AF191" s="1">
        <v>12</v>
      </c>
    </row>
    <row r="192" spans="1:32" customFormat="1" ht="99.95" customHeight="1" x14ac:dyDescent="0.25">
      <c r="A192" s="1">
        <v>191</v>
      </c>
      <c r="B192" s="1" t="s">
        <v>426</v>
      </c>
      <c r="C192" t="s">
        <v>427</v>
      </c>
      <c r="D192" s="1">
        <v>3</v>
      </c>
      <c r="E192" s="1">
        <v>20</v>
      </c>
      <c r="F192" s="2">
        <v>198</v>
      </c>
      <c r="G192" s="2">
        <v>19</v>
      </c>
      <c r="H192" s="2">
        <v>27</v>
      </c>
      <c r="I192" s="2">
        <v>0</v>
      </c>
      <c r="J192" s="2">
        <v>9</v>
      </c>
      <c r="K192" s="2">
        <v>13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 t="s">
        <v>40</v>
      </c>
      <c r="T192" s="2">
        <v>0</v>
      </c>
      <c r="U192" s="2">
        <v>0</v>
      </c>
      <c r="V192" s="2" t="s">
        <v>15</v>
      </c>
      <c r="W192" s="2" t="s">
        <v>426</v>
      </c>
      <c r="X192">
        <v>0.95</v>
      </c>
      <c r="Y192" s="6">
        <v>7.333333333333333</v>
      </c>
      <c r="Z192" s="1" t="s">
        <v>457</v>
      </c>
      <c r="AA192" s="1">
        <v>0</v>
      </c>
      <c r="AB192" s="12">
        <v>44013</v>
      </c>
      <c r="AC192" t="s">
        <v>496</v>
      </c>
      <c r="AD192" t="s">
        <v>619</v>
      </c>
      <c r="AE192" s="1">
        <v>120</v>
      </c>
      <c r="AF192" s="1">
        <v>9</v>
      </c>
    </row>
    <row r="193" spans="1:32" customFormat="1" ht="99.95" customHeight="1" x14ac:dyDescent="0.25">
      <c r="A193" s="1">
        <v>192</v>
      </c>
      <c r="B193" s="1" t="s">
        <v>428</v>
      </c>
      <c r="C193" t="s">
        <v>429</v>
      </c>
      <c r="D193" s="1">
        <v>3</v>
      </c>
      <c r="E193" s="1">
        <v>17</v>
      </c>
      <c r="F193" s="2">
        <v>129</v>
      </c>
      <c r="G193" s="2">
        <v>14</v>
      </c>
      <c r="H193" s="2">
        <v>18</v>
      </c>
      <c r="I193" s="2">
        <v>0</v>
      </c>
      <c r="J193" s="2">
        <v>7</v>
      </c>
      <c r="K193" s="2">
        <v>7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 t="s">
        <v>40</v>
      </c>
      <c r="T193" s="2">
        <v>0</v>
      </c>
      <c r="U193" s="2">
        <v>0</v>
      </c>
      <c r="V193" s="2" t="s">
        <v>15</v>
      </c>
      <c r="W193" s="2" t="s">
        <v>428</v>
      </c>
      <c r="X193">
        <v>0.82352941176470584</v>
      </c>
      <c r="Y193" s="6">
        <v>7.166666666666667</v>
      </c>
      <c r="Z193" s="1" t="s">
        <v>457</v>
      </c>
      <c r="AA193" s="1">
        <v>0</v>
      </c>
      <c r="AB193" s="12">
        <v>44013</v>
      </c>
      <c r="AC193" t="s">
        <v>496</v>
      </c>
      <c r="AD193" t="s">
        <v>620</v>
      </c>
      <c r="AE193" s="1">
        <v>57</v>
      </c>
      <c r="AF193" s="1">
        <v>5</v>
      </c>
    </row>
    <row r="194" spans="1:32" customFormat="1" ht="99.95" customHeight="1" x14ac:dyDescent="0.25">
      <c r="A194" s="1">
        <v>193</v>
      </c>
      <c r="B194" s="1" t="s">
        <v>430</v>
      </c>
      <c r="C194" t="s">
        <v>431</v>
      </c>
      <c r="D194" s="1">
        <v>3</v>
      </c>
      <c r="E194" s="1">
        <v>26</v>
      </c>
      <c r="F194" s="2">
        <v>399</v>
      </c>
      <c r="G194" s="2">
        <v>28</v>
      </c>
      <c r="H194" s="2">
        <v>35</v>
      </c>
      <c r="I194" s="2">
        <v>2</v>
      </c>
      <c r="J194" s="2">
        <v>30</v>
      </c>
      <c r="K194" s="2">
        <v>26</v>
      </c>
      <c r="L194" s="2">
        <v>0</v>
      </c>
      <c r="M194" s="2">
        <v>2</v>
      </c>
      <c r="N194" s="2">
        <v>0.5</v>
      </c>
      <c r="O194" s="2">
        <v>0</v>
      </c>
      <c r="P194" s="2">
        <v>0</v>
      </c>
      <c r="Q194" s="2">
        <v>0</v>
      </c>
      <c r="R194" s="2">
        <v>0</v>
      </c>
      <c r="S194" s="2" t="s">
        <v>40</v>
      </c>
      <c r="T194" s="2">
        <v>0</v>
      </c>
      <c r="U194" s="2">
        <v>0</v>
      </c>
      <c r="V194" s="2" t="s">
        <v>15</v>
      </c>
      <c r="W194" s="2" t="s">
        <v>430</v>
      </c>
      <c r="X194">
        <v>1.0769230769230769</v>
      </c>
      <c r="Y194" s="6">
        <v>12.090909090909092</v>
      </c>
      <c r="Z194" s="1" t="s">
        <v>456</v>
      </c>
      <c r="AA194" s="1">
        <v>0</v>
      </c>
      <c r="AB194" s="12">
        <v>44013</v>
      </c>
      <c r="AC194" t="s">
        <v>496</v>
      </c>
      <c r="AD194" t="s">
        <v>621</v>
      </c>
      <c r="AE194" s="1">
        <v>196</v>
      </c>
      <c r="AF194" s="1">
        <v>17</v>
      </c>
    </row>
    <row r="195" spans="1:32" customFormat="1" ht="99.95" customHeight="1" x14ac:dyDescent="0.25">
      <c r="A195" s="1">
        <v>194</v>
      </c>
      <c r="B195" s="1" t="s">
        <v>432</v>
      </c>
      <c r="C195" t="s">
        <v>433</v>
      </c>
      <c r="D195" s="1">
        <v>1</v>
      </c>
      <c r="E195" s="1">
        <v>6</v>
      </c>
      <c r="F195" s="2">
        <v>36</v>
      </c>
      <c r="G195" s="2">
        <v>4</v>
      </c>
      <c r="H195" s="2">
        <v>5</v>
      </c>
      <c r="I195" s="2">
        <v>0</v>
      </c>
      <c r="J195" s="2">
        <v>3</v>
      </c>
      <c r="K195" s="2">
        <v>1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 t="s">
        <v>101</v>
      </c>
      <c r="T195" s="2">
        <v>0</v>
      </c>
      <c r="U195" s="2">
        <v>0</v>
      </c>
      <c r="V195" s="2" t="s">
        <v>15</v>
      </c>
      <c r="W195" s="2" t="s">
        <v>432</v>
      </c>
      <c r="X195">
        <v>0.66666666666666663</v>
      </c>
      <c r="Y195" s="6">
        <v>7.2</v>
      </c>
      <c r="Z195" s="1" t="s">
        <v>457</v>
      </c>
      <c r="AA195" s="1">
        <v>0</v>
      </c>
      <c r="AB195" s="12">
        <v>44013</v>
      </c>
      <c r="AC195" t="s">
        <v>496</v>
      </c>
      <c r="AD195" t="s">
        <v>622</v>
      </c>
      <c r="AE195" s="1">
        <v>36</v>
      </c>
      <c r="AF195" s="1">
        <v>4</v>
      </c>
    </row>
    <row r="196" spans="1:32" customFormat="1" ht="99.95" customHeight="1" x14ac:dyDescent="0.25">
      <c r="A196" s="1">
        <v>195</v>
      </c>
      <c r="B196" s="1" t="s">
        <v>434</v>
      </c>
      <c r="C196" t="s">
        <v>435</v>
      </c>
      <c r="D196" s="1">
        <v>1</v>
      </c>
      <c r="E196" s="1">
        <v>5</v>
      </c>
      <c r="F196" s="2">
        <v>34</v>
      </c>
      <c r="G196" s="2">
        <v>1</v>
      </c>
      <c r="H196" s="2">
        <v>5</v>
      </c>
      <c r="I196" s="2">
        <v>0</v>
      </c>
      <c r="J196" s="2">
        <v>3</v>
      </c>
      <c r="K196" s="2">
        <v>2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 t="s">
        <v>101</v>
      </c>
      <c r="T196" s="2">
        <v>0</v>
      </c>
      <c r="U196" s="2">
        <v>0</v>
      </c>
      <c r="V196" s="2" t="s">
        <v>15</v>
      </c>
      <c r="W196" s="2" t="s">
        <v>434</v>
      </c>
      <c r="X196">
        <v>0.2</v>
      </c>
      <c r="Y196" s="6">
        <v>6.8</v>
      </c>
      <c r="Z196" s="1" t="s">
        <v>457</v>
      </c>
      <c r="AA196" s="1">
        <v>0</v>
      </c>
      <c r="AB196" s="12">
        <v>44013</v>
      </c>
      <c r="AC196" t="s">
        <v>496</v>
      </c>
      <c r="AD196" t="s">
        <v>623</v>
      </c>
      <c r="AE196" s="1">
        <v>34</v>
      </c>
      <c r="AF196" s="1">
        <v>1</v>
      </c>
    </row>
    <row r="197" spans="1:32" customFormat="1" ht="99.95" customHeight="1" x14ac:dyDescent="0.25">
      <c r="A197" s="1">
        <v>196</v>
      </c>
      <c r="B197" s="1" t="s">
        <v>436</v>
      </c>
      <c r="C197" t="s">
        <v>437</v>
      </c>
      <c r="D197" s="1">
        <v>1</v>
      </c>
      <c r="E197" s="1">
        <v>1</v>
      </c>
      <c r="F197" s="2">
        <v>6</v>
      </c>
      <c r="G197" s="2">
        <v>0</v>
      </c>
      <c r="H197" s="2">
        <v>1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 t="s">
        <v>282</v>
      </c>
      <c r="T197" s="2">
        <v>0</v>
      </c>
      <c r="U197" s="2">
        <v>0</v>
      </c>
      <c r="V197" s="2" t="s">
        <v>15</v>
      </c>
      <c r="W197" s="2" t="s">
        <v>436</v>
      </c>
      <c r="X197">
        <v>0</v>
      </c>
      <c r="Y197" s="6">
        <v>6</v>
      </c>
      <c r="Z197" s="1" t="s">
        <v>457</v>
      </c>
      <c r="AA197" s="1">
        <v>0</v>
      </c>
      <c r="AB197" s="12">
        <v>41699</v>
      </c>
      <c r="AC197" t="s">
        <v>473</v>
      </c>
      <c r="AD197" t="s">
        <v>593</v>
      </c>
      <c r="AE197" s="1">
        <v>6</v>
      </c>
      <c r="AF197" s="1">
        <v>0</v>
      </c>
    </row>
    <row r="198" spans="1:32" customFormat="1" ht="99.95" customHeight="1" x14ac:dyDescent="0.25">
      <c r="A198" s="1">
        <v>197</v>
      </c>
      <c r="B198" s="1" t="s">
        <v>438</v>
      </c>
      <c r="C198" t="s">
        <v>439</v>
      </c>
      <c r="D198" s="1">
        <v>2</v>
      </c>
      <c r="E198" s="1">
        <v>14</v>
      </c>
      <c r="F198" s="2">
        <v>278</v>
      </c>
      <c r="G198" s="2">
        <v>15</v>
      </c>
      <c r="H198" s="2">
        <v>17</v>
      </c>
      <c r="I198" s="2">
        <v>1</v>
      </c>
      <c r="J198" s="2">
        <v>20</v>
      </c>
      <c r="K198" s="2">
        <v>16</v>
      </c>
      <c r="L198" s="2">
        <v>0</v>
      </c>
      <c r="M198" s="2">
        <v>0</v>
      </c>
      <c r="N198" s="2">
        <v>1</v>
      </c>
      <c r="O198" s="2">
        <v>0</v>
      </c>
      <c r="P198" s="2">
        <v>0</v>
      </c>
      <c r="Q198" s="2">
        <v>0</v>
      </c>
      <c r="R198" s="2">
        <v>0</v>
      </c>
      <c r="S198" s="2" t="s">
        <v>40</v>
      </c>
      <c r="T198" s="2">
        <v>0</v>
      </c>
      <c r="U198" s="2">
        <v>0</v>
      </c>
      <c r="V198" s="2" t="s">
        <v>15</v>
      </c>
      <c r="W198" s="2" t="s">
        <v>438</v>
      </c>
      <c r="X198" s="3">
        <v>1.0714285714285714</v>
      </c>
      <c r="Y198" s="6">
        <v>17.375</v>
      </c>
      <c r="Z198" s="1" t="s">
        <v>457</v>
      </c>
      <c r="AA198" s="1">
        <v>0</v>
      </c>
      <c r="AB198" s="12">
        <v>44256</v>
      </c>
      <c r="AC198" t="s">
        <v>624</v>
      </c>
      <c r="AD198" t="s">
        <v>625</v>
      </c>
      <c r="AE198" s="1">
        <v>207</v>
      </c>
      <c r="AF198" s="1">
        <v>10</v>
      </c>
    </row>
    <row r="199" spans="1:32" customFormat="1" ht="99.95" customHeight="1" x14ac:dyDescent="0.25">
      <c r="A199" s="1">
        <v>198</v>
      </c>
      <c r="B199" s="1" t="s">
        <v>440</v>
      </c>
      <c r="C199" t="s">
        <v>441</v>
      </c>
      <c r="D199" s="1">
        <v>4</v>
      </c>
      <c r="E199" s="1">
        <v>28</v>
      </c>
      <c r="F199" s="2">
        <v>271</v>
      </c>
      <c r="G199" s="2">
        <v>27</v>
      </c>
      <c r="H199" s="2">
        <v>23</v>
      </c>
      <c r="I199" s="2">
        <v>1</v>
      </c>
      <c r="J199" s="2">
        <v>18</v>
      </c>
      <c r="K199" s="2">
        <v>19</v>
      </c>
      <c r="L199" s="2">
        <v>0</v>
      </c>
      <c r="M199" s="2">
        <v>1</v>
      </c>
      <c r="N199" s="2">
        <v>2</v>
      </c>
      <c r="O199" s="2">
        <v>0</v>
      </c>
      <c r="P199" s="2">
        <v>0</v>
      </c>
      <c r="Q199" s="2">
        <v>1</v>
      </c>
      <c r="R199" s="2">
        <v>2</v>
      </c>
      <c r="S199" s="2" t="s">
        <v>26</v>
      </c>
      <c r="T199" s="2">
        <v>0</v>
      </c>
      <c r="U199" s="2">
        <v>0</v>
      </c>
      <c r="V199" s="2" t="s">
        <v>15</v>
      </c>
      <c r="W199" s="2" t="s">
        <v>440</v>
      </c>
      <c r="X199">
        <v>0.9642857142857143</v>
      </c>
      <c r="Y199" s="6">
        <v>12.318181818181818</v>
      </c>
      <c r="Z199" s="1" t="s">
        <v>458</v>
      </c>
      <c r="AA199" s="1">
        <v>3</v>
      </c>
      <c r="AB199" s="12">
        <v>44256</v>
      </c>
      <c r="AC199" t="s">
        <v>624</v>
      </c>
      <c r="AD199" t="s">
        <v>626</v>
      </c>
      <c r="AE199" s="1">
        <v>88</v>
      </c>
      <c r="AF199" s="1">
        <v>11</v>
      </c>
    </row>
    <row r="200" spans="1:32" customFormat="1" ht="99.95" customHeight="1" x14ac:dyDescent="0.25">
      <c r="A200" s="1">
        <v>199</v>
      </c>
      <c r="B200" s="1" t="s">
        <v>442</v>
      </c>
      <c r="C200" t="s">
        <v>443</v>
      </c>
      <c r="D200" s="1">
        <v>1</v>
      </c>
      <c r="E200" s="1">
        <v>9</v>
      </c>
      <c r="F200" s="2">
        <v>53</v>
      </c>
      <c r="G200" s="2">
        <v>11</v>
      </c>
      <c r="H200" s="2">
        <v>8</v>
      </c>
      <c r="I200" s="2">
        <v>0</v>
      </c>
      <c r="J200" s="2">
        <v>7</v>
      </c>
      <c r="K200" s="2">
        <v>1</v>
      </c>
      <c r="L200" s="2">
        <v>0</v>
      </c>
      <c r="M200" s="2">
        <v>1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 t="s">
        <v>40</v>
      </c>
      <c r="T200" s="2">
        <v>0</v>
      </c>
      <c r="U200" s="2">
        <v>0</v>
      </c>
      <c r="V200" s="2" t="s">
        <v>15</v>
      </c>
      <c r="W200" s="2" t="s">
        <v>442</v>
      </c>
      <c r="X200">
        <v>1.2222222222222223</v>
      </c>
      <c r="Y200" s="6">
        <v>6.625</v>
      </c>
      <c r="Z200" s="1" t="s">
        <v>459</v>
      </c>
      <c r="AA200" s="1">
        <v>0</v>
      </c>
      <c r="AB200" s="12">
        <v>44374</v>
      </c>
      <c r="AC200" t="s">
        <v>627</v>
      </c>
      <c r="AD200" t="s">
        <v>628</v>
      </c>
      <c r="AE200" s="1">
        <v>53</v>
      </c>
      <c r="AF200" s="1">
        <v>11</v>
      </c>
    </row>
    <row r="201" spans="1:32" customFormat="1" ht="99.95" customHeight="1" x14ac:dyDescent="0.25">
      <c r="A201" s="1">
        <v>200</v>
      </c>
      <c r="B201" s="1" t="s">
        <v>444</v>
      </c>
      <c r="C201" t="s">
        <v>445</v>
      </c>
      <c r="D201" s="1">
        <v>4</v>
      </c>
      <c r="E201" s="1">
        <v>21</v>
      </c>
      <c r="F201" s="2">
        <v>298</v>
      </c>
      <c r="G201" s="2">
        <v>27</v>
      </c>
      <c r="H201" s="2">
        <v>24</v>
      </c>
      <c r="I201" s="2">
        <v>2</v>
      </c>
      <c r="J201" s="2">
        <v>25</v>
      </c>
      <c r="K201" s="2">
        <v>18</v>
      </c>
      <c r="L201" s="2">
        <v>3</v>
      </c>
      <c r="M201" s="2">
        <v>2</v>
      </c>
      <c r="N201" s="2">
        <v>3</v>
      </c>
      <c r="O201" s="2">
        <v>0</v>
      </c>
      <c r="P201" s="2">
        <v>0</v>
      </c>
      <c r="Q201" s="2">
        <v>0</v>
      </c>
      <c r="R201" s="2">
        <v>1</v>
      </c>
      <c r="S201" s="2" t="s">
        <v>26</v>
      </c>
      <c r="T201" s="2">
        <v>0</v>
      </c>
      <c r="U201" s="2">
        <v>0</v>
      </c>
      <c r="V201" s="2" t="s">
        <v>15</v>
      </c>
      <c r="W201" s="2" t="s">
        <v>444</v>
      </c>
      <c r="X201" s="3">
        <v>1.2857142857142858</v>
      </c>
      <c r="Y201" s="6">
        <v>13.545454545454545</v>
      </c>
      <c r="Z201" s="1" t="s">
        <v>456</v>
      </c>
      <c r="AA201" s="1">
        <v>1</v>
      </c>
      <c r="AB201" s="12">
        <v>44374</v>
      </c>
      <c r="AC201" t="s">
        <v>627</v>
      </c>
      <c r="AD201" t="s">
        <v>629</v>
      </c>
      <c r="AE201" s="1">
        <v>177</v>
      </c>
      <c r="AF201" s="1">
        <v>13</v>
      </c>
    </row>
    <row r="202" spans="1:32" customFormat="1" ht="99.95" customHeight="1" x14ac:dyDescent="0.25">
      <c r="A202" s="1">
        <v>201</v>
      </c>
      <c r="B202" s="1" t="s">
        <v>446</v>
      </c>
      <c r="C202" t="s">
        <v>447</v>
      </c>
      <c r="D202" s="1">
        <v>1</v>
      </c>
      <c r="E202" s="1">
        <v>4</v>
      </c>
      <c r="F202" s="2">
        <v>54</v>
      </c>
      <c r="G202" s="2">
        <v>4</v>
      </c>
      <c r="H202" s="2">
        <v>4</v>
      </c>
      <c r="I202" s="2">
        <v>2</v>
      </c>
      <c r="J202" s="2">
        <v>5</v>
      </c>
      <c r="K202" s="2">
        <v>4</v>
      </c>
      <c r="L202" s="2">
        <v>0</v>
      </c>
      <c r="M202" s="2">
        <v>1</v>
      </c>
      <c r="N202" s="2">
        <v>1</v>
      </c>
      <c r="O202" s="2">
        <v>0</v>
      </c>
      <c r="P202" s="2">
        <v>0</v>
      </c>
      <c r="Q202" s="2">
        <v>0</v>
      </c>
      <c r="R202" s="2">
        <v>0</v>
      </c>
      <c r="S202" s="2" t="s">
        <v>40</v>
      </c>
      <c r="T202" s="2">
        <v>0</v>
      </c>
      <c r="U202" s="2">
        <v>0</v>
      </c>
      <c r="V202" s="2" t="s">
        <v>15</v>
      </c>
      <c r="W202" s="2" t="s">
        <v>446</v>
      </c>
      <c r="X202" s="3">
        <v>1</v>
      </c>
      <c r="Y202" s="6">
        <v>27</v>
      </c>
      <c r="Z202" s="1" t="s">
        <v>457</v>
      </c>
      <c r="AA202" s="1">
        <v>0</v>
      </c>
      <c r="AB202" s="12">
        <v>44374</v>
      </c>
      <c r="AC202" t="s">
        <v>627</v>
      </c>
      <c r="AD202" t="s">
        <v>630</v>
      </c>
      <c r="AE202" s="1">
        <v>54</v>
      </c>
      <c r="AF202" s="1">
        <v>4</v>
      </c>
    </row>
    <row r="203" spans="1:32" customFormat="1" ht="99.95" customHeight="1" x14ac:dyDescent="0.25">
      <c r="A203" s="1">
        <v>202</v>
      </c>
      <c r="B203" s="1" t="s">
        <v>448</v>
      </c>
      <c r="C203" t="s">
        <v>449</v>
      </c>
      <c r="D203" s="1">
        <v>4</v>
      </c>
      <c r="E203" s="1">
        <v>25</v>
      </c>
      <c r="F203" s="2">
        <v>491</v>
      </c>
      <c r="G203" s="2">
        <v>37</v>
      </c>
      <c r="H203" s="2">
        <v>38</v>
      </c>
      <c r="I203" s="2">
        <v>4</v>
      </c>
      <c r="J203" s="2">
        <v>38</v>
      </c>
      <c r="K203" s="2">
        <v>40</v>
      </c>
      <c r="L203" s="2">
        <v>1</v>
      </c>
      <c r="M203" s="2">
        <v>7.5</v>
      </c>
      <c r="N203" s="2">
        <v>2</v>
      </c>
      <c r="O203" s="2">
        <v>0</v>
      </c>
      <c r="P203" s="2">
        <v>0</v>
      </c>
      <c r="Q203" s="2">
        <v>1</v>
      </c>
      <c r="R203" s="2">
        <v>1</v>
      </c>
      <c r="S203" s="2" t="s">
        <v>26</v>
      </c>
      <c r="T203" s="2">
        <v>1</v>
      </c>
      <c r="U203" s="2">
        <v>0</v>
      </c>
      <c r="V203" s="2" t="s">
        <v>15</v>
      </c>
      <c r="W203" s="2" t="s">
        <v>448</v>
      </c>
      <c r="X203" s="3">
        <v>1.48</v>
      </c>
      <c r="Y203" s="6">
        <v>14.441176470588236</v>
      </c>
      <c r="Z203" s="1" t="s">
        <v>460</v>
      </c>
      <c r="AA203" s="1">
        <v>2</v>
      </c>
      <c r="AB203" s="12">
        <v>44374</v>
      </c>
      <c r="AC203" t="s">
        <v>627</v>
      </c>
      <c r="AD203" t="s">
        <v>631</v>
      </c>
      <c r="AE203" s="1">
        <v>347</v>
      </c>
      <c r="AF203" s="1">
        <v>20</v>
      </c>
    </row>
    <row r="204" spans="1:32" customFormat="1" ht="99.95" customHeight="1" x14ac:dyDescent="0.25">
      <c r="A204" s="1">
        <v>203</v>
      </c>
      <c r="B204" s="1" t="s">
        <v>450</v>
      </c>
      <c r="C204" t="s">
        <v>451</v>
      </c>
      <c r="D204" s="1">
        <v>3</v>
      </c>
      <c r="E204" s="1">
        <v>21</v>
      </c>
      <c r="F204" s="2">
        <v>310</v>
      </c>
      <c r="G204" s="2">
        <v>25</v>
      </c>
      <c r="H204" s="2">
        <v>25</v>
      </c>
      <c r="I204" s="2">
        <v>3</v>
      </c>
      <c r="J204" s="2">
        <v>21</v>
      </c>
      <c r="K204" s="2">
        <v>21</v>
      </c>
      <c r="L204" s="2">
        <v>1</v>
      </c>
      <c r="M204" s="2">
        <v>3</v>
      </c>
      <c r="N204" s="2">
        <v>0</v>
      </c>
      <c r="O204" s="2">
        <v>0</v>
      </c>
      <c r="P204" s="2">
        <v>0</v>
      </c>
      <c r="Q204" s="2">
        <v>1</v>
      </c>
      <c r="R204" s="2">
        <v>0</v>
      </c>
      <c r="S204" s="2" t="s">
        <v>26</v>
      </c>
      <c r="T204" s="2">
        <v>0</v>
      </c>
      <c r="U204" s="2">
        <v>0</v>
      </c>
      <c r="V204" s="2" t="s">
        <v>15</v>
      </c>
      <c r="W204" s="2" t="s">
        <v>450</v>
      </c>
      <c r="X204">
        <v>1.1904761904761905</v>
      </c>
      <c r="Y204" s="6">
        <v>14.090909090909092</v>
      </c>
      <c r="Z204" s="1" t="s">
        <v>457</v>
      </c>
      <c r="AA204" s="1">
        <v>1</v>
      </c>
      <c r="AB204" s="12">
        <v>44374</v>
      </c>
      <c r="AC204" t="s">
        <v>627</v>
      </c>
      <c r="AD204" t="s">
        <v>632</v>
      </c>
      <c r="AE204" s="1">
        <v>157</v>
      </c>
      <c r="AF204" s="1">
        <v>13</v>
      </c>
    </row>
    <row r="205" spans="1:32" customFormat="1" ht="99.95" customHeight="1" x14ac:dyDescent="0.25">
      <c r="A205" s="1">
        <v>204</v>
      </c>
      <c r="B205" s="1" t="s">
        <v>452</v>
      </c>
      <c r="C205" t="s">
        <v>453</v>
      </c>
      <c r="D205" s="1">
        <v>1</v>
      </c>
      <c r="E205" s="1">
        <v>7</v>
      </c>
      <c r="F205" s="2">
        <v>37</v>
      </c>
      <c r="G205" s="2">
        <v>0</v>
      </c>
      <c r="H205" s="2">
        <v>4</v>
      </c>
      <c r="I205" s="2">
        <v>0</v>
      </c>
      <c r="J205" s="2">
        <v>3</v>
      </c>
      <c r="K205" s="2">
        <v>2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 t="s">
        <v>40</v>
      </c>
      <c r="T205" s="2">
        <v>0</v>
      </c>
      <c r="U205" s="2">
        <v>0</v>
      </c>
      <c r="V205" s="2" t="s">
        <v>15</v>
      </c>
      <c r="W205" s="2" t="s">
        <v>452</v>
      </c>
      <c r="X205">
        <v>0</v>
      </c>
      <c r="Y205" s="6">
        <v>9.25</v>
      </c>
      <c r="Z205" s="1" t="s">
        <v>457</v>
      </c>
      <c r="AA205" s="1">
        <v>0</v>
      </c>
      <c r="AB205" s="12">
        <v>44374</v>
      </c>
      <c r="AC205" t="s">
        <v>627</v>
      </c>
      <c r="AD205" t="s">
        <v>633</v>
      </c>
      <c r="AE205" s="1">
        <v>37</v>
      </c>
      <c r="AF205" s="1">
        <v>0</v>
      </c>
    </row>
    <row r="206" spans="1:32" customFormat="1" ht="99.95" customHeight="1" x14ac:dyDescent="0.25">
      <c r="A206" s="1">
        <v>205</v>
      </c>
      <c r="B206" s="1" t="s">
        <v>454</v>
      </c>
      <c r="C206" t="s">
        <v>455</v>
      </c>
      <c r="D206" s="1">
        <v>1</v>
      </c>
      <c r="E206" s="1">
        <v>3</v>
      </c>
      <c r="F206" s="2">
        <v>28</v>
      </c>
      <c r="G206" s="2">
        <v>0</v>
      </c>
      <c r="H206" s="2">
        <v>3</v>
      </c>
      <c r="I206" s="2">
        <v>0</v>
      </c>
      <c r="J206" s="2">
        <v>1</v>
      </c>
      <c r="K206" s="2">
        <v>2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 t="s">
        <v>23</v>
      </c>
      <c r="T206" s="2">
        <v>0</v>
      </c>
      <c r="U206" s="2">
        <v>0</v>
      </c>
      <c r="V206" s="2" t="s">
        <v>15</v>
      </c>
      <c r="W206" s="2" t="s">
        <v>454</v>
      </c>
      <c r="X206">
        <v>0</v>
      </c>
      <c r="Y206" s="6">
        <v>9.3333333333333339</v>
      </c>
      <c r="Z206" s="1" t="s">
        <v>457</v>
      </c>
      <c r="AA206" s="1">
        <v>0</v>
      </c>
      <c r="AB206" s="12">
        <v>44949</v>
      </c>
      <c r="AC206" t="s">
        <v>634</v>
      </c>
      <c r="AD206" t="s">
        <v>635</v>
      </c>
      <c r="AE206" s="1">
        <v>28</v>
      </c>
      <c r="AF206" s="1">
        <v>0</v>
      </c>
    </row>
  </sheetData>
  <autoFilter ref="A1:AA206"/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zoomScale="85" zoomScaleNormal="85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20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12" customWidth="1"/>
    <col min="22" max="23" width="9.140625" style="1"/>
  </cols>
  <sheetData>
    <row r="1" spans="1:24" s="4" customFormat="1" ht="31.5" customHeight="1" x14ac:dyDescent="0.25">
      <c r="A1" s="13" t="s">
        <v>637</v>
      </c>
      <c r="B1" s="13" t="s">
        <v>638</v>
      </c>
      <c r="C1" s="13" t="s">
        <v>639</v>
      </c>
      <c r="D1" s="13" t="s">
        <v>640</v>
      </c>
      <c r="E1" s="13" t="s">
        <v>641</v>
      </c>
      <c r="F1" s="13" t="s">
        <v>642</v>
      </c>
      <c r="G1" s="13" t="s">
        <v>643</v>
      </c>
      <c r="H1" s="13" t="s">
        <v>644</v>
      </c>
      <c r="I1" s="13" t="s">
        <v>645</v>
      </c>
      <c r="J1" s="13" t="s">
        <v>9</v>
      </c>
      <c r="K1" s="13" t="s">
        <v>646</v>
      </c>
      <c r="L1" s="13" t="s">
        <v>647</v>
      </c>
      <c r="M1" s="4" t="s">
        <v>15</v>
      </c>
      <c r="N1" s="4" t="s">
        <v>648</v>
      </c>
      <c r="O1" s="2" t="s">
        <v>649</v>
      </c>
      <c r="P1" s="2" t="s">
        <v>650</v>
      </c>
      <c r="Q1" s="2" t="s">
        <v>651</v>
      </c>
      <c r="R1" s="14" t="s">
        <v>652</v>
      </c>
      <c r="S1" s="2" t="s">
        <v>653</v>
      </c>
      <c r="T1" s="2" t="s">
        <v>654</v>
      </c>
      <c r="U1" s="15" t="s">
        <v>655</v>
      </c>
      <c r="V1" s="16" t="s">
        <v>656</v>
      </c>
      <c r="W1" s="16" t="s">
        <v>657</v>
      </c>
      <c r="X1" s="2" t="s">
        <v>658</v>
      </c>
    </row>
    <row r="2" spans="1:24" s="4" customFormat="1" ht="19.5" customHeight="1" x14ac:dyDescent="0.25">
      <c r="A2" s="13">
        <v>1</v>
      </c>
      <c r="B2" s="17" t="s">
        <v>544</v>
      </c>
      <c r="C2" s="13"/>
      <c r="D2" s="13"/>
      <c r="E2" s="13"/>
      <c r="F2" s="13"/>
      <c r="G2" s="13"/>
      <c r="H2" s="13"/>
      <c r="I2" s="13"/>
      <c r="J2" s="13"/>
      <c r="K2" s="13"/>
      <c r="L2" s="13"/>
      <c r="O2" s="2" t="s">
        <v>488</v>
      </c>
      <c r="P2" s="18" t="s">
        <v>544</v>
      </c>
      <c r="Q2" s="1">
        <f t="shared" ref="Q2:Q65" si="0">IF(B2="","",1)</f>
        <v>1</v>
      </c>
      <c r="R2" s="2">
        <v>1</v>
      </c>
      <c r="S2" s="2"/>
      <c r="T2" s="2" t="s">
        <v>659</v>
      </c>
      <c r="U2" s="19">
        <v>41334</v>
      </c>
      <c r="V2" s="2"/>
      <c r="W2" s="2"/>
    </row>
    <row r="3" spans="1:24" x14ac:dyDescent="0.25">
      <c r="A3" s="2">
        <v>1</v>
      </c>
      <c r="B3" t="s">
        <v>206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488</v>
      </c>
      <c r="P3" s="20" t="s">
        <v>544</v>
      </c>
      <c r="Q3" s="1">
        <f t="shared" si="0"/>
        <v>1</v>
      </c>
      <c r="R3" s="1">
        <v>1</v>
      </c>
      <c r="T3" s="2" t="s">
        <v>659</v>
      </c>
      <c r="U3" s="19">
        <f t="array" ref="U3:U35">U2</f>
        <v>41334</v>
      </c>
    </row>
    <row r="4" spans="1:24" x14ac:dyDescent="0.25">
      <c r="A4" s="2">
        <f>A3</f>
        <v>1</v>
      </c>
      <c r="B4" t="s">
        <v>153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488</v>
      </c>
      <c r="P4" s="20" t="s">
        <v>544</v>
      </c>
      <c r="Q4" s="1">
        <f t="shared" si="0"/>
        <v>1</v>
      </c>
      <c r="R4" s="1">
        <v>1</v>
      </c>
      <c r="T4" s="2" t="s">
        <v>659</v>
      </c>
      <c r="U4" s="19">
        <v>41334</v>
      </c>
    </row>
    <row r="5" spans="1:24" x14ac:dyDescent="0.25">
      <c r="A5" s="2">
        <f t="shared" ref="A5:A35" si="2">A4</f>
        <v>1</v>
      </c>
      <c r="B5" t="s">
        <v>145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488</v>
      </c>
      <c r="P5" s="20" t="s">
        <v>544</v>
      </c>
      <c r="Q5" s="1">
        <f t="shared" si="0"/>
        <v>1</v>
      </c>
      <c r="R5" s="1">
        <v>1</v>
      </c>
      <c r="S5" s="2" t="s">
        <v>660</v>
      </c>
      <c r="T5" s="2" t="s">
        <v>659</v>
      </c>
      <c r="U5" s="19">
        <v>41334</v>
      </c>
    </row>
    <row r="6" spans="1:24" x14ac:dyDescent="0.25">
      <c r="A6" s="2">
        <f t="shared" si="2"/>
        <v>1</v>
      </c>
      <c r="B6" t="s">
        <v>209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488</v>
      </c>
      <c r="P6" s="20" t="s">
        <v>544</v>
      </c>
      <c r="Q6" s="1">
        <f t="shared" si="0"/>
        <v>1</v>
      </c>
      <c r="R6" s="1">
        <v>1</v>
      </c>
      <c r="T6" s="2" t="s">
        <v>659</v>
      </c>
      <c r="U6" s="19">
        <v>41334</v>
      </c>
    </row>
    <row r="7" spans="1:24" x14ac:dyDescent="0.25">
      <c r="A7" s="2">
        <f t="shared" si="2"/>
        <v>1</v>
      </c>
      <c r="B7" t="s">
        <v>212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488</v>
      </c>
      <c r="P7" s="20" t="s">
        <v>544</v>
      </c>
      <c r="Q7" s="1">
        <f t="shared" si="0"/>
        <v>1</v>
      </c>
      <c r="R7" s="1">
        <v>1</v>
      </c>
      <c r="T7" s="2" t="s">
        <v>659</v>
      </c>
      <c r="U7" s="19">
        <v>41334</v>
      </c>
    </row>
    <row r="8" spans="1:24" x14ac:dyDescent="0.25">
      <c r="A8" s="2">
        <f t="shared" si="2"/>
        <v>1</v>
      </c>
      <c r="B8" t="s">
        <v>214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488</v>
      </c>
      <c r="P8" s="20" t="s">
        <v>544</v>
      </c>
      <c r="Q8" s="1">
        <f t="shared" si="0"/>
        <v>1</v>
      </c>
      <c r="R8" s="1">
        <v>1</v>
      </c>
      <c r="T8" s="2" t="s">
        <v>659</v>
      </c>
      <c r="U8" s="19">
        <v>41334</v>
      </c>
    </row>
    <row r="9" spans="1:24" x14ac:dyDescent="0.25">
      <c r="A9" s="2">
        <f t="shared" si="2"/>
        <v>1</v>
      </c>
      <c r="B9" s="21" t="s">
        <v>500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488</v>
      </c>
      <c r="P9" s="20" t="s">
        <v>500</v>
      </c>
      <c r="Q9" s="1">
        <f t="shared" si="0"/>
        <v>1</v>
      </c>
      <c r="R9" s="1">
        <v>2</v>
      </c>
      <c r="T9" s="2" t="s">
        <v>661</v>
      </c>
      <c r="U9" s="19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488</v>
      </c>
      <c r="P10" s="20" t="s">
        <v>500</v>
      </c>
      <c r="Q10" s="1">
        <f t="shared" si="0"/>
        <v>1</v>
      </c>
      <c r="R10" s="1">
        <v>2</v>
      </c>
      <c r="T10" s="2" t="s">
        <v>661</v>
      </c>
      <c r="U10" s="19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488</v>
      </c>
      <c r="P11" s="20" t="s">
        <v>500</v>
      </c>
      <c r="Q11" s="1">
        <f t="shared" si="0"/>
        <v>1</v>
      </c>
      <c r="R11" s="1">
        <v>2</v>
      </c>
      <c r="T11" s="2" t="s">
        <v>661</v>
      </c>
      <c r="U11" s="19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488</v>
      </c>
      <c r="P12" s="20" t="s">
        <v>500</v>
      </c>
      <c r="Q12" s="1">
        <f t="shared" si="0"/>
        <v>1</v>
      </c>
      <c r="R12" s="1">
        <v>2</v>
      </c>
      <c r="T12" s="2" t="s">
        <v>661</v>
      </c>
      <c r="U12" s="19">
        <v>41334</v>
      </c>
      <c r="V12" s="1">
        <v>1</v>
      </c>
    </row>
    <row r="13" spans="1:24" x14ac:dyDescent="0.25">
      <c r="A13" s="2">
        <f t="shared" si="2"/>
        <v>1</v>
      </c>
      <c r="B13" t="s">
        <v>216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488</v>
      </c>
      <c r="P13" s="20" t="s">
        <v>500</v>
      </c>
      <c r="Q13" s="1">
        <f t="shared" si="0"/>
        <v>1</v>
      </c>
      <c r="R13" s="1">
        <v>2</v>
      </c>
      <c r="T13" s="2" t="s">
        <v>661</v>
      </c>
      <c r="U13" s="19">
        <v>41334</v>
      </c>
    </row>
    <row r="14" spans="1:24" x14ac:dyDescent="0.25">
      <c r="A14" s="2">
        <f t="shared" si="2"/>
        <v>1</v>
      </c>
      <c r="B14" t="s">
        <v>219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488</v>
      </c>
      <c r="P14" s="20" t="s">
        <v>500</v>
      </c>
      <c r="Q14" s="1">
        <f t="shared" si="0"/>
        <v>1</v>
      </c>
      <c r="R14" s="1">
        <v>2</v>
      </c>
      <c r="T14" s="2" t="s">
        <v>661</v>
      </c>
      <c r="U14" s="19">
        <v>41334</v>
      </c>
    </row>
    <row r="15" spans="1:24" x14ac:dyDescent="0.25">
      <c r="A15" s="2">
        <f t="shared" si="2"/>
        <v>1</v>
      </c>
      <c r="B15" t="s">
        <v>220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488</v>
      </c>
      <c r="P15" s="20" t="s">
        <v>500</v>
      </c>
      <c r="Q15" s="1">
        <f t="shared" si="0"/>
        <v>1</v>
      </c>
      <c r="R15" s="1">
        <v>2</v>
      </c>
      <c r="T15" s="2" t="s">
        <v>661</v>
      </c>
      <c r="U15" s="19">
        <v>41334</v>
      </c>
    </row>
    <row r="16" spans="1:24" x14ac:dyDescent="0.25">
      <c r="A16" s="2">
        <f t="shared" si="2"/>
        <v>1</v>
      </c>
      <c r="B16" s="21" t="s">
        <v>529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488</v>
      </c>
      <c r="P16" s="20" t="s">
        <v>529</v>
      </c>
      <c r="Q16" s="1">
        <f t="shared" si="0"/>
        <v>1</v>
      </c>
      <c r="R16" s="1">
        <v>3</v>
      </c>
      <c r="U16" s="12">
        <v>41334</v>
      </c>
    </row>
    <row r="17" spans="1:23" x14ac:dyDescent="0.25">
      <c r="A17" s="2">
        <f t="shared" si="2"/>
        <v>1</v>
      </c>
      <c r="B17" t="s">
        <v>222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488</v>
      </c>
      <c r="P17" s="20" t="s">
        <v>529</v>
      </c>
      <c r="Q17" s="1">
        <f t="shared" si="0"/>
        <v>1</v>
      </c>
      <c r="R17" s="1">
        <v>3</v>
      </c>
      <c r="U17" s="12">
        <v>41334</v>
      </c>
    </row>
    <row r="18" spans="1:23" x14ac:dyDescent="0.25">
      <c r="A18" s="2">
        <f t="shared" si="2"/>
        <v>1</v>
      </c>
      <c r="B18" t="s">
        <v>224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488</v>
      </c>
      <c r="P18" s="20" t="s">
        <v>529</v>
      </c>
      <c r="Q18" s="1">
        <f t="shared" si="0"/>
        <v>1</v>
      </c>
      <c r="R18" s="1">
        <v>3</v>
      </c>
      <c r="U18" s="12">
        <v>41334</v>
      </c>
    </row>
    <row r="19" spans="1:23" x14ac:dyDescent="0.25">
      <c r="A19" s="2">
        <f t="shared" si="2"/>
        <v>1</v>
      </c>
      <c r="B19" t="s">
        <v>226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488</v>
      </c>
      <c r="P19" s="20" t="s">
        <v>529</v>
      </c>
      <c r="Q19" s="1">
        <f t="shared" si="0"/>
        <v>1</v>
      </c>
      <c r="R19" s="1">
        <v>3</v>
      </c>
      <c r="S19" s="2" t="s">
        <v>662</v>
      </c>
      <c r="U19" s="12">
        <v>41334</v>
      </c>
    </row>
    <row r="20" spans="1:23" x14ac:dyDescent="0.25">
      <c r="A20" s="2">
        <f t="shared" si="2"/>
        <v>1</v>
      </c>
      <c r="B20" t="s">
        <v>229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488</v>
      </c>
      <c r="P20" s="20" t="s">
        <v>529</v>
      </c>
      <c r="Q20" s="1">
        <f t="shared" si="0"/>
        <v>1</v>
      </c>
      <c r="R20" s="1">
        <v>3</v>
      </c>
      <c r="U20" s="12">
        <v>41334</v>
      </c>
    </row>
    <row r="21" spans="1:23" x14ac:dyDescent="0.25">
      <c r="A21" s="2">
        <f t="shared" si="2"/>
        <v>1</v>
      </c>
      <c r="B21" t="s">
        <v>119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488</v>
      </c>
      <c r="P21" s="20" t="s">
        <v>529</v>
      </c>
      <c r="Q21" s="1">
        <f t="shared" si="0"/>
        <v>1</v>
      </c>
      <c r="R21" s="1">
        <v>3</v>
      </c>
      <c r="U21" s="12">
        <v>41334</v>
      </c>
    </row>
    <row r="22" spans="1:23" x14ac:dyDescent="0.25">
      <c r="A22" s="2">
        <f t="shared" si="2"/>
        <v>1</v>
      </c>
      <c r="B22" s="21" t="s">
        <v>505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488</v>
      </c>
      <c r="P22" s="20" t="s">
        <v>505</v>
      </c>
      <c r="Q22" s="1">
        <f t="shared" si="0"/>
        <v>1</v>
      </c>
      <c r="R22" s="1">
        <v>4</v>
      </c>
      <c r="U22" s="12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488</v>
      </c>
      <c r="P23" s="20" t="s">
        <v>505</v>
      </c>
      <c r="Q23" s="1">
        <f t="shared" si="0"/>
        <v>1</v>
      </c>
      <c r="R23" s="1">
        <v>4</v>
      </c>
      <c r="U23" s="12">
        <v>41334</v>
      </c>
    </row>
    <row r="24" spans="1:23" x14ac:dyDescent="0.25">
      <c r="A24" s="2">
        <f t="shared" si="2"/>
        <v>1</v>
      </c>
      <c r="B24" t="s">
        <v>231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488</v>
      </c>
      <c r="P24" s="20" t="s">
        <v>505</v>
      </c>
      <c r="Q24" s="1">
        <f t="shared" si="0"/>
        <v>1</v>
      </c>
      <c r="R24" s="1">
        <v>4</v>
      </c>
      <c r="U24" s="12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488</v>
      </c>
      <c r="P25" s="20" t="s">
        <v>505</v>
      </c>
      <c r="Q25" s="1">
        <f t="shared" si="0"/>
        <v>1</v>
      </c>
      <c r="R25" s="1">
        <v>4</v>
      </c>
      <c r="U25" s="12">
        <v>41334</v>
      </c>
    </row>
    <row r="26" spans="1:23" x14ac:dyDescent="0.25">
      <c r="A26" s="2">
        <f t="shared" si="2"/>
        <v>1</v>
      </c>
      <c r="B26" t="s">
        <v>233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488</v>
      </c>
      <c r="P26" s="20" t="s">
        <v>505</v>
      </c>
      <c r="Q26" s="1">
        <f t="shared" si="0"/>
        <v>1</v>
      </c>
      <c r="R26" s="1">
        <v>4</v>
      </c>
      <c r="U26" s="12">
        <v>41334</v>
      </c>
    </row>
    <row r="27" spans="1:23" x14ac:dyDescent="0.25">
      <c r="A27" s="2">
        <f t="shared" si="2"/>
        <v>1</v>
      </c>
      <c r="B27" t="s">
        <v>235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488</v>
      </c>
      <c r="P27" s="20" t="s">
        <v>505</v>
      </c>
      <c r="Q27" s="1">
        <f t="shared" si="0"/>
        <v>1</v>
      </c>
      <c r="R27" s="1">
        <v>4</v>
      </c>
      <c r="U27" s="12">
        <v>41334</v>
      </c>
    </row>
    <row r="28" spans="1:23" x14ac:dyDescent="0.25">
      <c r="A28" s="2">
        <f t="shared" si="2"/>
        <v>1</v>
      </c>
      <c r="B28" t="s">
        <v>184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488</v>
      </c>
      <c r="P28" s="20" t="s">
        <v>505</v>
      </c>
      <c r="Q28" s="1">
        <f t="shared" si="0"/>
        <v>1</v>
      </c>
      <c r="R28" s="1">
        <v>4</v>
      </c>
      <c r="U28" s="12">
        <v>41334</v>
      </c>
    </row>
    <row r="29" spans="1:23" x14ac:dyDescent="0.25">
      <c r="A29" s="2">
        <f t="shared" si="2"/>
        <v>1</v>
      </c>
      <c r="B29" s="21" t="s">
        <v>489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488</v>
      </c>
      <c r="P29" s="20" t="s">
        <v>489</v>
      </c>
      <c r="Q29" s="1">
        <f t="shared" si="0"/>
        <v>1</v>
      </c>
      <c r="R29" s="1">
        <v>5</v>
      </c>
      <c r="U29" s="12">
        <v>41334</v>
      </c>
    </row>
    <row r="30" spans="1:23" x14ac:dyDescent="0.25">
      <c r="A30" s="2">
        <f t="shared" si="2"/>
        <v>1</v>
      </c>
      <c r="B30" t="s">
        <v>113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488</v>
      </c>
      <c r="P30" s="20" t="s">
        <v>489</v>
      </c>
      <c r="Q30" s="1">
        <f t="shared" si="0"/>
        <v>1</v>
      </c>
      <c r="R30" s="1">
        <v>5</v>
      </c>
      <c r="U30" s="12">
        <v>41334</v>
      </c>
      <c r="W30" s="1">
        <v>1</v>
      </c>
    </row>
    <row r="31" spans="1:23" x14ac:dyDescent="0.25">
      <c r="A31" s="2">
        <f t="shared" si="2"/>
        <v>1</v>
      </c>
      <c r="B31" t="s">
        <v>663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488</v>
      </c>
      <c r="P31" s="20" t="s">
        <v>489</v>
      </c>
      <c r="Q31" s="1">
        <f t="shared" si="0"/>
        <v>1</v>
      </c>
      <c r="R31" s="1">
        <v>5</v>
      </c>
      <c r="U31" s="12">
        <v>41334</v>
      </c>
    </row>
    <row r="32" spans="1:23" x14ac:dyDescent="0.25">
      <c r="A32" s="2">
        <f t="shared" si="2"/>
        <v>1</v>
      </c>
      <c r="B32" t="s">
        <v>240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488</v>
      </c>
      <c r="P32" s="20" t="s">
        <v>489</v>
      </c>
      <c r="Q32" s="1">
        <f t="shared" si="0"/>
        <v>1</v>
      </c>
      <c r="R32" s="1">
        <v>5</v>
      </c>
      <c r="U32" s="12">
        <v>41334</v>
      </c>
    </row>
    <row r="33" spans="1:21" x14ac:dyDescent="0.25">
      <c r="A33" s="2">
        <f t="shared" si="2"/>
        <v>1</v>
      </c>
      <c r="B33" t="s">
        <v>242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488</v>
      </c>
      <c r="P33" s="20" t="s">
        <v>489</v>
      </c>
      <c r="Q33" s="1">
        <f t="shared" si="0"/>
        <v>1</v>
      </c>
      <c r="R33" s="1">
        <v>5</v>
      </c>
      <c r="U33" s="12">
        <v>41334</v>
      </c>
    </row>
    <row r="34" spans="1:21" x14ac:dyDescent="0.25">
      <c r="A34" s="2">
        <f t="shared" si="2"/>
        <v>1</v>
      </c>
      <c r="B34" t="s">
        <v>204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488</v>
      </c>
      <c r="P34" s="20" t="s">
        <v>489</v>
      </c>
      <c r="Q34" s="1">
        <f t="shared" si="0"/>
        <v>1</v>
      </c>
      <c r="R34" s="1">
        <v>5</v>
      </c>
      <c r="U34" s="12">
        <v>41334</v>
      </c>
    </row>
    <row r="35" spans="1:21" x14ac:dyDescent="0.25">
      <c r="A35" s="2">
        <f t="shared" si="2"/>
        <v>1</v>
      </c>
      <c r="B35" t="s">
        <v>237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488</v>
      </c>
      <c r="P35" s="20" t="s">
        <v>489</v>
      </c>
      <c r="Q35" s="1">
        <f t="shared" si="0"/>
        <v>1</v>
      </c>
      <c r="R35" s="1">
        <v>5</v>
      </c>
      <c r="U35" s="12">
        <v>41334</v>
      </c>
    </row>
    <row r="36" spans="1:21" x14ac:dyDescent="0.25">
      <c r="A36" s="2">
        <v>2</v>
      </c>
      <c r="B36" s="21" t="s">
        <v>563</v>
      </c>
      <c r="J36" s="1"/>
      <c r="O36" s="2" t="s">
        <v>507</v>
      </c>
      <c r="P36" s="20" t="s">
        <v>563</v>
      </c>
      <c r="Q36" s="1">
        <f t="shared" si="0"/>
        <v>1</v>
      </c>
      <c r="R36" s="1">
        <v>6</v>
      </c>
      <c r="U36" s="12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507</v>
      </c>
      <c r="P37" s="20" t="s">
        <v>563</v>
      </c>
      <c r="Q37" s="1">
        <f t="shared" si="0"/>
        <v>1</v>
      </c>
      <c r="R37" s="1">
        <v>6</v>
      </c>
      <c r="U37" s="12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507</v>
      </c>
      <c r="P38" s="20" t="s">
        <v>563</v>
      </c>
      <c r="Q38" s="1">
        <f t="shared" si="0"/>
        <v>1</v>
      </c>
      <c r="R38" s="1">
        <v>6</v>
      </c>
      <c r="U38" s="12">
        <v>41365</v>
      </c>
    </row>
    <row r="39" spans="1:21" x14ac:dyDescent="0.25">
      <c r="A39" s="2">
        <f t="shared" si="3"/>
        <v>2</v>
      </c>
      <c r="B39" t="s">
        <v>244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507</v>
      </c>
      <c r="P39" s="20" t="s">
        <v>563</v>
      </c>
      <c r="Q39" s="1">
        <f t="shared" si="0"/>
        <v>1</v>
      </c>
      <c r="R39" s="1">
        <v>6</v>
      </c>
      <c r="U39" s="12">
        <v>41365</v>
      </c>
    </row>
    <row r="40" spans="1:21" x14ac:dyDescent="0.25">
      <c r="A40" s="2">
        <f t="shared" si="3"/>
        <v>2</v>
      </c>
      <c r="B40" t="s">
        <v>246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507</v>
      </c>
      <c r="P40" s="20" t="s">
        <v>563</v>
      </c>
      <c r="Q40" s="1">
        <f t="shared" si="0"/>
        <v>1</v>
      </c>
      <c r="R40" s="1">
        <v>6</v>
      </c>
      <c r="U40" s="12">
        <v>41365</v>
      </c>
    </row>
    <row r="41" spans="1:21" x14ac:dyDescent="0.25">
      <c r="A41" s="2">
        <f t="shared" si="3"/>
        <v>2</v>
      </c>
      <c r="B41" t="s">
        <v>113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507</v>
      </c>
      <c r="P41" s="20" t="s">
        <v>563</v>
      </c>
      <c r="Q41" s="1">
        <f t="shared" si="0"/>
        <v>1</v>
      </c>
      <c r="R41" s="1">
        <v>6</v>
      </c>
      <c r="U41" s="12">
        <v>41365</v>
      </c>
    </row>
    <row r="42" spans="1:21" x14ac:dyDescent="0.25">
      <c r="A42" s="2">
        <f t="shared" si="3"/>
        <v>2</v>
      </c>
      <c r="B42" t="s">
        <v>206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507</v>
      </c>
      <c r="P42" s="20" t="s">
        <v>563</v>
      </c>
      <c r="Q42" s="1">
        <f t="shared" si="0"/>
        <v>1</v>
      </c>
      <c r="R42" s="1">
        <v>6</v>
      </c>
      <c r="U42" s="12">
        <v>41365</v>
      </c>
    </row>
    <row r="43" spans="1:21" x14ac:dyDescent="0.25">
      <c r="A43" s="2">
        <f t="shared" si="3"/>
        <v>2</v>
      </c>
      <c r="B43" s="21" t="s">
        <v>664</v>
      </c>
      <c r="J43" s="1"/>
      <c r="M43" t="s">
        <v>15</v>
      </c>
      <c r="N43" t="str">
        <f>IFERROR(VLOOKUP(B43,'[1]All Player'!$B$2:$C$1992,2,0),"")</f>
        <v/>
      </c>
      <c r="O43" s="2" t="s">
        <v>507</v>
      </c>
      <c r="P43" s="20" t="s">
        <v>664</v>
      </c>
      <c r="Q43" s="1">
        <f t="shared" si="0"/>
        <v>1</v>
      </c>
      <c r="R43" s="1">
        <v>7</v>
      </c>
      <c r="U43" s="12">
        <v>41365</v>
      </c>
    </row>
    <row r="44" spans="1:21" x14ac:dyDescent="0.25">
      <c r="A44" s="2">
        <f t="shared" si="3"/>
        <v>2</v>
      </c>
      <c r="B44" t="s">
        <v>240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507</v>
      </c>
      <c r="P44" s="20" t="s">
        <v>664</v>
      </c>
      <c r="Q44" s="1">
        <f t="shared" si="0"/>
        <v>1</v>
      </c>
      <c r="R44" s="1">
        <v>7</v>
      </c>
      <c r="U44" s="12">
        <v>41365</v>
      </c>
    </row>
    <row r="45" spans="1:21" x14ac:dyDescent="0.25">
      <c r="A45" s="2">
        <f t="shared" si="3"/>
        <v>2</v>
      </c>
      <c r="B45" t="s">
        <v>229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507</v>
      </c>
      <c r="P45" s="20" t="s">
        <v>664</v>
      </c>
      <c r="Q45" s="1">
        <f t="shared" si="0"/>
        <v>1</v>
      </c>
      <c r="R45" s="1">
        <v>7</v>
      </c>
      <c r="U45" s="12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507</v>
      </c>
      <c r="P46" s="20" t="s">
        <v>664</v>
      </c>
      <c r="Q46" s="1">
        <f t="shared" si="0"/>
        <v>1</v>
      </c>
      <c r="R46" s="1">
        <v>7</v>
      </c>
      <c r="U46" s="12">
        <v>41365</v>
      </c>
    </row>
    <row r="47" spans="1:21" x14ac:dyDescent="0.25">
      <c r="A47" s="2">
        <f t="shared" si="3"/>
        <v>2</v>
      </c>
      <c r="B47" t="s">
        <v>231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507</v>
      </c>
      <c r="P47" s="20" t="s">
        <v>664</v>
      </c>
      <c r="Q47" s="1">
        <f t="shared" si="0"/>
        <v>1</v>
      </c>
      <c r="R47" s="1">
        <v>7</v>
      </c>
      <c r="U47" s="12">
        <v>41365</v>
      </c>
    </row>
    <row r="48" spans="1:21" x14ac:dyDescent="0.25">
      <c r="A48" s="2">
        <f t="shared" si="3"/>
        <v>2</v>
      </c>
      <c r="B48" t="s">
        <v>224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507</v>
      </c>
      <c r="P48" s="20" t="s">
        <v>664</v>
      </c>
      <c r="Q48" s="1">
        <f t="shared" si="0"/>
        <v>1</v>
      </c>
      <c r="R48" s="1">
        <v>7</v>
      </c>
      <c r="U48" s="12">
        <v>41365</v>
      </c>
    </row>
    <row r="49" spans="1:21" x14ac:dyDescent="0.25">
      <c r="A49" s="2">
        <f t="shared" si="3"/>
        <v>2</v>
      </c>
      <c r="B49" t="s">
        <v>119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507</v>
      </c>
      <c r="P49" s="20" t="s">
        <v>664</v>
      </c>
      <c r="Q49" s="1">
        <f t="shared" si="0"/>
        <v>1</v>
      </c>
      <c r="R49" s="1">
        <v>7</v>
      </c>
      <c r="U49" s="12">
        <v>41365</v>
      </c>
    </row>
    <row r="50" spans="1:21" x14ac:dyDescent="0.25">
      <c r="A50" s="2">
        <f t="shared" si="3"/>
        <v>2</v>
      </c>
      <c r="B50" t="s">
        <v>226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507</v>
      </c>
      <c r="P50" s="20" t="s">
        <v>664</v>
      </c>
      <c r="Q50" s="1">
        <f t="shared" si="0"/>
        <v>1</v>
      </c>
      <c r="R50" s="1">
        <v>7</v>
      </c>
      <c r="U50" s="12">
        <v>41365</v>
      </c>
    </row>
    <row r="51" spans="1:21" x14ac:dyDescent="0.25">
      <c r="A51" s="2">
        <f t="shared" si="3"/>
        <v>2</v>
      </c>
      <c r="B51" s="21" t="s">
        <v>564</v>
      </c>
      <c r="J51" s="1"/>
      <c r="M51" t="s">
        <v>15</v>
      </c>
      <c r="N51" t="str">
        <f>IFERROR(VLOOKUP(B51,'[1]All Player'!$B$2:$C$1992,2,0),"")</f>
        <v/>
      </c>
      <c r="O51" s="2" t="s">
        <v>507</v>
      </c>
      <c r="P51" s="20" t="s">
        <v>564</v>
      </c>
      <c r="Q51" s="1">
        <f t="shared" si="0"/>
        <v>1</v>
      </c>
      <c r="R51" s="1">
        <v>8</v>
      </c>
      <c r="T51" s="1" t="s">
        <v>659</v>
      </c>
      <c r="U51" s="12">
        <v>41365</v>
      </c>
    </row>
    <row r="52" spans="1:21" x14ac:dyDescent="0.25">
      <c r="A52" s="2">
        <f t="shared" si="3"/>
        <v>2</v>
      </c>
      <c r="B52" t="s">
        <v>248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507</v>
      </c>
      <c r="P52" s="20" t="s">
        <v>564</v>
      </c>
      <c r="Q52" s="1">
        <f t="shared" si="0"/>
        <v>1</v>
      </c>
      <c r="R52" s="1">
        <v>8</v>
      </c>
      <c r="T52" s="1" t="s">
        <v>659</v>
      </c>
      <c r="U52" s="12">
        <v>41365</v>
      </c>
    </row>
    <row r="53" spans="1:21" x14ac:dyDescent="0.25">
      <c r="A53" s="2">
        <f t="shared" si="3"/>
        <v>2</v>
      </c>
      <c r="B53" t="s">
        <v>145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507</v>
      </c>
      <c r="P53" s="20" t="s">
        <v>564</v>
      </c>
      <c r="Q53" s="1">
        <f t="shared" si="0"/>
        <v>1</v>
      </c>
      <c r="R53" s="1">
        <v>8</v>
      </c>
      <c r="S53" s="2" t="s">
        <v>662</v>
      </c>
      <c r="T53" s="1" t="s">
        <v>659</v>
      </c>
      <c r="U53" s="12">
        <v>41365</v>
      </c>
    </row>
    <row r="54" spans="1:21" x14ac:dyDescent="0.25">
      <c r="A54" s="2">
        <f t="shared" si="3"/>
        <v>2</v>
      </c>
      <c r="B54" t="s">
        <v>251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507</v>
      </c>
      <c r="P54" s="20" t="s">
        <v>564</v>
      </c>
      <c r="Q54" s="1">
        <f t="shared" si="0"/>
        <v>1</v>
      </c>
      <c r="R54" s="1">
        <v>8</v>
      </c>
      <c r="T54" s="1" t="s">
        <v>659</v>
      </c>
      <c r="U54" s="12">
        <v>41365</v>
      </c>
    </row>
    <row r="55" spans="1:21" x14ac:dyDescent="0.25">
      <c r="A55" s="2">
        <f t="shared" si="3"/>
        <v>2</v>
      </c>
      <c r="B55" t="s">
        <v>214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507</v>
      </c>
      <c r="P55" s="20" t="s">
        <v>564</v>
      </c>
      <c r="Q55" s="1">
        <f t="shared" si="0"/>
        <v>1</v>
      </c>
      <c r="R55" s="1">
        <v>8</v>
      </c>
      <c r="T55" s="1" t="s">
        <v>659</v>
      </c>
      <c r="U55" s="12">
        <v>41365</v>
      </c>
    </row>
    <row r="56" spans="1:21" x14ac:dyDescent="0.25">
      <c r="A56" s="2">
        <f t="shared" si="3"/>
        <v>2</v>
      </c>
      <c r="B56" t="s">
        <v>254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507</v>
      </c>
      <c r="P56" s="20" t="s">
        <v>564</v>
      </c>
      <c r="Q56" s="1">
        <f t="shared" si="0"/>
        <v>1</v>
      </c>
      <c r="R56" s="1">
        <v>8</v>
      </c>
      <c r="T56" s="1" t="s">
        <v>659</v>
      </c>
      <c r="U56" s="12">
        <v>41365</v>
      </c>
    </row>
    <row r="57" spans="1:21" x14ac:dyDescent="0.25">
      <c r="A57" s="2">
        <f t="shared" si="3"/>
        <v>2</v>
      </c>
      <c r="B57" s="21" t="s">
        <v>565</v>
      </c>
      <c r="J57" s="1"/>
      <c r="M57" t="s">
        <v>15</v>
      </c>
      <c r="N57" t="str">
        <f>IFERROR(VLOOKUP(B57,'[1]All Player'!$B$2:$C$1992,2,0),"")</f>
        <v/>
      </c>
      <c r="O57" s="2" t="s">
        <v>507</v>
      </c>
      <c r="P57" s="20" t="s">
        <v>565</v>
      </c>
      <c r="Q57" s="1">
        <f t="shared" si="0"/>
        <v>1</v>
      </c>
      <c r="R57" s="1">
        <v>9</v>
      </c>
      <c r="U57" s="12">
        <v>41365</v>
      </c>
    </row>
    <row r="58" spans="1:21" x14ac:dyDescent="0.25">
      <c r="A58" s="2">
        <f t="shared" si="3"/>
        <v>2</v>
      </c>
      <c r="B58" t="s">
        <v>153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507</v>
      </c>
      <c r="P58" s="20" t="s">
        <v>565</v>
      </c>
      <c r="Q58" s="1">
        <f t="shared" si="0"/>
        <v>1</v>
      </c>
      <c r="R58" s="1">
        <v>9</v>
      </c>
      <c r="U58" s="12">
        <v>41365</v>
      </c>
    </row>
    <row r="59" spans="1:21" x14ac:dyDescent="0.25">
      <c r="A59" s="2">
        <f t="shared" si="3"/>
        <v>2</v>
      </c>
      <c r="B59" t="s">
        <v>663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507</v>
      </c>
      <c r="P59" s="20" t="s">
        <v>565</v>
      </c>
      <c r="Q59" s="1">
        <f t="shared" si="0"/>
        <v>1</v>
      </c>
      <c r="R59" s="1">
        <v>9</v>
      </c>
      <c r="U59" s="12">
        <v>41365</v>
      </c>
    </row>
    <row r="60" spans="1:21" x14ac:dyDescent="0.25">
      <c r="A60" s="2">
        <f t="shared" si="3"/>
        <v>2</v>
      </c>
      <c r="B60" t="s">
        <v>256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507</v>
      </c>
      <c r="P60" s="20" t="s">
        <v>565</v>
      </c>
      <c r="Q60" s="1">
        <f t="shared" si="0"/>
        <v>1</v>
      </c>
      <c r="R60" s="1">
        <v>9</v>
      </c>
      <c r="U60" s="12">
        <v>41365</v>
      </c>
    </row>
    <row r="61" spans="1:21" x14ac:dyDescent="0.25">
      <c r="A61" s="2">
        <f t="shared" si="3"/>
        <v>2</v>
      </c>
      <c r="B61" t="s">
        <v>258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507</v>
      </c>
      <c r="P61" s="20" t="s">
        <v>565</v>
      </c>
      <c r="Q61" s="1">
        <f t="shared" si="0"/>
        <v>1</v>
      </c>
      <c r="R61" s="1">
        <v>9</v>
      </c>
      <c r="U61" s="12">
        <v>41365</v>
      </c>
    </row>
    <row r="62" spans="1:21" x14ac:dyDescent="0.25">
      <c r="A62" s="2">
        <f t="shared" si="3"/>
        <v>2</v>
      </c>
      <c r="B62" s="21" t="s">
        <v>508</v>
      </c>
      <c r="J62" s="1"/>
      <c r="M62" t="s">
        <v>15</v>
      </c>
      <c r="N62" t="str">
        <f>IFERROR(VLOOKUP(B62,'[1]All Player'!$B$2:$C$1992,2,0),"")</f>
        <v/>
      </c>
      <c r="O62" s="2" t="s">
        <v>507</v>
      </c>
      <c r="P62" s="20" t="s">
        <v>508</v>
      </c>
      <c r="Q62" s="1">
        <f t="shared" si="0"/>
        <v>1</v>
      </c>
      <c r="R62" s="1">
        <v>10</v>
      </c>
      <c r="T62" s="1" t="s">
        <v>661</v>
      </c>
      <c r="U62" s="12">
        <v>41365</v>
      </c>
    </row>
    <row r="63" spans="1:21" x14ac:dyDescent="0.25">
      <c r="A63" s="2">
        <f t="shared" si="3"/>
        <v>2</v>
      </c>
      <c r="B63" t="s">
        <v>222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507</v>
      </c>
      <c r="P63" s="20" t="s">
        <v>508</v>
      </c>
      <c r="Q63" s="1">
        <f t="shared" si="0"/>
        <v>1</v>
      </c>
      <c r="R63" s="1">
        <v>10</v>
      </c>
      <c r="T63" s="1" t="s">
        <v>661</v>
      </c>
      <c r="U63" s="12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507</v>
      </c>
      <c r="P64" s="20" t="s">
        <v>508</v>
      </c>
      <c r="Q64" s="1">
        <f t="shared" si="0"/>
        <v>1</v>
      </c>
      <c r="R64" s="1">
        <v>10</v>
      </c>
      <c r="T64" s="1" t="s">
        <v>661</v>
      </c>
      <c r="U64" s="12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507</v>
      </c>
      <c r="P65" s="20" t="s">
        <v>508</v>
      </c>
      <c r="Q65" s="1">
        <f t="shared" si="0"/>
        <v>1</v>
      </c>
      <c r="R65" s="1">
        <v>10</v>
      </c>
      <c r="T65" s="1" t="s">
        <v>661</v>
      </c>
      <c r="U65" s="12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507</v>
      </c>
      <c r="P66" s="20" t="s">
        <v>508</v>
      </c>
      <c r="Q66" s="1">
        <f t="shared" ref="Q66:Q129" si="4">IF(B66="","",1)</f>
        <v>1</v>
      </c>
      <c r="R66" s="1">
        <v>10</v>
      </c>
      <c r="S66" s="2" t="s">
        <v>660</v>
      </c>
      <c r="T66" s="1" t="s">
        <v>661</v>
      </c>
      <c r="U66" s="12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22" t="s">
        <v>481</v>
      </c>
      <c r="J67" s="1"/>
      <c r="M67" t="s">
        <v>15</v>
      </c>
      <c r="N67" t="str">
        <f>IFERROR(VLOOKUP(B67,'[1]All Player'!$B$2:$C$1992,2,0),"")</f>
        <v/>
      </c>
      <c r="O67" s="2" t="s">
        <v>480</v>
      </c>
      <c r="P67" s="20" t="s">
        <v>481</v>
      </c>
      <c r="Q67" s="1">
        <f t="shared" si="4"/>
        <v>1</v>
      </c>
      <c r="R67" s="1">
        <v>11</v>
      </c>
      <c r="U67" s="12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480</v>
      </c>
      <c r="P68" s="20" t="s">
        <v>481</v>
      </c>
      <c r="Q68" s="1">
        <f t="shared" si="4"/>
        <v>1</v>
      </c>
      <c r="R68" s="1">
        <v>11</v>
      </c>
      <c r="U68" s="12">
        <v>41395</v>
      </c>
    </row>
    <row r="69" spans="1:23" x14ac:dyDescent="0.25">
      <c r="A69" s="2">
        <f t="shared" si="3"/>
        <v>3</v>
      </c>
      <c r="B69" t="s">
        <v>246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480</v>
      </c>
      <c r="P69" s="20" t="s">
        <v>481</v>
      </c>
      <c r="Q69" s="1">
        <f t="shared" si="4"/>
        <v>1</v>
      </c>
      <c r="R69" s="1">
        <v>11</v>
      </c>
      <c r="U69" s="12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480</v>
      </c>
      <c r="P70" s="20" t="s">
        <v>481</v>
      </c>
      <c r="Q70" s="1">
        <f t="shared" si="4"/>
        <v>1</v>
      </c>
      <c r="R70" s="1">
        <v>11</v>
      </c>
      <c r="U70" s="12">
        <v>41395</v>
      </c>
    </row>
    <row r="71" spans="1:23" ht="15.75" x14ac:dyDescent="0.25">
      <c r="A71" s="2">
        <f t="shared" si="3"/>
        <v>3</v>
      </c>
      <c r="B71" s="22" t="s">
        <v>566</v>
      </c>
      <c r="J71" s="1"/>
      <c r="M71" t="s">
        <v>15</v>
      </c>
      <c r="N71" t="str">
        <f>IFERROR(VLOOKUP(B71,'[1]All Player'!$B$2:$C$1992,2,0),"")</f>
        <v/>
      </c>
      <c r="O71" s="2" t="s">
        <v>480</v>
      </c>
      <c r="P71" s="20" t="s">
        <v>566</v>
      </c>
      <c r="Q71" s="1">
        <f t="shared" si="4"/>
        <v>1</v>
      </c>
      <c r="R71" s="1">
        <v>12</v>
      </c>
      <c r="U71" s="12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480</v>
      </c>
      <c r="P72" s="20" t="s">
        <v>566</v>
      </c>
      <c r="Q72" s="1">
        <f t="shared" si="4"/>
        <v>1</v>
      </c>
      <c r="R72" s="1">
        <v>12</v>
      </c>
      <c r="U72" s="12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480</v>
      </c>
      <c r="P73" s="20" t="s">
        <v>566</v>
      </c>
      <c r="Q73" s="1">
        <f t="shared" si="4"/>
        <v>1</v>
      </c>
      <c r="R73" s="1">
        <v>12</v>
      </c>
      <c r="U73" s="12">
        <v>41395</v>
      </c>
    </row>
    <row r="74" spans="1:23" x14ac:dyDescent="0.25">
      <c r="A74" s="2">
        <f t="shared" si="3"/>
        <v>3</v>
      </c>
      <c r="B74" t="s">
        <v>260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480</v>
      </c>
      <c r="P74" s="20" t="s">
        <v>566</v>
      </c>
      <c r="Q74" s="1">
        <f t="shared" si="4"/>
        <v>1</v>
      </c>
      <c r="R74" s="1">
        <v>12</v>
      </c>
      <c r="U74" s="12">
        <v>41395</v>
      </c>
    </row>
    <row r="75" spans="1:23" ht="15.75" x14ac:dyDescent="0.25">
      <c r="A75" s="2">
        <f t="shared" si="3"/>
        <v>3</v>
      </c>
      <c r="B75" s="22" t="s">
        <v>665</v>
      </c>
      <c r="J75" s="1"/>
      <c r="M75" t="s">
        <v>15</v>
      </c>
      <c r="N75" t="str">
        <f>IFERROR(VLOOKUP(B75,'[1]All Player'!$B$2:$C$1992,2,0),"")</f>
        <v/>
      </c>
      <c r="O75" s="2" t="s">
        <v>480</v>
      </c>
      <c r="P75" s="20" t="s">
        <v>665</v>
      </c>
      <c r="Q75" s="1">
        <f t="shared" si="4"/>
        <v>1</v>
      </c>
      <c r="R75" s="1">
        <v>13</v>
      </c>
      <c r="T75" s="1" t="s">
        <v>659</v>
      </c>
      <c r="U75" s="12">
        <v>41395</v>
      </c>
    </row>
    <row r="76" spans="1:23" x14ac:dyDescent="0.25">
      <c r="A76" s="2">
        <f t="shared" si="3"/>
        <v>3</v>
      </c>
      <c r="B76" t="s">
        <v>229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480</v>
      </c>
      <c r="P76" s="20" t="s">
        <v>665</v>
      </c>
      <c r="Q76" s="1">
        <f t="shared" si="4"/>
        <v>1</v>
      </c>
      <c r="R76" s="1">
        <v>13</v>
      </c>
      <c r="T76" s="1" t="s">
        <v>659</v>
      </c>
      <c r="U76" s="12">
        <v>41395</v>
      </c>
    </row>
    <row r="77" spans="1:23" x14ac:dyDescent="0.25">
      <c r="A77" s="2">
        <f t="shared" si="3"/>
        <v>3</v>
      </c>
      <c r="B77" t="s">
        <v>153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480</v>
      </c>
      <c r="P77" s="20" t="s">
        <v>665</v>
      </c>
      <c r="Q77" s="1">
        <f t="shared" si="4"/>
        <v>1</v>
      </c>
      <c r="R77" s="1">
        <v>13</v>
      </c>
      <c r="S77" s="2" t="s">
        <v>662</v>
      </c>
      <c r="T77" s="1" t="s">
        <v>659</v>
      </c>
      <c r="U77" s="12">
        <v>41395</v>
      </c>
      <c r="V77" s="1">
        <v>1</v>
      </c>
    </row>
    <row r="78" spans="1:23" x14ac:dyDescent="0.25">
      <c r="A78" s="2">
        <f t="shared" si="3"/>
        <v>3</v>
      </c>
      <c r="B78" t="s">
        <v>214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480</v>
      </c>
      <c r="P78" s="20" t="s">
        <v>665</v>
      </c>
      <c r="Q78" s="1">
        <f t="shared" si="4"/>
        <v>1</v>
      </c>
      <c r="R78" s="1">
        <v>13</v>
      </c>
      <c r="T78" s="1" t="s">
        <v>659</v>
      </c>
      <c r="U78" s="12">
        <v>41395</v>
      </c>
    </row>
    <row r="79" spans="1:23" ht="15.75" x14ac:dyDescent="0.25">
      <c r="A79" s="2">
        <f t="shared" si="3"/>
        <v>3</v>
      </c>
      <c r="B79" s="22" t="s">
        <v>567</v>
      </c>
      <c r="J79" s="1"/>
      <c r="M79" t="s">
        <v>15</v>
      </c>
      <c r="N79" t="str">
        <f>IFERROR(VLOOKUP(B79,'[1]All Player'!$B$2:$C$1992,2,0),"")</f>
        <v/>
      </c>
      <c r="O79" s="2" t="s">
        <v>480</v>
      </c>
      <c r="P79" s="20" t="s">
        <v>567</v>
      </c>
      <c r="Q79" s="1">
        <f t="shared" si="4"/>
        <v>1</v>
      </c>
      <c r="R79" s="1">
        <v>14</v>
      </c>
      <c r="T79" s="1" t="s">
        <v>661</v>
      </c>
      <c r="U79" s="12">
        <v>41395</v>
      </c>
    </row>
    <row r="80" spans="1:23" x14ac:dyDescent="0.25">
      <c r="A80" s="2">
        <f t="shared" si="3"/>
        <v>3</v>
      </c>
      <c r="B80" t="s">
        <v>244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480</v>
      </c>
      <c r="P80" s="20" t="s">
        <v>567</v>
      </c>
      <c r="Q80" s="1">
        <f t="shared" si="4"/>
        <v>1</v>
      </c>
      <c r="R80" s="1">
        <v>14</v>
      </c>
      <c r="T80" s="1" t="s">
        <v>661</v>
      </c>
      <c r="U80" s="12">
        <v>41395</v>
      </c>
    </row>
    <row r="81" spans="1:23" x14ac:dyDescent="0.25">
      <c r="A81" s="2">
        <f t="shared" si="3"/>
        <v>3</v>
      </c>
      <c r="B81" t="s">
        <v>258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480</v>
      </c>
      <c r="P81" s="20" t="s">
        <v>567</v>
      </c>
      <c r="Q81" s="1">
        <f t="shared" si="4"/>
        <v>1</v>
      </c>
      <c r="R81" s="1">
        <v>14</v>
      </c>
      <c r="T81" s="1" t="s">
        <v>661</v>
      </c>
      <c r="U81" s="12">
        <v>41395</v>
      </c>
    </row>
    <row r="82" spans="1:23" x14ac:dyDescent="0.25">
      <c r="A82" s="2">
        <f t="shared" si="3"/>
        <v>3</v>
      </c>
      <c r="B82" t="s">
        <v>262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480</v>
      </c>
      <c r="P82" s="20" t="s">
        <v>567</v>
      </c>
      <c r="Q82" s="1">
        <f t="shared" si="4"/>
        <v>1</v>
      </c>
      <c r="R82" s="1">
        <v>14</v>
      </c>
      <c r="T82" s="1" t="s">
        <v>661</v>
      </c>
      <c r="U82" s="12">
        <v>41395</v>
      </c>
    </row>
    <row r="83" spans="1:23" ht="15.75" x14ac:dyDescent="0.25">
      <c r="A83" s="2">
        <f t="shared" si="3"/>
        <v>3</v>
      </c>
      <c r="B83" s="22" t="s">
        <v>568</v>
      </c>
      <c r="J83" s="1"/>
      <c r="M83" t="s">
        <v>15</v>
      </c>
      <c r="N83" t="str">
        <f>IFERROR(VLOOKUP(B83,'[1]All Player'!$B$2:$C$1992,2,0),"")</f>
        <v/>
      </c>
      <c r="O83" s="2" t="s">
        <v>480</v>
      </c>
      <c r="P83" s="20" t="s">
        <v>568</v>
      </c>
      <c r="Q83" s="1">
        <f t="shared" si="4"/>
        <v>1</v>
      </c>
      <c r="R83" s="1">
        <v>15</v>
      </c>
      <c r="U83" s="12">
        <v>41395</v>
      </c>
    </row>
    <row r="84" spans="1:23" x14ac:dyDescent="0.25">
      <c r="A84" s="2">
        <f t="shared" si="3"/>
        <v>3</v>
      </c>
      <c r="B84" t="s">
        <v>113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480</v>
      </c>
      <c r="P84" s="20" t="s">
        <v>568</v>
      </c>
      <c r="Q84" s="1">
        <f t="shared" si="4"/>
        <v>1</v>
      </c>
      <c r="R84" s="1">
        <v>15</v>
      </c>
      <c r="U84" s="12">
        <v>41395</v>
      </c>
    </row>
    <row r="85" spans="1:23" x14ac:dyDescent="0.25">
      <c r="A85" s="2">
        <f t="shared" si="3"/>
        <v>3</v>
      </c>
      <c r="B85" t="s">
        <v>265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480</v>
      </c>
      <c r="P85" s="20" t="s">
        <v>568</v>
      </c>
      <c r="Q85" s="1">
        <f t="shared" si="4"/>
        <v>1</v>
      </c>
      <c r="R85" s="1">
        <v>15</v>
      </c>
      <c r="U85" s="12">
        <v>41395</v>
      </c>
    </row>
    <row r="86" spans="1:23" x14ac:dyDescent="0.25">
      <c r="A86" s="2">
        <f t="shared" si="3"/>
        <v>3</v>
      </c>
      <c r="B86" t="s">
        <v>267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480</v>
      </c>
      <c r="P86" s="20" t="s">
        <v>568</v>
      </c>
      <c r="Q86" s="1">
        <f t="shared" si="4"/>
        <v>1</v>
      </c>
      <c r="R86" s="1">
        <v>15</v>
      </c>
      <c r="U86" s="12">
        <v>41395</v>
      </c>
    </row>
    <row r="87" spans="1:23" ht="18.75" x14ac:dyDescent="0.3">
      <c r="A87" s="2">
        <f t="shared" si="3"/>
        <v>3</v>
      </c>
      <c r="B87" s="23" t="s">
        <v>569</v>
      </c>
      <c r="J87" s="1"/>
      <c r="M87" t="s">
        <v>15</v>
      </c>
      <c r="N87" t="str">
        <f>IFERROR(VLOOKUP(B87,'[1]All Player'!$B$2:$C$1992,2,0),"")</f>
        <v/>
      </c>
      <c r="O87" s="2" t="s">
        <v>480</v>
      </c>
      <c r="P87" s="20" t="s">
        <v>569</v>
      </c>
      <c r="Q87" s="1">
        <f t="shared" si="4"/>
        <v>1</v>
      </c>
      <c r="R87" s="1">
        <v>16</v>
      </c>
      <c r="U87" s="12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480</v>
      </c>
      <c r="P88" s="20" t="s">
        <v>569</v>
      </c>
      <c r="Q88" s="1">
        <f t="shared" si="4"/>
        <v>1</v>
      </c>
      <c r="R88" s="1">
        <v>16</v>
      </c>
      <c r="S88" s="2" t="s">
        <v>660</v>
      </c>
      <c r="U88" s="12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480</v>
      </c>
      <c r="P89" s="20" t="s">
        <v>569</v>
      </c>
      <c r="Q89" s="1">
        <f t="shared" si="4"/>
        <v>1</v>
      </c>
      <c r="R89" s="1">
        <v>16</v>
      </c>
      <c r="U89" s="12">
        <v>41395</v>
      </c>
    </row>
    <row r="90" spans="1:23" x14ac:dyDescent="0.25">
      <c r="A90" s="2">
        <f t="shared" si="3"/>
        <v>3</v>
      </c>
      <c r="B90" t="s">
        <v>269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480</v>
      </c>
      <c r="P90" s="20" t="s">
        <v>569</v>
      </c>
      <c r="Q90" s="1">
        <f t="shared" si="4"/>
        <v>1</v>
      </c>
      <c r="R90" s="1">
        <v>16</v>
      </c>
      <c r="U90" s="12">
        <v>41395</v>
      </c>
    </row>
    <row r="91" spans="1:23" ht="15.75" x14ac:dyDescent="0.25">
      <c r="A91" s="2">
        <f t="shared" si="3"/>
        <v>3</v>
      </c>
      <c r="B91" s="22" t="s">
        <v>509</v>
      </c>
      <c r="J91" s="1"/>
      <c r="M91" t="s">
        <v>15</v>
      </c>
      <c r="N91" t="str">
        <f>IFERROR(VLOOKUP(B91,'[1]All Player'!$B$2:$C$1992,2,0),"")</f>
        <v/>
      </c>
      <c r="O91" s="2" t="s">
        <v>480</v>
      </c>
      <c r="P91" s="20" t="s">
        <v>509</v>
      </c>
      <c r="Q91" s="1">
        <f t="shared" si="4"/>
        <v>1</v>
      </c>
      <c r="R91" s="1">
        <v>17</v>
      </c>
      <c r="U91" s="12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480</v>
      </c>
      <c r="P92" s="20" t="s">
        <v>509</v>
      </c>
      <c r="Q92" s="1">
        <f t="shared" si="4"/>
        <v>1</v>
      </c>
      <c r="R92" s="1">
        <v>17</v>
      </c>
      <c r="U92" s="12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480</v>
      </c>
      <c r="P93" s="20" t="s">
        <v>509</v>
      </c>
      <c r="Q93" s="1">
        <f t="shared" si="4"/>
        <v>1</v>
      </c>
      <c r="R93" s="1">
        <v>17</v>
      </c>
      <c r="U93" s="12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480</v>
      </c>
      <c r="P94" s="20" t="s">
        <v>509</v>
      </c>
      <c r="Q94" s="1">
        <f t="shared" si="4"/>
        <v>1</v>
      </c>
      <c r="R94" s="1">
        <v>17</v>
      </c>
      <c r="U94" s="12">
        <v>41395</v>
      </c>
    </row>
    <row r="95" spans="1:23" ht="15.75" x14ac:dyDescent="0.25">
      <c r="A95" s="2">
        <f t="shared" si="3"/>
        <v>3</v>
      </c>
      <c r="B95" s="22" t="s">
        <v>570</v>
      </c>
      <c r="J95" s="1"/>
      <c r="M95" t="s">
        <v>15</v>
      </c>
      <c r="N95" t="str">
        <f>IFERROR(VLOOKUP(B95,'[1]All Player'!$B$2:$C$1992,2,0),"")</f>
        <v/>
      </c>
      <c r="O95" s="2" t="s">
        <v>480</v>
      </c>
      <c r="P95" s="20" t="s">
        <v>570</v>
      </c>
      <c r="Q95" s="1">
        <f t="shared" si="4"/>
        <v>1</v>
      </c>
      <c r="R95" s="1">
        <v>18</v>
      </c>
      <c r="U95" s="12">
        <v>41395</v>
      </c>
    </row>
    <row r="96" spans="1:23" x14ac:dyDescent="0.25">
      <c r="A96" s="2">
        <f t="shared" si="3"/>
        <v>3</v>
      </c>
      <c r="B96" t="s">
        <v>663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480</v>
      </c>
      <c r="P96" s="20" t="s">
        <v>570</v>
      </c>
      <c r="Q96" s="1">
        <f t="shared" si="4"/>
        <v>1</v>
      </c>
      <c r="R96" s="1">
        <v>18</v>
      </c>
      <c r="U96" s="12">
        <v>41395</v>
      </c>
    </row>
    <row r="97" spans="1:21" x14ac:dyDescent="0.25">
      <c r="A97" s="2">
        <f t="shared" si="3"/>
        <v>3</v>
      </c>
      <c r="B97" t="s">
        <v>226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480</v>
      </c>
      <c r="P97" s="20" t="s">
        <v>570</v>
      </c>
      <c r="Q97" s="1">
        <f t="shared" si="4"/>
        <v>1</v>
      </c>
      <c r="R97" s="1">
        <v>18</v>
      </c>
      <c r="U97" s="12">
        <v>41395</v>
      </c>
    </row>
    <row r="98" spans="1:21" x14ac:dyDescent="0.25">
      <c r="A98" s="2">
        <f t="shared" si="3"/>
        <v>3</v>
      </c>
      <c r="B98" t="s">
        <v>271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480</v>
      </c>
      <c r="P98" s="20" t="s">
        <v>570</v>
      </c>
      <c r="Q98" s="1">
        <f t="shared" si="4"/>
        <v>1</v>
      </c>
      <c r="R98" s="1">
        <v>18</v>
      </c>
      <c r="U98" s="12">
        <v>41395</v>
      </c>
    </row>
    <row r="99" spans="1:21" ht="15.75" x14ac:dyDescent="0.25">
      <c r="A99" s="2">
        <f t="shared" si="3"/>
        <v>3</v>
      </c>
      <c r="B99" s="22" t="s">
        <v>571</v>
      </c>
      <c r="J99" s="1"/>
      <c r="M99" t="s">
        <v>15</v>
      </c>
      <c r="N99" t="str">
        <f>IFERROR(VLOOKUP(B99,'[1]All Player'!$B$2:$C$1992,2,0),"")</f>
        <v/>
      </c>
      <c r="O99" s="2" t="s">
        <v>480</v>
      </c>
      <c r="P99" s="20" t="s">
        <v>571</v>
      </c>
      <c r="Q99" s="1">
        <f t="shared" si="4"/>
        <v>1</v>
      </c>
      <c r="R99" s="1">
        <v>19</v>
      </c>
      <c r="U99" s="12">
        <v>41395</v>
      </c>
    </row>
    <row r="100" spans="1:21" x14ac:dyDescent="0.25">
      <c r="A100" s="2">
        <f t="shared" si="3"/>
        <v>3</v>
      </c>
      <c r="B100" t="s">
        <v>240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480</v>
      </c>
      <c r="P100" s="20" t="s">
        <v>571</v>
      </c>
      <c r="Q100" s="1">
        <f t="shared" si="4"/>
        <v>1</v>
      </c>
      <c r="R100" s="1">
        <v>19</v>
      </c>
      <c r="U100" s="12">
        <v>41395</v>
      </c>
    </row>
    <row r="101" spans="1:21" x14ac:dyDescent="0.25">
      <c r="A101" s="2">
        <f t="shared" si="3"/>
        <v>3</v>
      </c>
      <c r="B101" t="s">
        <v>119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480</v>
      </c>
      <c r="P101" s="20" t="s">
        <v>571</v>
      </c>
      <c r="Q101" s="1">
        <f t="shared" si="4"/>
        <v>1</v>
      </c>
      <c r="R101" s="1">
        <v>19</v>
      </c>
      <c r="U101" s="12">
        <v>41395</v>
      </c>
    </row>
    <row r="102" spans="1:21" x14ac:dyDescent="0.25">
      <c r="A102" s="2">
        <f t="shared" ref="A102:A132" si="5">A101</f>
        <v>3</v>
      </c>
      <c r="B102" t="s">
        <v>273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480</v>
      </c>
      <c r="P102" s="20" t="s">
        <v>571</v>
      </c>
      <c r="Q102" s="1">
        <f t="shared" si="4"/>
        <v>1</v>
      </c>
      <c r="R102" s="1">
        <v>19</v>
      </c>
      <c r="U102" s="12">
        <v>41395</v>
      </c>
    </row>
    <row r="103" spans="1:21" ht="15.75" x14ac:dyDescent="0.25">
      <c r="A103" s="2">
        <f t="shared" si="5"/>
        <v>3</v>
      </c>
      <c r="B103" s="22" t="s">
        <v>572</v>
      </c>
      <c r="J103" s="1"/>
      <c r="M103" t="s">
        <v>15</v>
      </c>
      <c r="N103" t="str">
        <f>IFERROR(VLOOKUP(B103,'[1]All Player'!$B$2:$C$1992,2,0),"")</f>
        <v/>
      </c>
      <c r="O103" s="2" t="s">
        <v>480</v>
      </c>
      <c r="P103" s="20" t="s">
        <v>572</v>
      </c>
      <c r="Q103" s="1">
        <f t="shared" si="4"/>
        <v>1</v>
      </c>
      <c r="R103" s="1">
        <v>20</v>
      </c>
      <c r="U103" s="12">
        <v>41395</v>
      </c>
    </row>
    <row r="104" spans="1:21" x14ac:dyDescent="0.25">
      <c r="A104" s="2">
        <f t="shared" si="5"/>
        <v>3</v>
      </c>
      <c r="B104" t="s">
        <v>145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480</v>
      </c>
      <c r="P104" s="20" t="s">
        <v>572</v>
      </c>
      <c r="Q104" s="1">
        <f t="shared" si="4"/>
        <v>1</v>
      </c>
      <c r="R104" s="1">
        <v>20</v>
      </c>
      <c r="U104" s="12">
        <v>41395</v>
      </c>
    </row>
    <row r="105" spans="1:21" x14ac:dyDescent="0.25">
      <c r="A105" s="2">
        <f t="shared" si="5"/>
        <v>3</v>
      </c>
      <c r="B105" t="s">
        <v>222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480</v>
      </c>
      <c r="P105" s="20" t="s">
        <v>572</v>
      </c>
      <c r="Q105" s="1">
        <f t="shared" si="4"/>
        <v>1</v>
      </c>
      <c r="R105" s="1">
        <v>20</v>
      </c>
      <c r="U105" s="12">
        <v>41395</v>
      </c>
    </row>
    <row r="106" spans="1:21" x14ac:dyDescent="0.25">
      <c r="A106" s="2">
        <f t="shared" si="5"/>
        <v>3</v>
      </c>
      <c r="B106" t="s">
        <v>275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480</v>
      </c>
      <c r="P106" s="20" t="s">
        <v>572</v>
      </c>
      <c r="Q106" s="1">
        <f t="shared" si="4"/>
        <v>1</v>
      </c>
      <c r="R106" s="1">
        <v>20</v>
      </c>
      <c r="U106" s="12">
        <v>41395</v>
      </c>
    </row>
    <row r="107" spans="1:21" x14ac:dyDescent="0.25">
      <c r="A107" s="2">
        <f t="shared" si="5"/>
        <v>3</v>
      </c>
      <c r="B107" s="21" t="s">
        <v>574</v>
      </c>
      <c r="J107" s="1"/>
      <c r="M107" t="s">
        <v>15</v>
      </c>
      <c r="N107" t="str">
        <f>IFERROR(VLOOKUP(B107,'[1]All Player'!$B$2:$C$1992,2,0),"")</f>
        <v/>
      </c>
      <c r="O107" s="2" t="s">
        <v>480</v>
      </c>
      <c r="P107" s="20" t="s">
        <v>574</v>
      </c>
      <c r="Q107" s="1">
        <f t="shared" si="4"/>
        <v>1</v>
      </c>
      <c r="R107" s="1">
        <v>21</v>
      </c>
      <c r="U107" s="12">
        <v>41395</v>
      </c>
    </row>
    <row r="108" spans="1:21" x14ac:dyDescent="0.25">
      <c r="A108" s="2">
        <f t="shared" si="5"/>
        <v>3</v>
      </c>
      <c r="B108" t="s">
        <v>256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480</v>
      </c>
      <c r="P108" s="20" t="s">
        <v>574</v>
      </c>
      <c r="Q108" s="1">
        <f t="shared" si="4"/>
        <v>1</v>
      </c>
      <c r="R108" s="1">
        <v>21</v>
      </c>
      <c r="U108" s="12">
        <v>41395</v>
      </c>
    </row>
    <row r="109" spans="1:21" x14ac:dyDescent="0.25">
      <c r="A109" s="2">
        <f t="shared" si="5"/>
        <v>3</v>
      </c>
      <c r="B109" t="s">
        <v>666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480</v>
      </c>
      <c r="P109" s="20" t="s">
        <v>574</v>
      </c>
      <c r="Q109" s="1">
        <f t="shared" si="4"/>
        <v>1</v>
      </c>
      <c r="R109" s="1">
        <v>21</v>
      </c>
      <c r="U109" s="12">
        <v>41395</v>
      </c>
    </row>
    <row r="110" spans="1:21" x14ac:dyDescent="0.25">
      <c r="A110" s="2">
        <f t="shared" si="5"/>
        <v>3</v>
      </c>
      <c r="B110" t="s">
        <v>206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480</v>
      </c>
      <c r="P110" s="20" t="s">
        <v>574</v>
      </c>
      <c r="Q110" s="1">
        <f t="shared" si="4"/>
        <v>1</v>
      </c>
      <c r="R110" s="1">
        <v>21</v>
      </c>
      <c r="U110" s="12">
        <v>41395</v>
      </c>
    </row>
    <row r="111" spans="1:21" ht="15.75" x14ac:dyDescent="0.25">
      <c r="A111" s="2">
        <f t="shared" si="5"/>
        <v>3</v>
      </c>
      <c r="B111" s="22" t="s">
        <v>573</v>
      </c>
      <c r="J111" s="1"/>
      <c r="M111" t="s">
        <v>15</v>
      </c>
      <c r="N111" t="str">
        <f>IFERROR(VLOOKUP(B111,'[1]All Player'!$B$2:$C$1992,2,0),"")</f>
        <v/>
      </c>
      <c r="O111" s="2" t="s">
        <v>480</v>
      </c>
      <c r="P111" s="20" t="s">
        <v>573</v>
      </c>
      <c r="Q111" s="1">
        <f t="shared" si="4"/>
        <v>1</v>
      </c>
      <c r="R111" s="1">
        <v>21</v>
      </c>
      <c r="U111" s="12">
        <v>41395</v>
      </c>
    </row>
    <row r="112" spans="1:21" x14ac:dyDescent="0.25">
      <c r="A112" s="2">
        <f t="shared" si="5"/>
        <v>3</v>
      </c>
      <c r="B112" t="s">
        <v>224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480</v>
      </c>
      <c r="P112" s="20" t="s">
        <v>573</v>
      </c>
      <c r="Q112" s="1">
        <f t="shared" si="4"/>
        <v>1</v>
      </c>
      <c r="R112" s="1">
        <v>21</v>
      </c>
      <c r="U112" s="12">
        <v>41395</v>
      </c>
    </row>
    <row r="113" spans="1:23" x14ac:dyDescent="0.25">
      <c r="A113" s="2">
        <f t="shared" si="5"/>
        <v>3</v>
      </c>
      <c r="B113" t="s">
        <v>277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480</v>
      </c>
      <c r="P113" s="20" t="s">
        <v>573</v>
      </c>
      <c r="Q113" s="1">
        <f t="shared" si="4"/>
        <v>1</v>
      </c>
      <c r="R113" s="1">
        <v>21</v>
      </c>
      <c r="U113" s="12">
        <v>41395</v>
      </c>
    </row>
    <row r="114" spans="1:23" x14ac:dyDescent="0.25">
      <c r="A114" s="2">
        <v>4</v>
      </c>
      <c r="B114" t="s">
        <v>562</v>
      </c>
      <c r="J114" s="1"/>
      <c r="N114" t="str">
        <f>IFERROR(VLOOKUP(B114,'[1]All Player'!$B$2:$C$1992,2,0),"")</f>
        <v/>
      </c>
      <c r="O114" s="2" t="s">
        <v>484</v>
      </c>
      <c r="P114" s="20" t="s">
        <v>562</v>
      </c>
      <c r="Q114" s="1">
        <f t="shared" si="4"/>
        <v>1</v>
      </c>
      <c r="R114" s="1">
        <v>22</v>
      </c>
      <c r="T114" s="1" t="s">
        <v>661</v>
      </c>
      <c r="U114" s="12">
        <v>41426</v>
      </c>
    </row>
    <row r="115" spans="1:23" x14ac:dyDescent="0.25">
      <c r="A115" s="2">
        <f t="shared" si="5"/>
        <v>4</v>
      </c>
      <c r="B115" t="s">
        <v>224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484</v>
      </c>
      <c r="P115" s="20" t="s">
        <v>562</v>
      </c>
      <c r="Q115" s="1">
        <f t="shared" si="4"/>
        <v>1</v>
      </c>
      <c r="R115" s="1">
        <v>22</v>
      </c>
      <c r="T115" s="1" t="s">
        <v>661</v>
      </c>
      <c r="U115" s="12">
        <v>41426</v>
      </c>
    </row>
    <row r="116" spans="1:23" x14ac:dyDescent="0.25">
      <c r="A116" s="2">
        <f t="shared" si="5"/>
        <v>4</v>
      </c>
      <c r="B116" t="s">
        <v>212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484</v>
      </c>
      <c r="P116" s="20" t="s">
        <v>562</v>
      </c>
      <c r="Q116" s="1">
        <f t="shared" si="4"/>
        <v>1</v>
      </c>
      <c r="R116" s="1">
        <v>22</v>
      </c>
      <c r="T116" s="1" t="s">
        <v>661</v>
      </c>
      <c r="U116" s="12">
        <v>41426</v>
      </c>
    </row>
    <row r="117" spans="1:23" x14ac:dyDescent="0.25">
      <c r="A117" s="2">
        <f t="shared" si="5"/>
        <v>4</v>
      </c>
      <c r="B117" t="s">
        <v>260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484</v>
      </c>
      <c r="P117" s="20" t="s">
        <v>562</v>
      </c>
      <c r="Q117" s="1">
        <f t="shared" si="4"/>
        <v>1</v>
      </c>
      <c r="R117" s="1">
        <v>22</v>
      </c>
      <c r="T117" s="1" t="s">
        <v>661</v>
      </c>
      <c r="U117" s="12">
        <v>41426</v>
      </c>
    </row>
    <row r="118" spans="1:23" x14ac:dyDescent="0.25">
      <c r="A118" s="2">
        <f t="shared" si="5"/>
        <v>4</v>
      </c>
      <c r="B118" t="s">
        <v>202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484</v>
      </c>
      <c r="P118" s="20" t="s">
        <v>562</v>
      </c>
      <c r="Q118" s="1">
        <f t="shared" si="4"/>
        <v>1</v>
      </c>
      <c r="R118" s="1">
        <v>22</v>
      </c>
      <c r="S118" s="2" t="s">
        <v>660</v>
      </c>
      <c r="T118" s="1" t="s">
        <v>661</v>
      </c>
      <c r="U118" s="12">
        <v>41426</v>
      </c>
    </row>
    <row r="119" spans="1:23" x14ac:dyDescent="0.25">
      <c r="A119" s="2">
        <f t="shared" si="5"/>
        <v>4</v>
      </c>
      <c r="B119" t="s">
        <v>275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484</v>
      </c>
      <c r="P119" s="20" t="s">
        <v>562</v>
      </c>
      <c r="Q119" s="1">
        <f t="shared" si="4"/>
        <v>1</v>
      </c>
      <c r="R119" s="1">
        <v>22</v>
      </c>
      <c r="S119" s="2" t="s">
        <v>662</v>
      </c>
      <c r="T119" s="1" t="s">
        <v>661</v>
      </c>
      <c r="U119" s="12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485</v>
      </c>
      <c r="J120" s="1"/>
      <c r="M120" t="s">
        <v>15</v>
      </c>
      <c r="N120" t="str">
        <f>IFERROR(VLOOKUP(B120,'[1]All Player'!$B$2:$C$1992,2,0),"")</f>
        <v/>
      </c>
      <c r="O120" s="2" t="s">
        <v>484</v>
      </c>
      <c r="P120" s="20" t="s">
        <v>485</v>
      </c>
      <c r="Q120" s="1">
        <f t="shared" si="4"/>
        <v>1</v>
      </c>
      <c r="R120" s="1">
        <v>23</v>
      </c>
      <c r="U120" s="12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484</v>
      </c>
      <c r="P121" s="20" t="s">
        <v>485</v>
      </c>
      <c r="Q121" s="1">
        <f t="shared" si="4"/>
        <v>1</v>
      </c>
      <c r="R121" s="1">
        <v>23</v>
      </c>
      <c r="U121" s="12">
        <v>41426</v>
      </c>
    </row>
    <row r="122" spans="1:23" x14ac:dyDescent="0.25">
      <c r="A122" s="2">
        <f t="shared" si="5"/>
        <v>4</v>
      </c>
      <c r="B122" t="s">
        <v>240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484</v>
      </c>
      <c r="P122" s="20" t="s">
        <v>485</v>
      </c>
      <c r="Q122" s="1">
        <f t="shared" si="4"/>
        <v>1</v>
      </c>
      <c r="R122" s="1">
        <v>23</v>
      </c>
      <c r="U122" s="12">
        <v>41426</v>
      </c>
    </row>
    <row r="123" spans="1:23" x14ac:dyDescent="0.25">
      <c r="A123" s="2">
        <f t="shared" si="5"/>
        <v>4</v>
      </c>
      <c r="B123" t="s">
        <v>666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484</v>
      </c>
      <c r="P123" s="20" t="s">
        <v>485</v>
      </c>
      <c r="Q123" s="1">
        <f t="shared" si="4"/>
        <v>1</v>
      </c>
      <c r="R123" s="1">
        <v>23</v>
      </c>
      <c r="U123" s="12">
        <v>41426</v>
      </c>
    </row>
    <row r="124" spans="1:23" x14ac:dyDescent="0.25">
      <c r="A124" s="2">
        <f t="shared" si="5"/>
        <v>4</v>
      </c>
      <c r="B124" t="s">
        <v>667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484</v>
      </c>
      <c r="P124" s="20" t="s">
        <v>485</v>
      </c>
      <c r="Q124" s="1">
        <f t="shared" si="4"/>
        <v>1</v>
      </c>
      <c r="R124" s="1">
        <v>23</v>
      </c>
      <c r="U124" s="12">
        <v>41426</v>
      </c>
    </row>
    <row r="125" spans="1:23" x14ac:dyDescent="0.25">
      <c r="A125" s="2">
        <f t="shared" si="5"/>
        <v>4</v>
      </c>
      <c r="B125" t="s">
        <v>663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484</v>
      </c>
      <c r="P125" s="20" t="s">
        <v>485</v>
      </c>
      <c r="Q125" s="1">
        <f t="shared" si="4"/>
        <v>1</v>
      </c>
      <c r="R125" s="1">
        <v>23</v>
      </c>
      <c r="U125" s="12">
        <v>41426</v>
      </c>
    </row>
    <row r="126" spans="1:23" x14ac:dyDescent="0.25">
      <c r="A126" s="2">
        <f t="shared" si="5"/>
        <v>4</v>
      </c>
      <c r="B126" s="18" t="s">
        <v>543</v>
      </c>
      <c r="J126" s="1"/>
      <c r="M126" t="s">
        <v>15</v>
      </c>
      <c r="N126" t="str">
        <f>IFERROR(VLOOKUP(B126,'[1]All Player'!$B$2:$C$1992,2,0),"")</f>
        <v/>
      </c>
      <c r="O126" s="2" t="s">
        <v>484</v>
      </c>
      <c r="P126" s="20" t="s">
        <v>543</v>
      </c>
      <c r="Q126" s="1">
        <f t="shared" si="4"/>
        <v>1</v>
      </c>
      <c r="R126" s="1">
        <v>24</v>
      </c>
      <c r="U126" s="12">
        <v>41426</v>
      </c>
    </row>
    <row r="127" spans="1:23" x14ac:dyDescent="0.25">
      <c r="A127" s="2">
        <f t="shared" si="5"/>
        <v>4</v>
      </c>
      <c r="B127" t="s">
        <v>206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484</v>
      </c>
      <c r="P127" s="20" t="s">
        <v>543</v>
      </c>
      <c r="Q127" s="1">
        <f t="shared" si="4"/>
        <v>1</v>
      </c>
      <c r="R127" s="1">
        <v>24</v>
      </c>
      <c r="U127" s="12">
        <v>41426</v>
      </c>
    </row>
    <row r="128" spans="1:23" x14ac:dyDescent="0.25">
      <c r="A128" s="2">
        <f t="shared" si="5"/>
        <v>4</v>
      </c>
      <c r="B128" t="s">
        <v>668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484</v>
      </c>
      <c r="P128" s="20" t="s">
        <v>543</v>
      </c>
      <c r="Q128" s="1">
        <f t="shared" si="4"/>
        <v>1</v>
      </c>
      <c r="R128" s="1">
        <v>24</v>
      </c>
      <c r="U128" s="12">
        <v>41426</v>
      </c>
    </row>
    <row r="129" spans="1:21" x14ac:dyDescent="0.25">
      <c r="A129" s="2">
        <f t="shared" si="5"/>
        <v>4</v>
      </c>
      <c r="B129" t="s">
        <v>226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484</v>
      </c>
      <c r="P129" s="20" t="s">
        <v>543</v>
      </c>
      <c r="Q129" s="1">
        <f t="shared" si="4"/>
        <v>1</v>
      </c>
      <c r="R129" s="1">
        <v>24</v>
      </c>
      <c r="U129" s="12">
        <v>41426</v>
      </c>
    </row>
    <row r="130" spans="1:21" x14ac:dyDescent="0.25">
      <c r="A130" s="2">
        <f t="shared" si="5"/>
        <v>4</v>
      </c>
      <c r="B130" t="s">
        <v>280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484</v>
      </c>
      <c r="P130" s="20" t="s">
        <v>543</v>
      </c>
      <c r="Q130" s="1">
        <f t="shared" ref="Q130:Q193" si="6">IF(B130="","",1)</f>
        <v>1</v>
      </c>
      <c r="R130" s="1">
        <v>24</v>
      </c>
      <c r="U130" s="12">
        <v>41426</v>
      </c>
    </row>
    <row r="131" spans="1:21" x14ac:dyDescent="0.25">
      <c r="A131" s="2">
        <f t="shared" si="5"/>
        <v>4</v>
      </c>
      <c r="B131" t="s">
        <v>143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484</v>
      </c>
      <c r="P131" s="20" t="s">
        <v>543</v>
      </c>
      <c r="Q131" s="1">
        <f t="shared" si="6"/>
        <v>1</v>
      </c>
      <c r="R131" s="1">
        <v>24</v>
      </c>
      <c r="U131" s="12">
        <v>41426</v>
      </c>
    </row>
    <row r="132" spans="1:21" x14ac:dyDescent="0.25">
      <c r="A132" s="2">
        <f t="shared" si="5"/>
        <v>4</v>
      </c>
      <c r="B132" s="18" t="s">
        <v>575</v>
      </c>
      <c r="J132" s="1"/>
      <c r="M132" t="s">
        <v>15</v>
      </c>
      <c r="N132" t="str">
        <f>IFERROR(VLOOKUP(B132,'[1]All Player'!$B$2:$C$1992,2,0),"")</f>
        <v/>
      </c>
      <c r="O132" s="2" t="s">
        <v>484</v>
      </c>
      <c r="P132" s="20" t="s">
        <v>575</v>
      </c>
      <c r="Q132" s="1">
        <f t="shared" si="6"/>
        <v>1</v>
      </c>
      <c r="R132" s="1">
        <v>25</v>
      </c>
      <c r="U132" s="12">
        <v>41426</v>
      </c>
    </row>
    <row r="133" spans="1:21" x14ac:dyDescent="0.25">
      <c r="A133" s="2">
        <f>A132</f>
        <v>4</v>
      </c>
      <c r="B133" t="s">
        <v>246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484</v>
      </c>
      <c r="P133" s="20" t="s">
        <v>575</v>
      </c>
      <c r="Q133" s="1">
        <f t="shared" si="6"/>
        <v>1</v>
      </c>
      <c r="R133" s="1">
        <v>25</v>
      </c>
      <c r="U133" s="12">
        <v>41426</v>
      </c>
    </row>
    <row r="134" spans="1:21" x14ac:dyDescent="0.25">
      <c r="A134" s="2">
        <f t="shared" ref="A134:A197" si="7">A133</f>
        <v>4</v>
      </c>
      <c r="B134" t="s">
        <v>669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484</v>
      </c>
      <c r="P134" s="20" t="s">
        <v>575</v>
      </c>
      <c r="Q134" s="1">
        <f t="shared" si="6"/>
        <v>1</v>
      </c>
      <c r="R134" s="1">
        <v>25</v>
      </c>
      <c r="U134" s="12">
        <v>41426</v>
      </c>
    </row>
    <row r="135" spans="1:21" x14ac:dyDescent="0.25">
      <c r="A135" s="2">
        <f t="shared" si="7"/>
        <v>4</v>
      </c>
      <c r="B135" t="s">
        <v>262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484</v>
      </c>
      <c r="P135" s="20" t="s">
        <v>575</v>
      </c>
      <c r="Q135" s="1">
        <f t="shared" si="6"/>
        <v>1</v>
      </c>
      <c r="R135" s="1">
        <v>25</v>
      </c>
      <c r="U135" s="12">
        <v>41426</v>
      </c>
    </row>
    <row r="136" spans="1:21" x14ac:dyDescent="0.25">
      <c r="A136" s="2">
        <f t="shared" si="7"/>
        <v>4</v>
      </c>
      <c r="B136" t="s">
        <v>285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484</v>
      </c>
      <c r="P136" s="20" t="s">
        <v>575</v>
      </c>
      <c r="Q136" s="1">
        <f t="shared" si="6"/>
        <v>1</v>
      </c>
      <c r="R136" s="1">
        <v>25</v>
      </c>
      <c r="U136" s="12">
        <v>41426</v>
      </c>
    </row>
    <row r="137" spans="1:21" x14ac:dyDescent="0.25">
      <c r="A137" s="2">
        <f t="shared" si="7"/>
        <v>4</v>
      </c>
      <c r="B137" t="s">
        <v>222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484</v>
      </c>
      <c r="P137" s="20" t="s">
        <v>575</v>
      </c>
      <c r="Q137" s="1">
        <f t="shared" si="6"/>
        <v>1</v>
      </c>
      <c r="R137" s="1">
        <v>25</v>
      </c>
      <c r="U137" s="12">
        <v>41426</v>
      </c>
    </row>
    <row r="138" spans="1:21" x14ac:dyDescent="0.25">
      <c r="A138" s="2">
        <f t="shared" si="7"/>
        <v>4</v>
      </c>
      <c r="B138" s="18" t="s">
        <v>670</v>
      </c>
      <c r="J138" s="1"/>
      <c r="M138" t="s">
        <v>15</v>
      </c>
      <c r="N138" t="str">
        <f>IFERROR(VLOOKUP(B138,'[1]All Player'!$B$2:$C$1992,2,0),"")</f>
        <v/>
      </c>
      <c r="O138" s="2" t="s">
        <v>484</v>
      </c>
      <c r="P138" s="20" t="s">
        <v>670</v>
      </c>
      <c r="Q138" s="1">
        <f t="shared" si="6"/>
        <v>1</v>
      </c>
      <c r="R138" s="1">
        <v>26</v>
      </c>
      <c r="T138" s="1" t="s">
        <v>659</v>
      </c>
      <c r="U138" s="12">
        <v>41426</v>
      </c>
    </row>
    <row r="139" spans="1:21" x14ac:dyDescent="0.25">
      <c r="A139" s="2">
        <f>A138</f>
        <v>4</v>
      </c>
      <c r="B139" t="s">
        <v>671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484</v>
      </c>
      <c r="P139" s="20" t="s">
        <v>670</v>
      </c>
      <c r="Q139" s="1">
        <f t="shared" si="6"/>
        <v>1</v>
      </c>
      <c r="R139" s="1">
        <v>26</v>
      </c>
      <c r="T139" s="1" t="s">
        <v>659</v>
      </c>
      <c r="U139" s="12">
        <v>41426</v>
      </c>
    </row>
    <row r="140" spans="1:21" x14ac:dyDescent="0.25">
      <c r="A140" s="2">
        <f t="shared" si="7"/>
        <v>4</v>
      </c>
      <c r="B140" t="s">
        <v>277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484</v>
      </c>
      <c r="P140" s="20" t="s">
        <v>670</v>
      </c>
      <c r="Q140" s="1">
        <f t="shared" si="6"/>
        <v>1</v>
      </c>
      <c r="R140" s="1">
        <v>26</v>
      </c>
      <c r="T140" s="1" t="s">
        <v>659</v>
      </c>
      <c r="U140" s="12">
        <v>41426</v>
      </c>
    </row>
    <row r="141" spans="1:21" x14ac:dyDescent="0.25">
      <c r="A141" s="2">
        <f t="shared" si="7"/>
        <v>4</v>
      </c>
      <c r="B141" t="s">
        <v>672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484</v>
      </c>
      <c r="P141" s="20" t="s">
        <v>670</v>
      </c>
      <c r="Q141" s="1">
        <f t="shared" si="6"/>
        <v>1</v>
      </c>
      <c r="R141" s="1">
        <v>26</v>
      </c>
      <c r="T141" s="1" t="s">
        <v>659</v>
      </c>
      <c r="U141" s="12">
        <v>41426</v>
      </c>
    </row>
    <row r="142" spans="1:21" x14ac:dyDescent="0.25">
      <c r="A142" s="2">
        <f t="shared" si="7"/>
        <v>4</v>
      </c>
      <c r="B142" t="s">
        <v>229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484</v>
      </c>
      <c r="P142" s="20" t="s">
        <v>670</v>
      </c>
      <c r="Q142" s="1">
        <f t="shared" si="6"/>
        <v>1</v>
      </c>
      <c r="R142" s="1">
        <v>26</v>
      </c>
      <c r="T142" s="1" t="s">
        <v>659</v>
      </c>
      <c r="U142" s="12">
        <v>41426</v>
      </c>
    </row>
    <row r="143" spans="1:21" x14ac:dyDescent="0.25">
      <c r="A143" s="2">
        <f t="shared" si="7"/>
        <v>4</v>
      </c>
      <c r="B143" t="s">
        <v>145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484</v>
      </c>
      <c r="P143" s="20" t="s">
        <v>670</v>
      </c>
      <c r="Q143" s="1">
        <f t="shared" si="6"/>
        <v>1</v>
      </c>
      <c r="R143" s="1">
        <v>26</v>
      </c>
      <c r="S143" s="2" t="s">
        <v>660</v>
      </c>
      <c r="T143" s="1" t="s">
        <v>659</v>
      </c>
      <c r="U143" s="12">
        <v>41426</v>
      </c>
    </row>
    <row r="144" spans="1:21" ht="18.75" customHeight="1" x14ac:dyDescent="0.25">
      <c r="A144" s="2">
        <f t="shared" si="7"/>
        <v>4</v>
      </c>
      <c r="B144" s="2" t="s">
        <v>576</v>
      </c>
      <c r="C144" s="2" t="s">
        <v>673</v>
      </c>
      <c r="J144" s="1"/>
      <c r="M144" t="s">
        <v>15</v>
      </c>
      <c r="N144" t="str">
        <f>IFERROR(VLOOKUP(B144,'[1]All Player'!$B$2:$C$1992,2,0),"")</f>
        <v/>
      </c>
      <c r="O144" s="2" t="s">
        <v>484</v>
      </c>
      <c r="P144" s="20" t="s">
        <v>576</v>
      </c>
      <c r="Q144" s="1">
        <f t="shared" si="6"/>
        <v>1</v>
      </c>
      <c r="R144" s="1">
        <v>27</v>
      </c>
      <c r="T144" s="1" t="s">
        <v>674</v>
      </c>
      <c r="U144" s="12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484</v>
      </c>
      <c r="P145" s="20" t="s">
        <v>576</v>
      </c>
      <c r="Q145" s="1">
        <f t="shared" si="6"/>
        <v>1</v>
      </c>
      <c r="R145" s="1">
        <v>27</v>
      </c>
      <c r="T145" s="1" t="s">
        <v>674</v>
      </c>
      <c r="U145" s="12">
        <v>41426</v>
      </c>
    </row>
    <row r="146" spans="1:21" x14ac:dyDescent="0.25">
      <c r="A146" s="2">
        <f t="shared" si="7"/>
        <v>4</v>
      </c>
      <c r="B146" t="s">
        <v>113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484</v>
      </c>
      <c r="P146" s="20" t="s">
        <v>576</v>
      </c>
      <c r="Q146" s="1">
        <f t="shared" si="6"/>
        <v>1</v>
      </c>
      <c r="R146" s="1">
        <v>27</v>
      </c>
      <c r="T146" s="1" t="s">
        <v>674</v>
      </c>
      <c r="U146" s="12">
        <v>41426</v>
      </c>
    </row>
    <row r="147" spans="1:21" x14ac:dyDescent="0.25">
      <c r="A147" s="2">
        <f t="shared" si="7"/>
        <v>4</v>
      </c>
      <c r="B147" t="s">
        <v>267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484</v>
      </c>
      <c r="P147" s="20" t="s">
        <v>576</v>
      </c>
      <c r="Q147" s="1">
        <f t="shared" si="6"/>
        <v>1</v>
      </c>
      <c r="R147" s="1">
        <v>27</v>
      </c>
      <c r="T147" s="1" t="s">
        <v>674</v>
      </c>
      <c r="U147" s="12">
        <v>41426</v>
      </c>
    </row>
    <row r="148" spans="1:21" x14ac:dyDescent="0.25">
      <c r="A148" s="2">
        <f t="shared" si="7"/>
        <v>4</v>
      </c>
      <c r="B148" t="s">
        <v>288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484</v>
      </c>
      <c r="P148" s="20" t="s">
        <v>576</v>
      </c>
      <c r="Q148" s="1">
        <f t="shared" si="6"/>
        <v>1</v>
      </c>
      <c r="R148" s="1">
        <v>27</v>
      </c>
      <c r="T148" s="1" t="s">
        <v>674</v>
      </c>
      <c r="U148" s="12">
        <v>41426</v>
      </c>
    </row>
    <row r="149" spans="1:21" x14ac:dyDescent="0.25">
      <c r="A149" s="2">
        <f t="shared" si="7"/>
        <v>4</v>
      </c>
      <c r="B149" t="s">
        <v>209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484</v>
      </c>
      <c r="P149" s="20" t="s">
        <v>576</v>
      </c>
      <c r="Q149" s="1">
        <f t="shared" si="6"/>
        <v>1</v>
      </c>
      <c r="R149" s="1">
        <v>27</v>
      </c>
      <c r="T149" s="1" t="s">
        <v>674</v>
      </c>
      <c r="U149" s="12">
        <v>41426</v>
      </c>
    </row>
    <row r="150" spans="1:21" x14ac:dyDescent="0.25">
      <c r="A150" s="2">
        <f t="shared" si="7"/>
        <v>4</v>
      </c>
      <c r="B150" t="s">
        <v>675</v>
      </c>
      <c r="J150" s="1"/>
      <c r="M150" t="s">
        <v>15</v>
      </c>
      <c r="N150" t="str">
        <f>IFERROR(VLOOKUP(B150,'[1]All Player'!$B$2:$C$1992,2,0),"")</f>
        <v/>
      </c>
      <c r="O150" s="2" t="s">
        <v>484</v>
      </c>
      <c r="P150" s="20" t="s">
        <v>675</v>
      </c>
      <c r="Q150" s="1">
        <f t="shared" si="6"/>
        <v>1</v>
      </c>
      <c r="R150" s="1">
        <v>28</v>
      </c>
      <c r="U150" s="12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484</v>
      </c>
      <c r="P151" s="20" t="s">
        <v>675</v>
      </c>
      <c r="Q151" s="1">
        <f t="shared" si="6"/>
        <v>1</v>
      </c>
      <c r="R151" s="1">
        <v>28</v>
      </c>
      <c r="U151" s="12">
        <v>41426</v>
      </c>
    </row>
    <row r="152" spans="1:21" x14ac:dyDescent="0.25">
      <c r="A152" s="2">
        <f t="shared" si="7"/>
        <v>4</v>
      </c>
      <c r="B152" t="s">
        <v>676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484</v>
      </c>
      <c r="P152" s="20" t="s">
        <v>675</v>
      </c>
      <c r="Q152" s="1">
        <f t="shared" si="6"/>
        <v>1</v>
      </c>
      <c r="R152" s="1">
        <v>28</v>
      </c>
      <c r="U152" s="12">
        <v>41426</v>
      </c>
    </row>
    <row r="153" spans="1:21" x14ac:dyDescent="0.25">
      <c r="A153" s="2">
        <f t="shared" si="7"/>
        <v>4</v>
      </c>
      <c r="B153" t="s">
        <v>677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484</v>
      </c>
      <c r="P153" s="20" t="s">
        <v>675</v>
      </c>
      <c r="Q153" s="1">
        <f t="shared" si="6"/>
        <v>1</v>
      </c>
      <c r="R153" s="1">
        <v>28</v>
      </c>
      <c r="U153" s="12">
        <v>41426</v>
      </c>
    </row>
    <row r="154" spans="1:21" x14ac:dyDescent="0.25">
      <c r="A154" s="2">
        <f t="shared" si="7"/>
        <v>4</v>
      </c>
      <c r="B154" t="s">
        <v>678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484</v>
      </c>
      <c r="P154" s="20" t="s">
        <v>675</v>
      </c>
      <c r="Q154" s="1">
        <f t="shared" si="6"/>
        <v>1</v>
      </c>
      <c r="R154" s="1">
        <v>28</v>
      </c>
      <c r="U154" s="12">
        <v>41426</v>
      </c>
    </row>
    <row r="155" spans="1:21" x14ac:dyDescent="0.25">
      <c r="A155" s="2">
        <f t="shared" si="7"/>
        <v>4</v>
      </c>
      <c r="B155" t="s">
        <v>679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484</v>
      </c>
      <c r="P155" s="20" t="s">
        <v>675</v>
      </c>
      <c r="Q155" s="1">
        <f t="shared" si="6"/>
        <v>1</v>
      </c>
      <c r="R155" s="1">
        <v>28</v>
      </c>
      <c r="U155" s="12">
        <v>41426</v>
      </c>
    </row>
    <row r="156" spans="1:21" x14ac:dyDescent="0.25">
      <c r="A156" s="2">
        <f t="shared" si="7"/>
        <v>4</v>
      </c>
      <c r="B156" t="s">
        <v>577</v>
      </c>
      <c r="J156" s="1"/>
      <c r="M156" t="s">
        <v>15</v>
      </c>
      <c r="N156" t="str">
        <f>IFERROR(VLOOKUP(B156,'[1]All Player'!$B$2:$C$1992,2,0),"")</f>
        <v/>
      </c>
      <c r="O156" s="2" t="s">
        <v>484</v>
      </c>
      <c r="P156" s="20" t="s">
        <v>577</v>
      </c>
      <c r="Q156" s="1">
        <f t="shared" si="6"/>
        <v>1</v>
      </c>
      <c r="R156" s="1">
        <v>29</v>
      </c>
      <c r="U156" s="12">
        <v>41426</v>
      </c>
    </row>
    <row r="157" spans="1:21" x14ac:dyDescent="0.25">
      <c r="A157" s="2">
        <f t="shared" si="7"/>
        <v>4</v>
      </c>
      <c r="B157" t="s">
        <v>214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484</v>
      </c>
      <c r="P157" s="20" t="s">
        <v>577</v>
      </c>
      <c r="Q157" s="1">
        <f t="shared" si="6"/>
        <v>1</v>
      </c>
      <c r="R157" s="1">
        <v>29</v>
      </c>
      <c r="U157" s="12">
        <v>41426</v>
      </c>
    </row>
    <row r="158" spans="1:21" x14ac:dyDescent="0.25">
      <c r="A158" s="2">
        <f t="shared" si="7"/>
        <v>4</v>
      </c>
      <c r="B158" t="s">
        <v>290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484</v>
      </c>
      <c r="P158" s="20" t="s">
        <v>577</v>
      </c>
      <c r="Q158" s="1">
        <f t="shared" si="6"/>
        <v>1</v>
      </c>
      <c r="R158" s="1">
        <v>29</v>
      </c>
      <c r="U158" s="12">
        <v>41426</v>
      </c>
    </row>
    <row r="159" spans="1:21" x14ac:dyDescent="0.25">
      <c r="A159" s="2">
        <f t="shared" si="7"/>
        <v>4</v>
      </c>
      <c r="B159" t="s">
        <v>153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484</v>
      </c>
      <c r="P159" s="20" t="s">
        <v>577</v>
      </c>
      <c r="Q159" s="1">
        <f t="shared" si="6"/>
        <v>1</v>
      </c>
      <c r="R159" s="1">
        <v>29</v>
      </c>
      <c r="U159" s="12">
        <v>41426</v>
      </c>
    </row>
    <row r="160" spans="1:21" x14ac:dyDescent="0.25">
      <c r="A160" s="2">
        <f t="shared" si="7"/>
        <v>4</v>
      </c>
      <c r="B160" t="s">
        <v>231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484</v>
      </c>
      <c r="P160" s="20" t="s">
        <v>577</v>
      </c>
      <c r="Q160" s="1">
        <f t="shared" si="6"/>
        <v>1</v>
      </c>
      <c r="R160" s="1">
        <v>29</v>
      </c>
      <c r="U160" s="12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484</v>
      </c>
      <c r="P161" s="20" t="s">
        <v>577</v>
      </c>
      <c r="Q161" s="1">
        <f t="shared" si="6"/>
        <v>1</v>
      </c>
      <c r="R161" s="1">
        <v>29</v>
      </c>
      <c r="U161" s="12">
        <v>41426</v>
      </c>
    </row>
    <row r="162" spans="1:23" x14ac:dyDescent="0.25">
      <c r="A162" s="2">
        <f t="shared" si="7"/>
        <v>4</v>
      </c>
      <c r="B162" s="24" t="s">
        <v>680</v>
      </c>
      <c r="J162" s="1"/>
      <c r="N162" t="str">
        <f>IFERROR(VLOOKUP(B162,'[1]All Player'!$B$2:$C$1992,2,0),"")</f>
        <v/>
      </c>
      <c r="O162" s="2" t="s">
        <v>484</v>
      </c>
      <c r="P162" s="20" t="s">
        <v>577</v>
      </c>
      <c r="Q162" s="1">
        <f t="shared" si="6"/>
        <v>1</v>
      </c>
      <c r="R162" s="1">
        <v>29</v>
      </c>
      <c r="U162" s="12">
        <v>41426</v>
      </c>
    </row>
    <row r="163" spans="1:23" x14ac:dyDescent="0.25">
      <c r="A163" s="2">
        <f t="shared" si="7"/>
        <v>4</v>
      </c>
      <c r="B163" t="s">
        <v>184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484</v>
      </c>
      <c r="P163" s="20" t="s">
        <v>577</v>
      </c>
      <c r="Q163" s="1">
        <f t="shared" si="6"/>
        <v>1</v>
      </c>
      <c r="R163" s="1">
        <v>29</v>
      </c>
      <c r="U163" s="12">
        <v>41426</v>
      </c>
    </row>
    <row r="164" spans="1:23" x14ac:dyDescent="0.25">
      <c r="A164" s="2">
        <f t="shared" si="7"/>
        <v>4</v>
      </c>
      <c r="B164" t="s">
        <v>285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484</v>
      </c>
      <c r="P164" s="20" t="s">
        <v>577</v>
      </c>
      <c r="Q164" s="1">
        <f t="shared" si="6"/>
        <v>1</v>
      </c>
      <c r="R164" s="1">
        <v>29</v>
      </c>
      <c r="U164" s="12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484</v>
      </c>
      <c r="P165" s="20" t="s">
        <v>681</v>
      </c>
      <c r="Q165" s="1">
        <f t="shared" si="6"/>
        <v>1</v>
      </c>
      <c r="R165" s="1">
        <v>30</v>
      </c>
      <c r="U165" s="12">
        <v>41426</v>
      </c>
    </row>
    <row r="166" spans="1:23" x14ac:dyDescent="0.25">
      <c r="A166" s="2">
        <f t="shared" si="7"/>
        <v>4</v>
      </c>
      <c r="B166" t="s">
        <v>246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484</v>
      </c>
      <c r="P166" s="20" t="s">
        <v>681</v>
      </c>
      <c r="Q166" s="1">
        <f t="shared" si="6"/>
        <v>1</v>
      </c>
      <c r="R166" s="1">
        <v>30</v>
      </c>
      <c r="U166" s="12">
        <v>41426</v>
      </c>
    </row>
    <row r="167" spans="1:23" x14ac:dyDescent="0.25">
      <c r="A167" s="2">
        <v>5</v>
      </c>
      <c r="B167" t="s">
        <v>479</v>
      </c>
      <c r="J167" s="1"/>
      <c r="M167" t="s">
        <v>15</v>
      </c>
      <c r="N167" t="str">
        <f>IFERROR(VLOOKUP(B167,'[1]All Player'!$B$2:$C$1992,2,0),"")</f>
        <v/>
      </c>
      <c r="O167" s="2" t="s">
        <v>478</v>
      </c>
      <c r="P167" s="20" t="s">
        <v>479</v>
      </c>
      <c r="Q167" s="1">
        <f t="shared" si="6"/>
        <v>1</v>
      </c>
      <c r="R167" s="1">
        <v>31</v>
      </c>
      <c r="T167" s="1" t="s">
        <v>659</v>
      </c>
      <c r="U167" s="12">
        <v>41456</v>
      </c>
    </row>
    <row r="168" spans="1:23" x14ac:dyDescent="0.25">
      <c r="A168" s="2">
        <f t="shared" si="7"/>
        <v>5</v>
      </c>
      <c r="B168" t="s">
        <v>275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478</v>
      </c>
      <c r="P168" s="20" t="s">
        <v>479</v>
      </c>
      <c r="Q168" s="1">
        <f t="shared" si="6"/>
        <v>1</v>
      </c>
      <c r="R168" s="1">
        <v>31</v>
      </c>
      <c r="T168" s="1" t="s">
        <v>659</v>
      </c>
      <c r="U168" s="12">
        <v>41456</v>
      </c>
    </row>
    <row r="169" spans="1:23" x14ac:dyDescent="0.25">
      <c r="A169" s="2">
        <f t="shared" si="7"/>
        <v>5</v>
      </c>
      <c r="B169" t="s">
        <v>682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478</v>
      </c>
      <c r="P169" s="20" t="s">
        <v>479</v>
      </c>
      <c r="Q169" s="1">
        <f t="shared" si="6"/>
        <v>1</v>
      </c>
      <c r="R169" s="1">
        <v>31</v>
      </c>
      <c r="T169" s="1" t="s">
        <v>659</v>
      </c>
      <c r="U169" s="12">
        <v>41456</v>
      </c>
    </row>
    <row r="170" spans="1:23" x14ac:dyDescent="0.25">
      <c r="A170" s="2">
        <f t="shared" si="7"/>
        <v>5</v>
      </c>
      <c r="B170" t="s">
        <v>683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478</v>
      </c>
      <c r="P170" s="20" t="s">
        <v>479</v>
      </c>
      <c r="Q170" s="1">
        <f t="shared" si="6"/>
        <v>1</v>
      </c>
      <c r="R170" s="1">
        <v>31</v>
      </c>
      <c r="T170" s="1" t="s">
        <v>659</v>
      </c>
      <c r="U170" s="12">
        <v>41456</v>
      </c>
    </row>
    <row r="171" spans="1:23" x14ac:dyDescent="0.25">
      <c r="A171" s="2">
        <f t="shared" si="7"/>
        <v>5</v>
      </c>
      <c r="B171" t="s">
        <v>684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478</v>
      </c>
      <c r="P171" s="20" t="s">
        <v>479</v>
      </c>
      <c r="Q171" s="1">
        <f t="shared" si="6"/>
        <v>1</v>
      </c>
      <c r="R171" s="1">
        <v>31</v>
      </c>
      <c r="T171" s="1" t="s">
        <v>659</v>
      </c>
      <c r="U171" s="12">
        <v>41456</v>
      </c>
    </row>
    <row r="172" spans="1:23" x14ac:dyDescent="0.25">
      <c r="A172" s="2">
        <f t="shared" si="7"/>
        <v>5</v>
      </c>
      <c r="B172" t="s">
        <v>303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478</v>
      </c>
      <c r="P172" s="20" t="s">
        <v>479</v>
      </c>
      <c r="Q172" s="1">
        <f t="shared" si="6"/>
        <v>1</v>
      </c>
      <c r="R172" s="1">
        <v>31</v>
      </c>
      <c r="T172" s="1" t="s">
        <v>659</v>
      </c>
      <c r="U172" s="12">
        <v>41456</v>
      </c>
    </row>
    <row r="173" spans="1:23" x14ac:dyDescent="0.25">
      <c r="A173" s="2">
        <f t="shared" si="7"/>
        <v>5</v>
      </c>
      <c r="B173" t="s">
        <v>685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478</v>
      </c>
      <c r="P173" s="20" t="s">
        <v>479</v>
      </c>
      <c r="Q173" s="1">
        <f t="shared" si="6"/>
        <v>1</v>
      </c>
      <c r="R173" s="1">
        <v>31</v>
      </c>
      <c r="S173" s="2" t="s">
        <v>662</v>
      </c>
      <c r="T173" s="1" t="s">
        <v>659</v>
      </c>
      <c r="U173" s="12">
        <v>41456</v>
      </c>
      <c r="V173" s="1">
        <v>1</v>
      </c>
    </row>
    <row r="174" spans="1:23" x14ac:dyDescent="0.25">
      <c r="A174" s="2">
        <f>A173</f>
        <v>5</v>
      </c>
      <c r="B174" t="s">
        <v>686</v>
      </c>
      <c r="J174" s="1"/>
      <c r="N174" t="str">
        <f>IFERROR(VLOOKUP(B174,'[1]All Player'!$B$2:$C$1992,2,0),"")</f>
        <v/>
      </c>
      <c r="O174" s="2" t="s">
        <v>478</v>
      </c>
      <c r="P174" s="20" t="s">
        <v>686</v>
      </c>
      <c r="Q174" s="1">
        <f t="shared" si="6"/>
        <v>1</v>
      </c>
      <c r="R174" s="1">
        <v>32</v>
      </c>
      <c r="U174" s="12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478</v>
      </c>
      <c r="P175" s="20" t="s">
        <v>686</v>
      </c>
      <c r="Q175" s="1">
        <f t="shared" si="6"/>
        <v>1</v>
      </c>
      <c r="R175" s="1">
        <v>32</v>
      </c>
      <c r="U175" s="12">
        <v>41456</v>
      </c>
      <c r="W175" s="1">
        <v>1</v>
      </c>
    </row>
    <row r="176" spans="1:23" x14ac:dyDescent="0.25">
      <c r="A176" s="2">
        <f t="shared" si="7"/>
        <v>5</v>
      </c>
      <c r="B176" t="s">
        <v>687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478</v>
      </c>
      <c r="P176" s="20" t="s">
        <v>686</v>
      </c>
      <c r="Q176" s="1">
        <f t="shared" si="6"/>
        <v>1</v>
      </c>
      <c r="R176" s="1">
        <v>32</v>
      </c>
      <c r="U176" s="12">
        <v>41456</v>
      </c>
    </row>
    <row r="177" spans="1:21" x14ac:dyDescent="0.25">
      <c r="A177" s="2">
        <f t="shared" si="7"/>
        <v>5</v>
      </c>
      <c r="B177" t="s">
        <v>688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478</v>
      </c>
      <c r="P177" s="20" t="s">
        <v>686</v>
      </c>
      <c r="Q177" s="1">
        <f t="shared" si="6"/>
        <v>1</v>
      </c>
      <c r="R177" s="1">
        <v>32</v>
      </c>
      <c r="U177" s="12">
        <v>41456</v>
      </c>
    </row>
    <row r="178" spans="1:21" x14ac:dyDescent="0.25">
      <c r="A178" s="2">
        <f t="shared" si="7"/>
        <v>5</v>
      </c>
      <c r="B178" t="s">
        <v>689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478</v>
      </c>
      <c r="P178" s="20" t="s">
        <v>686</v>
      </c>
      <c r="Q178" s="1">
        <f t="shared" si="6"/>
        <v>1</v>
      </c>
      <c r="R178" s="1">
        <v>32</v>
      </c>
      <c r="U178" s="12">
        <v>41456</v>
      </c>
    </row>
    <row r="179" spans="1:21" x14ac:dyDescent="0.25">
      <c r="A179" s="2">
        <f t="shared" si="7"/>
        <v>5</v>
      </c>
      <c r="B179" t="s">
        <v>690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478</v>
      </c>
      <c r="P179" s="20" t="s">
        <v>686</v>
      </c>
      <c r="Q179" s="1">
        <f t="shared" si="6"/>
        <v>1</v>
      </c>
      <c r="R179" s="1">
        <v>32</v>
      </c>
      <c r="U179" s="12">
        <v>41456</v>
      </c>
    </row>
    <row r="180" spans="1:21" x14ac:dyDescent="0.25">
      <c r="A180" s="2">
        <f t="shared" si="7"/>
        <v>5</v>
      </c>
      <c r="B180" t="s">
        <v>691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478</v>
      </c>
      <c r="P180" s="20" t="s">
        <v>686</v>
      </c>
      <c r="Q180" s="1">
        <f t="shared" si="6"/>
        <v>1</v>
      </c>
      <c r="R180" s="1">
        <v>32</v>
      </c>
      <c r="U180" s="12">
        <v>41456</v>
      </c>
    </row>
    <row r="181" spans="1:21" x14ac:dyDescent="0.25">
      <c r="A181" s="2">
        <f t="shared" si="7"/>
        <v>5</v>
      </c>
      <c r="B181" t="s">
        <v>578</v>
      </c>
      <c r="J181" s="1"/>
      <c r="N181" t="str">
        <f>IFERROR(VLOOKUP(B181,'[1]All Player'!$B$2:$C$1992,2,0),"")</f>
        <v/>
      </c>
      <c r="O181" s="2" t="s">
        <v>478</v>
      </c>
      <c r="P181" s="20" t="s">
        <v>578</v>
      </c>
      <c r="Q181" s="1">
        <f t="shared" si="6"/>
        <v>1</v>
      </c>
      <c r="R181" s="1">
        <v>33</v>
      </c>
      <c r="U181" s="12">
        <v>41456</v>
      </c>
    </row>
    <row r="182" spans="1:21" x14ac:dyDescent="0.25">
      <c r="A182" s="2">
        <f t="shared" si="7"/>
        <v>5</v>
      </c>
      <c r="B182" t="s">
        <v>206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478</v>
      </c>
      <c r="P182" s="20" t="s">
        <v>578</v>
      </c>
      <c r="Q182" s="1">
        <f t="shared" si="6"/>
        <v>1</v>
      </c>
      <c r="R182" s="1">
        <v>33</v>
      </c>
      <c r="U182" s="12">
        <v>41456</v>
      </c>
    </row>
    <row r="183" spans="1:21" x14ac:dyDescent="0.25">
      <c r="A183" s="2">
        <f t="shared" si="7"/>
        <v>5</v>
      </c>
      <c r="B183" t="s">
        <v>692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478</v>
      </c>
      <c r="P183" s="20" t="s">
        <v>578</v>
      </c>
      <c r="Q183" s="1">
        <f t="shared" si="6"/>
        <v>1</v>
      </c>
      <c r="R183" s="1">
        <v>33</v>
      </c>
      <c r="U183" s="12">
        <v>41456</v>
      </c>
    </row>
    <row r="184" spans="1:21" x14ac:dyDescent="0.25">
      <c r="A184" s="2">
        <f t="shared" si="7"/>
        <v>5</v>
      </c>
      <c r="B184" t="s">
        <v>693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478</v>
      </c>
      <c r="P184" s="20" t="s">
        <v>578</v>
      </c>
      <c r="Q184" s="1">
        <f t="shared" si="6"/>
        <v>1</v>
      </c>
      <c r="R184" s="1">
        <v>33</v>
      </c>
      <c r="U184" s="12">
        <v>41456</v>
      </c>
    </row>
    <row r="185" spans="1:21" x14ac:dyDescent="0.25">
      <c r="A185" s="2">
        <f t="shared" si="7"/>
        <v>5</v>
      </c>
      <c r="B185" t="s">
        <v>694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478</v>
      </c>
      <c r="P185" s="20" t="s">
        <v>578</v>
      </c>
      <c r="Q185" s="1">
        <f t="shared" si="6"/>
        <v>1</v>
      </c>
      <c r="R185" s="1">
        <v>33</v>
      </c>
      <c r="U185" s="12">
        <v>41456</v>
      </c>
    </row>
    <row r="186" spans="1:21" x14ac:dyDescent="0.25">
      <c r="A186" s="2">
        <f t="shared" si="7"/>
        <v>5</v>
      </c>
      <c r="B186" t="s">
        <v>695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478</v>
      </c>
      <c r="P186" s="20" t="s">
        <v>578</v>
      </c>
      <c r="Q186" s="1">
        <f t="shared" si="6"/>
        <v>1</v>
      </c>
      <c r="R186" s="1">
        <v>33</v>
      </c>
      <c r="U186" s="12">
        <v>41456</v>
      </c>
    </row>
    <row r="187" spans="1:21" x14ac:dyDescent="0.25">
      <c r="A187" s="2">
        <f t="shared" si="7"/>
        <v>5</v>
      </c>
      <c r="B187" t="s">
        <v>696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478</v>
      </c>
      <c r="P187" s="20" t="s">
        <v>578</v>
      </c>
      <c r="Q187" s="1">
        <f t="shared" si="6"/>
        <v>1</v>
      </c>
      <c r="R187" s="1">
        <v>33</v>
      </c>
      <c r="U187" s="12">
        <v>41456</v>
      </c>
    </row>
    <row r="188" spans="1:21" x14ac:dyDescent="0.25">
      <c r="A188" s="2">
        <f t="shared" si="7"/>
        <v>5</v>
      </c>
      <c r="B188" t="s">
        <v>552</v>
      </c>
      <c r="J188" s="1"/>
      <c r="N188" t="str">
        <f>IFERROR(VLOOKUP(B188,'[1]All Player'!$B$2:$C$1992,2,0),"")</f>
        <v/>
      </c>
      <c r="O188" s="2" t="s">
        <v>478</v>
      </c>
      <c r="P188" s="20" t="s">
        <v>552</v>
      </c>
      <c r="Q188" s="1">
        <f t="shared" si="6"/>
        <v>1</v>
      </c>
      <c r="R188" s="1">
        <v>34</v>
      </c>
      <c r="T188" s="1" t="s">
        <v>661</v>
      </c>
      <c r="U188" s="12">
        <v>41456</v>
      </c>
    </row>
    <row r="189" spans="1:21" x14ac:dyDescent="0.25">
      <c r="A189" s="2">
        <f t="shared" si="7"/>
        <v>5</v>
      </c>
      <c r="B189" t="s">
        <v>229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478</v>
      </c>
      <c r="P189" s="20" t="s">
        <v>552</v>
      </c>
      <c r="Q189" s="1">
        <f t="shared" si="6"/>
        <v>1</v>
      </c>
      <c r="R189" s="1">
        <v>34</v>
      </c>
      <c r="T189" s="1" t="s">
        <v>661</v>
      </c>
      <c r="U189" s="12">
        <v>41456</v>
      </c>
    </row>
    <row r="190" spans="1:21" x14ac:dyDescent="0.25">
      <c r="A190" s="2">
        <f t="shared" si="7"/>
        <v>5</v>
      </c>
      <c r="B190" t="s">
        <v>697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478</v>
      </c>
      <c r="P190" s="20" t="s">
        <v>552</v>
      </c>
      <c r="Q190" s="1">
        <f t="shared" si="6"/>
        <v>1</v>
      </c>
      <c r="R190" s="1">
        <v>34</v>
      </c>
      <c r="S190" s="2" t="s">
        <v>660</v>
      </c>
      <c r="T190" s="1" t="s">
        <v>661</v>
      </c>
      <c r="U190" s="12">
        <v>41456</v>
      </c>
    </row>
    <row r="191" spans="1:21" x14ac:dyDescent="0.25">
      <c r="A191" s="2">
        <f t="shared" si="7"/>
        <v>5</v>
      </c>
      <c r="B191" t="s">
        <v>698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478</v>
      </c>
      <c r="P191" s="20" t="s">
        <v>552</v>
      </c>
      <c r="Q191" s="1">
        <f t="shared" si="6"/>
        <v>1</v>
      </c>
      <c r="R191" s="1">
        <v>34</v>
      </c>
      <c r="T191" s="1" t="s">
        <v>661</v>
      </c>
      <c r="U191" s="12">
        <v>41456</v>
      </c>
    </row>
    <row r="192" spans="1:21" x14ac:dyDescent="0.25">
      <c r="A192" s="2">
        <f t="shared" si="7"/>
        <v>5</v>
      </c>
      <c r="B192" t="s">
        <v>699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478</v>
      </c>
      <c r="P192" s="20" t="s">
        <v>552</v>
      </c>
      <c r="Q192" s="1">
        <f t="shared" si="6"/>
        <v>1</v>
      </c>
      <c r="R192" s="1">
        <v>34</v>
      </c>
      <c r="T192" s="1" t="s">
        <v>661</v>
      </c>
      <c r="U192" s="12">
        <v>41456</v>
      </c>
    </row>
    <row r="193" spans="1:23" x14ac:dyDescent="0.25">
      <c r="A193" s="2">
        <f t="shared" si="7"/>
        <v>5</v>
      </c>
      <c r="B193" t="s">
        <v>700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478</v>
      </c>
      <c r="P193" s="20" t="s">
        <v>552</v>
      </c>
      <c r="Q193" s="1">
        <f t="shared" si="6"/>
        <v>1</v>
      </c>
      <c r="R193" s="1">
        <v>34</v>
      </c>
      <c r="T193" s="1" t="s">
        <v>661</v>
      </c>
      <c r="U193" s="12">
        <v>41456</v>
      </c>
    </row>
    <row r="194" spans="1:23" x14ac:dyDescent="0.25">
      <c r="A194" s="2">
        <f t="shared" si="7"/>
        <v>5</v>
      </c>
      <c r="B194" t="s">
        <v>701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478</v>
      </c>
      <c r="P194" s="20" t="s">
        <v>552</v>
      </c>
      <c r="Q194" s="1">
        <f t="shared" ref="Q194:Q257" si="8">IF(B194="","",1)</f>
        <v>1</v>
      </c>
      <c r="R194" s="1">
        <v>34</v>
      </c>
      <c r="T194" s="1" t="s">
        <v>661</v>
      </c>
      <c r="U194" s="12">
        <v>41456</v>
      </c>
    </row>
    <row r="195" spans="1:23" x14ac:dyDescent="0.25">
      <c r="A195" s="2">
        <f t="shared" si="7"/>
        <v>5</v>
      </c>
      <c r="B195" t="s">
        <v>702</v>
      </c>
      <c r="J195" s="1"/>
      <c r="N195" t="str">
        <f>IFERROR(VLOOKUP(B195,'[1]All Player'!$B$2:$C$1992,2,0),"")</f>
        <v/>
      </c>
      <c r="O195" s="2" t="s">
        <v>478</v>
      </c>
      <c r="P195" s="20" t="s">
        <v>702</v>
      </c>
      <c r="Q195" s="1">
        <f t="shared" si="8"/>
        <v>1</v>
      </c>
      <c r="R195" s="1">
        <v>35</v>
      </c>
      <c r="U195" s="12">
        <v>41456</v>
      </c>
    </row>
    <row r="196" spans="1:23" x14ac:dyDescent="0.25">
      <c r="A196" s="2">
        <f t="shared" si="7"/>
        <v>5</v>
      </c>
      <c r="B196" t="s">
        <v>666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478</v>
      </c>
      <c r="P196" s="20" t="s">
        <v>702</v>
      </c>
      <c r="Q196" s="1">
        <f t="shared" si="8"/>
        <v>1</v>
      </c>
      <c r="R196" s="1">
        <v>35</v>
      </c>
      <c r="U196" s="12">
        <v>41456</v>
      </c>
    </row>
    <row r="197" spans="1:23" x14ac:dyDescent="0.25">
      <c r="A197" s="2">
        <f t="shared" si="7"/>
        <v>5</v>
      </c>
      <c r="B197" t="s">
        <v>703</v>
      </c>
      <c r="C197" s="2">
        <v>4</v>
      </c>
      <c r="D197" s="2">
        <v>101</v>
      </c>
      <c r="E197" s="2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478</v>
      </c>
      <c r="P197" s="20" t="s">
        <v>702</v>
      </c>
      <c r="Q197" s="1">
        <f t="shared" si="8"/>
        <v>1</v>
      </c>
      <c r="R197" s="1">
        <v>35</v>
      </c>
      <c r="U197" s="12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280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478</v>
      </c>
      <c r="P198" s="20" t="s">
        <v>702</v>
      </c>
      <c r="Q198" s="1">
        <f t="shared" si="8"/>
        <v>1</v>
      </c>
      <c r="R198" s="1">
        <v>35</v>
      </c>
      <c r="U198" s="12">
        <v>41456</v>
      </c>
    </row>
    <row r="199" spans="1:23" x14ac:dyDescent="0.25">
      <c r="A199" s="2">
        <f t="shared" si="9"/>
        <v>5</v>
      </c>
      <c r="B199" t="s">
        <v>704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478</v>
      </c>
      <c r="P199" s="20" t="s">
        <v>702</v>
      </c>
      <c r="Q199" s="1">
        <f t="shared" si="8"/>
        <v>1</v>
      </c>
      <c r="R199" s="1">
        <v>35</v>
      </c>
      <c r="U199" s="12">
        <v>41456</v>
      </c>
    </row>
    <row r="200" spans="1:23" x14ac:dyDescent="0.25">
      <c r="A200" s="2">
        <f t="shared" si="9"/>
        <v>5</v>
      </c>
      <c r="B200" t="s">
        <v>212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478</v>
      </c>
      <c r="P200" s="20" t="s">
        <v>702</v>
      </c>
      <c r="Q200" s="1">
        <f t="shared" si="8"/>
        <v>1</v>
      </c>
      <c r="R200" s="1">
        <v>35</v>
      </c>
      <c r="U200" s="12">
        <v>41456</v>
      </c>
    </row>
    <row r="201" spans="1:23" x14ac:dyDescent="0.25">
      <c r="A201" s="2">
        <f t="shared" si="9"/>
        <v>5</v>
      </c>
      <c r="B201" t="s">
        <v>705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478</v>
      </c>
      <c r="P201" s="20" t="s">
        <v>702</v>
      </c>
      <c r="Q201" s="1">
        <f t="shared" si="8"/>
        <v>1</v>
      </c>
      <c r="R201" s="1">
        <v>35</v>
      </c>
      <c r="U201" s="12">
        <v>41456</v>
      </c>
    </row>
    <row r="202" spans="1:23" x14ac:dyDescent="0.25">
      <c r="A202" s="2">
        <f t="shared" si="9"/>
        <v>5</v>
      </c>
      <c r="B202" t="s">
        <v>505</v>
      </c>
      <c r="J202" s="1"/>
      <c r="N202" t="str">
        <f>IFERROR(VLOOKUP(B202,'[1]All Player'!$B$2:$C$1992,2,0),"")</f>
        <v/>
      </c>
      <c r="O202" s="2" t="s">
        <v>478</v>
      </c>
      <c r="P202" s="20" t="s">
        <v>505</v>
      </c>
      <c r="Q202" s="1">
        <f t="shared" si="8"/>
        <v>1</v>
      </c>
      <c r="R202" s="1">
        <v>36</v>
      </c>
      <c r="T202" s="1" t="s">
        <v>661</v>
      </c>
      <c r="U202" s="12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478</v>
      </c>
      <c r="P203" s="20" t="s">
        <v>505</v>
      </c>
      <c r="Q203" s="1">
        <f t="shared" si="8"/>
        <v>1</v>
      </c>
      <c r="R203" s="25">
        <v>36</v>
      </c>
      <c r="T203" s="1" t="s">
        <v>661</v>
      </c>
      <c r="U203" s="12">
        <v>41456</v>
      </c>
    </row>
    <row r="204" spans="1:23" x14ac:dyDescent="0.25">
      <c r="A204" s="2">
        <f t="shared" si="9"/>
        <v>5</v>
      </c>
      <c r="B204" t="s">
        <v>706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478</v>
      </c>
      <c r="P204" s="20" t="s">
        <v>505</v>
      </c>
      <c r="Q204" s="1">
        <f t="shared" si="8"/>
        <v>1</v>
      </c>
      <c r="R204" s="1">
        <v>36</v>
      </c>
      <c r="T204" s="1" t="s">
        <v>661</v>
      </c>
      <c r="U204" s="12">
        <v>41456</v>
      </c>
    </row>
    <row r="205" spans="1:23" x14ac:dyDescent="0.25">
      <c r="A205" s="2">
        <f t="shared" si="9"/>
        <v>5</v>
      </c>
      <c r="B205" t="s">
        <v>707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478</v>
      </c>
      <c r="P205" s="20" t="s">
        <v>505</v>
      </c>
      <c r="Q205" s="1">
        <f t="shared" si="8"/>
        <v>1</v>
      </c>
      <c r="R205" s="1">
        <v>36</v>
      </c>
      <c r="T205" s="1" t="s">
        <v>661</v>
      </c>
      <c r="U205" s="12">
        <v>41456</v>
      </c>
    </row>
    <row r="206" spans="1:23" x14ac:dyDescent="0.25">
      <c r="A206" s="2">
        <f t="shared" si="9"/>
        <v>5</v>
      </c>
      <c r="B206" t="s">
        <v>708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478</v>
      </c>
      <c r="P206" s="20" t="s">
        <v>505</v>
      </c>
      <c r="Q206" s="1">
        <f t="shared" si="8"/>
        <v>1</v>
      </c>
      <c r="R206" s="1">
        <v>36</v>
      </c>
      <c r="T206" s="1" t="s">
        <v>661</v>
      </c>
      <c r="U206" s="12">
        <v>41456</v>
      </c>
    </row>
    <row r="207" spans="1:23" x14ac:dyDescent="0.25">
      <c r="A207" s="2">
        <f t="shared" si="9"/>
        <v>5</v>
      </c>
      <c r="B207" t="s">
        <v>709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478</v>
      </c>
      <c r="P207" s="20" t="s">
        <v>505</v>
      </c>
      <c r="Q207" s="1">
        <f t="shared" si="8"/>
        <v>1</v>
      </c>
      <c r="R207" s="1">
        <v>36</v>
      </c>
      <c r="T207" s="1" t="s">
        <v>661</v>
      </c>
      <c r="U207" s="12">
        <v>41456</v>
      </c>
    </row>
    <row r="208" spans="1:23" x14ac:dyDescent="0.25">
      <c r="A208" s="2">
        <f t="shared" si="9"/>
        <v>5</v>
      </c>
      <c r="B208" t="s">
        <v>710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478</v>
      </c>
      <c r="P208" s="20" t="s">
        <v>505</v>
      </c>
      <c r="Q208" s="1">
        <f t="shared" si="8"/>
        <v>1</v>
      </c>
      <c r="R208" s="1">
        <v>36</v>
      </c>
      <c r="T208" s="1" t="s">
        <v>661</v>
      </c>
      <c r="U208" s="12">
        <v>41456</v>
      </c>
    </row>
    <row r="209" spans="1:21" x14ac:dyDescent="0.25">
      <c r="A209" s="2">
        <v>6</v>
      </c>
      <c r="B209" t="s">
        <v>711</v>
      </c>
      <c r="J209" s="1"/>
      <c r="M209" t="s">
        <v>15</v>
      </c>
      <c r="N209" t="str">
        <f>IFERROR(VLOOKUP(B209,'[1]All Player'!$B$2:$C$1992,2,0),"")</f>
        <v/>
      </c>
      <c r="O209" s="2" t="s">
        <v>476</v>
      </c>
      <c r="P209" s="20" t="s">
        <v>530</v>
      </c>
      <c r="Q209" s="1">
        <f t="shared" si="8"/>
        <v>1</v>
      </c>
      <c r="R209" s="1">
        <v>37</v>
      </c>
      <c r="T209" s="1" t="s">
        <v>661</v>
      </c>
      <c r="U209" s="12">
        <v>41456</v>
      </c>
    </row>
    <row r="210" spans="1:21" x14ac:dyDescent="0.25">
      <c r="A210" s="2">
        <f t="shared" si="9"/>
        <v>6</v>
      </c>
      <c r="B210" t="s">
        <v>712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476</v>
      </c>
      <c r="P210" s="20" t="s">
        <v>530</v>
      </c>
      <c r="Q210" s="1">
        <f t="shared" si="8"/>
        <v>1</v>
      </c>
      <c r="R210" s="1">
        <v>37</v>
      </c>
      <c r="T210" s="1" t="s">
        <v>661</v>
      </c>
      <c r="U210" s="12">
        <v>41456</v>
      </c>
    </row>
    <row r="211" spans="1:21" x14ac:dyDescent="0.25">
      <c r="A211" s="2">
        <f t="shared" si="9"/>
        <v>6</v>
      </c>
      <c r="B211" t="s">
        <v>689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476</v>
      </c>
      <c r="P211" s="20" t="s">
        <v>530</v>
      </c>
      <c r="Q211" s="1">
        <f t="shared" si="8"/>
        <v>1</v>
      </c>
      <c r="R211" s="1">
        <v>37</v>
      </c>
      <c r="T211" s="1" t="s">
        <v>661</v>
      </c>
      <c r="U211" s="12">
        <v>41456</v>
      </c>
    </row>
    <row r="212" spans="1:21" x14ac:dyDescent="0.25">
      <c r="A212" s="2">
        <f t="shared" si="9"/>
        <v>6</v>
      </c>
      <c r="B212" t="s">
        <v>713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476</v>
      </c>
      <c r="P212" s="20" t="s">
        <v>530</v>
      </c>
      <c r="Q212" s="1">
        <f t="shared" si="8"/>
        <v>1</v>
      </c>
      <c r="R212" s="1">
        <v>37</v>
      </c>
      <c r="T212" s="1" t="s">
        <v>661</v>
      </c>
      <c r="U212" s="12">
        <v>41456</v>
      </c>
    </row>
    <row r="213" spans="1:21" x14ac:dyDescent="0.25">
      <c r="A213" s="2">
        <f t="shared" si="9"/>
        <v>6</v>
      </c>
      <c r="B213" t="s">
        <v>714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476</v>
      </c>
      <c r="P213" s="20" t="s">
        <v>530</v>
      </c>
      <c r="Q213" s="1">
        <f t="shared" si="8"/>
        <v>1</v>
      </c>
      <c r="R213" s="1">
        <v>37</v>
      </c>
      <c r="T213" s="1" t="s">
        <v>661</v>
      </c>
      <c r="U213" s="12">
        <v>41456</v>
      </c>
    </row>
    <row r="214" spans="1:21" x14ac:dyDescent="0.25">
      <c r="A214" s="2">
        <f t="shared" si="9"/>
        <v>6</v>
      </c>
      <c r="B214" t="s">
        <v>715</v>
      </c>
      <c r="J214" s="1"/>
      <c r="M214" t="s">
        <v>15</v>
      </c>
      <c r="N214" t="str">
        <f>IFERROR(VLOOKUP(B214,'[1]All Player'!$B$2:$C$1992,2,0),"")</f>
        <v/>
      </c>
      <c r="O214" s="2" t="s">
        <v>476</v>
      </c>
      <c r="P214" s="20" t="s">
        <v>579</v>
      </c>
      <c r="Q214" s="1">
        <f t="shared" si="8"/>
        <v>1</v>
      </c>
      <c r="R214" s="1">
        <v>38</v>
      </c>
      <c r="T214" s="1" t="s">
        <v>674</v>
      </c>
      <c r="U214" s="12">
        <v>41456</v>
      </c>
    </row>
    <row r="215" spans="1:21" x14ac:dyDescent="0.25">
      <c r="A215" s="2">
        <f t="shared" si="9"/>
        <v>6</v>
      </c>
      <c r="B215" t="s">
        <v>716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476</v>
      </c>
      <c r="P215" s="20" t="s">
        <v>579</v>
      </c>
      <c r="Q215" s="1">
        <f t="shared" si="8"/>
        <v>1</v>
      </c>
      <c r="R215" s="1">
        <v>38</v>
      </c>
      <c r="T215" s="1" t="s">
        <v>674</v>
      </c>
      <c r="U215" s="12">
        <v>41456</v>
      </c>
    </row>
    <row r="216" spans="1:21" x14ac:dyDescent="0.25">
      <c r="A216" s="2">
        <f t="shared" si="9"/>
        <v>6</v>
      </c>
      <c r="B216" t="s">
        <v>684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476</v>
      </c>
      <c r="P216" s="20" t="s">
        <v>579</v>
      </c>
      <c r="Q216" s="1">
        <f t="shared" si="8"/>
        <v>1</v>
      </c>
      <c r="R216" s="1">
        <v>38</v>
      </c>
      <c r="T216" s="1" t="s">
        <v>674</v>
      </c>
      <c r="U216" s="12">
        <v>41456</v>
      </c>
    </row>
    <row r="217" spans="1:21" x14ac:dyDescent="0.25">
      <c r="A217" s="2">
        <f t="shared" si="9"/>
        <v>6</v>
      </c>
      <c r="B217" t="s">
        <v>717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476</v>
      </c>
      <c r="P217" s="20" t="s">
        <v>579</v>
      </c>
      <c r="Q217" s="1">
        <f t="shared" si="8"/>
        <v>1</v>
      </c>
      <c r="R217" s="1">
        <v>38</v>
      </c>
      <c r="T217" s="1" t="s">
        <v>674</v>
      </c>
      <c r="U217" s="12">
        <v>41456</v>
      </c>
    </row>
    <row r="218" spans="1:21" x14ac:dyDescent="0.25">
      <c r="A218" s="2">
        <f t="shared" si="9"/>
        <v>6</v>
      </c>
      <c r="B218" t="s">
        <v>718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476</v>
      </c>
      <c r="P218" s="20" t="s">
        <v>579</v>
      </c>
      <c r="Q218" s="1">
        <f t="shared" si="8"/>
        <v>1</v>
      </c>
      <c r="R218" s="1">
        <v>38</v>
      </c>
      <c r="T218" s="1" t="s">
        <v>674</v>
      </c>
      <c r="U218" s="12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476</v>
      </c>
      <c r="P219" s="20" t="s">
        <v>579</v>
      </c>
      <c r="Q219" s="1">
        <f t="shared" si="8"/>
        <v>1</v>
      </c>
      <c r="R219" s="1">
        <v>38</v>
      </c>
      <c r="T219" s="1" t="s">
        <v>674</v>
      </c>
      <c r="U219" s="12">
        <v>41456</v>
      </c>
    </row>
    <row r="220" spans="1:21" x14ac:dyDescent="0.25">
      <c r="A220" s="2">
        <f t="shared" si="9"/>
        <v>6</v>
      </c>
      <c r="B220" t="s">
        <v>719</v>
      </c>
      <c r="J220" s="1"/>
      <c r="M220" t="s">
        <v>15</v>
      </c>
      <c r="N220" t="str">
        <f>IFERROR(VLOOKUP(B220,'[1]All Player'!$B$2:$C$1992,2,0),"")</f>
        <v/>
      </c>
      <c r="O220" s="2" t="s">
        <v>476</v>
      </c>
      <c r="P220" s="20" t="s">
        <v>580</v>
      </c>
      <c r="Q220" s="1">
        <f t="shared" si="8"/>
        <v>1</v>
      </c>
      <c r="R220" s="1">
        <v>39</v>
      </c>
      <c r="U220" s="12">
        <v>41456</v>
      </c>
    </row>
    <row r="221" spans="1:21" x14ac:dyDescent="0.25">
      <c r="A221" s="2">
        <f t="shared" si="9"/>
        <v>6</v>
      </c>
      <c r="B221" t="s">
        <v>703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476</v>
      </c>
      <c r="P221" s="20" t="s">
        <v>580</v>
      </c>
      <c r="Q221" s="1">
        <f t="shared" si="8"/>
        <v>1</v>
      </c>
      <c r="R221" s="1">
        <v>39</v>
      </c>
      <c r="U221" s="12">
        <v>41456</v>
      </c>
    </row>
    <row r="222" spans="1:21" x14ac:dyDescent="0.25">
      <c r="A222" s="2">
        <f t="shared" si="9"/>
        <v>6</v>
      </c>
      <c r="B222" t="s">
        <v>682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476</v>
      </c>
      <c r="P222" s="20" t="s">
        <v>580</v>
      </c>
      <c r="Q222" s="1">
        <f t="shared" si="8"/>
        <v>1</v>
      </c>
      <c r="R222" s="1">
        <v>39</v>
      </c>
      <c r="U222" s="12">
        <v>41456</v>
      </c>
    </row>
    <row r="223" spans="1:21" x14ac:dyDescent="0.25">
      <c r="A223" s="2">
        <f t="shared" si="9"/>
        <v>6</v>
      </c>
      <c r="B223" t="s">
        <v>720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476</v>
      </c>
      <c r="P223" s="20" t="s">
        <v>580</v>
      </c>
      <c r="Q223" s="1">
        <f t="shared" si="8"/>
        <v>1</v>
      </c>
      <c r="R223" s="1">
        <v>39</v>
      </c>
      <c r="U223" s="12">
        <v>41456</v>
      </c>
    </row>
    <row r="224" spans="1:21" x14ac:dyDescent="0.25">
      <c r="A224" s="2">
        <f t="shared" si="9"/>
        <v>6</v>
      </c>
      <c r="B224" t="s">
        <v>721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476</v>
      </c>
      <c r="P224" s="20" t="s">
        <v>580</v>
      </c>
      <c r="Q224" s="1">
        <f t="shared" si="8"/>
        <v>1</v>
      </c>
      <c r="R224" s="1">
        <v>39</v>
      </c>
      <c r="U224" s="12">
        <v>41456</v>
      </c>
    </row>
    <row r="225" spans="1:21" x14ac:dyDescent="0.25">
      <c r="A225" s="2">
        <f t="shared" si="9"/>
        <v>6</v>
      </c>
      <c r="B225" t="s">
        <v>301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476</v>
      </c>
      <c r="P225" s="20" t="s">
        <v>580</v>
      </c>
      <c r="Q225" s="1">
        <f t="shared" si="8"/>
        <v>1</v>
      </c>
      <c r="R225" s="1">
        <v>39</v>
      </c>
      <c r="U225" s="12">
        <v>41456</v>
      </c>
    </row>
    <row r="226" spans="1:21" x14ac:dyDescent="0.25">
      <c r="A226" s="2">
        <f t="shared" si="9"/>
        <v>6</v>
      </c>
      <c r="B226" t="s">
        <v>722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476</v>
      </c>
      <c r="P226" s="20" t="s">
        <v>580</v>
      </c>
      <c r="Q226" s="1">
        <f t="shared" si="8"/>
        <v>1</v>
      </c>
      <c r="R226" s="1">
        <v>39</v>
      </c>
      <c r="U226" s="12">
        <v>41456</v>
      </c>
    </row>
    <row r="227" spans="1:21" x14ac:dyDescent="0.25">
      <c r="A227" s="2">
        <f t="shared" si="9"/>
        <v>6</v>
      </c>
      <c r="B227" t="s">
        <v>723</v>
      </c>
      <c r="J227" s="1"/>
      <c r="M227" t="s">
        <v>15</v>
      </c>
      <c r="N227" t="str">
        <f>IFERROR(VLOOKUP(B227,'[1]All Player'!$B$2:$C$1992,2,0),"")</f>
        <v/>
      </c>
      <c r="O227" s="2" t="s">
        <v>476</v>
      </c>
      <c r="P227" s="20" t="s">
        <v>477</v>
      </c>
      <c r="Q227" s="1">
        <f t="shared" si="8"/>
        <v>1</v>
      </c>
      <c r="R227" s="1">
        <v>40</v>
      </c>
      <c r="U227" s="12">
        <v>41456</v>
      </c>
    </row>
    <row r="228" spans="1:21" x14ac:dyDescent="0.25">
      <c r="A228" s="2">
        <f t="shared" si="9"/>
        <v>6</v>
      </c>
      <c r="B228" t="s">
        <v>698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476</v>
      </c>
      <c r="P228" s="20" t="s">
        <v>477</v>
      </c>
      <c r="Q228" s="1">
        <f t="shared" si="8"/>
        <v>1</v>
      </c>
      <c r="R228" s="1">
        <v>40</v>
      </c>
      <c r="U228" s="12">
        <v>41456</v>
      </c>
    </row>
    <row r="229" spans="1:21" x14ac:dyDescent="0.25">
      <c r="A229" s="2">
        <f t="shared" si="9"/>
        <v>6</v>
      </c>
      <c r="B229" t="s">
        <v>303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476</v>
      </c>
      <c r="P229" s="20" t="s">
        <v>477</v>
      </c>
      <c r="Q229" s="1">
        <f t="shared" si="8"/>
        <v>1</v>
      </c>
      <c r="R229" s="1">
        <v>40</v>
      </c>
      <c r="U229" s="12">
        <v>41456</v>
      </c>
    </row>
    <row r="230" spans="1:21" x14ac:dyDescent="0.25">
      <c r="A230" s="2">
        <f t="shared" si="9"/>
        <v>6</v>
      </c>
      <c r="B230" t="s">
        <v>724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476</v>
      </c>
      <c r="P230" s="20" t="s">
        <v>477</v>
      </c>
      <c r="Q230" s="1">
        <f t="shared" si="8"/>
        <v>1</v>
      </c>
      <c r="R230" s="1">
        <v>40</v>
      </c>
      <c r="U230" s="12">
        <v>41456</v>
      </c>
    </row>
    <row r="231" spans="1:21" x14ac:dyDescent="0.25">
      <c r="A231" s="2">
        <f t="shared" si="9"/>
        <v>6</v>
      </c>
      <c r="B231" t="s">
        <v>242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476</v>
      </c>
      <c r="P231" s="20" t="s">
        <v>477</v>
      </c>
      <c r="Q231" s="1">
        <f t="shared" si="8"/>
        <v>1</v>
      </c>
      <c r="R231" s="1">
        <v>40</v>
      </c>
      <c r="U231" s="12">
        <v>41456</v>
      </c>
    </row>
    <row r="232" spans="1:21" x14ac:dyDescent="0.25">
      <c r="A232" s="2">
        <f t="shared" si="9"/>
        <v>6</v>
      </c>
      <c r="B232" t="s">
        <v>725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476</v>
      </c>
      <c r="P232" s="20" t="s">
        <v>477</v>
      </c>
      <c r="Q232" s="1">
        <f t="shared" si="8"/>
        <v>1</v>
      </c>
      <c r="R232" s="1">
        <v>40</v>
      </c>
      <c r="U232" s="12">
        <v>41456</v>
      </c>
    </row>
    <row r="233" spans="1:21" x14ac:dyDescent="0.25">
      <c r="A233" s="2">
        <f t="shared" si="9"/>
        <v>6</v>
      </c>
      <c r="B233" t="s">
        <v>726</v>
      </c>
      <c r="J233" s="1"/>
      <c r="M233" t="s">
        <v>15</v>
      </c>
      <c r="N233" t="str">
        <f>IFERROR(VLOOKUP(B233,'[1]All Player'!$B$2:$C$1992,2,0),"")</f>
        <v/>
      </c>
      <c r="O233" s="2" t="s">
        <v>476</v>
      </c>
      <c r="P233" s="20" t="s">
        <v>581</v>
      </c>
      <c r="Q233" s="1">
        <f t="shared" si="8"/>
        <v>1</v>
      </c>
      <c r="R233" s="1">
        <v>41</v>
      </c>
      <c r="U233" s="12">
        <v>41456</v>
      </c>
    </row>
    <row r="234" spans="1:21" x14ac:dyDescent="0.25">
      <c r="A234" s="2">
        <f t="shared" si="9"/>
        <v>6</v>
      </c>
      <c r="B234" t="s">
        <v>699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476</v>
      </c>
      <c r="P234" s="20" t="s">
        <v>581</v>
      </c>
      <c r="Q234" s="1">
        <f t="shared" si="8"/>
        <v>1</v>
      </c>
      <c r="R234" s="1">
        <v>41</v>
      </c>
      <c r="U234" s="12">
        <v>41456</v>
      </c>
    </row>
    <row r="235" spans="1:21" x14ac:dyDescent="0.25">
      <c r="A235" s="2">
        <f t="shared" si="9"/>
        <v>6</v>
      </c>
      <c r="B235" t="s">
        <v>709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476</v>
      </c>
      <c r="P235" s="20" t="s">
        <v>581</v>
      </c>
      <c r="Q235" s="1">
        <f t="shared" si="8"/>
        <v>1</v>
      </c>
      <c r="R235" s="1">
        <v>41</v>
      </c>
      <c r="U235" s="12">
        <v>41456</v>
      </c>
    </row>
    <row r="236" spans="1:21" x14ac:dyDescent="0.25">
      <c r="A236" s="2">
        <f t="shared" si="9"/>
        <v>6</v>
      </c>
      <c r="B236" t="s">
        <v>727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476</v>
      </c>
      <c r="P236" s="20" t="s">
        <v>581</v>
      </c>
      <c r="Q236" s="1">
        <f t="shared" si="8"/>
        <v>1</v>
      </c>
      <c r="R236" s="1">
        <v>41</v>
      </c>
      <c r="U236" s="12">
        <v>41456</v>
      </c>
    </row>
    <row r="237" spans="1:21" x14ac:dyDescent="0.25">
      <c r="A237" s="2">
        <f t="shared" si="9"/>
        <v>6</v>
      </c>
      <c r="B237" t="s">
        <v>728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476</v>
      </c>
      <c r="P237" s="20" t="s">
        <v>581</v>
      </c>
      <c r="Q237" s="1">
        <f t="shared" si="8"/>
        <v>1</v>
      </c>
      <c r="R237" s="1">
        <v>41</v>
      </c>
      <c r="U237" s="12">
        <v>41456</v>
      </c>
    </row>
    <row r="238" spans="1:21" x14ac:dyDescent="0.25">
      <c r="A238" s="2">
        <f t="shared" si="9"/>
        <v>6</v>
      </c>
      <c r="B238" t="s">
        <v>309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476</v>
      </c>
      <c r="P238" s="20" t="s">
        <v>581</v>
      </c>
      <c r="Q238" s="1">
        <f t="shared" si="8"/>
        <v>1</v>
      </c>
      <c r="R238" s="1">
        <v>41</v>
      </c>
      <c r="U238" s="12">
        <v>41456</v>
      </c>
    </row>
    <row r="239" spans="1:21" x14ac:dyDescent="0.25">
      <c r="A239" s="2">
        <f t="shared" si="9"/>
        <v>6</v>
      </c>
      <c r="B239" t="s">
        <v>729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476</v>
      </c>
      <c r="P239" s="20" t="s">
        <v>581</v>
      </c>
      <c r="Q239" s="1">
        <f t="shared" si="8"/>
        <v>1</v>
      </c>
      <c r="R239" s="1">
        <v>41</v>
      </c>
      <c r="U239" s="12">
        <v>41456</v>
      </c>
    </row>
    <row r="240" spans="1:21" x14ac:dyDescent="0.25">
      <c r="A240" s="2">
        <f t="shared" si="9"/>
        <v>6</v>
      </c>
      <c r="B240" t="s">
        <v>730</v>
      </c>
      <c r="J240" s="1"/>
      <c r="M240" t="s">
        <v>15</v>
      </c>
      <c r="N240" t="str">
        <f>IFERROR(VLOOKUP(B240,'[1]All Player'!$B$2:$C$1992,2,0),"")</f>
        <v/>
      </c>
      <c r="O240" s="2" t="s">
        <v>476</v>
      </c>
      <c r="P240" s="20" t="s">
        <v>482</v>
      </c>
      <c r="Q240" s="1">
        <f t="shared" si="8"/>
        <v>1</v>
      </c>
      <c r="R240" s="1">
        <v>42</v>
      </c>
      <c r="U240" s="12">
        <v>41456</v>
      </c>
    </row>
    <row r="241" spans="1:21" x14ac:dyDescent="0.25">
      <c r="A241" s="2">
        <f t="shared" si="9"/>
        <v>6</v>
      </c>
      <c r="B241" t="s">
        <v>246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476</v>
      </c>
      <c r="P241" s="20" t="s">
        <v>482</v>
      </c>
      <c r="Q241" s="1">
        <f t="shared" si="8"/>
        <v>1</v>
      </c>
      <c r="R241" s="1">
        <v>42</v>
      </c>
      <c r="U241" s="12">
        <v>41456</v>
      </c>
    </row>
    <row r="242" spans="1:21" x14ac:dyDescent="0.25">
      <c r="A242" s="2">
        <f t="shared" si="9"/>
        <v>6</v>
      </c>
      <c r="B242" t="s">
        <v>731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476</v>
      </c>
      <c r="P242" s="20" t="s">
        <v>482</v>
      </c>
      <c r="Q242" s="1">
        <f t="shared" si="8"/>
        <v>1</v>
      </c>
      <c r="R242" s="1">
        <v>42</v>
      </c>
      <c r="U242" s="12">
        <v>41456</v>
      </c>
    </row>
    <row r="243" spans="1:21" x14ac:dyDescent="0.25">
      <c r="A243" s="2">
        <f t="shared" si="9"/>
        <v>6</v>
      </c>
      <c r="B243" t="s">
        <v>732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476</v>
      </c>
      <c r="P243" s="20" t="s">
        <v>482</v>
      </c>
      <c r="Q243" s="1">
        <f t="shared" si="8"/>
        <v>1</v>
      </c>
      <c r="R243" s="1">
        <v>42</v>
      </c>
      <c r="U243" s="12">
        <v>41456</v>
      </c>
    </row>
    <row r="244" spans="1:21" x14ac:dyDescent="0.25">
      <c r="A244" s="2">
        <f t="shared" si="9"/>
        <v>6</v>
      </c>
      <c r="B244" t="s">
        <v>733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476</v>
      </c>
      <c r="P244" s="20" t="s">
        <v>482</v>
      </c>
      <c r="Q244" s="1">
        <f t="shared" si="8"/>
        <v>1</v>
      </c>
      <c r="R244" s="1">
        <v>42</v>
      </c>
      <c r="U244" s="12">
        <v>41456</v>
      </c>
    </row>
    <row r="245" spans="1:21" x14ac:dyDescent="0.25">
      <c r="A245" s="2">
        <f t="shared" si="9"/>
        <v>6</v>
      </c>
      <c r="B245" t="s">
        <v>734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476</v>
      </c>
      <c r="P245" s="20" t="s">
        <v>482</v>
      </c>
      <c r="Q245" s="1">
        <f t="shared" si="8"/>
        <v>1</v>
      </c>
      <c r="R245" s="1">
        <v>42</v>
      </c>
      <c r="U245" s="12">
        <v>41456</v>
      </c>
    </row>
    <row r="246" spans="1:21" x14ac:dyDescent="0.25">
      <c r="A246" s="2">
        <f t="shared" si="9"/>
        <v>6</v>
      </c>
      <c r="B246" t="s">
        <v>735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476</v>
      </c>
      <c r="P246" s="20" t="s">
        <v>482</v>
      </c>
      <c r="Q246" s="1">
        <f t="shared" si="8"/>
        <v>1</v>
      </c>
      <c r="R246" s="1">
        <v>42</v>
      </c>
      <c r="U246" s="12">
        <v>41456</v>
      </c>
    </row>
    <row r="247" spans="1:21" x14ac:dyDescent="0.25">
      <c r="A247" s="2">
        <f t="shared" si="9"/>
        <v>6</v>
      </c>
      <c r="B247" t="s">
        <v>736</v>
      </c>
      <c r="J247" s="1"/>
      <c r="M247" t="s">
        <v>15</v>
      </c>
      <c r="N247" t="str">
        <f>IFERROR(VLOOKUP(B247,'[1]All Player'!$B$2:$C$1992,2,0),"")</f>
        <v/>
      </c>
      <c r="O247" s="2" t="s">
        <v>476</v>
      </c>
      <c r="P247" s="20" t="s">
        <v>540</v>
      </c>
      <c r="Q247" s="1">
        <f t="shared" si="8"/>
        <v>1</v>
      </c>
      <c r="R247" s="1">
        <v>43</v>
      </c>
      <c r="U247" s="12">
        <v>41456</v>
      </c>
    </row>
    <row r="248" spans="1:21" x14ac:dyDescent="0.25">
      <c r="A248" s="2">
        <f t="shared" si="9"/>
        <v>6</v>
      </c>
      <c r="B248" t="s">
        <v>737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476</v>
      </c>
      <c r="P248" s="20" t="s">
        <v>540</v>
      </c>
      <c r="Q248" s="1">
        <f t="shared" si="8"/>
        <v>1</v>
      </c>
      <c r="R248" s="1">
        <v>43</v>
      </c>
      <c r="U248" s="12">
        <v>41456</v>
      </c>
    </row>
    <row r="249" spans="1:21" x14ac:dyDescent="0.25">
      <c r="A249" s="2">
        <f t="shared" si="9"/>
        <v>6</v>
      </c>
      <c r="B249" t="s">
        <v>691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476</v>
      </c>
      <c r="P249" s="20" t="s">
        <v>540</v>
      </c>
      <c r="Q249" s="1">
        <f t="shared" si="8"/>
        <v>1</v>
      </c>
      <c r="R249" s="1">
        <v>43</v>
      </c>
      <c r="U249" s="12">
        <v>41456</v>
      </c>
    </row>
    <row r="250" spans="1:21" x14ac:dyDescent="0.25">
      <c r="A250" s="2">
        <f t="shared" si="9"/>
        <v>6</v>
      </c>
      <c r="B250" t="s">
        <v>738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476</v>
      </c>
      <c r="P250" s="20" t="s">
        <v>540</v>
      </c>
      <c r="Q250" s="1">
        <f t="shared" si="8"/>
        <v>1</v>
      </c>
      <c r="R250" s="1">
        <v>43</v>
      </c>
      <c r="U250" s="12">
        <v>41456</v>
      </c>
    </row>
    <row r="251" spans="1:21" x14ac:dyDescent="0.25">
      <c r="A251" s="2">
        <f t="shared" si="9"/>
        <v>6</v>
      </c>
      <c r="B251" t="s">
        <v>739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476</v>
      </c>
      <c r="P251" s="20" t="s">
        <v>540</v>
      </c>
      <c r="Q251" s="1">
        <f t="shared" si="8"/>
        <v>1</v>
      </c>
      <c r="R251" s="1">
        <v>43</v>
      </c>
      <c r="U251" s="12">
        <v>41456</v>
      </c>
    </row>
    <row r="252" spans="1:21" x14ac:dyDescent="0.25">
      <c r="A252" s="2">
        <f t="shared" si="9"/>
        <v>6</v>
      </c>
      <c r="B252" t="s">
        <v>740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476</v>
      </c>
      <c r="P252" s="20" t="s">
        <v>540</v>
      </c>
      <c r="Q252" s="1">
        <f t="shared" si="8"/>
        <v>1</v>
      </c>
      <c r="R252" s="1">
        <v>43</v>
      </c>
      <c r="U252" s="12">
        <v>41456</v>
      </c>
    </row>
    <row r="253" spans="1:21" x14ac:dyDescent="0.25">
      <c r="A253" s="2">
        <f>A252</f>
        <v>6</v>
      </c>
      <c r="B253" t="s">
        <v>741</v>
      </c>
      <c r="J253" s="1"/>
      <c r="M253" t="s">
        <v>15</v>
      </c>
      <c r="N253" t="str">
        <f>IFERROR(VLOOKUP(B253,'[1]All Player'!$B$2:$C$1992,2,0),"")</f>
        <v/>
      </c>
      <c r="O253" s="2" t="s">
        <v>476</v>
      </c>
      <c r="P253" s="20" t="s">
        <v>531</v>
      </c>
      <c r="Q253" s="1">
        <f t="shared" si="8"/>
        <v>1</v>
      </c>
      <c r="R253" s="1">
        <v>44</v>
      </c>
      <c r="T253" s="1" t="s">
        <v>659</v>
      </c>
      <c r="U253" s="12">
        <v>41456</v>
      </c>
    </row>
    <row r="254" spans="1:21" x14ac:dyDescent="0.25">
      <c r="A254" s="2">
        <f t="shared" si="9"/>
        <v>6</v>
      </c>
      <c r="B254" t="s">
        <v>701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476</v>
      </c>
      <c r="P254" s="20" t="s">
        <v>531</v>
      </c>
      <c r="Q254" s="1">
        <f t="shared" si="8"/>
        <v>1</v>
      </c>
      <c r="R254" s="1">
        <v>44</v>
      </c>
      <c r="T254" s="1" t="s">
        <v>659</v>
      </c>
      <c r="U254" s="12">
        <v>41456</v>
      </c>
    </row>
    <row r="255" spans="1:21" x14ac:dyDescent="0.25">
      <c r="A255" s="2">
        <f t="shared" si="9"/>
        <v>6</v>
      </c>
      <c r="B255" t="s">
        <v>231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476</v>
      </c>
      <c r="P255" s="20" t="s">
        <v>531</v>
      </c>
      <c r="Q255" s="1">
        <f t="shared" si="8"/>
        <v>1</v>
      </c>
      <c r="R255" s="1">
        <v>44</v>
      </c>
      <c r="T255" s="1" t="s">
        <v>659</v>
      </c>
      <c r="U255" s="12">
        <v>41456</v>
      </c>
    </row>
    <row r="256" spans="1:21" x14ac:dyDescent="0.25">
      <c r="A256" s="2">
        <f t="shared" si="9"/>
        <v>6</v>
      </c>
      <c r="B256" t="s">
        <v>742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476</v>
      </c>
      <c r="P256" s="20" t="s">
        <v>531</v>
      </c>
      <c r="Q256" s="1">
        <f t="shared" si="8"/>
        <v>1</v>
      </c>
      <c r="R256" s="1">
        <v>44</v>
      </c>
      <c r="T256" s="1" t="s">
        <v>659</v>
      </c>
      <c r="U256" s="12">
        <v>41456</v>
      </c>
    </row>
    <row r="257" spans="1:23" x14ac:dyDescent="0.25">
      <c r="A257" s="2">
        <f t="shared" si="9"/>
        <v>6</v>
      </c>
      <c r="B257" t="s">
        <v>743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476</v>
      </c>
      <c r="P257" s="20" t="s">
        <v>531</v>
      </c>
      <c r="Q257" s="1">
        <f t="shared" si="8"/>
        <v>1</v>
      </c>
      <c r="R257" s="1">
        <v>44</v>
      </c>
      <c r="S257" s="2" t="s">
        <v>660</v>
      </c>
      <c r="T257" s="1" t="s">
        <v>659</v>
      </c>
      <c r="U257" s="12">
        <v>41456</v>
      </c>
    </row>
    <row r="258" spans="1:23" x14ac:dyDescent="0.25">
      <c r="A258" s="2">
        <f t="shared" si="9"/>
        <v>6</v>
      </c>
      <c r="B258" t="s">
        <v>744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476</v>
      </c>
      <c r="P258" s="20" t="s">
        <v>531</v>
      </c>
      <c r="Q258" s="1">
        <f t="shared" ref="Q258:Q321" si="10">IF(B258="","",1)</f>
        <v>1</v>
      </c>
      <c r="R258" s="1">
        <v>44</v>
      </c>
      <c r="T258" s="1" t="s">
        <v>659</v>
      </c>
      <c r="U258" s="12">
        <v>41456</v>
      </c>
    </row>
    <row r="259" spans="1:23" x14ac:dyDescent="0.25">
      <c r="A259" s="2">
        <f t="shared" si="9"/>
        <v>6</v>
      </c>
      <c r="B259" t="s">
        <v>745</v>
      </c>
      <c r="J259" s="1"/>
      <c r="M259" t="s">
        <v>15</v>
      </c>
      <c r="N259" t="str">
        <f>IFERROR(VLOOKUP(B259,'[1]All Player'!$B$2:$C$1992,2,0),"")</f>
        <v/>
      </c>
      <c r="O259" s="2" t="s">
        <v>476</v>
      </c>
      <c r="P259" s="20" t="s">
        <v>510</v>
      </c>
      <c r="Q259" s="1">
        <f t="shared" si="10"/>
        <v>1</v>
      </c>
      <c r="R259" s="1">
        <v>45</v>
      </c>
      <c r="U259" s="12">
        <v>41456</v>
      </c>
    </row>
    <row r="260" spans="1:23" x14ac:dyDescent="0.25">
      <c r="A260" s="2">
        <f t="shared" si="9"/>
        <v>6</v>
      </c>
      <c r="B260" t="s">
        <v>746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476</v>
      </c>
      <c r="P260" s="20" t="s">
        <v>510</v>
      </c>
      <c r="Q260" s="1">
        <f t="shared" si="10"/>
        <v>1</v>
      </c>
      <c r="R260" s="1">
        <v>45</v>
      </c>
      <c r="U260" s="12">
        <v>41456</v>
      </c>
    </row>
    <row r="261" spans="1:23" x14ac:dyDescent="0.25">
      <c r="A261" s="2">
        <f t="shared" si="9"/>
        <v>6</v>
      </c>
      <c r="B261" t="s">
        <v>704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476</v>
      </c>
      <c r="P261" s="20" t="s">
        <v>510</v>
      </c>
      <c r="Q261" s="1">
        <f t="shared" si="10"/>
        <v>1</v>
      </c>
      <c r="R261" s="1">
        <v>45</v>
      </c>
      <c r="U261" s="12">
        <v>41456</v>
      </c>
    </row>
    <row r="262" spans="1:23" x14ac:dyDescent="0.25">
      <c r="A262" s="2">
        <f t="shared" ref="A262:A314" si="11">A261</f>
        <v>6</v>
      </c>
      <c r="B262" t="s">
        <v>747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476</v>
      </c>
      <c r="P262" s="20" t="s">
        <v>510</v>
      </c>
      <c r="Q262" s="1">
        <f t="shared" si="10"/>
        <v>1</v>
      </c>
      <c r="R262" s="1">
        <v>45</v>
      </c>
      <c r="U262" s="12">
        <v>41456</v>
      </c>
    </row>
    <row r="263" spans="1:23" x14ac:dyDescent="0.25">
      <c r="A263" s="2">
        <f t="shared" si="11"/>
        <v>6</v>
      </c>
      <c r="B263" t="s">
        <v>748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476</v>
      </c>
      <c r="P263" s="20" t="s">
        <v>510</v>
      </c>
      <c r="Q263" s="1">
        <f t="shared" si="10"/>
        <v>1</v>
      </c>
      <c r="R263" s="1">
        <v>45</v>
      </c>
      <c r="U263" s="12">
        <v>41456</v>
      </c>
      <c r="V263" s="1">
        <v>1</v>
      </c>
    </row>
    <row r="264" spans="1:23" x14ac:dyDescent="0.25">
      <c r="A264" s="2">
        <f t="shared" si="11"/>
        <v>6</v>
      </c>
      <c r="B264" t="s">
        <v>749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476</v>
      </c>
      <c r="P264" s="20" t="s">
        <v>510</v>
      </c>
      <c r="Q264" s="1">
        <f t="shared" si="10"/>
        <v>1</v>
      </c>
      <c r="R264" s="1">
        <v>45</v>
      </c>
      <c r="U264" s="12">
        <v>41456</v>
      </c>
    </row>
    <row r="265" spans="1:23" x14ac:dyDescent="0.25">
      <c r="A265" s="2">
        <f t="shared" si="11"/>
        <v>6</v>
      </c>
      <c r="B265" t="s">
        <v>750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476</v>
      </c>
      <c r="P265" s="20" t="s">
        <v>510</v>
      </c>
      <c r="Q265" s="1">
        <f t="shared" si="10"/>
        <v>1</v>
      </c>
      <c r="R265" s="1">
        <v>45</v>
      </c>
      <c r="U265" s="12">
        <v>41456</v>
      </c>
    </row>
    <row r="266" spans="1:23" x14ac:dyDescent="0.25">
      <c r="A266" s="2">
        <f t="shared" si="11"/>
        <v>6</v>
      </c>
      <c r="B266" t="s">
        <v>751</v>
      </c>
      <c r="J266" s="1"/>
      <c r="M266" t="s">
        <v>15</v>
      </c>
      <c r="N266" t="str">
        <f>IFERROR(VLOOKUP(B266,'[1]All Player'!$B$2:$C$1992,2,0),"")</f>
        <v/>
      </c>
      <c r="O266" s="2" t="s">
        <v>476</v>
      </c>
      <c r="P266" s="20" t="s">
        <v>582</v>
      </c>
      <c r="Q266" s="1">
        <f t="shared" si="10"/>
        <v>1</v>
      </c>
      <c r="R266" s="1">
        <v>46</v>
      </c>
      <c r="U266" s="12">
        <v>41456</v>
      </c>
    </row>
    <row r="267" spans="1:23" x14ac:dyDescent="0.25">
      <c r="A267" s="2">
        <f t="shared" si="11"/>
        <v>6</v>
      </c>
      <c r="B267" t="s">
        <v>752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476</v>
      </c>
      <c r="P267" s="20" t="s">
        <v>582</v>
      </c>
      <c r="Q267" s="1">
        <f t="shared" si="10"/>
        <v>1</v>
      </c>
      <c r="R267" s="26">
        <v>46</v>
      </c>
      <c r="S267" s="2" t="s">
        <v>662</v>
      </c>
      <c r="U267" s="12">
        <v>41456</v>
      </c>
      <c r="W267" s="1">
        <v>1</v>
      </c>
    </row>
    <row r="268" spans="1:23" x14ac:dyDescent="0.25">
      <c r="A268" s="2">
        <f t="shared" si="11"/>
        <v>6</v>
      </c>
      <c r="B268" t="s">
        <v>706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476</v>
      </c>
      <c r="P268" s="20" t="s">
        <v>582</v>
      </c>
      <c r="Q268" s="1">
        <f t="shared" si="10"/>
        <v>1</v>
      </c>
      <c r="R268" s="1">
        <v>46</v>
      </c>
      <c r="U268" s="12">
        <v>41456</v>
      </c>
    </row>
    <row r="269" spans="1:23" x14ac:dyDescent="0.25">
      <c r="A269" s="2">
        <f t="shared" si="11"/>
        <v>6</v>
      </c>
      <c r="B269" t="s">
        <v>694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476</v>
      </c>
      <c r="P269" s="20" t="s">
        <v>582</v>
      </c>
      <c r="Q269" s="1">
        <f t="shared" si="10"/>
        <v>1</v>
      </c>
      <c r="R269" s="1">
        <v>46</v>
      </c>
      <c r="U269" s="12">
        <v>41456</v>
      </c>
    </row>
    <row r="270" spans="1:23" x14ac:dyDescent="0.25">
      <c r="A270" s="2">
        <f t="shared" si="11"/>
        <v>6</v>
      </c>
      <c r="B270" t="s">
        <v>358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476</v>
      </c>
      <c r="P270" s="20" t="s">
        <v>582</v>
      </c>
      <c r="Q270" s="1">
        <f t="shared" si="10"/>
        <v>1</v>
      </c>
      <c r="R270" s="1">
        <v>46</v>
      </c>
      <c r="U270" s="12">
        <v>41456</v>
      </c>
    </row>
    <row r="271" spans="1:23" x14ac:dyDescent="0.25">
      <c r="A271" s="2">
        <f t="shared" si="11"/>
        <v>6</v>
      </c>
      <c r="B271" t="s">
        <v>753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476</v>
      </c>
      <c r="P271" s="20" t="s">
        <v>582</v>
      </c>
      <c r="Q271" s="1">
        <f t="shared" si="10"/>
        <v>1</v>
      </c>
      <c r="R271" s="1">
        <v>46</v>
      </c>
      <c r="U271" s="12">
        <v>41456</v>
      </c>
    </row>
    <row r="272" spans="1:23" x14ac:dyDescent="0.25">
      <c r="A272" s="2">
        <f t="shared" si="11"/>
        <v>6</v>
      </c>
      <c r="B272" t="s">
        <v>705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476</v>
      </c>
      <c r="P272" s="20" t="s">
        <v>582</v>
      </c>
      <c r="Q272" s="1">
        <f t="shared" si="10"/>
        <v>1</v>
      </c>
      <c r="R272" s="1">
        <v>46</v>
      </c>
      <c r="U272" s="12">
        <v>41456</v>
      </c>
    </row>
    <row r="273" spans="1:21" x14ac:dyDescent="0.25">
      <c r="A273" s="2">
        <f t="shared" si="11"/>
        <v>6</v>
      </c>
      <c r="B273" t="s">
        <v>754</v>
      </c>
      <c r="J273" s="1"/>
      <c r="M273" t="s">
        <v>15</v>
      </c>
      <c r="N273" t="str">
        <f>IFERROR(VLOOKUP(B273,'[1]All Player'!$B$2:$C$1992,2,0),"")</f>
        <v/>
      </c>
      <c r="O273" s="2" t="s">
        <v>476</v>
      </c>
      <c r="P273" s="20" t="s">
        <v>490</v>
      </c>
      <c r="Q273" s="1">
        <f t="shared" si="10"/>
        <v>1</v>
      </c>
      <c r="R273" s="1">
        <v>47</v>
      </c>
      <c r="U273" s="12">
        <v>41456</v>
      </c>
    </row>
    <row r="274" spans="1:21" x14ac:dyDescent="0.25">
      <c r="A274" s="2">
        <f t="shared" si="11"/>
        <v>6</v>
      </c>
      <c r="B274" t="s">
        <v>688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476</v>
      </c>
      <c r="P274" s="20" t="s">
        <v>490</v>
      </c>
      <c r="Q274" s="1">
        <f t="shared" si="10"/>
        <v>1</v>
      </c>
      <c r="R274" s="1">
        <v>47</v>
      </c>
      <c r="U274" s="12">
        <v>41456</v>
      </c>
    </row>
    <row r="275" spans="1:21" x14ac:dyDescent="0.25">
      <c r="A275" s="2">
        <f t="shared" si="11"/>
        <v>6</v>
      </c>
      <c r="B275" t="s">
        <v>685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476</v>
      </c>
      <c r="P275" s="20" t="s">
        <v>490</v>
      </c>
      <c r="Q275" s="1">
        <f t="shared" si="10"/>
        <v>1</v>
      </c>
      <c r="R275" s="1">
        <v>47</v>
      </c>
      <c r="U275" s="12">
        <v>41456</v>
      </c>
    </row>
    <row r="276" spans="1:21" x14ac:dyDescent="0.25">
      <c r="A276" s="2">
        <f t="shared" si="11"/>
        <v>6</v>
      </c>
      <c r="B276" t="s">
        <v>755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476</v>
      </c>
      <c r="P276" s="20" t="s">
        <v>490</v>
      </c>
      <c r="Q276" s="1">
        <f t="shared" si="10"/>
        <v>1</v>
      </c>
      <c r="R276" s="1">
        <v>47</v>
      </c>
      <c r="U276" s="12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476</v>
      </c>
      <c r="P277" s="20" t="s">
        <v>490</v>
      </c>
      <c r="Q277" s="1">
        <f t="shared" si="10"/>
        <v>1</v>
      </c>
      <c r="R277" s="1">
        <v>47</v>
      </c>
      <c r="U277" s="12">
        <v>41456</v>
      </c>
    </row>
    <row r="278" spans="1:21" x14ac:dyDescent="0.25">
      <c r="A278" s="2">
        <f t="shared" si="11"/>
        <v>6</v>
      </c>
      <c r="B278" t="s">
        <v>756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476</v>
      </c>
      <c r="P278" s="20" t="s">
        <v>490</v>
      </c>
      <c r="Q278" s="1">
        <f t="shared" si="10"/>
        <v>1</v>
      </c>
      <c r="R278" s="1">
        <v>47</v>
      </c>
      <c r="U278" s="12">
        <v>41456</v>
      </c>
    </row>
    <row r="279" spans="1:21" x14ac:dyDescent="0.25">
      <c r="A279" s="2">
        <f t="shared" si="11"/>
        <v>6</v>
      </c>
      <c r="B279" t="s">
        <v>757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476</v>
      </c>
      <c r="P279" s="20" t="s">
        <v>490</v>
      </c>
      <c r="Q279" s="1">
        <f t="shared" si="10"/>
        <v>1</v>
      </c>
      <c r="R279" s="1">
        <v>47</v>
      </c>
      <c r="U279" s="12">
        <v>41456</v>
      </c>
    </row>
    <row r="280" spans="1:21" x14ac:dyDescent="0.25">
      <c r="A280" s="2">
        <f t="shared" si="11"/>
        <v>6</v>
      </c>
      <c r="B280" t="s">
        <v>758</v>
      </c>
      <c r="J280" s="1"/>
      <c r="M280" t="s">
        <v>15</v>
      </c>
      <c r="N280" t="str">
        <f>IFERROR(VLOOKUP(B280,'[1]All Player'!$B$2:$C$1992,2,0),"")</f>
        <v/>
      </c>
      <c r="O280" s="2" t="s">
        <v>476</v>
      </c>
      <c r="P280" s="20" t="s">
        <v>491</v>
      </c>
      <c r="Q280" s="1">
        <f t="shared" si="10"/>
        <v>1</v>
      </c>
      <c r="R280" s="1">
        <v>48</v>
      </c>
      <c r="U280" s="12">
        <v>41456</v>
      </c>
    </row>
    <row r="281" spans="1:21" x14ac:dyDescent="0.25">
      <c r="A281" s="2">
        <f t="shared" si="11"/>
        <v>6</v>
      </c>
      <c r="B281" t="s">
        <v>697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476</v>
      </c>
      <c r="P281" s="20" t="s">
        <v>491</v>
      </c>
      <c r="Q281" s="1">
        <f t="shared" si="10"/>
        <v>1</v>
      </c>
      <c r="R281" s="1">
        <v>48</v>
      </c>
      <c r="U281" s="12">
        <v>41456</v>
      </c>
    </row>
    <row r="282" spans="1:21" x14ac:dyDescent="0.25">
      <c r="A282" s="2">
        <f t="shared" si="11"/>
        <v>6</v>
      </c>
      <c r="B282" t="s">
        <v>759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476</v>
      </c>
      <c r="P282" s="20" t="s">
        <v>491</v>
      </c>
      <c r="Q282" s="1">
        <f t="shared" si="10"/>
        <v>1</v>
      </c>
      <c r="R282" s="1">
        <v>48</v>
      </c>
      <c r="U282" s="12">
        <v>41456</v>
      </c>
    </row>
    <row r="283" spans="1:21" x14ac:dyDescent="0.25">
      <c r="A283" s="2">
        <f t="shared" si="11"/>
        <v>6</v>
      </c>
      <c r="B283" t="s">
        <v>708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476</v>
      </c>
      <c r="P283" s="20" t="s">
        <v>491</v>
      </c>
      <c r="Q283" s="1">
        <f t="shared" si="10"/>
        <v>1</v>
      </c>
      <c r="R283" s="1">
        <v>48</v>
      </c>
      <c r="U283" s="12">
        <v>41456</v>
      </c>
    </row>
    <row r="284" spans="1:21" x14ac:dyDescent="0.25">
      <c r="A284" s="2">
        <f t="shared" si="11"/>
        <v>6</v>
      </c>
      <c r="B284" t="s">
        <v>760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476</v>
      </c>
      <c r="P284" s="20" t="s">
        <v>491</v>
      </c>
      <c r="Q284" s="1">
        <f t="shared" si="10"/>
        <v>1</v>
      </c>
      <c r="R284" s="1">
        <v>48</v>
      </c>
      <c r="U284" s="12">
        <v>41456</v>
      </c>
    </row>
    <row r="285" spans="1:21" x14ac:dyDescent="0.25">
      <c r="A285" s="2">
        <f t="shared" si="11"/>
        <v>6</v>
      </c>
      <c r="B285" t="s">
        <v>761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476</v>
      </c>
      <c r="P285" s="20" t="s">
        <v>491</v>
      </c>
      <c r="Q285" s="1">
        <f t="shared" si="10"/>
        <v>1</v>
      </c>
      <c r="R285" s="1">
        <v>48</v>
      </c>
      <c r="U285" s="12">
        <v>41456</v>
      </c>
    </row>
    <row r="286" spans="1:21" x14ac:dyDescent="0.25">
      <c r="A286" s="2">
        <f t="shared" si="11"/>
        <v>6</v>
      </c>
      <c r="B286" t="s">
        <v>762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476</v>
      </c>
      <c r="P286" s="20" t="s">
        <v>491</v>
      </c>
      <c r="Q286" s="1">
        <f t="shared" si="10"/>
        <v>1</v>
      </c>
      <c r="R286" s="1">
        <v>48</v>
      </c>
      <c r="U286" s="12">
        <v>41456</v>
      </c>
    </row>
    <row r="287" spans="1:21" x14ac:dyDescent="0.25">
      <c r="A287" s="2">
        <v>7</v>
      </c>
      <c r="B287" s="21" t="s">
        <v>763</v>
      </c>
      <c r="J287" s="1"/>
      <c r="M287" t="s">
        <v>15</v>
      </c>
      <c r="N287" t="str">
        <f>IFERROR(VLOOKUP(B287,'[1]All Player'!$B$2:$C$1992,2,0),"")</f>
        <v/>
      </c>
      <c r="O287" s="2" t="s">
        <v>492</v>
      </c>
      <c r="P287" s="20" t="s">
        <v>493</v>
      </c>
      <c r="Q287" s="1">
        <f t="shared" si="10"/>
        <v>1</v>
      </c>
      <c r="R287" s="1">
        <v>49</v>
      </c>
      <c r="U287" s="12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492</v>
      </c>
      <c r="P288" s="20" t="s">
        <v>493</v>
      </c>
      <c r="Q288" s="1">
        <f t="shared" si="10"/>
        <v>1</v>
      </c>
      <c r="R288" s="1">
        <v>49</v>
      </c>
      <c r="U288" s="12">
        <v>41487</v>
      </c>
    </row>
    <row r="289" spans="1:21" x14ac:dyDescent="0.25">
      <c r="A289" s="2">
        <f t="shared" si="11"/>
        <v>7</v>
      </c>
      <c r="B289" t="s">
        <v>206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492</v>
      </c>
      <c r="P289" s="20" t="s">
        <v>493</v>
      </c>
      <c r="Q289" s="1">
        <f t="shared" si="10"/>
        <v>1</v>
      </c>
      <c r="R289" s="1">
        <v>49</v>
      </c>
      <c r="U289" s="12">
        <v>41487</v>
      </c>
    </row>
    <row r="290" spans="1:21" x14ac:dyDescent="0.25">
      <c r="A290" s="2">
        <f t="shared" si="11"/>
        <v>7</v>
      </c>
      <c r="B290" t="s">
        <v>209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492</v>
      </c>
      <c r="P290" s="20" t="s">
        <v>493</v>
      </c>
      <c r="Q290" s="1">
        <f t="shared" si="10"/>
        <v>1</v>
      </c>
      <c r="R290" s="1">
        <v>49</v>
      </c>
      <c r="U290" s="12">
        <v>41487</v>
      </c>
    </row>
    <row r="291" spans="1:21" x14ac:dyDescent="0.25">
      <c r="A291" s="2">
        <f t="shared" si="11"/>
        <v>7</v>
      </c>
      <c r="B291" t="s">
        <v>748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492</v>
      </c>
      <c r="P291" s="20" t="s">
        <v>493</v>
      </c>
      <c r="Q291" s="1">
        <f t="shared" si="10"/>
        <v>1</v>
      </c>
      <c r="R291" s="1">
        <v>49</v>
      </c>
      <c r="U291" s="12">
        <v>41487</v>
      </c>
    </row>
    <row r="292" spans="1:21" x14ac:dyDescent="0.25">
      <c r="A292" s="2">
        <f t="shared" si="11"/>
        <v>7</v>
      </c>
      <c r="B292" t="s">
        <v>242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492</v>
      </c>
      <c r="P292" s="20" t="s">
        <v>493</v>
      </c>
      <c r="Q292" s="1">
        <f t="shared" si="10"/>
        <v>1</v>
      </c>
      <c r="R292" s="1">
        <v>49</v>
      </c>
      <c r="U292" s="12">
        <v>41487</v>
      </c>
    </row>
    <row r="293" spans="1:21" x14ac:dyDescent="0.25">
      <c r="A293" s="2">
        <f t="shared" si="11"/>
        <v>7</v>
      </c>
      <c r="B293" t="s">
        <v>764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492</v>
      </c>
      <c r="P293" s="20" t="s">
        <v>493</v>
      </c>
      <c r="Q293" s="1">
        <f t="shared" si="10"/>
        <v>1</v>
      </c>
      <c r="R293" s="1">
        <v>49</v>
      </c>
      <c r="U293" s="12">
        <v>41487</v>
      </c>
    </row>
    <row r="294" spans="1:21" x14ac:dyDescent="0.25">
      <c r="A294" s="2">
        <f>A293</f>
        <v>7</v>
      </c>
      <c r="B294" s="21" t="s">
        <v>765</v>
      </c>
      <c r="J294" s="1"/>
      <c r="M294" t="s">
        <v>15</v>
      </c>
      <c r="N294" t="str">
        <f>IFERROR(VLOOKUP(B294,'[1]All Player'!$B$2:$C$1992,2,0),"")</f>
        <v/>
      </c>
      <c r="O294" s="2" t="s">
        <v>492</v>
      </c>
      <c r="P294" s="20" t="s">
        <v>766</v>
      </c>
      <c r="Q294" s="1">
        <f t="shared" si="10"/>
        <v>1</v>
      </c>
      <c r="R294" s="1">
        <v>50</v>
      </c>
      <c r="U294" s="12">
        <v>41487</v>
      </c>
    </row>
    <row r="295" spans="1:21" x14ac:dyDescent="0.25">
      <c r="A295" s="2">
        <f>A294</f>
        <v>7</v>
      </c>
      <c r="B295" t="s">
        <v>231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492</v>
      </c>
      <c r="P295" s="20" t="s">
        <v>766</v>
      </c>
      <c r="Q295" s="1">
        <f t="shared" si="10"/>
        <v>1</v>
      </c>
      <c r="R295" s="1">
        <v>50</v>
      </c>
      <c r="U295" s="12">
        <v>41487</v>
      </c>
    </row>
    <row r="296" spans="1:21" x14ac:dyDescent="0.25">
      <c r="A296" s="2">
        <f t="shared" si="11"/>
        <v>7</v>
      </c>
      <c r="B296" t="s">
        <v>277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492</v>
      </c>
      <c r="P296" s="20" t="s">
        <v>766</v>
      </c>
      <c r="Q296" s="1">
        <f t="shared" si="10"/>
        <v>1</v>
      </c>
      <c r="R296" s="1">
        <v>50</v>
      </c>
      <c r="U296" s="12">
        <v>41487</v>
      </c>
    </row>
    <row r="297" spans="1:21" x14ac:dyDescent="0.25">
      <c r="A297" s="2">
        <f t="shared" si="11"/>
        <v>7</v>
      </c>
      <c r="B297" t="s">
        <v>319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492</v>
      </c>
      <c r="P297" s="20" t="s">
        <v>766</v>
      </c>
      <c r="Q297" s="1">
        <f t="shared" si="10"/>
        <v>1</v>
      </c>
      <c r="R297" s="1">
        <v>50</v>
      </c>
      <c r="U297" s="12">
        <v>41487</v>
      </c>
    </row>
    <row r="298" spans="1:21" x14ac:dyDescent="0.25">
      <c r="A298" s="2">
        <f t="shared" si="11"/>
        <v>7</v>
      </c>
      <c r="B298" t="s">
        <v>119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492</v>
      </c>
      <c r="P298" s="20" t="s">
        <v>766</v>
      </c>
      <c r="Q298" s="1">
        <f t="shared" si="10"/>
        <v>1</v>
      </c>
      <c r="R298" s="1">
        <v>50</v>
      </c>
      <c r="U298" s="12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492</v>
      </c>
      <c r="P299" s="20" t="s">
        <v>766</v>
      </c>
      <c r="Q299" s="1">
        <f t="shared" si="10"/>
        <v>1</v>
      </c>
      <c r="R299" s="1">
        <v>50</v>
      </c>
      <c r="U299" s="12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492</v>
      </c>
      <c r="P300" s="20" t="s">
        <v>766</v>
      </c>
      <c r="Q300" s="1">
        <f t="shared" si="10"/>
        <v>1</v>
      </c>
      <c r="R300" s="1">
        <v>50</v>
      </c>
      <c r="U300" s="12">
        <v>41487</v>
      </c>
    </row>
    <row r="301" spans="1:21" x14ac:dyDescent="0.25">
      <c r="A301" s="2">
        <f>A300</f>
        <v>7</v>
      </c>
      <c r="B301" s="21" t="s">
        <v>767</v>
      </c>
      <c r="J301" s="1"/>
      <c r="M301" t="s">
        <v>15</v>
      </c>
      <c r="N301" t="str">
        <f>IFERROR(VLOOKUP(B301,'[1]All Player'!$B$2:$C$1992,2,0),"")</f>
        <v/>
      </c>
      <c r="O301" s="2" t="s">
        <v>492</v>
      </c>
      <c r="P301" s="20" t="s">
        <v>583</v>
      </c>
      <c r="Q301" s="1">
        <f t="shared" si="10"/>
        <v>1</v>
      </c>
      <c r="R301" s="1">
        <v>51</v>
      </c>
      <c r="T301" s="1" t="s">
        <v>661</v>
      </c>
      <c r="U301" s="12">
        <v>41487</v>
      </c>
    </row>
    <row r="302" spans="1:21" x14ac:dyDescent="0.25">
      <c r="A302" s="2">
        <f>A301</f>
        <v>7</v>
      </c>
      <c r="B302" t="s">
        <v>226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492</v>
      </c>
      <c r="P302" s="20" t="s">
        <v>583</v>
      </c>
      <c r="Q302" s="1">
        <f t="shared" si="10"/>
        <v>1</v>
      </c>
      <c r="R302" s="1">
        <v>51</v>
      </c>
      <c r="T302" s="1" t="s">
        <v>661</v>
      </c>
      <c r="U302" s="12">
        <v>41487</v>
      </c>
    </row>
    <row r="303" spans="1:21" x14ac:dyDescent="0.25">
      <c r="A303" s="2">
        <f t="shared" si="11"/>
        <v>7</v>
      </c>
      <c r="B303" t="s">
        <v>202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492</v>
      </c>
      <c r="P303" s="20" t="s">
        <v>583</v>
      </c>
      <c r="Q303" s="1">
        <f t="shared" si="10"/>
        <v>1</v>
      </c>
      <c r="R303" s="1">
        <v>51</v>
      </c>
      <c r="T303" s="1" t="s">
        <v>661</v>
      </c>
      <c r="U303" s="12">
        <v>41487</v>
      </c>
    </row>
    <row r="304" spans="1:21" x14ac:dyDescent="0.25">
      <c r="A304" s="2">
        <f t="shared" si="11"/>
        <v>7</v>
      </c>
      <c r="B304" t="s">
        <v>297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492</v>
      </c>
      <c r="P304" s="20" t="s">
        <v>583</v>
      </c>
      <c r="Q304" s="1">
        <f t="shared" si="10"/>
        <v>1</v>
      </c>
      <c r="R304" s="1">
        <v>51</v>
      </c>
      <c r="S304" s="2" t="s">
        <v>662</v>
      </c>
      <c r="T304" s="1" t="s">
        <v>661</v>
      </c>
      <c r="U304" s="12">
        <v>41487</v>
      </c>
    </row>
    <row r="305" spans="1:21" x14ac:dyDescent="0.25">
      <c r="A305" s="2">
        <f t="shared" si="11"/>
        <v>7</v>
      </c>
      <c r="B305" t="s">
        <v>321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492</v>
      </c>
      <c r="P305" s="20" t="s">
        <v>583</v>
      </c>
      <c r="Q305" s="1">
        <f t="shared" si="10"/>
        <v>1</v>
      </c>
      <c r="R305" s="1">
        <v>51</v>
      </c>
      <c r="T305" s="1" t="s">
        <v>661</v>
      </c>
      <c r="U305" s="12">
        <v>41487</v>
      </c>
    </row>
    <row r="306" spans="1:21" x14ac:dyDescent="0.25">
      <c r="A306" s="2">
        <f t="shared" si="11"/>
        <v>7</v>
      </c>
      <c r="B306" t="s">
        <v>737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492</v>
      </c>
      <c r="P306" s="20" t="s">
        <v>583</v>
      </c>
      <c r="Q306" s="1">
        <f t="shared" si="10"/>
        <v>1</v>
      </c>
      <c r="R306" s="1">
        <v>51</v>
      </c>
      <c r="T306" s="1" t="s">
        <v>661</v>
      </c>
      <c r="U306" s="12">
        <v>41487</v>
      </c>
    </row>
    <row r="307" spans="1:21" x14ac:dyDescent="0.25">
      <c r="A307" s="2">
        <f t="shared" si="11"/>
        <v>7</v>
      </c>
      <c r="B307" t="s">
        <v>229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492</v>
      </c>
      <c r="P307" s="20" t="s">
        <v>583</v>
      </c>
      <c r="Q307" s="1">
        <f t="shared" si="10"/>
        <v>1</v>
      </c>
      <c r="R307" s="1">
        <v>51</v>
      </c>
      <c r="S307" s="2" t="s">
        <v>660</v>
      </c>
      <c r="T307" s="1" t="s">
        <v>661</v>
      </c>
      <c r="U307" s="12">
        <v>41487</v>
      </c>
    </row>
    <row r="308" spans="1:21" x14ac:dyDescent="0.25">
      <c r="A308" s="2">
        <f t="shared" si="11"/>
        <v>7</v>
      </c>
      <c r="B308" t="s">
        <v>323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492</v>
      </c>
      <c r="P308" s="20" t="s">
        <v>583</v>
      </c>
      <c r="Q308" s="1">
        <f t="shared" si="10"/>
        <v>1</v>
      </c>
      <c r="R308" s="1">
        <v>51</v>
      </c>
      <c r="T308" s="1" t="s">
        <v>661</v>
      </c>
      <c r="U308" s="12">
        <v>41487</v>
      </c>
    </row>
    <row r="309" spans="1:21" x14ac:dyDescent="0.25">
      <c r="A309" s="2">
        <f>A308</f>
        <v>7</v>
      </c>
      <c r="B309" s="21" t="s">
        <v>768</v>
      </c>
      <c r="J309" s="1"/>
      <c r="M309" t="s">
        <v>15</v>
      </c>
      <c r="N309" t="str">
        <f>IFERROR(VLOOKUP(B309,'[1]All Player'!$B$2:$C$1992,2,0),"")</f>
        <v/>
      </c>
      <c r="O309" s="2" t="s">
        <v>492</v>
      </c>
      <c r="P309" s="20" t="s">
        <v>769</v>
      </c>
      <c r="Q309" s="1">
        <f t="shared" si="10"/>
        <v>1</v>
      </c>
      <c r="R309" s="1">
        <v>52</v>
      </c>
      <c r="U309" s="12">
        <v>41487</v>
      </c>
    </row>
    <row r="310" spans="1:21" x14ac:dyDescent="0.25">
      <c r="A310" s="2">
        <f>A309</f>
        <v>7</v>
      </c>
      <c r="B310" t="s">
        <v>159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492</v>
      </c>
      <c r="P310" s="20" t="s">
        <v>769</v>
      </c>
      <c r="Q310" s="1">
        <f t="shared" si="10"/>
        <v>1</v>
      </c>
      <c r="R310" s="1">
        <v>52</v>
      </c>
      <c r="U310" s="12">
        <v>41487</v>
      </c>
    </row>
    <row r="311" spans="1:21" x14ac:dyDescent="0.25">
      <c r="A311" s="2">
        <f t="shared" si="11"/>
        <v>7</v>
      </c>
      <c r="B311" t="s">
        <v>770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492</v>
      </c>
      <c r="P311" s="20" t="s">
        <v>769</v>
      </c>
      <c r="Q311" s="1">
        <f t="shared" si="10"/>
        <v>1</v>
      </c>
      <c r="R311" s="1">
        <v>52</v>
      </c>
      <c r="U311" s="12">
        <v>41487</v>
      </c>
    </row>
    <row r="312" spans="1:21" x14ac:dyDescent="0.25">
      <c r="A312" s="2">
        <f t="shared" si="11"/>
        <v>7</v>
      </c>
      <c r="B312" t="s">
        <v>295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492</v>
      </c>
      <c r="P312" s="20" t="s">
        <v>769</v>
      </c>
      <c r="Q312" s="1">
        <f t="shared" si="10"/>
        <v>1</v>
      </c>
      <c r="R312" s="1">
        <v>52</v>
      </c>
      <c r="U312" s="12">
        <v>41487</v>
      </c>
    </row>
    <row r="313" spans="1:21" x14ac:dyDescent="0.25">
      <c r="A313" s="2">
        <f t="shared" si="11"/>
        <v>7</v>
      </c>
      <c r="B313" t="s">
        <v>153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492</v>
      </c>
      <c r="P313" s="20" t="s">
        <v>769</v>
      </c>
      <c r="Q313" s="1">
        <f t="shared" si="10"/>
        <v>1</v>
      </c>
      <c r="R313" s="1">
        <v>52</v>
      </c>
      <c r="U313" s="12">
        <v>41487</v>
      </c>
    </row>
    <row r="314" spans="1:21" x14ac:dyDescent="0.25">
      <c r="A314" s="2">
        <f t="shared" si="11"/>
        <v>7</v>
      </c>
      <c r="B314" t="s">
        <v>184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492</v>
      </c>
      <c r="P314" s="20" t="s">
        <v>769</v>
      </c>
      <c r="Q314" s="1">
        <f t="shared" si="10"/>
        <v>1</v>
      </c>
      <c r="R314" s="1">
        <v>52</v>
      </c>
      <c r="U314" s="12">
        <v>41487</v>
      </c>
    </row>
    <row r="315" spans="1:21" x14ac:dyDescent="0.25">
      <c r="A315" s="2">
        <f>A314</f>
        <v>7</v>
      </c>
      <c r="B315" s="21" t="s">
        <v>771</v>
      </c>
      <c r="J315" s="1"/>
      <c r="M315" t="s">
        <v>15</v>
      </c>
      <c r="N315" t="str">
        <f>IFERROR(VLOOKUP(B315,'[1]All Player'!$B$2:$C$1992,2,0),"")</f>
        <v/>
      </c>
      <c r="O315" s="2" t="s">
        <v>492</v>
      </c>
      <c r="P315" s="20" t="s">
        <v>772</v>
      </c>
      <c r="Q315" s="1">
        <f t="shared" si="10"/>
        <v>1</v>
      </c>
      <c r="R315" s="1">
        <v>53</v>
      </c>
      <c r="U315" s="12">
        <v>41487</v>
      </c>
    </row>
    <row r="316" spans="1:21" x14ac:dyDescent="0.25">
      <c r="A316" s="2">
        <f>A315</f>
        <v>7</v>
      </c>
      <c r="B316" s="7" t="s">
        <v>305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492</v>
      </c>
      <c r="P316" s="20" t="s">
        <v>772</v>
      </c>
      <c r="Q316" s="1">
        <f t="shared" si="10"/>
        <v>1</v>
      </c>
      <c r="R316" s="1">
        <v>53</v>
      </c>
      <c r="U316" s="12">
        <v>41487</v>
      </c>
    </row>
    <row r="317" spans="1:21" x14ac:dyDescent="0.25">
      <c r="A317" s="2">
        <f t="shared" ref="A317:A362" si="12">A316</f>
        <v>7</v>
      </c>
      <c r="B317" s="7" t="s">
        <v>147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492</v>
      </c>
      <c r="P317" s="20" t="s">
        <v>772</v>
      </c>
      <c r="Q317" s="1">
        <f t="shared" si="10"/>
        <v>1</v>
      </c>
      <c r="R317" s="1">
        <v>53</v>
      </c>
      <c r="U317" s="12">
        <v>41487</v>
      </c>
    </row>
    <row r="318" spans="1:21" x14ac:dyDescent="0.25">
      <c r="A318" s="2">
        <f t="shared" si="12"/>
        <v>7</v>
      </c>
      <c r="B318" s="7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492</v>
      </c>
      <c r="P318" s="20" t="s">
        <v>772</v>
      </c>
      <c r="Q318" s="1">
        <f t="shared" si="10"/>
        <v>1</v>
      </c>
      <c r="R318" s="1">
        <v>53</v>
      </c>
      <c r="U318" s="12">
        <v>41487</v>
      </c>
    </row>
    <row r="319" spans="1:21" x14ac:dyDescent="0.25">
      <c r="A319" s="2">
        <f t="shared" si="12"/>
        <v>7</v>
      </c>
      <c r="B319" t="s">
        <v>180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492</v>
      </c>
      <c r="P319" s="20" t="s">
        <v>772</v>
      </c>
      <c r="Q319" s="1">
        <f t="shared" si="10"/>
        <v>1</v>
      </c>
      <c r="R319" s="1">
        <v>53</v>
      </c>
      <c r="U319" s="12">
        <v>41487</v>
      </c>
    </row>
    <row r="320" spans="1:21" x14ac:dyDescent="0.25">
      <c r="A320" s="2">
        <f t="shared" si="12"/>
        <v>7</v>
      </c>
      <c r="B320" s="7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492</v>
      </c>
      <c r="P320" s="20" t="s">
        <v>772</v>
      </c>
      <c r="Q320" s="1">
        <f t="shared" si="10"/>
        <v>1</v>
      </c>
      <c r="R320" s="1">
        <v>53</v>
      </c>
      <c r="U320" s="12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492</v>
      </c>
      <c r="P321" s="20" t="s">
        <v>772</v>
      </c>
      <c r="Q321" s="1">
        <f t="shared" si="10"/>
        <v>1</v>
      </c>
      <c r="R321" s="1">
        <v>53</v>
      </c>
      <c r="U321" s="12">
        <v>41487</v>
      </c>
      <c r="V321" s="1">
        <v>1</v>
      </c>
    </row>
    <row r="322" spans="1:23" x14ac:dyDescent="0.25">
      <c r="A322" s="2">
        <f t="shared" si="12"/>
        <v>7</v>
      </c>
      <c r="B322" t="s">
        <v>739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492</v>
      </c>
      <c r="P322" s="20" t="s">
        <v>772</v>
      </c>
      <c r="Q322" s="1">
        <f t="shared" ref="Q322:Q385" si="13">IF(B322="","",1)</f>
        <v>1</v>
      </c>
      <c r="R322" s="1">
        <v>53</v>
      </c>
      <c r="U322" s="12">
        <v>41487</v>
      </c>
    </row>
    <row r="323" spans="1:23" x14ac:dyDescent="0.25">
      <c r="A323" s="2">
        <f>A322</f>
        <v>7</v>
      </c>
      <c r="B323" s="21" t="s">
        <v>773</v>
      </c>
      <c r="J323" s="1"/>
      <c r="M323" t="s">
        <v>15</v>
      </c>
      <c r="N323" t="str">
        <f>IFERROR(VLOOKUP(B323,'[1]All Player'!$B$2:$C$1992,2,0),"")</f>
        <v/>
      </c>
      <c r="O323" s="2" t="s">
        <v>492</v>
      </c>
      <c r="P323" s="20" t="s">
        <v>547</v>
      </c>
      <c r="Q323" s="1">
        <f t="shared" si="13"/>
        <v>1</v>
      </c>
      <c r="R323" s="1">
        <v>54</v>
      </c>
      <c r="U323" s="12">
        <v>41487</v>
      </c>
    </row>
    <row r="324" spans="1:23" x14ac:dyDescent="0.25">
      <c r="A324" s="2">
        <f>A323</f>
        <v>7</v>
      </c>
      <c r="B324" t="s">
        <v>774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492</v>
      </c>
      <c r="P324" s="20" t="s">
        <v>547</v>
      </c>
      <c r="Q324" s="1">
        <f t="shared" si="13"/>
        <v>1</v>
      </c>
      <c r="R324" s="1">
        <v>54</v>
      </c>
      <c r="U324" s="12">
        <v>41487</v>
      </c>
    </row>
    <row r="325" spans="1:23" x14ac:dyDescent="0.25">
      <c r="A325" s="2">
        <f t="shared" si="12"/>
        <v>7</v>
      </c>
      <c r="B325" t="s">
        <v>299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492</v>
      </c>
      <c r="P325" s="20" t="s">
        <v>547</v>
      </c>
      <c r="Q325" s="1">
        <f t="shared" si="13"/>
        <v>1</v>
      </c>
      <c r="R325" s="1">
        <v>54</v>
      </c>
      <c r="U325" s="12">
        <v>41487</v>
      </c>
    </row>
    <row r="326" spans="1:23" x14ac:dyDescent="0.25">
      <c r="A326" s="2">
        <f t="shared" si="12"/>
        <v>7</v>
      </c>
      <c r="B326" t="s">
        <v>121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492</v>
      </c>
      <c r="P326" s="20" t="s">
        <v>547</v>
      </c>
      <c r="Q326" s="1">
        <f t="shared" si="13"/>
        <v>1</v>
      </c>
      <c r="R326" s="1">
        <v>54</v>
      </c>
      <c r="U326" s="12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492</v>
      </c>
      <c r="P327" s="20" t="s">
        <v>547</v>
      </c>
      <c r="Q327" s="1">
        <f t="shared" si="13"/>
        <v>1</v>
      </c>
      <c r="R327" s="1">
        <v>54</v>
      </c>
      <c r="U327" s="12">
        <v>41487</v>
      </c>
      <c r="W327" s="1">
        <v>1</v>
      </c>
    </row>
    <row r="328" spans="1:23" x14ac:dyDescent="0.25">
      <c r="A328" s="2">
        <f t="shared" si="12"/>
        <v>7</v>
      </c>
      <c r="B328" t="s">
        <v>204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492</v>
      </c>
      <c r="P328" s="20" t="s">
        <v>547</v>
      </c>
      <c r="Q328" s="1">
        <f t="shared" si="13"/>
        <v>1</v>
      </c>
      <c r="R328" s="1">
        <v>54</v>
      </c>
      <c r="U328" s="12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492</v>
      </c>
      <c r="P329" s="20" t="s">
        <v>547</v>
      </c>
      <c r="Q329" s="1">
        <f t="shared" si="13"/>
        <v>1</v>
      </c>
      <c r="R329" s="1">
        <v>54</v>
      </c>
      <c r="U329" s="12">
        <v>41487</v>
      </c>
    </row>
    <row r="330" spans="1:23" x14ac:dyDescent="0.25">
      <c r="A330" s="2">
        <f t="shared" si="12"/>
        <v>7</v>
      </c>
      <c r="B330" t="s">
        <v>155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492</v>
      </c>
      <c r="P330" s="20" t="s">
        <v>547</v>
      </c>
      <c r="Q330" s="1">
        <f t="shared" si="13"/>
        <v>1</v>
      </c>
      <c r="R330" s="1">
        <v>54</v>
      </c>
      <c r="U330" s="12">
        <v>41487</v>
      </c>
    </row>
    <row r="331" spans="1:23" x14ac:dyDescent="0.25">
      <c r="A331" s="2">
        <f>A330</f>
        <v>7</v>
      </c>
      <c r="B331" s="21" t="s">
        <v>775</v>
      </c>
      <c r="J331" s="1"/>
      <c r="M331" t="s">
        <v>15</v>
      </c>
      <c r="N331" t="str">
        <f>IFERROR(VLOOKUP(B331,'[1]All Player'!$B$2:$C$1992,2,0),"")</f>
        <v/>
      </c>
      <c r="O331" s="2" t="s">
        <v>492</v>
      </c>
      <c r="P331" s="20" t="s">
        <v>776</v>
      </c>
      <c r="Q331" s="1">
        <f t="shared" si="13"/>
        <v>1</v>
      </c>
      <c r="R331" s="1">
        <v>55</v>
      </c>
      <c r="U331" s="12">
        <v>41487</v>
      </c>
    </row>
    <row r="332" spans="1:23" x14ac:dyDescent="0.25">
      <c r="A332" s="2">
        <f>A331</f>
        <v>7</v>
      </c>
      <c r="B332" t="s">
        <v>139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492</v>
      </c>
      <c r="P332" s="20" t="s">
        <v>776</v>
      </c>
      <c r="Q332" s="1">
        <f t="shared" si="13"/>
        <v>1</v>
      </c>
      <c r="R332" s="1">
        <v>55</v>
      </c>
      <c r="U332" s="12">
        <v>41487</v>
      </c>
    </row>
    <row r="333" spans="1:23" x14ac:dyDescent="0.25">
      <c r="A333" s="2">
        <f t="shared" si="12"/>
        <v>7</v>
      </c>
      <c r="B333" t="s">
        <v>123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492</v>
      </c>
      <c r="P333" s="20" t="s">
        <v>776</v>
      </c>
      <c r="Q333" s="1">
        <f t="shared" si="13"/>
        <v>1</v>
      </c>
      <c r="R333" s="1">
        <v>55</v>
      </c>
      <c r="U333" s="12">
        <v>41487</v>
      </c>
    </row>
    <row r="334" spans="1:23" x14ac:dyDescent="0.25">
      <c r="A334" s="2">
        <f t="shared" si="12"/>
        <v>7</v>
      </c>
      <c r="B334" t="s">
        <v>280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492</v>
      </c>
      <c r="P334" s="20" t="s">
        <v>776</v>
      </c>
      <c r="Q334" s="1">
        <f t="shared" si="13"/>
        <v>1</v>
      </c>
      <c r="R334" s="1">
        <v>55</v>
      </c>
      <c r="U334" s="12">
        <v>41487</v>
      </c>
    </row>
    <row r="335" spans="1:23" x14ac:dyDescent="0.25">
      <c r="A335" s="2">
        <f t="shared" si="12"/>
        <v>7</v>
      </c>
      <c r="B335" t="s">
        <v>145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492</v>
      </c>
      <c r="P335" s="20" t="s">
        <v>776</v>
      </c>
      <c r="Q335" s="1">
        <f t="shared" si="13"/>
        <v>1</v>
      </c>
      <c r="R335" s="1">
        <v>55</v>
      </c>
      <c r="U335" s="12">
        <v>41487</v>
      </c>
    </row>
    <row r="336" spans="1:23" x14ac:dyDescent="0.25">
      <c r="A336" s="2">
        <f t="shared" si="12"/>
        <v>7</v>
      </c>
      <c r="B336" t="s">
        <v>283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492</v>
      </c>
      <c r="P336" s="20" t="s">
        <v>776</v>
      </c>
      <c r="Q336" s="1">
        <f t="shared" si="13"/>
        <v>1</v>
      </c>
      <c r="R336" s="1">
        <v>55</v>
      </c>
      <c r="U336" s="12">
        <v>41487</v>
      </c>
    </row>
    <row r="337" spans="1:23" x14ac:dyDescent="0.25">
      <c r="A337" s="2">
        <f t="shared" si="12"/>
        <v>7</v>
      </c>
      <c r="B337" t="s">
        <v>170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492</v>
      </c>
      <c r="P337" s="20" t="s">
        <v>776</v>
      </c>
      <c r="Q337" s="1">
        <f t="shared" si="13"/>
        <v>1</v>
      </c>
      <c r="R337" s="1">
        <v>55</v>
      </c>
      <c r="U337" s="12">
        <v>41487</v>
      </c>
    </row>
    <row r="338" spans="1:23" x14ac:dyDescent="0.25">
      <c r="A338" s="2">
        <f t="shared" si="12"/>
        <v>7</v>
      </c>
      <c r="B338" t="s">
        <v>292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492</v>
      </c>
      <c r="P338" s="20" t="s">
        <v>776</v>
      </c>
      <c r="Q338" s="1">
        <f t="shared" si="13"/>
        <v>1</v>
      </c>
      <c r="R338" s="1">
        <v>55</v>
      </c>
      <c r="U338" s="12">
        <v>41487</v>
      </c>
    </row>
    <row r="339" spans="1:23" x14ac:dyDescent="0.25">
      <c r="A339" s="2">
        <f>A338</f>
        <v>7</v>
      </c>
      <c r="B339" s="21" t="s">
        <v>777</v>
      </c>
      <c r="J339" s="1"/>
      <c r="M339" t="s">
        <v>15</v>
      </c>
      <c r="N339" t="str">
        <f>IFERROR(VLOOKUP(B339,'[1]All Player'!$B$2:$C$1992,2,0),"")</f>
        <v/>
      </c>
      <c r="O339" s="2" t="s">
        <v>492</v>
      </c>
      <c r="P339" s="20" t="s">
        <v>777</v>
      </c>
      <c r="Q339" s="1">
        <f t="shared" si="13"/>
        <v>1</v>
      </c>
      <c r="R339" s="1">
        <v>56</v>
      </c>
      <c r="T339" s="1" t="s">
        <v>659</v>
      </c>
      <c r="U339" s="12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492</v>
      </c>
      <c r="P340" s="20" t="s">
        <v>777</v>
      </c>
      <c r="Q340" s="1">
        <f t="shared" si="13"/>
        <v>1</v>
      </c>
      <c r="R340" s="1">
        <v>56</v>
      </c>
      <c r="T340" s="1" t="s">
        <v>659</v>
      </c>
      <c r="U340" s="12">
        <v>41487</v>
      </c>
    </row>
    <row r="341" spans="1:23" x14ac:dyDescent="0.25">
      <c r="A341" s="2">
        <f t="shared" si="12"/>
        <v>7</v>
      </c>
      <c r="B341" t="s">
        <v>246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492</v>
      </c>
      <c r="P341" s="20" t="s">
        <v>777</v>
      </c>
      <c r="Q341" s="1">
        <f t="shared" si="13"/>
        <v>1</v>
      </c>
      <c r="R341" s="1">
        <v>56</v>
      </c>
      <c r="T341" s="1" t="s">
        <v>659</v>
      </c>
      <c r="U341" s="12">
        <v>41487</v>
      </c>
    </row>
    <row r="342" spans="1:23" x14ac:dyDescent="0.25">
      <c r="A342" s="2">
        <f t="shared" si="12"/>
        <v>7</v>
      </c>
      <c r="B342" t="s">
        <v>307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492</v>
      </c>
      <c r="P342" s="20" t="s">
        <v>777</v>
      </c>
      <c r="Q342" s="1">
        <f t="shared" si="13"/>
        <v>1</v>
      </c>
      <c r="R342" s="1">
        <v>56</v>
      </c>
      <c r="T342" s="1" t="s">
        <v>659</v>
      </c>
      <c r="U342" s="12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492</v>
      </c>
      <c r="P343" s="20" t="s">
        <v>777</v>
      </c>
      <c r="Q343" s="1">
        <f t="shared" si="13"/>
        <v>1</v>
      </c>
      <c r="R343" s="1">
        <v>56</v>
      </c>
      <c r="T343" s="1" t="s">
        <v>659</v>
      </c>
      <c r="U343" s="12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492</v>
      </c>
      <c r="P344" s="20" t="s">
        <v>777</v>
      </c>
      <c r="Q344" s="1">
        <f t="shared" si="13"/>
        <v>1</v>
      </c>
      <c r="R344" s="1">
        <v>56</v>
      </c>
      <c r="T344" s="1" t="s">
        <v>659</v>
      </c>
      <c r="U344" s="12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492</v>
      </c>
      <c r="P345" s="20" t="s">
        <v>777</v>
      </c>
      <c r="Q345" s="1">
        <f t="shared" si="13"/>
        <v>1</v>
      </c>
      <c r="R345" s="1">
        <v>56</v>
      </c>
      <c r="T345" s="1" t="s">
        <v>659</v>
      </c>
      <c r="U345" s="12">
        <v>41487</v>
      </c>
    </row>
    <row r="346" spans="1:23" x14ac:dyDescent="0.25">
      <c r="A346" s="2">
        <v>8</v>
      </c>
      <c r="B346" s="21" t="s">
        <v>778</v>
      </c>
      <c r="J346" s="1"/>
      <c r="M346" t="s">
        <v>15</v>
      </c>
      <c r="N346" t="str">
        <f>IFERROR(VLOOKUP(B346,'[1]All Player'!$B$2:$C$1992,2,0),"")</f>
        <v/>
      </c>
      <c r="O346" s="2" t="s">
        <v>501</v>
      </c>
      <c r="P346" s="20" t="s">
        <v>778</v>
      </c>
      <c r="Q346" s="1">
        <f t="shared" si="13"/>
        <v>1</v>
      </c>
      <c r="R346" s="1">
        <v>57</v>
      </c>
      <c r="T346" s="1" t="s">
        <v>659</v>
      </c>
      <c r="U346" s="12">
        <v>41548</v>
      </c>
    </row>
    <row r="347" spans="1:23" x14ac:dyDescent="0.25">
      <c r="A347" s="2">
        <f t="shared" si="12"/>
        <v>8</v>
      </c>
      <c r="B347" t="s">
        <v>184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501</v>
      </c>
      <c r="P347" s="20" t="s">
        <v>778</v>
      </c>
      <c r="Q347" s="1">
        <f t="shared" si="13"/>
        <v>1</v>
      </c>
      <c r="R347" s="1">
        <v>57</v>
      </c>
      <c r="S347" s="2" t="s">
        <v>662</v>
      </c>
      <c r="T347" s="1" t="s">
        <v>659</v>
      </c>
      <c r="U347" s="12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119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501</v>
      </c>
      <c r="P348" s="20" t="s">
        <v>778</v>
      </c>
      <c r="Q348" s="1">
        <f t="shared" si="13"/>
        <v>1</v>
      </c>
      <c r="R348" s="1">
        <v>57</v>
      </c>
      <c r="T348" s="1" t="s">
        <v>659</v>
      </c>
      <c r="U348" s="12">
        <v>41548</v>
      </c>
    </row>
    <row r="349" spans="1:23" x14ac:dyDescent="0.25">
      <c r="A349" s="2">
        <f t="shared" si="12"/>
        <v>8</v>
      </c>
      <c r="B349" t="s">
        <v>319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501</v>
      </c>
      <c r="P349" s="20" t="s">
        <v>778</v>
      </c>
      <c r="Q349" s="1">
        <f t="shared" si="13"/>
        <v>1</v>
      </c>
      <c r="R349" s="1">
        <v>57</v>
      </c>
      <c r="T349" s="1" t="s">
        <v>659</v>
      </c>
      <c r="U349" s="12">
        <v>41548</v>
      </c>
    </row>
    <row r="350" spans="1:23" x14ac:dyDescent="0.25">
      <c r="A350" s="2">
        <f t="shared" si="12"/>
        <v>8</v>
      </c>
      <c r="B350" t="s">
        <v>770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501</v>
      </c>
      <c r="P350" s="20" t="s">
        <v>778</v>
      </c>
      <c r="Q350" s="1">
        <f t="shared" si="13"/>
        <v>1</v>
      </c>
      <c r="R350" s="1">
        <v>57</v>
      </c>
      <c r="T350" s="1" t="s">
        <v>659</v>
      </c>
      <c r="U350" s="12">
        <v>41548</v>
      </c>
    </row>
    <row r="351" spans="1:23" x14ac:dyDescent="0.25">
      <c r="A351" s="2">
        <f t="shared" si="12"/>
        <v>8</v>
      </c>
      <c r="B351" t="s">
        <v>358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501</v>
      </c>
      <c r="P351" s="20" t="s">
        <v>778</v>
      </c>
      <c r="Q351" s="1">
        <f t="shared" si="13"/>
        <v>1</v>
      </c>
      <c r="R351" s="1">
        <v>57</v>
      </c>
      <c r="T351" s="1" t="s">
        <v>659</v>
      </c>
      <c r="U351" s="12">
        <v>41548</v>
      </c>
    </row>
    <row r="352" spans="1:23" x14ac:dyDescent="0.25">
      <c r="A352" s="2">
        <f t="shared" si="12"/>
        <v>8</v>
      </c>
      <c r="B352" s="21" t="s">
        <v>587</v>
      </c>
      <c r="J352" s="1"/>
      <c r="M352" t="s">
        <v>15</v>
      </c>
      <c r="N352" t="str">
        <f>IFERROR(VLOOKUP(B352,'[1]All Player'!$B$2:$C$1992,2,0),"")</f>
        <v/>
      </c>
      <c r="O352" s="2" t="s">
        <v>501</v>
      </c>
      <c r="P352" s="20" t="s">
        <v>587</v>
      </c>
      <c r="Q352" s="1">
        <f t="shared" si="13"/>
        <v>1</v>
      </c>
      <c r="R352" s="1">
        <v>58</v>
      </c>
      <c r="T352" s="1" t="s">
        <v>661</v>
      </c>
      <c r="U352" s="12">
        <v>41548</v>
      </c>
    </row>
    <row r="353" spans="1:21" x14ac:dyDescent="0.25">
      <c r="A353" s="2">
        <f t="shared" si="12"/>
        <v>8</v>
      </c>
      <c r="B353" t="s">
        <v>283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501</v>
      </c>
      <c r="P353" s="20" t="s">
        <v>587</v>
      </c>
      <c r="Q353" s="1">
        <f t="shared" si="13"/>
        <v>1</v>
      </c>
      <c r="R353" s="1">
        <v>58</v>
      </c>
      <c r="T353" s="1" t="s">
        <v>661</v>
      </c>
      <c r="U353" s="12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501</v>
      </c>
      <c r="P354" s="20" t="s">
        <v>587</v>
      </c>
      <c r="Q354" s="1">
        <f t="shared" si="13"/>
        <v>1</v>
      </c>
      <c r="R354" s="1">
        <v>58</v>
      </c>
      <c r="T354" s="1" t="s">
        <v>661</v>
      </c>
      <c r="U354" s="12">
        <v>41548</v>
      </c>
    </row>
    <row r="355" spans="1:21" x14ac:dyDescent="0.25">
      <c r="A355" s="2">
        <f t="shared" si="12"/>
        <v>8</v>
      </c>
      <c r="B355" t="s">
        <v>299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501</v>
      </c>
      <c r="P355" s="20" t="s">
        <v>587</v>
      </c>
      <c r="Q355" s="1">
        <f t="shared" si="13"/>
        <v>1</v>
      </c>
      <c r="R355" s="1">
        <v>58</v>
      </c>
      <c r="T355" s="1" t="s">
        <v>661</v>
      </c>
      <c r="U355" s="12">
        <v>41548</v>
      </c>
    </row>
    <row r="356" spans="1:21" x14ac:dyDescent="0.25">
      <c r="A356" s="2">
        <f t="shared" si="12"/>
        <v>8</v>
      </c>
      <c r="B356" t="s">
        <v>334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501</v>
      </c>
      <c r="P356" s="20" t="s">
        <v>587</v>
      </c>
      <c r="Q356" s="1">
        <f t="shared" si="13"/>
        <v>1</v>
      </c>
      <c r="R356" s="1">
        <v>58</v>
      </c>
      <c r="T356" s="1" t="s">
        <v>661</v>
      </c>
      <c r="U356" s="12">
        <v>41548</v>
      </c>
    </row>
    <row r="357" spans="1:21" x14ac:dyDescent="0.25">
      <c r="A357" s="2">
        <f t="shared" si="12"/>
        <v>8</v>
      </c>
      <c r="B357" t="s">
        <v>159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501</v>
      </c>
      <c r="P357" s="20" t="s">
        <v>587</v>
      </c>
      <c r="Q357" s="1">
        <f t="shared" si="13"/>
        <v>1</v>
      </c>
      <c r="R357" s="1">
        <v>58</v>
      </c>
      <c r="T357" s="1" t="s">
        <v>661</v>
      </c>
      <c r="U357" s="12">
        <v>41548</v>
      </c>
    </row>
    <row r="358" spans="1:21" x14ac:dyDescent="0.25">
      <c r="A358" s="2">
        <f t="shared" si="12"/>
        <v>8</v>
      </c>
      <c r="B358" t="s">
        <v>209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501</v>
      </c>
      <c r="P358" s="20" t="s">
        <v>587</v>
      </c>
      <c r="Q358" s="1">
        <f t="shared" si="13"/>
        <v>1</v>
      </c>
      <c r="R358" s="1">
        <v>58</v>
      </c>
      <c r="T358" s="1" t="s">
        <v>661</v>
      </c>
      <c r="U358" s="12">
        <v>41548</v>
      </c>
    </row>
    <row r="359" spans="1:21" ht="15.75" x14ac:dyDescent="0.25">
      <c r="A359" s="2">
        <f>A358</f>
        <v>8</v>
      </c>
      <c r="B359" s="22" t="s">
        <v>536</v>
      </c>
      <c r="J359" s="1"/>
      <c r="M359" t="s">
        <v>15</v>
      </c>
      <c r="N359" t="str">
        <f>IFERROR(VLOOKUP(B359,'[1]All Player'!$B$2:$C$1992,2,0),"")</f>
        <v/>
      </c>
      <c r="O359" s="2" t="s">
        <v>501</v>
      </c>
      <c r="P359" s="20" t="s">
        <v>536</v>
      </c>
      <c r="Q359" s="1">
        <f t="shared" si="13"/>
        <v>1</v>
      </c>
      <c r="R359" s="1">
        <v>59</v>
      </c>
      <c r="U359" s="12">
        <v>41548</v>
      </c>
    </row>
    <row r="360" spans="1:21" x14ac:dyDescent="0.25">
      <c r="A360" s="2">
        <f t="shared" si="12"/>
        <v>8</v>
      </c>
      <c r="B360" t="s">
        <v>145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501</v>
      </c>
      <c r="P360" s="20" t="s">
        <v>536</v>
      </c>
      <c r="Q360" s="1">
        <f t="shared" si="13"/>
        <v>1</v>
      </c>
      <c r="R360" s="1">
        <v>59</v>
      </c>
      <c r="S360" s="2" t="s">
        <v>660</v>
      </c>
      <c r="U360" s="12">
        <v>41548</v>
      </c>
    </row>
    <row r="361" spans="1:21" x14ac:dyDescent="0.25">
      <c r="A361" s="2">
        <f t="shared" si="12"/>
        <v>8</v>
      </c>
      <c r="B361" t="s">
        <v>206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501</v>
      </c>
      <c r="P361" s="20" t="s">
        <v>536</v>
      </c>
      <c r="Q361" s="1">
        <f t="shared" si="13"/>
        <v>1</v>
      </c>
      <c r="R361" s="1">
        <v>59</v>
      </c>
      <c r="U361" s="12">
        <v>41548</v>
      </c>
    </row>
    <row r="362" spans="1:21" x14ac:dyDescent="0.25">
      <c r="A362" s="2">
        <f t="shared" si="12"/>
        <v>8</v>
      </c>
      <c r="B362" t="s">
        <v>202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501</v>
      </c>
      <c r="P362" s="20" t="s">
        <v>536</v>
      </c>
      <c r="Q362" s="1">
        <f t="shared" si="13"/>
        <v>1</v>
      </c>
      <c r="R362" s="1">
        <v>59</v>
      </c>
      <c r="U362" s="12">
        <v>41548</v>
      </c>
    </row>
    <row r="363" spans="1:21" x14ac:dyDescent="0.25">
      <c r="A363" s="2">
        <f>A362</f>
        <v>8</v>
      </c>
      <c r="B363" t="s">
        <v>180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501</v>
      </c>
      <c r="P363" s="20" t="s">
        <v>536</v>
      </c>
      <c r="Q363" s="1">
        <f t="shared" si="13"/>
        <v>1</v>
      </c>
      <c r="R363" s="1">
        <v>59</v>
      </c>
      <c r="U363" s="12">
        <v>41548</v>
      </c>
    </row>
    <row r="364" spans="1:21" x14ac:dyDescent="0.25">
      <c r="A364" s="2">
        <f t="shared" ref="A364:A427" si="14">A363</f>
        <v>8</v>
      </c>
      <c r="B364" t="s">
        <v>147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501</v>
      </c>
      <c r="P364" s="20" t="s">
        <v>536</v>
      </c>
      <c r="Q364" s="1">
        <f t="shared" si="13"/>
        <v>1</v>
      </c>
      <c r="R364" s="1">
        <v>59</v>
      </c>
      <c r="U364" s="12">
        <v>41548</v>
      </c>
    </row>
    <row r="365" spans="1:21" x14ac:dyDescent="0.25">
      <c r="A365" s="2">
        <f t="shared" si="14"/>
        <v>8</v>
      </c>
      <c r="B365" t="s">
        <v>131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501</v>
      </c>
      <c r="P365" s="20" t="s">
        <v>536</v>
      </c>
      <c r="Q365" s="1">
        <f t="shared" si="13"/>
        <v>1</v>
      </c>
      <c r="R365" s="1">
        <v>59</v>
      </c>
      <c r="U365" s="12">
        <v>41548</v>
      </c>
    </row>
    <row r="366" spans="1:21" ht="15.75" x14ac:dyDescent="0.25">
      <c r="A366" s="2">
        <f>A365</f>
        <v>8</v>
      </c>
      <c r="B366" s="22" t="s">
        <v>502</v>
      </c>
      <c r="J366" s="1"/>
      <c r="M366" t="s">
        <v>15</v>
      </c>
      <c r="N366" t="str">
        <f>IFERROR(VLOOKUP(B366,'[1]All Player'!$B$2:$C$1992,2,0),"")</f>
        <v/>
      </c>
      <c r="O366" s="2" t="s">
        <v>501</v>
      </c>
      <c r="P366" s="20" t="s">
        <v>502</v>
      </c>
      <c r="Q366" s="1">
        <f t="shared" si="13"/>
        <v>1</v>
      </c>
      <c r="R366" s="1">
        <v>60</v>
      </c>
      <c r="U366" s="12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501</v>
      </c>
      <c r="P367" s="20" t="s">
        <v>502</v>
      </c>
      <c r="Q367" s="1">
        <f t="shared" si="13"/>
        <v>1</v>
      </c>
      <c r="R367" s="1">
        <v>60</v>
      </c>
      <c r="U367" s="12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501</v>
      </c>
      <c r="P368" s="20" t="s">
        <v>502</v>
      </c>
      <c r="Q368" s="1">
        <f t="shared" si="13"/>
        <v>1</v>
      </c>
      <c r="R368" s="1">
        <v>60</v>
      </c>
      <c r="U368" s="12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501</v>
      </c>
      <c r="P369" s="20" t="s">
        <v>502</v>
      </c>
      <c r="Q369" s="1">
        <f t="shared" si="13"/>
        <v>1</v>
      </c>
      <c r="R369" s="1">
        <v>60</v>
      </c>
      <c r="U369" s="12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501</v>
      </c>
      <c r="P370" s="20" t="s">
        <v>502</v>
      </c>
      <c r="Q370" s="1">
        <f t="shared" si="13"/>
        <v>1</v>
      </c>
      <c r="R370" s="1">
        <v>60</v>
      </c>
      <c r="U370" s="12">
        <v>41548</v>
      </c>
    </row>
    <row r="371" spans="1:21" x14ac:dyDescent="0.25">
      <c r="A371" s="2">
        <f t="shared" si="14"/>
        <v>8</v>
      </c>
      <c r="B371" t="s">
        <v>305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501</v>
      </c>
      <c r="P371" s="20" t="s">
        <v>502</v>
      </c>
      <c r="Q371" s="1">
        <f t="shared" si="13"/>
        <v>1</v>
      </c>
      <c r="R371" s="1">
        <v>60</v>
      </c>
      <c r="U371" s="12">
        <v>41548</v>
      </c>
    </row>
    <row r="372" spans="1:21" x14ac:dyDescent="0.25">
      <c r="A372" s="2">
        <f t="shared" si="14"/>
        <v>8</v>
      </c>
      <c r="B372" t="s">
        <v>280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501</v>
      </c>
      <c r="P372" s="20" t="s">
        <v>502</v>
      </c>
      <c r="Q372" s="1">
        <f t="shared" si="13"/>
        <v>1</v>
      </c>
      <c r="R372" s="1">
        <v>60</v>
      </c>
      <c r="U372" s="12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501</v>
      </c>
      <c r="P373" s="20" t="s">
        <v>502</v>
      </c>
      <c r="Q373" s="1">
        <f t="shared" si="13"/>
        <v>1</v>
      </c>
      <c r="R373" s="1">
        <v>60</v>
      </c>
      <c r="U373" s="12">
        <v>41548</v>
      </c>
    </row>
    <row r="374" spans="1:21" x14ac:dyDescent="0.25">
      <c r="A374" s="2">
        <f>A373</f>
        <v>8</v>
      </c>
      <c r="B374" s="21" t="s">
        <v>584</v>
      </c>
      <c r="J374" s="1"/>
      <c r="M374" t="s">
        <v>15</v>
      </c>
      <c r="N374" t="str">
        <f>IFERROR(VLOOKUP(B374,'[1]All Player'!$B$2:$C$1992,2,0),"")</f>
        <v/>
      </c>
      <c r="O374" s="2" t="s">
        <v>501</v>
      </c>
      <c r="P374" s="20" t="s">
        <v>584</v>
      </c>
      <c r="Q374" s="1">
        <f t="shared" si="13"/>
        <v>1</v>
      </c>
      <c r="R374" s="1">
        <v>61</v>
      </c>
      <c r="U374" s="12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501</v>
      </c>
      <c r="P375" s="20" t="s">
        <v>584</v>
      </c>
      <c r="Q375" s="1">
        <f t="shared" si="13"/>
        <v>1</v>
      </c>
      <c r="R375" s="1">
        <v>61</v>
      </c>
      <c r="U375" s="12">
        <v>41548</v>
      </c>
    </row>
    <row r="376" spans="1:21" x14ac:dyDescent="0.25">
      <c r="A376" s="2">
        <f t="shared" si="14"/>
        <v>8</v>
      </c>
      <c r="B376" t="s">
        <v>123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501</v>
      </c>
      <c r="P376" s="20" t="s">
        <v>584</v>
      </c>
      <c r="Q376" s="1">
        <f t="shared" si="13"/>
        <v>1</v>
      </c>
      <c r="R376" s="1">
        <v>61</v>
      </c>
      <c r="U376" s="12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501</v>
      </c>
      <c r="P377" s="20" t="s">
        <v>584</v>
      </c>
      <c r="Q377" s="1">
        <f t="shared" si="13"/>
        <v>1</v>
      </c>
      <c r="R377" s="1">
        <v>61</v>
      </c>
      <c r="U377" s="12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501</v>
      </c>
      <c r="P378" s="20" t="s">
        <v>584</v>
      </c>
      <c r="Q378" s="1">
        <f t="shared" si="13"/>
        <v>1</v>
      </c>
      <c r="R378" s="1">
        <v>61</v>
      </c>
      <c r="U378" s="12">
        <v>41548</v>
      </c>
    </row>
    <row r="379" spans="1:21" x14ac:dyDescent="0.25">
      <c r="A379" s="2">
        <f t="shared" si="14"/>
        <v>8</v>
      </c>
      <c r="B379" t="s">
        <v>774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501</v>
      </c>
      <c r="P379" s="20" t="s">
        <v>584</v>
      </c>
      <c r="Q379" s="1">
        <f t="shared" si="13"/>
        <v>1</v>
      </c>
      <c r="R379" s="1">
        <v>61</v>
      </c>
      <c r="U379" s="12">
        <v>41548</v>
      </c>
    </row>
    <row r="380" spans="1:21" x14ac:dyDescent="0.25">
      <c r="A380" s="2">
        <f t="shared" si="14"/>
        <v>8</v>
      </c>
      <c r="B380" t="s">
        <v>325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501</v>
      </c>
      <c r="P380" s="20" t="s">
        <v>584</v>
      </c>
      <c r="Q380" s="1">
        <f t="shared" si="13"/>
        <v>1</v>
      </c>
      <c r="R380" s="1">
        <v>61</v>
      </c>
      <c r="U380" s="12">
        <v>41548</v>
      </c>
    </row>
    <row r="381" spans="1:21" x14ac:dyDescent="0.25">
      <c r="A381" s="2">
        <f t="shared" si="14"/>
        <v>8</v>
      </c>
      <c r="B381" s="21" t="s">
        <v>585</v>
      </c>
      <c r="J381" s="1"/>
      <c r="M381" t="s">
        <v>15</v>
      </c>
      <c r="N381" t="str">
        <f>IFERROR(VLOOKUP(B381,'[1]All Player'!$B$2:$C$1992,2,0),"")</f>
        <v/>
      </c>
      <c r="O381" s="2" t="s">
        <v>501</v>
      </c>
      <c r="P381" s="20" t="s">
        <v>585</v>
      </c>
      <c r="Q381" s="1">
        <f t="shared" si="13"/>
        <v>1</v>
      </c>
      <c r="R381" s="1">
        <v>62</v>
      </c>
      <c r="U381" s="12">
        <v>41548</v>
      </c>
    </row>
    <row r="382" spans="1:21" x14ac:dyDescent="0.25">
      <c r="A382" s="2">
        <f t="shared" si="14"/>
        <v>8</v>
      </c>
      <c r="B382" t="s">
        <v>153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501</v>
      </c>
      <c r="P382" s="20" t="s">
        <v>585</v>
      </c>
      <c r="Q382" s="1">
        <f t="shared" si="13"/>
        <v>1</v>
      </c>
      <c r="R382" s="1">
        <v>62</v>
      </c>
      <c r="U382" s="12">
        <v>41548</v>
      </c>
    </row>
    <row r="383" spans="1:21" x14ac:dyDescent="0.25">
      <c r="A383" s="2">
        <f t="shared" si="14"/>
        <v>8</v>
      </c>
      <c r="B383" t="s">
        <v>121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501</v>
      </c>
      <c r="P383" s="20" t="s">
        <v>585</v>
      </c>
      <c r="Q383" s="1">
        <f t="shared" si="13"/>
        <v>1</v>
      </c>
      <c r="R383" s="1">
        <v>62</v>
      </c>
      <c r="U383" s="12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501</v>
      </c>
      <c r="P384" s="20" t="s">
        <v>585</v>
      </c>
      <c r="Q384" s="1">
        <f t="shared" si="13"/>
        <v>1</v>
      </c>
      <c r="R384" s="1">
        <v>62</v>
      </c>
      <c r="U384" s="12">
        <v>41548</v>
      </c>
    </row>
    <row r="385" spans="1:21" x14ac:dyDescent="0.25">
      <c r="A385" s="2">
        <f t="shared" si="14"/>
        <v>8</v>
      </c>
      <c r="B385" t="s">
        <v>155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501</v>
      </c>
      <c r="P385" s="20" t="s">
        <v>585</v>
      </c>
      <c r="Q385" s="1">
        <f t="shared" si="13"/>
        <v>1</v>
      </c>
      <c r="R385" s="1">
        <v>62</v>
      </c>
      <c r="U385" s="12">
        <v>41548</v>
      </c>
    </row>
    <row r="386" spans="1:21" x14ac:dyDescent="0.25">
      <c r="A386" s="2">
        <f t="shared" si="14"/>
        <v>8</v>
      </c>
      <c r="B386" t="s">
        <v>297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501</v>
      </c>
      <c r="P386" s="20" t="s">
        <v>585</v>
      </c>
      <c r="Q386" s="1">
        <f t="shared" ref="Q386:Q449" si="15">IF(B386="","",1)</f>
        <v>1</v>
      </c>
      <c r="R386" s="1">
        <v>62</v>
      </c>
      <c r="U386" s="12">
        <v>41548</v>
      </c>
    </row>
    <row r="387" spans="1:21" x14ac:dyDescent="0.25">
      <c r="A387" s="2">
        <f t="shared" si="14"/>
        <v>8</v>
      </c>
      <c r="B387" t="s">
        <v>328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501</v>
      </c>
      <c r="P387" s="20" t="s">
        <v>585</v>
      </c>
      <c r="Q387" s="1">
        <f t="shared" si="15"/>
        <v>1</v>
      </c>
      <c r="R387" s="1">
        <v>62</v>
      </c>
      <c r="U387" s="12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501</v>
      </c>
      <c r="P388" s="20" t="s">
        <v>585</v>
      </c>
      <c r="Q388" s="1">
        <f t="shared" si="15"/>
        <v>1</v>
      </c>
      <c r="R388" s="1">
        <v>62</v>
      </c>
      <c r="U388" s="12">
        <v>41548</v>
      </c>
    </row>
    <row r="389" spans="1:21" x14ac:dyDescent="0.25">
      <c r="A389" s="2">
        <f t="shared" si="14"/>
        <v>8</v>
      </c>
      <c r="B389" s="21" t="s">
        <v>779</v>
      </c>
      <c r="J389" s="1"/>
      <c r="M389" t="s">
        <v>15</v>
      </c>
      <c r="N389" t="str">
        <f>IFERROR(VLOOKUP(B389,'[1]All Player'!$B$2:$C$1992,2,0),"")</f>
        <v/>
      </c>
      <c r="O389" s="2" t="s">
        <v>501</v>
      </c>
      <c r="P389" s="20" t="s">
        <v>779</v>
      </c>
      <c r="Q389" s="1">
        <f t="shared" si="15"/>
        <v>1</v>
      </c>
      <c r="R389" s="1">
        <v>63</v>
      </c>
      <c r="U389" s="12">
        <v>41548</v>
      </c>
    </row>
    <row r="390" spans="1:21" x14ac:dyDescent="0.25">
      <c r="A390" s="2">
        <f t="shared" si="14"/>
        <v>8</v>
      </c>
      <c r="B390" t="s">
        <v>246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501</v>
      </c>
      <c r="P390" s="20" t="s">
        <v>779</v>
      </c>
      <c r="Q390" s="1">
        <f t="shared" si="15"/>
        <v>1</v>
      </c>
      <c r="R390" s="1">
        <v>63</v>
      </c>
      <c r="U390" s="12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501</v>
      </c>
      <c r="P391" s="20" t="s">
        <v>779</v>
      </c>
      <c r="Q391" s="1">
        <f t="shared" si="15"/>
        <v>1</v>
      </c>
      <c r="R391" s="1">
        <v>63</v>
      </c>
      <c r="U391" s="12">
        <v>41548</v>
      </c>
    </row>
    <row r="392" spans="1:21" x14ac:dyDescent="0.25">
      <c r="A392" s="2">
        <f t="shared" si="14"/>
        <v>8</v>
      </c>
      <c r="B392" t="s">
        <v>780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501</v>
      </c>
      <c r="P392" s="20" t="s">
        <v>779</v>
      </c>
      <c r="Q392" s="1">
        <f t="shared" si="15"/>
        <v>1</v>
      </c>
      <c r="R392" s="1">
        <v>63</v>
      </c>
      <c r="U392" s="12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501</v>
      </c>
      <c r="P393" s="20" t="s">
        <v>779</v>
      </c>
      <c r="Q393" s="1">
        <f t="shared" si="15"/>
        <v>1</v>
      </c>
      <c r="R393" s="1">
        <v>63</v>
      </c>
      <c r="U393" s="12">
        <v>41548</v>
      </c>
    </row>
    <row r="394" spans="1:21" x14ac:dyDescent="0.25">
      <c r="A394" s="2">
        <f t="shared" si="14"/>
        <v>8</v>
      </c>
      <c r="B394" t="s">
        <v>139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501</v>
      </c>
      <c r="P394" s="20" t="s">
        <v>779</v>
      </c>
      <c r="Q394" s="1">
        <f t="shared" si="15"/>
        <v>1</v>
      </c>
      <c r="R394" s="1">
        <v>63</v>
      </c>
      <c r="U394" s="12">
        <v>41548</v>
      </c>
    </row>
    <row r="395" spans="1:21" x14ac:dyDescent="0.25">
      <c r="A395" s="2">
        <v>9</v>
      </c>
      <c r="B395" t="s">
        <v>781</v>
      </c>
      <c r="J395" s="1"/>
      <c r="M395" t="s">
        <v>15</v>
      </c>
      <c r="N395" t="str">
        <f>IFERROR(VLOOKUP(B395,'[1]All Player'!$B$2:$C$1992,2,0),"")</f>
        <v/>
      </c>
      <c r="O395" s="2" t="s">
        <v>503</v>
      </c>
      <c r="P395" s="20" t="s">
        <v>782</v>
      </c>
      <c r="Q395" s="1">
        <f t="shared" si="15"/>
        <v>1</v>
      </c>
      <c r="R395" s="1">
        <v>64</v>
      </c>
      <c r="U395" s="12">
        <v>41609</v>
      </c>
    </row>
    <row r="396" spans="1:21" x14ac:dyDescent="0.25">
      <c r="A396" s="2">
        <f t="shared" si="14"/>
        <v>9</v>
      </c>
      <c r="B396" t="s">
        <v>139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503</v>
      </c>
      <c r="P396" s="20" t="s">
        <v>782</v>
      </c>
      <c r="Q396" s="1">
        <f t="shared" si="15"/>
        <v>1</v>
      </c>
      <c r="R396" s="1">
        <v>64</v>
      </c>
      <c r="U396" s="12">
        <v>41609</v>
      </c>
    </row>
    <row r="397" spans="1:21" x14ac:dyDescent="0.25">
      <c r="A397" s="2">
        <f t="shared" si="14"/>
        <v>9</v>
      </c>
      <c r="B397" t="s">
        <v>131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503</v>
      </c>
      <c r="P397" s="20" t="s">
        <v>782</v>
      </c>
      <c r="Q397" s="1">
        <f t="shared" si="15"/>
        <v>1</v>
      </c>
      <c r="R397" s="1">
        <v>64</v>
      </c>
      <c r="U397" s="12">
        <v>41609</v>
      </c>
    </row>
    <row r="398" spans="1:21" x14ac:dyDescent="0.25">
      <c r="A398" s="2">
        <f t="shared" si="14"/>
        <v>9</v>
      </c>
      <c r="B398" t="s">
        <v>204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503</v>
      </c>
      <c r="P398" s="20" t="s">
        <v>782</v>
      </c>
      <c r="Q398" s="1">
        <f t="shared" si="15"/>
        <v>1</v>
      </c>
      <c r="R398" s="1">
        <v>64</v>
      </c>
      <c r="U398" s="12">
        <v>41609</v>
      </c>
    </row>
    <row r="399" spans="1:21" x14ac:dyDescent="0.25">
      <c r="A399" s="2">
        <f t="shared" si="14"/>
        <v>9</v>
      </c>
      <c r="B399" t="s">
        <v>538</v>
      </c>
      <c r="J399" s="1"/>
      <c r="M399" t="s">
        <v>15</v>
      </c>
      <c r="N399" t="str">
        <f>IFERROR(VLOOKUP(B399,'[1]All Player'!$B$2:$C$1992,2,0),"")</f>
        <v/>
      </c>
      <c r="O399" s="2" t="s">
        <v>503</v>
      </c>
      <c r="P399" s="20" t="s">
        <v>538</v>
      </c>
      <c r="Q399" s="1">
        <f t="shared" si="15"/>
        <v>1</v>
      </c>
      <c r="R399" s="1">
        <v>65</v>
      </c>
      <c r="U399" s="12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503</v>
      </c>
      <c r="P400" s="20" t="s">
        <v>538</v>
      </c>
      <c r="Q400" s="1">
        <f t="shared" si="15"/>
        <v>1</v>
      </c>
      <c r="R400" s="1">
        <v>65</v>
      </c>
      <c r="U400" s="12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503</v>
      </c>
      <c r="P401" s="20" t="s">
        <v>538</v>
      </c>
      <c r="Q401" s="1">
        <f t="shared" si="15"/>
        <v>1</v>
      </c>
      <c r="R401" s="1">
        <v>65</v>
      </c>
      <c r="U401" s="12">
        <v>41609</v>
      </c>
    </row>
    <row r="402" spans="1:21" x14ac:dyDescent="0.25">
      <c r="A402" s="2">
        <f t="shared" si="14"/>
        <v>9</v>
      </c>
      <c r="B402" t="s">
        <v>774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503</v>
      </c>
      <c r="P402" s="20" t="s">
        <v>538</v>
      </c>
      <c r="Q402" s="1">
        <f t="shared" si="15"/>
        <v>1</v>
      </c>
      <c r="R402" s="1">
        <v>65</v>
      </c>
      <c r="U402" s="12">
        <v>41609</v>
      </c>
    </row>
    <row r="403" spans="1:21" x14ac:dyDescent="0.25">
      <c r="A403" s="2">
        <f t="shared" si="14"/>
        <v>9</v>
      </c>
      <c r="B403" t="s">
        <v>135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503</v>
      </c>
      <c r="P403" s="20" t="s">
        <v>538</v>
      </c>
      <c r="Q403" s="1">
        <f t="shared" si="15"/>
        <v>1</v>
      </c>
      <c r="R403" s="1">
        <v>65</v>
      </c>
      <c r="U403" s="12">
        <v>41609</v>
      </c>
    </row>
    <row r="404" spans="1:21" x14ac:dyDescent="0.25">
      <c r="A404" s="2">
        <f t="shared" si="14"/>
        <v>9</v>
      </c>
      <c r="B404" t="s">
        <v>783</v>
      </c>
      <c r="J404" s="1"/>
      <c r="M404" t="s">
        <v>15</v>
      </c>
      <c r="N404" t="str">
        <f>IFERROR(VLOOKUP(B404,'[1]All Player'!$B$2:$C$1992,2,0),"")</f>
        <v/>
      </c>
      <c r="O404" s="2" t="s">
        <v>503</v>
      </c>
      <c r="P404" s="20" t="s">
        <v>521</v>
      </c>
      <c r="Q404" s="1">
        <f t="shared" si="15"/>
        <v>1</v>
      </c>
      <c r="R404" s="1">
        <v>66</v>
      </c>
      <c r="U404" s="12">
        <v>41609</v>
      </c>
    </row>
    <row r="405" spans="1:21" x14ac:dyDescent="0.25">
      <c r="A405" s="2">
        <f t="shared" si="14"/>
        <v>9</v>
      </c>
      <c r="B405" t="s">
        <v>184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503</v>
      </c>
      <c r="P405" s="20" t="s">
        <v>521</v>
      </c>
      <c r="Q405" s="1">
        <f t="shared" si="15"/>
        <v>1</v>
      </c>
      <c r="R405" s="1">
        <v>66</v>
      </c>
      <c r="U405" s="12">
        <v>41609</v>
      </c>
    </row>
    <row r="406" spans="1:21" x14ac:dyDescent="0.25">
      <c r="A406" s="2">
        <f t="shared" si="14"/>
        <v>9</v>
      </c>
      <c r="B406" t="s">
        <v>170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503</v>
      </c>
      <c r="P406" s="20" t="s">
        <v>521</v>
      </c>
      <c r="Q406" s="1">
        <f t="shared" si="15"/>
        <v>1</v>
      </c>
      <c r="R406" s="1">
        <v>66</v>
      </c>
      <c r="U406" s="12">
        <v>41609</v>
      </c>
    </row>
    <row r="407" spans="1:21" x14ac:dyDescent="0.25">
      <c r="A407" s="2">
        <f t="shared" si="14"/>
        <v>9</v>
      </c>
      <c r="B407" t="s">
        <v>784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503</v>
      </c>
      <c r="P407" s="20" t="s">
        <v>521</v>
      </c>
      <c r="Q407" s="1">
        <f t="shared" si="15"/>
        <v>1</v>
      </c>
      <c r="R407" s="1">
        <v>66</v>
      </c>
      <c r="U407" s="12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503</v>
      </c>
      <c r="P408" s="20" t="s">
        <v>521</v>
      </c>
      <c r="Q408" s="1">
        <f t="shared" si="15"/>
        <v>1</v>
      </c>
      <c r="R408" s="1">
        <v>66</v>
      </c>
      <c r="U408" s="12">
        <v>41609</v>
      </c>
    </row>
    <row r="409" spans="1:21" x14ac:dyDescent="0.25">
      <c r="A409" s="2">
        <f t="shared" si="14"/>
        <v>9</v>
      </c>
      <c r="B409" t="s">
        <v>180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503</v>
      </c>
      <c r="P409" s="20" t="s">
        <v>521</v>
      </c>
      <c r="Q409" s="1">
        <f t="shared" si="15"/>
        <v>1</v>
      </c>
      <c r="R409" s="1">
        <v>66</v>
      </c>
      <c r="U409" s="12">
        <v>41609</v>
      </c>
    </row>
    <row r="410" spans="1:21" x14ac:dyDescent="0.25">
      <c r="A410" s="2">
        <f t="shared" si="14"/>
        <v>9</v>
      </c>
      <c r="B410" t="s">
        <v>785</v>
      </c>
      <c r="J410" s="1"/>
      <c r="M410" t="s">
        <v>15</v>
      </c>
      <c r="N410" t="str">
        <f>IFERROR(VLOOKUP(B410,'[1]All Player'!$B$2:$C$1992,2,0),"")</f>
        <v/>
      </c>
      <c r="O410" s="2" t="s">
        <v>503</v>
      </c>
      <c r="P410" s="20" t="s">
        <v>517</v>
      </c>
      <c r="Q410" s="1">
        <f t="shared" si="15"/>
        <v>1</v>
      </c>
      <c r="R410" s="1">
        <v>67</v>
      </c>
      <c r="U410" s="12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503</v>
      </c>
      <c r="P411" s="20" t="s">
        <v>517</v>
      </c>
      <c r="Q411" s="1">
        <f t="shared" si="15"/>
        <v>1</v>
      </c>
      <c r="R411" s="1">
        <v>67</v>
      </c>
      <c r="U411" s="12">
        <v>41609</v>
      </c>
    </row>
    <row r="412" spans="1:21" x14ac:dyDescent="0.25">
      <c r="A412" s="2">
        <f t="shared" si="14"/>
        <v>9</v>
      </c>
      <c r="B412" t="s">
        <v>780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503</v>
      </c>
      <c r="P412" s="20" t="s">
        <v>517</v>
      </c>
      <c r="Q412" s="1">
        <f t="shared" si="15"/>
        <v>1</v>
      </c>
      <c r="R412" s="1">
        <v>67</v>
      </c>
      <c r="U412" s="12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503</v>
      </c>
      <c r="P413" s="20" t="s">
        <v>517</v>
      </c>
      <c r="Q413" s="1">
        <f t="shared" si="15"/>
        <v>1</v>
      </c>
      <c r="R413" s="1">
        <v>67</v>
      </c>
      <c r="U413" s="12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503</v>
      </c>
      <c r="P414" s="20" t="s">
        <v>517</v>
      </c>
      <c r="Q414" s="1">
        <f t="shared" si="15"/>
        <v>1</v>
      </c>
      <c r="R414" s="1">
        <v>67</v>
      </c>
      <c r="U414" s="12">
        <v>41609</v>
      </c>
    </row>
    <row r="415" spans="1:21" x14ac:dyDescent="0.25">
      <c r="A415" s="2">
        <f t="shared" si="14"/>
        <v>9</v>
      </c>
      <c r="B415" t="s">
        <v>786</v>
      </c>
      <c r="J415" s="1"/>
      <c r="M415" t="s">
        <v>15</v>
      </c>
      <c r="N415" t="str">
        <f>IFERROR(VLOOKUP(B415,'[1]All Player'!$B$2:$C$1992,2,0),"")</f>
        <v/>
      </c>
      <c r="O415" s="2" t="s">
        <v>503</v>
      </c>
      <c r="P415" s="20" t="s">
        <v>588</v>
      </c>
      <c r="Q415" s="1">
        <f t="shared" si="15"/>
        <v>1</v>
      </c>
      <c r="R415" s="1">
        <v>68</v>
      </c>
      <c r="U415" s="12">
        <v>41609</v>
      </c>
    </row>
    <row r="416" spans="1:21" x14ac:dyDescent="0.25">
      <c r="A416" s="2">
        <f t="shared" si="14"/>
        <v>9</v>
      </c>
      <c r="B416" t="s">
        <v>336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503</v>
      </c>
      <c r="P416" s="20" t="s">
        <v>588</v>
      </c>
      <c r="Q416" s="1">
        <f t="shared" si="15"/>
        <v>1</v>
      </c>
      <c r="R416" s="1">
        <v>68</v>
      </c>
      <c r="U416" s="12">
        <v>41609</v>
      </c>
    </row>
    <row r="417" spans="1:21" x14ac:dyDescent="0.25">
      <c r="A417" s="2">
        <f t="shared" si="14"/>
        <v>9</v>
      </c>
      <c r="B417" t="s">
        <v>123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503</v>
      </c>
      <c r="P417" s="20" t="s">
        <v>588</v>
      </c>
      <c r="Q417" s="1">
        <f t="shared" si="15"/>
        <v>1</v>
      </c>
      <c r="R417" s="1">
        <v>68</v>
      </c>
      <c r="U417" s="12">
        <v>41609</v>
      </c>
    </row>
    <row r="418" spans="1:21" x14ac:dyDescent="0.25">
      <c r="A418" s="2">
        <f t="shared" si="14"/>
        <v>9</v>
      </c>
      <c r="B418" t="s">
        <v>338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503</v>
      </c>
      <c r="P418" s="20" t="s">
        <v>588</v>
      </c>
      <c r="Q418" s="1">
        <f t="shared" si="15"/>
        <v>1</v>
      </c>
      <c r="R418" s="1">
        <v>68</v>
      </c>
      <c r="U418" s="12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503</v>
      </c>
      <c r="P419" s="20" t="s">
        <v>588</v>
      </c>
      <c r="Q419" s="1">
        <f t="shared" si="15"/>
        <v>1</v>
      </c>
      <c r="R419" s="1">
        <v>68</v>
      </c>
      <c r="U419" s="12">
        <v>41609</v>
      </c>
    </row>
    <row r="420" spans="1:21" x14ac:dyDescent="0.25">
      <c r="A420" s="2">
        <f t="shared" si="14"/>
        <v>9</v>
      </c>
      <c r="B420" t="s">
        <v>787</v>
      </c>
      <c r="J420" s="1"/>
      <c r="M420" t="s">
        <v>15</v>
      </c>
      <c r="N420" t="str">
        <f>IFERROR(VLOOKUP(B420,'[1]All Player'!$B$2:$C$1992,2,0),"")</f>
        <v/>
      </c>
      <c r="O420" s="2" t="s">
        <v>503</v>
      </c>
      <c r="P420" s="20" t="s">
        <v>504</v>
      </c>
      <c r="Q420" s="1">
        <f t="shared" si="15"/>
        <v>1</v>
      </c>
      <c r="R420" s="1">
        <v>69</v>
      </c>
      <c r="U420" s="12">
        <v>41609</v>
      </c>
    </row>
    <row r="421" spans="1:21" x14ac:dyDescent="0.25">
      <c r="A421" s="2">
        <f t="shared" si="14"/>
        <v>9</v>
      </c>
      <c r="B421" t="s">
        <v>246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503</v>
      </c>
      <c r="P421" s="20" t="s">
        <v>504</v>
      </c>
      <c r="Q421" s="1">
        <f t="shared" si="15"/>
        <v>1</v>
      </c>
      <c r="R421" s="1">
        <v>69</v>
      </c>
      <c r="U421" s="12">
        <v>41609</v>
      </c>
    </row>
    <row r="422" spans="1:21" x14ac:dyDescent="0.25">
      <c r="A422" s="2">
        <f t="shared" si="14"/>
        <v>9</v>
      </c>
      <c r="B422" t="s">
        <v>770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503</v>
      </c>
      <c r="P422" s="20" t="s">
        <v>504</v>
      </c>
      <c r="Q422" s="1">
        <f t="shared" si="15"/>
        <v>1</v>
      </c>
      <c r="R422" s="1">
        <v>69</v>
      </c>
      <c r="U422" s="12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503</v>
      </c>
      <c r="P423" s="20" t="s">
        <v>504</v>
      </c>
      <c r="Q423" s="1">
        <f t="shared" si="15"/>
        <v>1</v>
      </c>
      <c r="R423" s="1">
        <v>69</v>
      </c>
      <c r="U423" s="12">
        <v>41609</v>
      </c>
    </row>
    <row r="424" spans="1:21" x14ac:dyDescent="0.25">
      <c r="A424" s="2">
        <f t="shared" si="14"/>
        <v>9</v>
      </c>
      <c r="B424" t="s">
        <v>340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503</v>
      </c>
      <c r="P424" s="20" t="s">
        <v>589</v>
      </c>
      <c r="Q424" s="1">
        <f t="shared" si="15"/>
        <v>1</v>
      </c>
      <c r="R424" s="1">
        <v>70</v>
      </c>
      <c r="U424" s="12">
        <v>41609</v>
      </c>
    </row>
    <row r="425" spans="1:21" x14ac:dyDescent="0.25">
      <c r="A425" s="2">
        <f t="shared" si="14"/>
        <v>9</v>
      </c>
      <c r="B425" t="s">
        <v>788</v>
      </c>
      <c r="J425" s="1"/>
      <c r="M425" t="s">
        <v>15</v>
      </c>
      <c r="N425" t="str">
        <f>IFERROR(VLOOKUP(B425,'[1]All Player'!$B$2:$C$1992,2,0),"")</f>
        <v/>
      </c>
      <c r="O425" s="2" t="s">
        <v>503</v>
      </c>
      <c r="P425" s="20" t="s">
        <v>589</v>
      </c>
      <c r="Q425" s="1">
        <f t="shared" si="15"/>
        <v>1</v>
      </c>
      <c r="R425" s="1">
        <v>70</v>
      </c>
      <c r="T425" s="1" t="s">
        <v>659</v>
      </c>
      <c r="U425" s="12">
        <v>41609</v>
      </c>
    </row>
    <row r="426" spans="1:21" x14ac:dyDescent="0.25">
      <c r="A426" s="2">
        <f t="shared" si="14"/>
        <v>9</v>
      </c>
      <c r="B426" t="s">
        <v>145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503</v>
      </c>
      <c r="P426" s="20" t="s">
        <v>589</v>
      </c>
      <c r="Q426" s="1">
        <f t="shared" si="15"/>
        <v>1</v>
      </c>
      <c r="R426" s="1">
        <v>70</v>
      </c>
      <c r="S426" s="2" t="s">
        <v>660</v>
      </c>
      <c r="T426" s="1" t="s">
        <v>659</v>
      </c>
      <c r="U426" s="12">
        <v>41609</v>
      </c>
    </row>
    <row r="427" spans="1:21" x14ac:dyDescent="0.25">
      <c r="A427" s="2">
        <f t="shared" si="14"/>
        <v>9</v>
      </c>
      <c r="B427" t="s">
        <v>303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503</v>
      </c>
      <c r="P427" s="20" t="s">
        <v>589</v>
      </c>
      <c r="Q427" s="1">
        <f t="shared" si="15"/>
        <v>1</v>
      </c>
      <c r="R427" s="1">
        <v>70</v>
      </c>
      <c r="T427" s="1" t="s">
        <v>659</v>
      </c>
      <c r="U427" s="12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503</v>
      </c>
      <c r="P428" s="20" t="s">
        <v>589</v>
      </c>
      <c r="Q428" s="1">
        <f t="shared" si="15"/>
        <v>1</v>
      </c>
      <c r="R428" s="1">
        <v>70</v>
      </c>
      <c r="T428" s="1" t="s">
        <v>659</v>
      </c>
      <c r="U428" s="12">
        <v>41609</v>
      </c>
    </row>
    <row r="429" spans="1:21" x14ac:dyDescent="0.25">
      <c r="A429" s="2">
        <f t="shared" si="16"/>
        <v>9</v>
      </c>
      <c r="B429" t="s">
        <v>147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503</v>
      </c>
      <c r="P429" s="20" t="s">
        <v>589</v>
      </c>
      <c r="Q429" s="1">
        <f t="shared" si="15"/>
        <v>1</v>
      </c>
      <c r="R429" s="1">
        <v>70</v>
      </c>
      <c r="T429" s="1" t="s">
        <v>659</v>
      </c>
      <c r="U429" s="12">
        <v>41609</v>
      </c>
    </row>
    <row r="430" spans="1:21" x14ac:dyDescent="0.25">
      <c r="A430" s="2">
        <f t="shared" si="16"/>
        <v>9</v>
      </c>
      <c r="B430" t="s">
        <v>292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503</v>
      </c>
      <c r="P430" s="20" t="s">
        <v>589</v>
      </c>
      <c r="Q430" s="1">
        <f t="shared" si="15"/>
        <v>1</v>
      </c>
      <c r="R430" s="1">
        <v>70</v>
      </c>
      <c r="T430" s="1" t="s">
        <v>659</v>
      </c>
      <c r="U430" s="12">
        <v>41609</v>
      </c>
    </row>
    <row r="431" spans="1:21" x14ac:dyDescent="0.25">
      <c r="A431" s="2">
        <f t="shared" si="16"/>
        <v>9</v>
      </c>
      <c r="B431" t="s">
        <v>789</v>
      </c>
      <c r="J431" s="1"/>
      <c r="M431" t="s">
        <v>15</v>
      </c>
      <c r="N431" t="str">
        <f>IFERROR(VLOOKUP(B431,'[1]All Player'!$B$2:$C$1992,2,0),"")</f>
        <v/>
      </c>
      <c r="O431" s="2" t="s">
        <v>503</v>
      </c>
      <c r="P431" s="20" t="s">
        <v>790</v>
      </c>
      <c r="Q431" s="1">
        <f t="shared" si="15"/>
        <v>1</v>
      </c>
      <c r="R431" s="1">
        <v>71</v>
      </c>
      <c r="U431" s="12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503</v>
      </c>
      <c r="P432" s="20" t="s">
        <v>790</v>
      </c>
      <c r="Q432" s="1">
        <f t="shared" si="15"/>
        <v>1</v>
      </c>
      <c r="R432" s="1">
        <v>71</v>
      </c>
      <c r="U432" s="12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503</v>
      </c>
      <c r="P433" s="20" t="s">
        <v>790</v>
      </c>
      <c r="Q433" s="1">
        <f t="shared" si="15"/>
        <v>1</v>
      </c>
      <c r="R433" s="1">
        <v>71</v>
      </c>
      <c r="U433" s="12">
        <v>41609</v>
      </c>
    </row>
    <row r="434" spans="1:23" x14ac:dyDescent="0.25">
      <c r="A434" s="2">
        <f t="shared" si="16"/>
        <v>9</v>
      </c>
      <c r="B434" t="s">
        <v>791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503</v>
      </c>
      <c r="P434" s="20" t="s">
        <v>790</v>
      </c>
      <c r="Q434" s="1">
        <f t="shared" si="15"/>
        <v>1</v>
      </c>
      <c r="R434" s="1">
        <v>71</v>
      </c>
      <c r="U434" s="12">
        <v>41609</v>
      </c>
    </row>
    <row r="435" spans="1:23" x14ac:dyDescent="0.25">
      <c r="A435" s="2">
        <f t="shared" si="16"/>
        <v>9</v>
      </c>
      <c r="B435" t="s">
        <v>792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503</v>
      </c>
      <c r="P435" s="20" t="s">
        <v>790</v>
      </c>
      <c r="Q435" s="1">
        <f t="shared" si="15"/>
        <v>1</v>
      </c>
      <c r="R435" s="1">
        <v>71</v>
      </c>
      <c r="U435" s="12">
        <v>41609</v>
      </c>
    </row>
    <row r="436" spans="1:23" x14ac:dyDescent="0.25">
      <c r="A436" s="2">
        <f t="shared" si="16"/>
        <v>9</v>
      </c>
      <c r="B436" t="s">
        <v>793</v>
      </c>
      <c r="J436" s="1"/>
      <c r="M436" t="s">
        <v>15</v>
      </c>
      <c r="N436" t="str">
        <f>IFERROR(VLOOKUP(B436,'[1]All Player'!$B$2:$C$1992,2,0),"")</f>
        <v/>
      </c>
      <c r="O436" s="2" t="s">
        <v>503</v>
      </c>
      <c r="P436" s="20" t="s">
        <v>586</v>
      </c>
      <c r="Q436" s="1">
        <f t="shared" si="15"/>
        <v>1</v>
      </c>
      <c r="R436" s="1">
        <v>72</v>
      </c>
      <c r="T436" s="1" t="s">
        <v>794</v>
      </c>
      <c r="U436" s="12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503</v>
      </c>
      <c r="P437" s="20" t="s">
        <v>586</v>
      </c>
      <c r="Q437" s="1">
        <f t="shared" si="15"/>
        <v>1</v>
      </c>
      <c r="R437" s="1">
        <v>72</v>
      </c>
      <c r="T437" s="1" t="s">
        <v>794</v>
      </c>
      <c r="U437" s="12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503</v>
      </c>
      <c r="P438" s="20" t="s">
        <v>586</v>
      </c>
      <c r="Q438" s="1">
        <f t="shared" si="15"/>
        <v>1</v>
      </c>
      <c r="R438" s="1">
        <v>72</v>
      </c>
      <c r="S438" s="2" t="s">
        <v>662</v>
      </c>
      <c r="T438" s="1" t="s">
        <v>794</v>
      </c>
      <c r="U438" s="12">
        <v>41609</v>
      </c>
      <c r="W438" s="1">
        <v>1</v>
      </c>
    </row>
    <row r="439" spans="1:23" x14ac:dyDescent="0.25">
      <c r="A439" s="2">
        <f t="shared" si="16"/>
        <v>9</v>
      </c>
      <c r="B439" t="s">
        <v>342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503</v>
      </c>
      <c r="P439" s="20" t="s">
        <v>586</v>
      </c>
      <c r="Q439" s="1">
        <f t="shared" si="15"/>
        <v>1</v>
      </c>
      <c r="R439" s="1">
        <v>72</v>
      </c>
      <c r="T439" s="1" t="s">
        <v>794</v>
      </c>
      <c r="U439" s="12">
        <v>41609</v>
      </c>
    </row>
    <row r="440" spans="1:23" x14ac:dyDescent="0.25">
      <c r="A440" s="2">
        <f t="shared" si="16"/>
        <v>9</v>
      </c>
      <c r="B440" t="s">
        <v>330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503</v>
      </c>
      <c r="P440" s="20" t="s">
        <v>586</v>
      </c>
      <c r="Q440" s="1">
        <f t="shared" si="15"/>
        <v>1</v>
      </c>
      <c r="R440" s="1">
        <v>72</v>
      </c>
      <c r="T440" s="1" t="s">
        <v>794</v>
      </c>
      <c r="U440" s="12">
        <v>41609</v>
      </c>
    </row>
    <row r="441" spans="1:23" x14ac:dyDescent="0.25">
      <c r="A441" s="2">
        <f t="shared" si="16"/>
        <v>9</v>
      </c>
      <c r="B441" t="s">
        <v>795</v>
      </c>
      <c r="J441" s="1"/>
      <c r="M441" t="s">
        <v>15</v>
      </c>
      <c r="N441" t="str">
        <f>IFERROR(VLOOKUP(B441,'[1]All Player'!$B$2:$C$1992,2,0),"")</f>
        <v/>
      </c>
      <c r="O441" s="2" t="s">
        <v>503</v>
      </c>
      <c r="P441" s="20" t="s">
        <v>590</v>
      </c>
      <c r="Q441" s="1">
        <f t="shared" si="15"/>
        <v>1</v>
      </c>
      <c r="R441" s="1">
        <v>73</v>
      </c>
      <c r="T441" s="1" t="s">
        <v>661</v>
      </c>
      <c r="U441" s="12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503</v>
      </c>
      <c r="P442" s="20" t="s">
        <v>590</v>
      </c>
      <c r="Q442" s="1">
        <f t="shared" si="15"/>
        <v>1</v>
      </c>
      <c r="R442" s="1">
        <v>73</v>
      </c>
      <c r="T442" s="1" t="s">
        <v>661</v>
      </c>
      <c r="U442" s="12">
        <v>41609</v>
      </c>
    </row>
    <row r="443" spans="1:23" x14ac:dyDescent="0.25">
      <c r="A443" s="2">
        <f t="shared" si="16"/>
        <v>9</v>
      </c>
      <c r="B443" t="s">
        <v>319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503</v>
      </c>
      <c r="P443" s="20" t="s">
        <v>590</v>
      </c>
      <c r="Q443" s="1">
        <f t="shared" si="15"/>
        <v>1</v>
      </c>
      <c r="R443" s="1">
        <v>73</v>
      </c>
      <c r="T443" s="1" t="s">
        <v>661</v>
      </c>
      <c r="U443" s="12">
        <v>41609</v>
      </c>
    </row>
    <row r="444" spans="1:23" x14ac:dyDescent="0.25">
      <c r="A444" s="2">
        <f t="shared" si="16"/>
        <v>9</v>
      </c>
      <c r="B444" t="s">
        <v>214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503</v>
      </c>
      <c r="P444" s="20" t="s">
        <v>590</v>
      </c>
      <c r="Q444" s="1">
        <f t="shared" si="15"/>
        <v>1</v>
      </c>
      <c r="R444" s="1">
        <v>73</v>
      </c>
      <c r="T444" s="1" t="s">
        <v>661</v>
      </c>
      <c r="U444" s="12">
        <v>41609</v>
      </c>
    </row>
    <row r="445" spans="1:23" x14ac:dyDescent="0.25">
      <c r="A445" s="2">
        <f t="shared" si="16"/>
        <v>9</v>
      </c>
      <c r="B445" t="s">
        <v>344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503</v>
      </c>
      <c r="P445" s="20" t="s">
        <v>590</v>
      </c>
      <c r="Q445" s="1">
        <f t="shared" si="15"/>
        <v>1</v>
      </c>
      <c r="R445" s="1">
        <v>73</v>
      </c>
      <c r="T445" s="1" t="s">
        <v>661</v>
      </c>
      <c r="U445" s="12">
        <v>41609</v>
      </c>
    </row>
    <row r="446" spans="1:23" x14ac:dyDescent="0.25">
      <c r="A446" s="2">
        <f t="shared" si="16"/>
        <v>9</v>
      </c>
      <c r="B446" t="s">
        <v>796</v>
      </c>
      <c r="J446" s="1"/>
      <c r="M446" t="s">
        <v>15</v>
      </c>
      <c r="N446" t="str">
        <f>IFERROR(VLOOKUP(B446,'[1]All Player'!$B$2:$C$1992,2,0),"")</f>
        <v/>
      </c>
      <c r="O446" s="2" t="s">
        <v>503</v>
      </c>
      <c r="P446" s="20" t="s">
        <v>591</v>
      </c>
      <c r="Q446" s="1">
        <f t="shared" si="15"/>
        <v>1</v>
      </c>
      <c r="R446" s="1">
        <v>74</v>
      </c>
      <c r="U446" s="12">
        <v>41609</v>
      </c>
    </row>
    <row r="447" spans="1:23" x14ac:dyDescent="0.25">
      <c r="A447" s="2">
        <f t="shared" si="16"/>
        <v>9</v>
      </c>
      <c r="B447" t="s">
        <v>299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503</v>
      </c>
      <c r="P447" s="20" t="s">
        <v>591</v>
      </c>
      <c r="Q447" s="1">
        <f t="shared" si="15"/>
        <v>1</v>
      </c>
      <c r="R447" s="1">
        <v>74</v>
      </c>
      <c r="U447" s="12">
        <v>41609</v>
      </c>
    </row>
    <row r="448" spans="1:23" x14ac:dyDescent="0.25">
      <c r="A448" s="2">
        <f t="shared" si="16"/>
        <v>9</v>
      </c>
      <c r="B448" t="s">
        <v>119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503</v>
      </c>
      <c r="P448" s="20" t="s">
        <v>591</v>
      </c>
      <c r="Q448" s="1">
        <f t="shared" si="15"/>
        <v>1</v>
      </c>
      <c r="R448" s="1">
        <v>74</v>
      </c>
      <c r="U448" s="12">
        <v>41609</v>
      </c>
    </row>
    <row r="449" spans="1:21" x14ac:dyDescent="0.25">
      <c r="A449" s="2">
        <f t="shared" si="16"/>
        <v>9</v>
      </c>
      <c r="B449" t="s">
        <v>297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503</v>
      </c>
      <c r="P449" s="20" t="s">
        <v>591</v>
      </c>
      <c r="Q449" s="1">
        <f t="shared" si="15"/>
        <v>1</v>
      </c>
      <c r="R449" s="1">
        <v>74</v>
      </c>
      <c r="U449" s="12">
        <v>41609</v>
      </c>
    </row>
    <row r="450" spans="1:21" x14ac:dyDescent="0.25">
      <c r="A450" s="2">
        <f t="shared" si="16"/>
        <v>9</v>
      </c>
      <c r="B450" t="s">
        <v>346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503</v>
      </c>
      <c r="P450" s="20" t="s">
        <v>591</v>
      </c>
      <c r="Q450" s="1">
        <f t="shared" ref="Q450:Q513" si="17">IF(B450="","",1)</f>
        <v>1</v>
      </c>
      <c r="R450" s="1">
        <v>74</v>
      </c>
      <c r="U450" s="12">
        <v>41609</v>
      </c>
    </row>
    <row r="451" spans="1:21" x14ac:dyDescent="0.25">
      <c r="A451" s="2">
        <f t="shared" si="16"/>
        <v>9</v>
      </c>
      <c r="B451" t="s">
        <v>797</v>
      </c>
      <c r="J451" s="1"/>
      <c r="M451" t="s">
        <v>15</v>
      </c>
      <c r="N451" t="str">
        <f>IFERROR(VLOOKUP(B451,'[1]All Player'!$B$2:$C$1992,2,0),"")</f>
        <v/>
      </c>
      <c r="O451" s="2" t="s">
        <v>503</v>
      </c>
      <c r="P451" s="20" t="s">
        <v>522</v>
      </c>
      <c r="Q451" s="1">
        <f t="shared" si="17"/>
        <v>1</v>
      </c>
      <c r="R451" s="1">
        <v>75</v>
      </c>
      <c r="U451" s="12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503</v>
      </c>
      <c r="P452" s="20" t="s">
        <v>522</v>
      </c>
      <c r="Q452" s="1">
        <f t="shared" si="17"/>
        <v>1</v>
      </c>
      <c r="R452" s="1">
        <v>75</v>
      </c>
      <c r="U452" s="12">
        <v>41609</v>
      </c>
    </row>
    <row r="453" spans="1:21" x14ac:dyDescent="0.25">
      <c r="A453" s="2">
        <f t="shared" si="16"/>
        <v>9</v>
      </c>
      <c r="B453" t="s">
        <v>224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503</v>
      </c>
      <c r="P453" s="20" t="s">
        <v>522</v>
      </c>
      <c r="Q453" s="1">
        <f t="shared" si="17"/>
        <v>1</v>
      </c>
      <c r="R453" s="1">
        <v>75</v>
      </c>
      <c r="U453" s="12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503</v>
      </c>
      <c r="P454" s="20" t="s">
        <v>522</v>
      </c>
      <c r="Q454" s="1">
        <f t="shared" si="17"/>
        <v>1</v>
      </c>
      <c r="R454" s="1">
        <v>75</v>
      </c>
      <c r="U454" s="12">
        <v>41609</v>
      </c>
    </row>
    <row r="455" spans="1:21" x14ac:dyDescent="0.25">
      <c r="A455" s="2">
        <f t="shared" si="16"/>
        <v>9</v>
      </c>
      <c r="B455" s="27" t="s">
        <v>157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503</v>
      </c>
      <c r="P455" s="20" t="s">
        <v>522</v>
      </c>
      <c r="Q455" s="1">
        <f t="shared" si="17"/>
        <v>1</v>
      </c>
      <c r="R455" s="1">
        <v>75</v>
      </c>
      <c r="U455" s="12">
        <v>41609</v>
      </c>
    </row>
    <row r="456" spans="1:21" x14ac:dyDescent="0.25">
      <c r="A456" s="2">
        <f t="shared" si="16"/>
        <v>9</v>
      </c>
      <c r="B456" t="s">
        <v>798</v>
      </c>
      <c r="J456" s="1"/>
      <c r="M456" t="s">
        <v>15</v>
      </c>
      <c r="N456" t="str">
        <f>IFERROR(VLOOKUP(B456,'[1]All Player'!$B$2:$C$1992,2,0),"")</f>
        <v/>
      </c>
      <c r="O456" s="2" t="s">
        <v>503</v>
      </c>
      <c r="P456" s="20" t="s">
        <v>799</v>
      </c>
      <c r="Q456" s="1">
        <f t="shared" si="17"/>
        <v>1</v>
      </c>
      <c r="R456" s="1">
        <v>76</v>
      </c>
      <c r="U456" s="12">
        <v>41609</v>
      </c>
    </row>
    <row r="457" spans="1:21" x14ac:dyDescent="0.25">
      <c r="A457" s="2">
        <f t="shared" si="16"/>
        <v>9</v>
      </c>
      <c r="B457" t="s">
        <v>159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503</v>
      </c>
      <c r="P457" s="20" t="s">
        <v>799</v>
      </c>
      <c r="Q457" s="1">
        <f t="shared" si="17"/>
        <v>1</v>
      </c>
      <c r="R457" s="1">
        <v>76</v>
      </c>
      <c r="U457" s="12">
        <v>41609</v>
      </c>
    </row>
    <row r="458" spans="1:21" x14ac:dyDescent="0.25">
      <c r="A458" s="2">
        <f t="shared" si="16"/>
        <v>9</v>
      </c>
      <c r="B458" t="s">
        <v>121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503</v>
      </c>
      <c r="P458" s="20" t="s">
        <v>799</v>
      </c>
      <c r="Q458" s="1">
        <f t="shared" si="17"/>
        <v>1</v>
      </c>
      <c r="R458" s="1">
        <v>76</v>
      </c>
      <c r="U458" s="12">
        <v>41609</v>
      </c>
    </row>
    <row r="459" spans="1:21" x14ac:dyDescent="0.25">
      <c r="A459" s="2">
        <f t="shared" si="16"/>
        <v>9</v>
      </c>
      <c r="B459" t="s">
        <v>307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503</v>
      </c>
      <c r="P459" s="20" t="s">
        <v>799</v>
      </c>
      <c r="Q459" s="1">
        <f t="shared" si="17"/>
        <v>1</v>
      </c>
      <c r="R459" s="1">
        <v>76</v>
      </c>
      <c r="U459" s="12">
        <v>41609</v>
      </c>
    </row>
    <row r="460" spans="1:21" x14ac:dyDescent="0.25">
      <c r="A460" s="2">
        <f t="shared" si="16"/>
        <v>9</v>
      </c>
      <c r="B460" t="s">
        <v>800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503</v>
      </c>
      <c r="P460" s="20" t="s">
        <v>799</v>
      </c>
      <c r="Q460" s="1">
        <f t="shared" si="17"/>
        <v>1</v>
      </c>
      <c r="R460" s="1">
        <v>76</v>
      </c>
      <c r="U460" s="12">
        <v>41609</v>
      </c>
    </row>
    <row r="461" spans="1:21" x14ac:dyDescent="0.25">
      <c r="A461" s="2">
        <f t="shared" si="16"/>
        <v>9</v>
      </c>
      <c r="B461" t="s">
        <v>280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503</v>
      </c>
      <c r="P461" s="20" t="s">
        <v>799</v>
      </c>
      <c r="Q461" s="1">
        <f t="shared" si="17"/>
        <v>1</v>
      </c>
      <c r="R461" s="1">
        <v>76</v>
      </c>
      <c r="U461" s="12">
        <v>41609</v>
      </c>
    </row>
    <row r="462" spans="1:21" x14ac:dyDescent="0.25">
      <c r="A462" s="2">
        <f t="shared" si="16"/>
        <v>9</v>
      </c>
      <c r="B462" t="s">
        <v>801</v>
      </c>
      <c r="J462" s="1"/>
      <c r="M462" t="s">
        <v>15</v>
      </c>
      <c r="N462" t="str">
        <f>IFERROR(VLOOKUP(B462,'[1]All Player'!$B$2:$C$1992,2,0),"")</f>
        <v/>
      </c>
      <c r="O462" s="2" t="s">
        <v>503</v>
      </c>
      <c r="P462" s="20" t="s">
        <v>802</v>
      </c>
      <c r="Q462" s="1">
        <f t="shared" si="17"/>
        <v>1</v>
      </c>
      <c r="R462" s="1">
        <v>77</v>
      </c>
      <c r="U462" s="12">
        <v>41609</v>
      </c>
    </row>
    <row r="463" spans="1:21" x14ac:dyDescent="0.25">
      <c r="A463" s="2">
        <f t="shared" si="16"/>
        <v>9</v>
      </c>
      <c r="B463" t="s">
        <v>139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503</v>
      </c>
      <c r="P463" s="20" t="s">
        <v>802</v>
      </c>
      <c r="Q463" s="1">
        <f t="shared" si="17"/>
        <v>1</v>
      </c>
      <c r="R463" s="1">
        <v>77</v>
      </c>
      <c r="U463" s="12">
        <v>41609</v>
      </c>
    </row>
    <row r="464" spans="1:21" x14ac:dyDescent="0.25">
      <c r="A464" s="2">
        <f t="shared" si="16"/>
        <v>9</v>
      </c>
      <c r="B464" t="s">
        <v>209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503</v>
      </c>
      <c r="P464" s="20" t="s">
        <v>802</v>
      </c>
      <c r="Q464" s="1">
        <f t="shared" si="17"/>
        <v>1</v>
      </c>
      <c r="R464" s="1">
        <v>77</v>
      </c>
      <c r="U464" s="12">
        <v>41609</v>
      </c>
    </row>
    <row r="465" spans="1:22" x14ac:dyDescent="0.25">
      <c r="A465" s="2">
        <f t="shared" si="16"/>
        <v>9</v>
      </c>
      <c r="B465" t="s">
        <v>305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503</v>
      </c>
      <c r="P465" s="20" t="s">
        <v>802</v>
      </c>
      <c r="Q465" s="1">
        <f t="shared" si="17"/>
        <v>1</v>
      </c>
      <c r="R465" s="1">
        <v>77</v>
      </c>
      <c r="U465" s="12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503</v>
      </c>
      <c r="P466" s="20" t="s">
        <v>802</v>
      </c>
      <c r="Q466" s="1">
        <f t="shared" si="17"/>
        <v>1</v>
      </c>
      <c r="R466" s="1">
        <v>77</v>
      </c>
      <c r="U466" s="12">
        <v>41609</v>
      </c>
    </row>
    <row r="467" spans="1:22" x14ac:dyDescent="0.25">
      <c r="A467" s="2">
        <f t="shared" si="16"/>
        <v>9</v>
      </c>
      <c r="B467" t="s">
        <v>803</v>
      </c>
      <c r="J467" s="1"/>
      <c r="M467" t="s">
        <v>15</v>
      </c>
      <c r="N467" t="str">
        <f>IFERROR(VLOOKUP(B467,'[1]All Player'!$B$2:$C$1992,2,0),"")</f>
        <v/>
      </c>
      <c r="O467" s="2" t="s">
        <v>503</v>
      </c>
      <c r="P467" s="20" t="s">
        <v>804</v>
      </c>
      <c r="Q467" s="1">
        <f t="shared" si="17"/>
        <v>1</v>
      </c>
      <c r="R467" s="1">
        <v>78</v>
      </c>
      <c r="U467" s="12">
        <v>41609</v>
      </c>
    </row>
    <row r="468" spans="1:22" x14ac:dyDescent="0.25">
      <c r="A468" s="2">
        <f t="shared" si="16"/>
        <v>9</v>
      </c>
      <c r="B468" t="s">
        <v>240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503</v>
      </c>
      <c r="P468" s="20" t="s">
        <v>804</v>
      </c>
      <c r="Q468" s="1">
        <f t="shared" si="17"/>
        <v>1</v>
      </c>
      <c r="R468" s="1">
        <v>78</v>
      </c>
      <c r="U468" s="12">
        <v>41609</v>
      </c>
    </row>
    <row r="469" spans="1:22" x14ac:dyDescent="0.25">
      <c r="A469" s="2">
        <f t="shared" si="16"/>
        <v>9</v>
      </c>
      <c r="B469" t="s">
        <v>222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503</v>
      </c>
      <c r="P469" s="20" t="s">
        <v>804</v>
      </c>
      <c r="Q469" s="1">
        <f t="shared" si="17"/>
        <v>1</v>
      </c>
      <c r="R469" s="1">
        <v>78</v>
      </c>
      <c r="U469" s="12">
        <v>41609</v>
      </c>
    </row>
    <row r="470" spans="1:22" x14ac:dyDescent="0.25">
      <c r="A470" s="2">
        <f t="shared" si="16"/>
        <v>9</v>
      </c>
      <c r="B470" t="s">
        <v>212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503</v>
      </c>
      <c r="P470" s="20" t="s">
        <v>804</v>
      </c>
      <c r="Q470" s="1">
        <f t="shared" si="17"/>
        <v>1</v>
      </c>
      <c r="R470" s="1">
        <v>78</v>
      </c>
      <c r="U470" s="12">
        <v>41609</v>
      </c>
    </row>
    <row r="471" spans="1:22" x14ac:dyDescent="0.25">
      <c r="A471" s="2">
        <f t="shared" si="16"/>
        <v>9</v>
      </c>
      <c r="B471" t="s">
        <v>229</v>
      </c>
      <c r="C471" s="2">
        <v>6</v>
      </c>
      <c r="D471" s="2">
        <v>96</v>
      </c>
      <c r="E471" s="28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503</v>
      </c>
      <c r="P471" s="20" t="s">
        <v>804</v>
      </c>
      <c r="Q471" s="1">
        <f t="shared" si="17"/>
        <v>1</v>
      </c>
      <c r="R471" s="1">
        <v>78</v>
      </c>
      <c r="U471" s="12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503</v>
      </c>
      <c r="P472" s="20" t="s">
        <v>804</v>
      </c>
      <c r="Q472" s="1">
        <f t="shared" si="17"/>
        <v>1</v>
      </c>
      <c r="R472" s="1">
        <v>78</v>
      </c>
      <c r="U472" s="12">
        <v>41609</v>
      </c>
    </row>
    <row r="473" spans="1:22" x14ac:dyDescent="0.25">
      <c r="A473" s="2">
        <f t="shared" si="16"/>
        <v>9</v>
      </c>
      <c r="B473" t="s">
        <v>805</v>
      </c>
      <c r="J473" s="1"/>
      <c r="M473" t="s">
        <v>15</v>
      </c>
      <c r="N473" t="str">
        <f>IFERROR(VLOOKUP(B473,'[1]All Player'!$B$2:$C$1992,2,0),"")</f>
        <v/>
      </c>
      <c r="O473" s="2" t="s">
        <v>503</v>
      </c>
      <c r="P473" s="20" t="s">
        <v>537</v>
      </c>
      <c r="Q473" s="1">
        <f t="shared" si="17"/>
        <v>1</v>
      </c>
      <c r="R473" s="1">
        <v>79</v>
      </c>
      <c r="T473" s="2" t="s">
        <v>674</v>
      </c>
      <c r="U473" s="12">
        <v>41609</v>
      </c>
    </row>
    <row r="474" spans="1:22" x14ac:dyDescent="0.25">
      <c r="A474" s="2">
        <f t="shared" si="16"/>
        <v>9</v>
      </c>
      <c r="B474" t="s">
        <v>153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503</v>
      </c>
      <c r="P474" s="20" t="s">
        <v>537</v>
      </c>
      <c r="Q474" s="1">
        <f t="shared" si="17"/>
        <v>1</v>
      </c>
      <c r="R474" s="1">
        <v>79</v>
      </c>
      <c r="T474" s="2" t="s">
        <v>674</v>
      </c>
      <c r="U474" s="12">
        <v>41609</v>
      </c>
    </row>
    <row r="475" spans="1:22" x14ac:dyDescent="0.25">
      <c r="A475" s="2">
        <f t="shared" si="16"/>
        <v>9</v>
      </c>
      <c r="B475" t="s">
        <v>155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503</v>
      </c>
      <c r="P475" s="20" t="s">
        <v>537</v>
      </c>
      <c r="Q475" s="1">
        <f t="shared" si="17"/>
        <v>1</v>
      </c>
      <c r="R475" s="1">
        <v>79</v>
      </c>
      <c r="T475" s="2" t="s">
        <v>674</v>
      </c>
      <c r="U475" s="12">
        <v>41609</v>
      </c>
      <c r="V475" s="1">
        <v>1</v>
      </c>
    </row>
    <row r="476" spans="1:22" x14ac:dyDescent="0.25">
      <c r="A476" s="2">
        <f t="shared" si="16"/>
        <v>9</v>
      </c>
      <c r="B476" t="s">
        <v>332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503</v>
      </c>
      <c r="P476" s="20" t="s">
        <v>537</v>
      </c>
      <c r="Q476" s="1">
        <f t="shared" si="17"/>
        <v>1</v>
      </c>
      <c r="R476" s="1">
        <v>79</v>
      </c>
      <c r="T476" s="2" t="s">
        <v>674</v>
      </c>
      <c r="U476" s="12">
        <v>41609</v>
      </c>
    </row>
    <row r="477" spans="1:22" x14ac:dyDescent="0.25">
      <c r="A477" s="2">
        <f t="shared" si="16"/>
        <v>9</v>
      </c>
      <c r="B477" t="s">
        <v>133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503</v>
      </c>
      <c r="P477" s="20" t="s">
        <v>537</v>
      </c>
      <c r="Q477" s="1">
        <f t="shared" si="17"/>
        <v>1</v>
      </c>
      <c r="R477" s="1">
        <v>79</v>
      </c>
      <c r="T477" s="2" t="s">
        <v>674</v>
      </c>
      <c r="U477" s="12">
        <v>41609</v>
      </c>
    </row>
    <row r="478" spans="1:22" x14ac:dyDescent="0.25">
      <c r="A478" s="2">
        <v>10</v>
      </c>
      <c r="B478" t="s">
        <v>806</v>
      </c>
      <c r="J478" s="1"/>
      <c r="M478" t="s">
        <v>15</v>
      </c>
      <c r="N478" t="str">
        <f>IFERROR(VLOOKUP(B478,'[1]All Player'!$B$2:$C$1992,2,0),"")</f>
        <v/>
      </c>
      <c r="O478" s="2" t="s">
        <v>473</v>
      </c>
      <c r="P478" s="20" t="s">
        <v>806</v>
      </c>
      <c r="Q478" s="1">
        <f t="shared" si="17"/>
        <v>1</v>
      </c>
      <c r="R478" s="1">
        <v>80</v>
      </c>
      <c r="U478" s="12">
        <v>41699</v>
      </c>
    </row>
    <row r="479" spans="1:22" x14ac:dyDescent="0.25">
      <c r="A479" s="2">
        <f t="shared" si="16"/>
        <v>10</v>
      </c>
      <c r="B479" t="s">
        <v>229</v>
      </c>
      <c r="C479" s="2">
        <v>1</v>
      </c>
      <c r="D479" s="2">
        <v>0</v>
      </c>
      <c r="E479" s="28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473</v>
      </c>
      <c r="P479" s="20" t="s">
        <v>806</v>
      </c>
      <c r="Q479" s="1">
        <f t="shared" si="17"/>
        <v>1</v>
      </c>
      <c r="R479" s="1">
        <v>80</v>
      </c>
      <c r="U479" s="12">
        <v>41699</v>
      </c>
    </row>
    <row r="480" spans="1:22" x14ac:dyDescent="0.25">
      <c r="A480" s="2">
        <f t="shared" si="16"/>
        <v>10</v>
      </c>
      <c r="B480" t="s">
        <v>159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473</v>
      </c>
      <c r="P480" s="20" t="s">
        <v>806</v>
      </c>
      <c r="Q480" s="1">
        <f t="shared" si="17"/>
        <v>1</v>
      </c>
      <c r="R480" s="1">
        <v>80</v>
      </c>
      <c r="U480" s="12">
        <v>41699</v>
      </c>
    </row>
    <row r="481" spans="1:23" x14ac:dyDescent="0.25">
      <c r="A481" s="2">
        <f t="shared" si="16"/>
        <v>10</v>
      </c>
      <c r="B481" t="s">
        <v>299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473</v>
      </c>
      <c r="P481" s="20" t="s">
        <v>806</v>
      </c>
      <c r="Q481" s="1">
        <f t="shared" si="17"/>
        <v>1</v>
      </c>
      <c r="R481" s="1">
        <v>80</v>
      </c>
      <c r="U481" s="12">
        <v>41699</v>
      </c>
    </row>
    <row r="482" spans="1:23" x14ac:dyDescent="0.25">
      <c r="A482" s="2">
        <f t="shared" si="16"/>
        <v>10</v>
      </c>
      <c r="B482" t="s">
        <v>338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473</v>
      </c>
      <c r="P482" s="20" t="s">
        <v>806</v>
      </c>
      <c r="Q482" s="1">
        <f t="shared" si="17"/>
        <v>1</v>
      </c>
      <c r="R482" s="1">
        <v>80</v>
      </c>
      <c r="U482" s="12">
        <v>41699</v>
      </c>
    </row>
    <row r="483" spans="1:23" x14ac:dyDescent="0.25">
      <c r="A483" s="2">
        <f t="shared" si="16"/>
        <v>10</v>
      </c>
      <c r="B483" t="s">
        <v>133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473</v>
      </c>
      <c r="P483" s="20" t="s">
        <v>806</v>
      </c>
      <c r="Q483" s="1">
        <f t="shared" si="17"/>
        <v>1</v>
      </c>
      <c r="R483" s="1">
        <v>80</v>
      </c>
      <c r="U483" s="12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473</v>
      </c>
      <c r="P484" s="20" t="s">
        <v>806</v>
      </c>
      <c r="Q484" s="1">
        <f t="shared" si="17"/>
        <v>1</v>
      </c>
      <c r="R484" s="1">
        <v>80</v>
      </c>
      <c r="U484" s="12">
        <v>41699</v>
      </c>
    </row>
    <row r="485" spans="1:23" x14ac:dyDescent="0.25">
      <c r="A485" s="2">
        <f t="shared" si="16"/>
        <v>10</v>
      </c>
      <c r="B485" s="21" t="s">
        <v>475</v>
      </c>
      <c r="C485" s="2" t="s">
        <v>807</v>
      </c>
      <c r="J485" s="1"/>
      <c r="M485" t="s">
        <v>15</v>
      </c>
      <c r="N485" t="str">
        <f>IFERROR(VLOOKUP(B485,'[1]All Player'!$B$2:$C$1992,2,0),"")</f>
        <v/>
      </c>
      <c r="O485" s="2" t="s">
        <v>473</v>
      </c>
      <c r="P485" s="20" t="s">
        <v>475</v>
      </c>
      <c r="Q485" s="1">
        <f t="shared" si="17"/>
        <v>1</v>
      </c>
      <c r="R485" s="1">
        <v>81</v>
      </c>
      <c r="T485" s="1" t="s">
        <v>674</v>
      </c>
      <c r="U485" s="12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473</v>
      </c>
      <c r="P486" s="20" t="s">
        <v>475</v>
      </c>
      <c r="Q486" s="1">
        <f t="shared" si="17"/>
        <v>1</v>
      </c>
      <c r="R486" s="1">
        <v>81</v>
      </c>
      <c r="T486" s="1" t="s">
        <v>674</v>
      </c>
      <c r="U486" s="12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473</v>
      </c>
      <c r="P487" s="20" t="s">
        <v>475</v>
      </c>
      <c r="Q487" s="1">
        <f t="shared" si="17"/>
        <v>1</v>
      </c>
      <c r="R487" s="1">
        <v>81</v>
      </c>
      <c r="S487" s="2" t="s">
        <v>662</v>
      </c>
      <c r="T487" s="1" t="s">
        <v>674</v>
      </c>
      <c r="U487" s="12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473</v>
      </c>
      <c r="P488" s="20" t="s">
        <v>475</v>
      </c>
      <c r="Q488" s="1">
        <f t="shared" si="17"/>
        <v>1</v>
      </c>
      <c r="R488" s="1">
        <v>81</v>
      </c>
      <c r="T488" s="1" t="s">
        <v>674</v>
      </c>
      <c r="U488" s="12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473</v>
      </c>
      <c r="P489" s="20" t="s">
        <v>475</v>
      </c>
      <c r="Q489" s="1">
        <f t="shared" si="17"/>
        <v>1</v>
      </c>
      <c r="R489" s="1">
        <v>81</v>
      </c>
      <c r="T489" s="1" t="s">
        <v>674</v>
      </c>
      <c r="U489" s="12">
        <v>41699</v>
      </c>
    </row>
    <row r="490" spans="1:23" x14ac:dyDescent="0.25">
      <c r="A490" s="2">
        <f t="shared" si="16"/>
        <v>10</v>
      </c>
      <c r="B490" t="s">
        <v>770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473</v>
      </c>
      <c r="P490" s="20" t="s">
        <v>475</v>
      </c>
      <c r="Q490" s="1">
        <f t="shared" si="17"/>
        <v>1</v>
      </c>
      <c r="R490" s="1">
        <v>81</v>
      </c>
      <c r="T490" s="1" t="s">
        <v>674</v>
      </c>
      <c r="U490" s="12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8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473</v>
      </c>
      <c r="P491" s="20" t="s">
        <v>475</v>
      </c>
      <c r="Q491" s="1">
        <f t="shared" si="17"/>
        <v>1</v>
      </c>
      <c r="R491" s="1">
        <v>81</v>
      </c>
      <c r="T491" s="1" t="s">
        <v>674</v>
      </c>
      <c r="U491" s="12">
        <v>41699</v>
      </c>
    </row>
    <row r="492" spans="1:23" x14ac:dyDescent="0.25">
      <c r="A492" s="2">
        <f t="shared" ref="A492:A555" si="18">A491</f>
        <v>10</v>
      </c>
      <c r="B492" s="21" t="s">
        <v>592</v>
      </c>
      <c r="C492" s="2" t="s">
        <v>807</v>
      </c>
      <c r="J492" s="1"/>
      <c r="M492" t="s">
        <v>15</v>
      </c>
      <c r="N492" t="str">
        <f>IFERROR(VLOOKUP(B492,'[1]All Player'!$B$2:$C$1992,2,0),"")</f>
        <v/>
      </c>
      <c r="O492" s="2" t="s">
        <v>473</v>
      </c>
      <c r="P492" s="20" t="s">
        <v>592</v>
      </c>
      <c r="Q492" s="1">
        <f t="shared" si="17"/>
        <v>1</v>
      </c>
      <c r="R492" s="1">
        <v>82</v>
      </c>
      <c r="T492" s="1" t="s">
        <v>661</v>
      </c>
      <c r="U492" s="12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473</v>
      </c>
      <c r="P493" s="20" t="s">
        <v>592</v>
      </c>
      <c r="Q493" s="1">
        <f t="shared" si="17"/>
        <v>1</v>
      </c>
      <c r="R493" s="1">
        <v>82</v>
      </c>
      <c r="T493" s="1" t="s">
        <v>661</v>
      </c>
      <c r="U493" s="12">
        <v>41699</v>
      </c>
    </row>
    <row r="494" spans="1:23" x14ac:dyDescent="0.25">
      <c r="A494" s="2">
        <f t="shared" si="18"/>
        <v>10</v>
      </c>
      <c r="B494" t="s">
        <v>348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473</v>
      </c>
      <c r="P494" s="20" t="s">
        <v>592</v>
      </c>
      <c r="Q494" s="1">
        <f t="shared" si="17"/>
        <v>1</v>
      </c>
      <c r="R494" s="1">
        <v>82</v>
      </c>
      <c r="T494" s="1" t="s">
        <v>661</v>
      </c>
      <c r="U494" s="12">
        <v>41699</v>
      </c>
    </row>
    <row r="495" spans="1:23" x14ac:dyDescent="0.25">
      <c r="A495" s="2">
        <f t="shared" si="18"/>
        <v>10</v>
      </c>
      <c r="B495" t="s">
        <v>352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473</v>
      </c>
      <c r="P495" s="20" t="s">
        <v>592</v>
      </c>
      <c r="Q495" s="1">
        <f t="shared" si="17"/>
        <v>1</v>
      </c>
      <c r="R495" s="1">
        <v>82</v>
      </c>
      <c r="T495" s="1" t="s">
        <v>661</v>
      </c>
      <c r="U495" s="12">
        <v>41699</v>
      </c>
    </row>
    <row r="496" spans="1:23" x14ac:dyDescent="0.25">
      <c r="A496" s="2">
        <f t="shared" si="18"/>
        <v>10</v>
      </c>
      <c r="B496" t="s">
        <v>135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473</v>
      </c>
      <c r="P496" s="20" t="s">
        <v>592</v>
      </c>
      <c r="Q496" s="1">
        <f t="shared" si="17"/>
        <v>1</v>
      </c>
      <c r="R496" s="1">
        <v>82</v>
      </c>
      <c r="T496" s="1" t="s">
        <v>661</v>
      </c>
      <c r="U496" s="12">
        <v>41699</v>
      </c>
    </row>
    <row r="497" spans="1:21" x14ac:dyDescent="0.25">
      <c r="A497" s="2">
        <f t="shared" si="18"/>
        <v>10</v>
      </c>
      <c r="B497" t="s">
        <v>307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473</v>
      </c>
      <c r="P497" s="20" t="s">
        <v>592</v>
      </c>
      <c r="Q497" s="1">
        <f t="shared" si="17"/>
        <v>1</v>
      </c>
      <c r="R497" s="1">
        <v>82</v>
      </c>
      <c r="T497" s="1" t="s">
        <v>661</v>
      </c>
      <c r="U497" s="12">
        <v>41699</v>
      </c>
    </row>
    <row r="498" spans="1:21" x14ac:dyDescent="0.25">
      <c r="A498" s="2">
        <f t="shared" si="18"/>
        <v>10</v>
      </c>
      <c r="B498" t="s">
        <v>121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473</v>
      </c>
      <c r="P498" s="20" t="s">
        <v>592</v>
      </c>
      <c r="Q498" s="1">
        <f t="shared" si="17"/>
        <v>1</v>
      </c>
      <c r="R498" s="1">
        <v>82</v>
      </c>
      <c r="T498" s="1" t="s">
        <v>661</v>
      </c>
      <c r="U498" s="12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473</v>
      </c>
      <c r="P499" s="20" t="s">
        <v>592</v>
      </c>
      <c r="Q499" s="1">
        <f t="shared" si="17"/>
        <v>1</v>
      </c>
      <c r="R499" s="1">
        <v>82</v>
      </c>
      <c r="T499" s="1" t="s">
        <v>661</v>
      </c>
      <c r="U499" s="12">
        <v>41699</v>
      </c>
    </row>
    <row r="500" spans="1:21" x14ac:dyDescent="0.25">
      <c r="A500" s="2">
        <f t="shared" si="18"/>
        <v>10</v>
      </c>
      <c r="B500" s="21" t="s">
        <v>474</v>
      </c>
      <c r="C500" s="2" t="s">
        <v>807</v>
      </c>
      <c r="J500" s="1"/>
      <c r="M500" t="s">
        <v>15</v>
      </c>
      <c r="N500" t="str">
        <f>IFERROR(VLOOKUP(B500,'[1]All Player'!$B$2:$C$1992,2,0),"")</f>
        <v/>
      </c>
      <c r="O500" s="2" t="s">
        <v>473</v>
      </c>
      <c r="P500" s="20" t="s">
        <v>474</v>
      </c>
      <c r="Q500" s="1">
        <f t="shared" si="17"/>
        <v>1</v>
      </c>
      <c r="R500" s="1">
        <v>83</v>
      </c>
      <c r="U500" s="12">
        <v>41699</v>
      </c>
    </row>
    <row r="501" spans="1:21" x14ac:dyDescent="0.25">
      <c r="A501" s="2">
        <f t="shared" si="18"/>
        <v>10</v>
      </c>
      <c r="B501" t="s">
        <v>240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473</v>
      </c>
      <c r="P501" s="20" t="s">
        <v>474</v>
      </c>
      <c r="Q501" s="1">
        <f t="shared" si="17"/>
        <v>1</v>
      </c>
      <c r="R501" s="1">
        <v>83</v>
      </c>
      <c r="U501" s="12">
        <v>41699</v>
      </c>
    </row>
    <row r="502" spans="1:21" x14ac:dyDescent="0.25">
      <c r="A502" s="2">
        <f t="shared" si="18"/>
        <v>10</v>
      </c>
      <c r="B502" t="s">
        <v>115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473</v>
      </c>
      <c r="P502" s="20" t="s">
        <v>474</v>
      </c>
      <c r="Q502" s="1">
        <f t="shared" si="17"/>
        <v>1</v>
      </c>
      <c r="R502" s="1">
        <v>83</v>
      </c>
      <c r="S502" s="29"/>
      <c r="U502" s="12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473</v>
      </c>
      <c r="P503" s="20" t="s">
        <v>474</v>
      </c>
      <c r="Q503" s="1">
        <f t="shared" si="17"/>
        <v>1</v>
      </c>
      <c r="R503" s="1">
        <v>83</v>
      </c>
      <c r="U503" s="12">
        <v>41699</v>
      </c>
    </row>
    <row r="504" spans="1:21" x14ac:dyDescent="0.25">
      <c r="A504" s="2">
        <f t="shared" si="18"/>
        <v>10</v>
      </c>
      <c r="B504" t="s">
        <v>170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473</v>
      </c>
      <c r="P504" s="20" t="s">
        <v>474</v>
      </c>
      <c r="Q504" s="1">
        <f t="shared" si="17"/>
        <v>1</v>
      </c>
      <c r="R504" s="1">
        <v>83</v>
      </c>
      <c r="U504" s="12">
        <v>41699</v>
      </c>
    </row>
    <row r="505" spans="1:21" x14ac:dyDescent="0.25">
      <c r="A505" s="2">
        <f t="shared" si="18"/>
        <v>10</v>
      </c>
      <c r="B505" t="s">
        <v>198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473</v>
      </c>
      <c r="P505" s="20" t="s">
        <v>474</v>
      </c>
      <c r="Q505" s="1">
        <f t="shared" si="17"/>
        <v>1</v>
      </c>
      <c r="R505" s="1">
        <v>83</v>
      </c>
      <c r="U505" s="12">
        <v>41699</v>
      </c>
    </row>
    <row r="506" spans="1:21" x14ac:dyDescent="0.25">
      <c r="A506" s="2">
        <f t="shared" si="18"/>
        <v>10</v>
      </c>
      <c r="B506" t="s">
        <v>334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473</v>
      </c>
      <c r="P506" s="20" t="s">
        <v>474</v>
      </c>
      <c r="Q506" s="1">
        <f t="shared" si="17"/>
        <v>1</v>
      </c>
      <c r="R506" s="1">
        <v>83</v>
      </c>
      <c r="U506" s="12">
        <v>41699</v>
      </c>
    </row>
    <row r="507" spans="1:21" x14ac:dyDescent="0.25">
      <c r="A507" s="2">
        <f t="shared" si="18"/>
        <v>10</v>
      </c>
      <c r="B507" s="21" t="s">
        <v>483</v>
      </c>
      <c r="C507" s="2" t="s">
        <v>807</v>
      </c>
      <c r="J507" s="1"/>
      <c r="M507" t="s">
        <v>15</v>
      </c>
      <c r="N507" t="str">
        <f>IFERROR(VLOOKUP(B507,'[1]All Player'!$B$2:$C$1992,2,0),"")</f>
        <v/>
      </c>
      <c r="O507" s="2" t="s">
        <v>473</v>
      </c>
      <c r="P507" s="20" t="s">
        <v>483</v>
      </c>
      <c r="Q507" s="1">
        <f t="shared" si="17"/>
        <v>1</v>
      </c>
      <c r="R507" s="1">
        <v>84</v>
      </c>
      <c r="U507" s="12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473</v>
      </c>
      <c r="P508" s="20" t="s">
        <v>483</v>
      </c>
      <c r="Q508" s="1">
        <f t="shared" si="17"/>
        <v>1</v>
      </c>
      <c r="R508" s="1">
        <v>84</v>
      </c>
      <c r="U508" s="12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473</v>
      </c>
      <c r="P509" s="20" t="s">
        <v>483</v>
      </c>
      <c r="Q509" s="1">
        <f t="shared" si="17"/>
        <v>1</v>
      </c>
      <c r="R509" s="1">
        <v>84</v>
      </c>
      <c r="U509" s="12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473</v>
      </c>
      <c r="P510" s="20" t="s">
        <v>483</v>
      </c>
      <c r="Q510" s="1">
        <f t="shared" si="17"/>
        <v>1</v>
      </c>
      <c r="R510" s="1">
        <v>84</v>
      </c>
      <c r="U510" s="12">
        <v>41699</v>
      </c>
    </row>
    <row r="511" spans="1:21" x14ac:dyDescent="0.25">
      <c r="A511" s="2">
        <f t="shared" si="18"/>
        <v>10</v>
      </c>
      <c r="B511" t="s">
        <v>131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473</v>
      </c>
      <c r="P511" s="20" t="s">
        <v>483</v>
      </c>
      <c r="Q511" s="1">
        <f t="shared" si="17"/>
        <v>1</v>
      </c>
      <c r="R511" s="1">
        <v>84</v>
      </c>
      <c r="U511" s="12">
        <v>41699</v>
      </c>
    </row>
    <row r="512" spans="1:21" x14ac:dyDescent="0.25">
      <c r="A512" s="2">
        <f t="shared" si="18"/>
        <v>10</v>
      </c>
      <c r="B512" t="s">
        <v>280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473</v>
      </c>
      <c r="P512" s="20" t="s">
        <v>483</v>
      </c>
      <c r="Q512" s="1">
        <f t="shared" si="17"/>
        <v>1</v>
      </c>
      <c r="R512" s="1">
        <v>84</v>
      </c>
      <c r="U512" s="12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473</v>
      </c>
      <c r="P513" s="20" t="s">
        <v>483</v>
      </c>
      <c r="Q513" s="1">
        <f t="shared" si="17"/>
        <v>1</v>
      </c>
      <c r="R513" s="1">
        <v>84</v>
      </c>
      <c r="U513" s="12">
        <v>41699</v>
      </c>
    </row>
    <row r="514" spans="1:22" x14ac:dyDescent="0.25">
      <c r="A514" s="2">
        <f t="shared" si="18"/>
        <v>10</v>
      </c>
      <c r="B514" s="21" t="s">
        <v>594</v>
      </c>
      <c r="C514" s="2" t="s">
        <v>807</v>
      </c>
      <c r="J514" s="1"/>
      <c r="M514" t="s">
        <v>15</v>
      </c>
      <c r="N514" t="str">
        <f>IFERROR(VLOOKUP(B514,'[1]All Player'!$B$2:$C$1992,2,0),"")</f>
        <v/>
      </c>
      <c r="O514" s="2" t="s">
        <v>473</v>
      </c>
      <c r="P514" s="20" t="s">
        <v>594</v>
      </c>
      <c r="Q514" s="1">
        <f t="shared" ref="Q514:Q577" si="19">IF(B514="","",1)</f>
        <v>1</v>
      </c>
      <c r="R514" s="1">
        <v>85</v>
      </c>
      <c r="T514" s="1" t="s">
        <v>659</v>
      </c>
      <c r="U514" s="12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473</v>
      </c>
      <c r="P515" s="20" t="s">
        <v>594</v>
      </c>
      <c r="Q515" s="1">
        <f t="shared" si="19"/>
        <v>1</v>
      </c>
      <c r="R515" s="1">
        <v>85</v>
      </c>
      <c r="T515" s="1" t="s">
        <v>659</v>
      </c>
      <c r="U515" s="12">
        <v>41699</v>
      </c>
      <c r="V515" s="1">
        <v>1</v>
      </c>
    </row>
    <row r="516" spans="1:22" x14ac:dyDescent="0.25">
      <c r="A516" s="2">
        <f t="shared" si="18"/>
        <v>10</v>
      </c>
      <c r="B516" t="s">
        <v>780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473</v>
      </c>
      <c r="P516" s="20" t="s">
        <v>594</v>
      </c>
      <c r="Q516" s="1">
        <f t="shared" si="19"/>
        <v>1</v>
      </c>
      <c r="R516" s="1">
        <v>85</v>
      </c>
      <c r="T516" s="1" t="s">
        <v>659</v>
      </c>
      <c r="U516" s="12">
        <v>41699</v>
      </c>
    </row>
    <row r="517" spans="1:22" x14ac:dyDescent="0.25">
      <c r="A517" s="2">
        <f t="shared" si="18"/>
        <v>10</v>
      </c>
      <c r="B517" t="s">
        <v>180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473</v>
      </c>
      <c r="P517" s="20" t="s">
        <v>594</v>
      </c>
      <c r="Q517" s="1">
        <f t="shared" si="19"/>
        <v>1</v>
      </c>
      <c r="R517" s="1">
        <v>85</v>
      </c>
      <c r="T517" s="1" t="s">
        <v>659</v>
      </c>
      <c r="U517" s="12">
        <v>41699</v>
      </c>
    </row>
    <row r="518" spans="1:22" x14ac:dyDescent="0.25">
      <c r="A518" s="2">
        <f t="shared" si="18"/>
        <v>10</v>
      </c>
      <c r="B518" t="s">
        <v>319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473</v>
      </c>
      <c r="P518" s="20" t="s">
        <v>594</v>
      </c>
      <c r="Q518" s="1">
        <f t="shared" si="19"/>
        <v>1</v>
      </c>
      <c r="R518" s="1">
        <v>85</v>
      </c>
      <c r="S518" s="2" t="s">
        <v>660</v>
      </c>
      <c r="T518" s="1" t="s">
        <v>659</v>
      </c>
      <c r="U518" s="12">
        <v>41699</v>
      </c>
    </row>
    <row r="519" spans="1:22" x14ac:dyDescent="0.25">
      <c r="A519" s="2">
        <f t="shared" si="18"/>
        <v>10</v>
      </c>
      <c r="B519" t="s">
        <v>791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473</v>
      </c>
      <c r="P519" s="20" t="s">
        <v>594</v>
      </c>
      <c r="Q519" s="1">
        <f t="shared" si="19"/>
        <v>1</v>
      </c>
      <c r="R519" s="1">
        <v>85</v>
      </c>
      <c r="T519" s="1" t="s">
        <v>659</v>
      </c>
      <c r="U519" s="12">
        <v>41699</v>
      </c>
    </row>
    <row r="520" spans="1:22" x14ac:dyDescent="0.25">
      <c r="A520" s="2">
        <f t="shared" si="18"/>
        <v>10</v>
      </c>
      <c r="B520" t="s">
        <v>354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473</v>
      </c>
      <c r="P520" s="20" t="s">
        <v>594</v>
      </c>
      <c r="Q520" s="1">
        <f t="shared" si="19"/>
        <v>1</v>
      </c>
      <c r="R520" s="1">
        <v>85</v>
      </c>
      <c r="T520" s="1" t="s">
        <v>659</v>
      </c>
      <c r="U520" s="12">
        <v>41699</v>
      </c>
    </row>
    <row r="521" spans="1:22" x14ac:dyDescent="0.25">
      <c r="A521" s="2">
        <f t="shared" si="18"/>
        <v>10</v>
      </c>
      <c r="B521" s="21" t="s">
        <v>549</v>
      </c>
      <c r="J521" s="1"/>
      <c r="M521" t="s">
        <v>15</v>
      </c>
      <c r="N521" t="str">
        <f>IFERROR(VLOOKUP(B521,'[1]All Player'!$B$2:$C$1992,2,0),"")</f>
        <v/>
      </c>
      <c r="O521" s="2" t="s">
        <v>473</v>
      </c>
      <c r="P521" s="20" t="s">
        <v>549</v>
      </c>
      <c r="Q521" s="1">
        <f t="shared" si="19"/>
        <v>1</v>
      </c>
      <c r="R521" s="1">
        <v>86</v>
      </c>
      <c r="U521" s="12">
        <v>41699</v>
      </c>
    </row>
    <row r="522" spans="1:22" x14ac:dyDescent="0.25">
      <c r="A522" s="2">
        <f t="shared" si="18"/>
        <v>10</v>
      </c>
      <c r="B522" t="s">
        <v>283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473</v>
      </c>
      <c r="P522" s="20" t="s">
        <v>549</v>
      </c>
      <c r="Q522" s="1">
        <f t="shared" si="19"/>
        <v>1</v>
      </c>
      <c r="R522" s="1">
        <v>86</v>
      </c>
      <c r="U522" s="12">
        <v>41699</v>
      </c>
    </row>
    <row r="523" spans="1:22" x14ac:dyDescent="0.25">
      <c r="A523" s="2">
        <f t="shared" si="18"/>
        <v>10</v>
      </c>
      <c r="B523" t="s">
        <v>174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473</v>
      </c>
      <c r="P523" s="20" t="s">
        <v>549</v>
      </c>
      <c r="Q523" s="1">
        <f t="shared" si="19"/>
        <v>1</v>
      </c>
      <c r="R523" s="1">
        <v>86</v>
      </c>
      <c r="U523" s="12">
        <v>41699</v>
      </c>
    </row>
    <row r="524" spans="1:22" x14ac:dyDescent="0.25">
      <c r="A524" s="2">
        <f t="shared" si="18"/>
        <v>10</v>
      </c>
      <c r="B524" t="s">
        <v>297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473</v>
      </c>
      <c r="P524" s="20" t="s">
        <v>549</v>
      </c>
      <c r="Q524" s="1">
        <f t="shared" si="19"/>
        <v>1</v>
      </c>
      <c r="R524" s="1">
        <v>86</v>
      </c>
      <c r="U524" s="12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473</v>
      </c>
      <c r="P525" s="20" t="s">
        <v>549</v>
      </c>
      <c r="Q525" s="1">
        <f t="shared" si="19"/>
        <v>1</v>
      </c>
      <c r="R525" s="1">
        <v>86</v>
      </c>
      <c r="U525" s="12">
        <v>41699</v>
      </c>
    </row>
    <row r="526" spans="1:22" x14ac:dyDescent="0.25">
      <c r="A526" s="2">
        <f t="shared" si="18"/>
        <v>10</v>
      </c>
      <c r="B526" t="s">
        <v>147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473</v>
      </c>
      <c r="P526" s="20" t="s">
        <v>549</v>
      </c>
      <c r="Q526" s="1">
        <f t="shared" si="19"/>
        <v>1</v>
      </c>
      <c r="R526" s="1">
        <v>86</v>
      </c>
      <c r="U526" s="12">
        <v>41699</v>
      </c>
    </row>
    <row r="527" spans="1:22" x14ac:dyDescent="0.25">
      <c r="A527" s="2">
        <f t="shared" si="18"/>
        <v>10</v>
      </c>
      <c r="B527" t="s">
        <v>164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473</v>
      </c>
      <c r="P527" s="20" t="s">
        <v>549</v>
      </c>
      <c r="Q527" s="1">
        <f t="shared" si="19"/>
        <v>1</v>
      </c>
      <c r="R527" s="1">
        <v>86</v>
      </c>
      <c r="U527" s="12">
        <v>41699</v>
      </c>
    </row>
    <row r="528" spans="1:22" x14ac:dyDescent="0.25">
      <c r="A528" s="2">
        <f t="shared" si="18"/>
        <v>10</v>
      </c>
      <c r="B528" s="21" t="s">
        <v>593</v>
      </c>
      <c r="C528" s="2" t="s">
        <v>807</v>
      </c>
      <c r="J528" s="1"/>
      <c r="M528" t="s">
        <v>15</v>
      </c>
      <c r="N528" t="str">
        <f>IFERROR(VLOOKUP(B528,'[1]All Player'!$B$2:$C$1992,2,0),"")</f>
        <v/>
      </c>
      <c r="O528" s="2" t="s">
        <v>473</v>
      </c>
      <c r="P528" s="20" t="s">
        <v>593</v>
      </c>
      <c r="Q528" s="1">
        <f t="shared" si="19"/>
        <v>1</v>
      </c>
      <c r="R528" s="1">
        <v>87</v>
      </c>
      <c r="U528" s="12">
        <v>41699</v>
      </c>
    </row>
    <row r="529" spans="1:21" x14ac:dyDescent="0.25">
      <c r="A529" s="2">
        <f t="shared" si="18"/>
        <v>10</v>
      </c>
      <c r="B529" t="s">
        <v>246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473</v>
      </c>
      <c r="P529" s="20" t="s">
        <v>593</v>
      </c>
      <c r="Q529" s="1">
        <f t="shared" si="19"/>
        <v>1</v>
      </c>
      <c r="R529" s="1">
        <v>87</v>
      </c>
      <c r="U529" s="12">
        <v>41699</v>
      </c>
    </row>
    <row r="530" spans="1:21" x14ac:dyDescent="0.25">
      <c r="A530" s="2">
        <f t="shared" si="18"/>
        <v>10</v>
      </c>
      <c r="B530" t="s">
        <v>153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473</v>
      </c>
      <c r="P530" s="20" t="s">
        <v>593</v>
      </c>
      <c r="Q530" s="1">
        <f t="shared" si="19"/>
        <v>1</v>
      </c>
      <c r="R530" s="1">
        <v>87</v>
      </c>
      <c r="U530" s="12">
        <v>41699</v>
      </c>
    </row>
    <row r="531" spans="1:21" x14ac:dyDescent="0.25">
      <c r="A531" s="2">
        <f t="shared" si="18"/>
        <v>10</v>
      </c>
      <c r="B531" t="s">
        <v>145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473</v>
      </c>
      <c r="P531" s="20" t="s">
        <v>593</v>
      </c>
      <c r="Q531" s="1">
        <f t="shared" si="19"/>
        <v>1</v>
      </c>
      <c r="R531" s="1">
        <v>87</v>
      </c>
      <c r="U531" s="12">
        <v>41699</v>
      </c>
    </row>
    <row r="532" spans="1:21" x14ac:dyDescent="0.25">
      <c r="A532" s="2">
        <f t="shared" si="18"/>
        <v>10</v>
      </c>
      <c r="B532" t="s">
        <v>155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473</v>
      </c>
      <c r="P532" s="20" t="s">
        <v>593</v>
      </c>
      <c r="Q532" s="1">
        <f t="shared" si="19"/>
        <v>1</v>
      </c>
      <c r="R532" s="1">
        <v>87</v>
      </c>
      <c r="U532" s="12">
        <v>41699</v>
      </c>
    </row>
    <row r="533" spans="1:21" x14ac:dyDescent="0.25">
      <c r="A533" s="2">
        <f t="shared" si="18"/>
        <v>10</v>
      </c>
      <c r="B533" t="s">
        <v>350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473</v>
      </c>
      <c r="P533" s="20" t="s">
        <v>593</v>
      </c>
      <c r="Q533" s="1">
        <f t="shared" si="19"/>
        <v>1</v>
      </c>
      <c r="R533" s="1">
        <v>87</v>
      </c>
      <c r="U533" s="12">
        <v>41699</v>
      </c>
    </row>
    <row r="534" spans="1:21" x14ac:dyDescent="0.25">
      <c r="A534" s="2">
        <f t="shared" si="18"/>
        <v>10</v>
      </c>
      <c r="B534" t="s">
        <v>436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473</v>
      </c>
      <c r="P534" s="20" t="s">
        <v>593</v>
      </c>
      <c r="Q534" s="1">
        <f t="shared" si="19"/>
        <v>1</v>
      </c>
      <c r="R534" s="1">
        <v>87</v>
      </c>
      <c r="U534" s="12">
        <v>41699</v>
      </c>
    </row>
    <row r="535" spans="1:21" x14ac:dyDescent="0.25">
      <c r="A535" s="2">
        <v>11</v>
      </c>
      <c r="B535" s="21" t="s">
        <v>808</v>
      </c>
      <c r="C535" s="2" t="s">
        <v>807</v>
      </c>
      <c r="J535" s="1"/>
      <c r="M535" t="s">
        <v>15</v>
      </c>
      <c r="N535" t="str">
        <f>IFERROR(VLOOKUP(B535,'[1]All Player'!$B$2:$C$1992,2,0),"")</f>
        <v/>
      </c>
      <c r="O535" s="2" t="s">
        <v>511</v>
      </c>
      <c r="P535" s="20" t="s">
        <v>595</v>
      </c>
      <c r="Q535" s="1">
        <f t="shared" si="19"/>
        <v>1</v>
      </c>
      <c r="R535" s="1">
        <v>88</v>
      </c>
      <c r="U535" s="12">
        <v>41791</v>
      </c>
    </row>
    <row r="536" spans="1:21" x14ac:dyDescent="0.25">
      <c r="A536" s="2">
        <f t="shared" si="18"/>
        <v>11</v>
      </c>
      <c r="B536" t="s">
        <v>123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511</v>
      </c>
      <c r="P536" s="20" t="s">
        <v>595</v>
      </c>
      <c r="Q536" s="1">
        <f t="shared" si="19"/>
        <v>1</v>
      </c>
      <c r="R536" s="1">
        <v>88</v>
      </c>
      <c r="U536" s="12">
        <v>41791</v>
      </c>
    </row>
    <row r="537" spans="1:21" x14ac:dyDescent="0.25">
      <c r="A537" s="2">
        <f t="shared" si="18"/>
        <v>11</v>
      </c>
      <c r="B537" t="s">
        <v>246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511</v>
      </c>
      <c r="P537" s="20" t="s">
        <v>595</v>
      </c>
      <c r="Q537" s="1">
        <f t="shared" si="19"/>
        <v>1</v>
      </c>
      <c r="R537" s="1">
        <v>88</v>
      </c>
      <c r="U537" s="12">
        <v>41791</v>
      </c>
    </row>
    <row r="538" spans="1:21" x14ac:dyDescent="0.25">
      <c r="A538" s="2">
        <f t="shared" si="18"/>
        <v>11</v>
      </c>
      <c r="B538" t="s">
        <v>809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511</v>
      </c>
      <c r="P538" s="20" t="s">
        <v>595</v>
      </c>
      <c r="Q538" s="1">
        <f t="shared" si="19"/>
        <v>1</v>
      </c>
      <c r="R538" s="1">
        <v>88</v>
      </c>
      <c r="U538" s="12">
        <v>41791</v>
      </c>
    </row>
    <row r="539" spans="1:21" x14ac:dyDescent="0.25">
      <c r="A539" s="2">
        <f t="shared" si="18"/>
        <v>11</v>
      </c>
      <c r="B539" t="s">
        <v>356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511</v>
      </c>
      <c r="P539" s="20" t="s">
        <v>595</v>
      </c>
      <c r="Q539" s="1">
        <f t="shared" si="19"/>
        <v>1</v>
      </c>
      <c r="R539" s="1">
        <v>88</v>
      </c>
      <c r="U539" s="12">
        <v>41791</v>
      </c>
    </row>
    <row r="540" spans="1:21" x14ac:dyDescent="0.25">
      <c r="A540" s="2">
        <f t="shared" si="18"/>
        <v>11</v>
      </c>
      <c r="B540" t="s">
        <v>352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511</v>
      </c>
      <c r="P540" s="20" t="s">
        <v>595</v>
      </c>
      <c r="Q540" s="1">
        <f t="shared" si="19"/>
        <v>1</v>
      </c>
      <c r="R540" s="1">
        <v>88</v>
      </c>
      <c r="U540" s="12">
        <v>41791</v>
      </c>
    </row>
    <row r="541" spans="1:21" x14ac:dyDescent="0.25">
      <c r="A541" s="2">
        <f>A540</f>
        <v>11</v>
      </c>
      <c r="B541" s="21" t="s">
        <v>810</v>
      </c>
      <c r="C541" s="2" t="s">
        <v>807</v>
      </c>
      <c r="J541" s="1"/>
      <c r="M541" t="s">
        <v>15</v>
      </c>
      <c r="N541" t="str">
        <f>IFERROR(VLOOKUP(B541,'[1]All Player'!$B$2:$C$1992,2,0),"")</f>
        <v/>
      </c>
      <c r="O541" s="2" t="s">
        <v>511</v>
      </c>
      <c r="P541" s="20" t="s">
        <v>575</v>
      </c>
      <c r="Q541" s="1">
        <f t="shared" si="19"/>
        <v>1</v>
      </c>
      <c r="R541" s="1">
        <v>89</v>
      </c>
      <c r="U541" s="12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511</v>
      </c>
      <c r="P542" s="20" t="s">
        <v>575</v>
      </c>
      <c r="Q542" s="1">
        <f t="shared" si="19"/>
        <v>1</v>
      </c>
      <c r="R542" s="1">
        <v>89</v>
      </c>
      <c r="U542" s="12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511</v>
      </c>
      <c r="P543" s="20" t="s">
        <v>575</v>
      </c>
      <c r="Q543" s="1">
        <f t="shared" si="19"/>
        <v>1</v>
      </c>
      <c r="R543" s="1">
        <v>89</v>
      </c>
      <c r="U543" s="12">
        <v>41791</v>
      </c>
    </row>
    <row r="544" spans="1:21" x14ac:dyDescent="0.25">
      <c r="A544" s="2">
        <f t="shared" si="18"/>
        <v>11</v>
      </c>
      <c r="B544" t="s">
        <v>131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511</v>
      </c>
      <c r="P544" s="20" t="s">
        <v>575</v>
      </c>
      <c r="Q544" s="1">
        <f t="shared" si="19"/>
        <v>1</v>
      </c>
      <c r="R544" s="1">
        <v>89</v>
      </c>
      <c r="U544" s="12">
        <v>41791</v>
      </c>
    </row>
    <row r="545" spans="1:21" x14ac:dyDescent="0.25">
      <c r="A545" s="2">
        <f t="shared" si="18"/>
        <v>11</v>
      </c>
      <c r="B545" t="s">
        <v>811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511</v>
      </c>
      <c r="P545" s="20" t="s">
        <v>575</v>
      </c>
      <c r="Q545" s="1">
        <f t="shared" si="19"/>
        <v>1</v>
      </c>
      <c r="R545" s="1">
        <v>89</v>
      </c>
      <c r="U545" s="12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511</v>
      </c>
      <c r="P546" s="20" t="s">
        <v>575</v>
      </c>
      <c r="Q546" s="1">
        <f t="shared" si="19"/>
        <v>1</v>
      </c>
      <c r="R546" s="1">
        <v>89</v>
      </c>
      <c r="U546" s="12">
        <v>41791</v>
      </c>
    </row>
    <row r="547" spans="1:21" x14ac:dyDescent="0.25">
      <c r="A547" s="2">
        <f>A546</f>
        <v>11</v>
      </c>
      <c r="B547" s="21" t="s">
        <v>812</v>
      </c>
      <c r="C547" s="2" t="s">
        <v>807</v>
      </c>
      <c r="J547" s="1"/>
      <c r="M547" t="s">
        <v>15</v>
      </c>
      <c r="N547" t="str">
        <f>IFERROR(VLOOKUP(B547,'[1]All Player'!$B$2:$C$1992,2,0),"")</f>
        <v/>
      </c>
      <c r="O547" s="2" t="s">
        <v>511</v>
      </c>
      <c r="P547" s="20" t="s">
        <v>813</v>
      </c>
      <c r="Q547" s="1">
        <f t="shared" si="19"/>
        <v>1</v>
      </c>
      <c r="R547" s="1">
        <v>90</v>
      </c>
      <c r="U547" s="12">
        <v>41791</v>
      </c>
    </row>
    <row r="548" spans="1:21" x14ac:dyDescent="0.25">
      <c r="A548" s="2">
        <f t="shared" si="18"/>
        <v>11</v>
      </c>
      <c r="B548" t="s">
        <v>334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511</v>
      </c>
      <c r="P548" s="20" t="s">
        <v>813</v>
      </c>
      <c r="Q548" s="1">
        <f t="shared" si="19"/>
        <v>1</v>
      </c>
      <c r="R548" s="1">
        <v>90</v>
      </c>
      <c r="U548" s="12">
        <v>41791</v>
      </c>
    </row>
    <row r="549" spans="1:21" x14ac:dyDescent="0.25">
      <c r="A549" s="2">
        <f t="shared" si="18"/>
        <v>11</v>
      </c>
      <c r="B549" t="s">
        <v>791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511</v>
      </c>
      <c r="P549" s="20" t="s">
        <v>813</v>
      </c>
      <c r="Q549" s="1">
        <f t="shared" si="19"/>
        <v>1</v>
      </c>
      <c r="R549" s="1">
        <v>90</v>
      </c>
      <c r="U549" s="12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511</v>
      </c>
      <c r="P550" s="20" t="s">
        <v>813</v>
      </c>
      <c r="Q550" s="1">
        <f t="shared" si="19"/>
        <v>1</v>
      </c>
      <c r="R550" s="1">
        <v>90</v>
      </c>
      <c r="U550" s="12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511</v>
      </c>
      <c r="P551" s="20" t="s">
        <v>813</v>
      </c>
      <c r="Q551" s="1">
        <f t="shared" si="19"/>
        <v>1</v>
      </c>
      <c r="R551" s="1">
        <v>90</v>
      </c>
      <c r="U551" s="12">
        <v>41791</v>
      </c>
    </row>
    <row r="552" spans="1:21" x14ac:dyDescent="0.25">
      <c r="A552" s="2">
        <f t="shared" si="18"/>
        <v>11</v>
      </c>
      <c r="B552" t="s">
        <v>180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511</v>
      </c>
      <c r="P552" s="20" t="s">
        <v>813</v>
      </c>
      <c r="Q552" s="1">
        <f t="shared" si="19"/>
        <v>1</v>
      </c>
      <c r="R552" s="1">
        <v>90</v>
      </c>
      <c r="U552" s="12">
        <v>41791</v>
      </c>
    </row>
    <row r="553" spans="1:21" x14ac:dyDescent="0.25">
      <c r="A553" s="2">
        <f>A552</f>
        <v>11</v>
      </c>
      <c r="B553" s="21" t="s">
        <v>814</v>
      </c>
      <c r="C553" s="2" t="s">
        <v>807</v>
      </c>
      <c r="J553" s="1"/>
      <c r="M553" t="s">
        <v>15</v>
      </c>
      <c r="N553" t="str">
        <f>IFERROR(VLOOKUP(B553,'[1]All Player'!$B$2:$C$1992,2,0),"")</f>
        <v/>
      </c>
      <c r="O553" s="2" t="s">
        <v>511</v>
      </c>
      <c r="P553" s="20" t="s">
        <v>512</v>
      </c>
      <c r="Q553" s="1">
        <f t="shared" si="19"/>
        <v>1</v>
      </c>
      <c r="R553" s="1">
        <v>91</v>
      </c>
      <c r="U553" s="12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511</v>
      </c>
      <c r="P554" s="20" t="s">
        <v>512</v>
      </c>
      <c r="Q554" s="1">
        <f t="shared" si="19"/>
        <v>1</v>
      </c>
      <c r="R554" s="1">
        <v>91</v>
      </c>
      <c r="U554" s="12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511</v>
      </c>
      <c r="P555" s="20" t="s">
        <v>512</v>
      </c>
      <c r="Q555" s="1">
        <f t="shared" si="19"/>
        <v>1</v>
      </c>
      <c r="R555" s="1">
        <v>91</v>
      </c>
      <c r="U555" s="12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30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511</v>
      </c>
      <c r="P556" s="20" t="s">
        <v>512</v>
      </c>
      <c r="Q556" s="1">
        <f t="shared" si="19"/>
        <v>1</v>
      </c>
      <c r="R556" s="1">
        <v>91</v>
      </c>
      <c r="U556" s="12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511</v>
      </c>
      <c r="P557" s="20" t="s">
        <v>512</v>
      </c>
      <c r="Q557" s="1">
        <f t="shared" si="19"/>
        <v>1</v>
      </c>
      <c r="R557" s="1">
        <v>91</v>
      </c>
      <c r="U557" s="12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511</v>
      </c>
      <c r="P558" s="20" t="s">
        <v>512</v>
      </c>
      <c r="Q558" s="1">
        <f t="shared" si="19"/>
        <v>1</v>
      </c>
      <c r="R558" s="1">
        <v>91</v>
      </c>
      <c r="U558" s="12">
        <v>41791</v>
      </c>
    </row>
    <row r="559" spans="1:21" x14ac:dyDescent="0.25">
      <c r="A559" s="2">
        <f>A558</f>
        <v>11</v>
      </c>
      <c r="B559" s="21" t="s">
        <v>815</v>
      </c>
      <c r="C559" s="2" t="s">
        <v>807</v>
      </c>
      <c r="J559" s="1"/>
      <c r="M559" t="s">
        <v>15</v>
      </c>
      <c r="N559" t="str">
        <f>IFERROR(VLOOKUP(B559,'[1]All Player'!$B$2:$C$1992,2,0),"")</f>
        <v/>
      </c>
      <c r="O559" s="2" t="s">
        <v>511</v>
      </c>
      <c r="P559" s="20" t="s">
        <v>816</v>
      </c>
      <c r="Q559" s="1">
        <f t="shared" si="19"/>
        <v>1</v>
      </c>
      <c r="R559" s="1">
        <v>92</v>
      </c>
      <c r="U559" s="12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511</v>
      </c>
      <c r="P560" s="20" t="s">
        <v>816</v>
      </c>
      <c r="Q560" s="1">
        <f t="shared" si="19"/>
        <v>1</v>
      </c>
      <c r="R560" s="1">
        <v>92</v>
      </c>
      <c r="U560" s="12">
        <v>41791</v>
      </c>
    </row>
    <row r="561" spans="1:23" x14ac:dyDescent="0.25">
      <c r="A561" s="2">
        <f t="shared" si="20"/>
        <v>11</v>
      </c>
      <c r="B561" t="s">
        <v>139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511</v>
      </c>
      <c r="P561" s="20" t="s">
        <v>816</v>
      </c>
      <c r="Q561" s="1">
        <f t="shared" si="19"/>
        <v>1</v>
      </c>
      <c r="R561" s="1">
        <v>92</v>
      </c>
      <c r="U561" s="12">
        <v>41791</v>
      </c>
    </row>
    <row r="562" spans="1:23" x14ac:dyDescent="0.25">
      <c r="A562" s="2">
        <f t="shared" si="20"/>
        <v>11</v>
      </c>
      <c r="B562" t="s">
        <v>135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511</v>
      </c>
      <c r="P562" s="20" t="s">
        <v>816</v>
      </c>
      <c r="Q562" s="1">
        <f t="shared" si="19"/>
        <v>1</v>
      </c>
      <c r="R562" s="1">
        <v>92</v>
      </c>
      <c r="U562" s="12">
        <v>41791</v>
      </c>
    </row>
    <row r="563" spans="1:23" x14ac:dyDescent="0.25">
      <c r="A563" s="2">
        <f t="shared" si="20"/>
        <v>11</v>
      </c>
      <c r="B563" t="s">
        <v>297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511</v>
      </c>
      <c r="P563" s="20" t="s">
        <v>816</v>
      </c>
      <c r="Q563" s="1">
        <f t="shared" si="19"/>
        <v>1</v>
      </c>
      <c r="R563" s="1">
        <v>92</v>
      </c>
      <c r="U563" s="12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511</v>
      </c>
      <c r="P564" s="20" t="s">
        <v>816</v>
      </c>
      <c r="Q564" s="1">
        <f t="shared" si="19"/>
        <v>1</v>
      </c>
      <c r="R564" s="1">
        <v>92</v>
      </c>
      <c r="U564" s="12">
        <v>41791</v>
      </c>
    </row>
    <row r="565" spans="1:23" x14ac:dyDescent="0.25">
      <c r="A565" s="2">
        <f>A564</f>
        <v>11</v>
      </c>
      <c r="B565" s="21" t="s">
        <v>817</v>
      </c>
      <c r="C565" s="2" t="s">
        <v>807</v>
      </c>
      <c r="J565" s="1"/>
      <c r="M565" t="s">
        <v>15</v>
      </c>
      <c r="N565" t="str">
        <f>IFERROR(VLOOKUP(B565,'[1]All Player'!$B$2:$C$1992,2,0),"")</f>
        <v/>
      </c>
      <c r="O565" s="2" t="s">
        <v>511</v>
      </c>
      <c r="P565" s="20" t="s">
        <v>818</v>
      </c>
      <c r="Q565" s="1">
        <f t="shared" si="19"/>
        <v>1</v>
      </c>
      <c r="R565" s="1">
        <v>93</v>
      </c>
      <c r="U565" s="12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511</v>
      </c>
      <c r="P566" s="20" t="s">
        <v>818</v>
      </c>
      <c r="Q566" s="1">
        <f t="shared" si="19"/>
        <v>1</v>
      </c>
      <c r="R566" s="1">
        <v>93</v>
      </c>
      <c r="U566" s="12">
        <v>41791</v>
      </c>
    </row>
    <row r="567" spans="1:23" x14ac:dyDescent="0.25">
      <c r="A567" s="2">
        <f t="shared" si="20"/>
        <v>11</v>
      </c>
      <c r="B567" t="s">
        <v>153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511</v>
      </c>
      <c r="P567" s="20" t="s">
        <v>818</v>
      </c>
      <c r="Q567" s="1">
        <f t="shared" si="19"/>
        <v>1</v>
      </c>
      <c r="R567" s="1">
        <v>93</v>
      </c>
      <c r="U567" s="12">
        <v>41791</v>
      </c>
    </row>
    <row r="568" spans="1:23" x14ac:dyDescent="0.25">
      <c r="A568" s="2">
        <f t="shared" si="20"/>
        <v>11</v>
      </c>
      <c r="B568" t="s">
        <v>184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511</v>
      </c>
      <c r="P568" s="20" t="s">
        <v>818</v>
      </c>
      <c r="Q568" s="1">
        <f t="shared" si="19"/>
        <v>1</v>
      </c>
      <c r="R568" s="1">
        <v>93</v>
      </c>
      <c r="U568" s="12">
        <v>41791</v>
      </c>
    </row>
    <row r="569" spans="1:23" x14ac:dyDescent="0.25">
      <c r="A569" s="2">
        <f t="shared" si="20"/>
        <v>11</v>
      </c>
      <c r="B569" t="s">
        <v>342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511</v>
      </c>
      <c r="P569" s="20" t="s">
        <v>818</v>
      </c>
      <c r="Q569" s="1">
        <f t="shared" si="19"/>
        <v>1</v>
      </c>
      <c r="R569" s="1">
        <v>93</v>
      </c>
      <c r="U569" s="12">
        <v>41791</v>
      </c>
    </row>
    <row r="570" spans="1:23" x14ac:dyDescent="0.25">
      <c r="A570" s="2">
        <f t="shared" si="20"/>
        <v>11</v>
      </c>
      <c r="B570" t="s">
        <v>336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511</v>
      </c>
      <c r="P570" s="20" t="s">
        <v>818</v>
      </c>
      <c r="Q570" s="1">
        <f t="shared" si="19"/>
        <v>1</v>
      </c>
      <c r="R570" s="1">
        <v>93</v>
      </c>
      <c r="U570" s="12">
        <v>41791</v>
      </c>
    </row>
    <row r="571" spans="1:23" ht="15.75" x14ac:dyDescent="0.25">
      <c r="A571" s="2">
        <f>A570</f>
        <v>11</v>
      </c>
      <c r="B571" s="22" t="s">
        <v>558</v>
      </c>
      <c r="C571" s="2" t="s">
        <v>807</v>
      </c>
      <c r="J571" s="1"/>
      <c r="M571" t="s">
        <v>15</v>
      </c>
      <c r="N571" t="str">
        <f>IFERROR(VLOOKUP(B571,'[1]All Player'!$B$2:$C$1992,2,0),"")</f>
        <v/>
      </c>
      <c r="O571" s="2" t="s">
        <v>511</v>
      </c>
      <c r="P571" s="20" t="s">
        <v>558</v>
      </c>
      <c r="Q571" s="1">
        <f t="shared" si="19"/>
        <v>1</v>
      </c>
      <c r="R571" s="1">
        <v>94</v>
      </c>
      <c r="U571" s="12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511</v>
      </c>
      <c r="P572" s="20" t="s">
        <v>558</v>
      </c>
      <c r="Q572" s="1">
        <f t="shared" si="19"/>
        <v>1</v>
      </c>
      <c r="R572" s="1">
        <v>94</v>
      </c>
      <c r="S572" s="2" t="s">
        <v>660</v>
      </c>
      <c r="U572" s="12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358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511</v>
      </c>
      <c r="P573" s="20" t="s">
        <v>558</v>
      </c>
      <c r="Q573" s="1">
        <f t="shared" si="19"/>
        <v>1</v>
      </c>
      <c r="R573" s="1">
        <v>94</v>
      </c>
      <c r="U573" s="12">
        <v>41791</v>
      </c>
    </row>
    <row r="574" spans="1:23" x14ac:dyDescent="0.25">
      <c r="A574" s="2">
        <f t="shared" si="20"/>
        <v>11</v>
      </c>
      <c r="B574" t="s">
        <v>360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511</v>
      </c>
      <c r="P574" s="20" t="s">
        <v>558</v>
      </c>
      <c r="Q574" s="1">
        <f t="shared" si="19"/>
        <v>1</v>
      </c>
      <c r="R574" s="1">
        <v>94</v>
      </c>
      <c r="U574" s="12">
        <v>41791</v>
      </c>
    </row>
    <row r="575" spans="1:23" x14ac:dyDescent="0.25">
      <c r="A575" s="2">
        <f t="shared" si="20"/>
        <v>11</v>
      </c>
      <c r="B575" t="s">
        <v>800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511</v>
      </c>
      <c r="P575" s="20" t="s">
        <v>558</v>
      </c>
      <c r="Q575" s="1">
        <f t="shared" si="19"/>
        <v>1</v>
      </c>
      <c r="R575" s="1">
        <v>94</v>
      </c>
      <c r="U575" s="12">
        <v>41791</v>
      </c>
    </row>
    <row r="576" spans="1:23" x14ac:dyDescent="0.25">
      <c r="A576" s="2">
        <f t="shared" si="20"/>
        <v>11</v>
      </c>
      <c r="B576" t="s">
        <v>192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511</v>
      </c>
      <c r="P576" s="20" t="s">
        <v>558</v>
      </c>
      <c r="Q576" s="1">
        <f t="shared" si="19"/>
        <v>1</v>
      </c>
      <c r="R576" s="1">
        <v>94</v>
      </c>
      <c r="U576" s="12">
        <v>41791</v>
      </c>
    </row>
    <row r="577" spans="1:21" ht="15.75" x14ac:dyDescent="0.25">
      <c r="A577" s="2">
        <f>A576</f>
        <v>11</v>
      </c>
      <c r="B577" s="22" t="s">
        <v>819</v>
      </c>
      <c r="C577" s="2" t="s">
        <v>807</v>
      </c>
      <c r="J577" s="1"/>
      <c r="M577" t="s">
        <v>15</v>
      </c>
      <c r="N577" t="str">
        <f>IFERROR(VLOOKUP(B577,'[1]All Player'!$B$2:$C$1992,2,0),"")</f>
        <v/>
      </c>
      <c r="O577" s="2" t="s">
        <v>511</v>
      </c>
      <c r="P577" s="20" t="s">
        <v>819</v>
      </c>
      <c r="Q577" s="1">
        <f t="shared" si="19"/>
        <v>1</v>
      </c>
      <c r="R577" s="1">
        <v>95</v>
      </c>
      <c r="U577" s="12">
        <v>41791</v>
      </c>
    </row>
    <row r="578" spans="1:21" x14ac:dyDescent="0.25">
      <c r="A578" s="2">
        <f t="shared" si="20"/>
        <v>11</v>
      </c>
      <c r="B578" t="s">
        <v>350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511</v>
      </c>
      <c r="P578" s="20" t="s">
        <v>819</v>
      </c>
      <c r="Q578" s="1">
        <f t="shared" ref="Q578:Q641" si="21">IF(B578="","",1)</f>
        <v>1</v>
      </c>
      <c r="R578" s="1">
        <v>95</v>
      </c>
      <c r="U578" s="12">
        <v>41791</v>
      </c>
    </row>
    <row r="579" spans="1:21" x14ac:dyDescent="0.25">
      <c r="A579" s="2">
        <f t="shared" si="20"/>
        <v>11</v>
      </c>
      <c r="B579" t="s">
        <v>159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511</v>
      </c>
      <c r="P579" s="20" t="s">
        <v>819</v>
      </c>
      <c r="Q579" s="1">
        <f t="shared" si="21"/>
        <v>1</v>
      </c>
      <c r="R579" s="1">
        <v>95</v>
      </c>
      <c r="U579" s="12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511</v>
      </c>
      <c r="P580" s="20" t="s">
        <v>819</v>
      </c>
      <c r="Q580" s="1">
        <f t="shared" si="21"/>
        <v>1</v>
      </c>
      <c r="R580" s="1">
        <v>95</v>
      </c>
      <c r="U580" s="12">
        <v>41791</v>
      </c>
    </row>
    <row r="581" spans="1:21" x14ac:dyDescent="0.25">
      <c r="A581" s="2">
        <f t="shared" si="20"/>
        <v>11</v>
      </c>
      <c r="B581" t="s">
        <v>121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511</v>
      </c>
      <c r="P581" s="20" t="s">
        <v>819</v>
      </c>
      <c r="Q581" s="1">
        <f t="shared" si="21"/>
        <v>1</v>
      </c>
      <c r="R581" s="1">
        <v>95</v>
      </c>
      <c r="U581" s="12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511</v>
      </c>
      <c r="P582" s="20" t="s">
        <v>819</v>
      </c>
      <c r="Q582" s="1">
        <f t="shared" si="21"/>
        <v>1</v>
      </c>
      <c r="R582" s="1">
        <v>95</v>
      </c>
      <c r="U582" s="12">
        <v>41791</v>
      </c>
    </row>
    <row r="583" spans="1:21" ht="15.75" x14ac:dyDescent="0.25">
      <c r="A583" s="2">
        <f>A582</f>
        <v>11</v>
      </c>
      <c r="B583" s="22" t="s">
        <v>820</v>
      </c>
      <c r="C583" s="2" t="s">
        <v>807</v>
      </c>
      <c r="J583" s="1"/>
      <c r="M583" t="s">
        <v>15</v>
      </c>
      <c r="N583" t="str">
        <f>IFERROR(VLOOKUP(B583,'[1]All Player'!$B$2:$C$1992,2,0),"")</f>
        <v/>
      </c>
      <c r="O583" s="2" t="s">
        <v>511</v>
      </c>
      <c r="P583" s="20" t="s">
        <v>820</v>
      </c>
      <c r="Q583" s="1">
        <f t="shared" si="21"/>
        <v>1</v>
      </c>
      <c r="R583" s="1">
        <v>96</v>
      </c>
      <c r="U583" s="12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511</v>
      </c>
      <c r="P584" s="20" t="s">
        <v>820</v>
      </c>
      <c r="Q584" s="1">
        <f t="shared" si="21"/>
        <v>1</v>
      </c>
      <c r="R584" s="1">
        <v>96</v>
      </c>
      <c r="U584" s="12">
        <v>41791</v>
      </c>
    </row>
    <row r="585" spans="1:21" x14ac:dyDescent="0.25">
      <c r="A585" s="2">
        <f t="shared" si="20"/>
        <v>11</v>
      </c>
      <c r="B585" t="s">
        <v>119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511</v>
      </c>
      <c r="P585" s="20" t="s">
        <v>820</v>
      </c>
      <c r="Q585" s="1">
        <f t="shared" si="21"/>
        <v>1</v>
      </c>
      <c r="R585" s="1">
        <v>96</v>
      </c>
      <c r="U585" s="12">
        <v>41791</v>
      </c>
    </row>
    <row r="586" spans="1:21" x14ac:dyDescent="0.25">
      <c r="A586" s="2">
        <f t="shared" si="20"/>
        <v>11</v>
      </c>
      <c r="B586" t="s">
        <v>780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511</v>
      </c>
      <c r="P586" s="20" t="s">
        <v>820</v>
      </c>
      <c r="Q586" s="1">
        <f t="shared" si="21"/>
        <v>1</v>
      </c>
      <c r="R586" s="1">
        <v>96</v>
      </c>
      <c r="U586" s="12">
        <v>41791</v>
      </c>
    </row>
    <row r="587" spans="1:21" x14ac:dyDescent="0.25">
      <c r="A587" s="2">
        <f t="shared" si="20"/>
        <v>11</v>
      </c>
      <c r="B587" t="s">
        <v>299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511</v>
      </c>
      <c r="P587" s="20" t="s">
        <v>820</v>
      </c>
      <c r="Q587" s="1">
        <f t="shared" si="21"/>
        <v>1</v>
      </c>
      <c r="R587" s="1">
        <v>96</v>
      </c>
      <c r="U587" s="12">
        <v>41791</v>
      </c>
    </row>
    <row r="588" spans="1:21" x14ac:dyDescent="0.25">
      <c r="A588" s="2">
        <f t="shared" si="20"/>
        <v>11</v>
      </c>
      <c r="B588" t="s">
        <v>338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511</v>
      </c>
      <c r="P588" s="20" t="s">
        <v>820</v>
      </c>
      <c r="Q588" s="1">
        <f t="shared" si="21"/>
        <v>1</v>
      </c>
      <c r="R588" s="1">
        <v>96</v>
      </c>
      <c r="U588" s="12">
        <v>41791</v>
      </c>
    </row>
    <row r="589" spans="1:21" ht="15.75" x14ac:dyDescent="0.25">
      <c r="A589" s="2">
        <f>A588</f>
        <v>11</v>
      </c>
      <c r="B589" s="22" t="s">
        <v>523</v>
      </c>
      <c r="C589" s="2" t="s">
        <v>807</v>
      </c>
      <c r="J589" s="1"/>
      <c r="M589" t="s">
        <v>15</v>
      </c>
      <c r="N589" t="str">
        <f>IFERROR(VLOOKUP(B589,'[1]All Player'!$B$2:$C$1992,2,0),"")</f>
        <v/>
      </c>
      <c r="O589" s="2" t="s">
        <v>511</v>
      </c>
      <c r="P589" s="20" t="s">
        <v>523</v>
      </c>
      <c r="Q589" s="1">
        <f t="shared" si="21"/>
        <v>1</v>
      </c>
      <c r="R589" s="1">
        <v>97</v>
      </c>
      <c r="U589" s="12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511</v>
      </c>
      <c r="P590" s="20" t="s">
        <v>523</v>
      </c>
      <c r="Q590" s="1">
        <f t="shared" si="21"/>
        <v>1</v>
      </c>
      <c r="R590" s="1">
        <v>97</v>
      </c>
      <c r="U590" s="12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511</v>
      </c>
      <c r="P591" s="20" t="s">
        <v>523</v>
      </c>
      <c r="Q591" s="1">
        <f t="shared" si="21"/>
        <v>1</v>
      </c>
      <c r="R591" s="1">
        <v>97</v>
      </c>
      <c r="U591" s="12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511</v>
      </c>
      <c r="P592" s="20" t="s">
        <v>523</v>
      </c>
      <c r="Q592" s="1">
        <f t="shared" si="21"/>
        <v>1</v>
      </c>
      <c r="R592" s="1">
        <v>97</v>
      </c>
      <c r="U592" s="12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511</v>
      </c>
      <c r="P593" s="20" t="s">
        <v>523</v>
      </c>
      <c r="Q593" s="1">
        <f t="shared" si="21"/>
        <v>1</v>
      </c>
      <c r="R593" s="1">
        <v>97</v>
      </c>
      <c r="U593" s="12">
        <v>41791</v>
      </c>
    </row>
    <row r="594" spans="1:21" x14ac:dyDescent="0.25">
      <c r="A594" s="2">
        <f t="shared" si="20"/>
        <v>11</v>
      </c>
      <c r="B594" t="s">
        <v>354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511</v>
      </c>
      <c r="P594" s="20" t="s">
        <v>821</v>
      </c>
      <c r="Q594" s="1">
        <f t="shared" si="21"/>
        <v>1</v>
      </c>
      <c r="R594" s="1">
        <v>98</v>
      </c>
      <c r="T594" s="1" t="s">
        <v>661</v>
      </c>
      <c r="U594" s="12">
        <v>41791</v>
      </c>
    </row>
    <row r="595" spans="1:21" ht="15.75" x14ac:dyDescent="0.25">
      <c r="A595" s="2">
        <f>A594</f>
        <v>11</v>
      </c>
      <c r="B595" s="22" t="s">
        <v>821</v>
      </c>
      <c r="C595" s="2" t="s">
        <v>807</v>
      </c>
      <c r="J595" s="1"/>
      <c r="M595" t="s">
        <v>15</v>
      </c>
      <c r="N595" t="str">
        <f>IFERROR(VLOOKUP(B595,'[1]All Player'!$B$2:$C$1992,2,0),"")</f>
        <v/>
      </c>
      <c r="O595" s="2" t="s">
        <v>511</v>
      </c>
      <c r="P595" s="20" t="s">
        <v>821</v>
      </c>
      <c r="Q595" s="1">
        <f t="shared" si="21"/>
        <v>1</v>
      </c>
      <c r="R595" s="1">
        <v>98</v>
      </c>
      <c r="T595" s="1" t="s">
        <v>661</v>
      </c>
      <c r="U595" s="12">
        <v>41791</v>
      </c>
    </row>
    <row r="596" spans="1:21" x14ac:dyDescent="0.25">
      <c r="A596" s="2">
        <f t="shared" si="20"/>
        <v>11</v>
      </c>
      <c r="B596" t="s">
        <v>202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511</v>
      </c>
      <c r="P596" s="20" t="s">
        <v>821</v>
      </c>
      <c r="Q596" s="1">
        <f t="shared" si="21"/>
        <v>1</v>
      </c>
      <c r="R596" s="1">
        <v>98</v>
      </c>
      <c r="T596" s="1" t="s">
        <v>661</v>
      </c>
      <c r="U596" s="12">
        <v>41791</v>
      </c>
    </row>
    <row r="597" spans="1:21" x14ac:dyDescent="0.25">
      <c r="A597" s="2">
        <f t="shared" si="20"/>
        <v>11</v>
      </c>
      <c r="B597" t="s">
        <v>204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511</v>
      </c>
      <c r="P597" s="20" t="s">
        <v>821</v>
      </c>
      <c r="Q597" s="1">
        <f t="shared" si="21"/>
        <v>1</v>
      </c>
      <c r="R597" s="1">
        <v>98</v>
      </c>
      <c r="T597" s="1" t="s">
        <v>661</v>
      </c>
      <c r="U597" s="12">
        <v>41791</v>
      </c>
    </row>
    <row r="598" spans="1:21" x14ac:dyDescent="0.25">
      <c r="A598" s="2">
        <f t="shared" si="20"/>
        <v>11</v>
      </c>
      <c r="B598" t="s">
        <v>303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511</v>
      </c>
      <c r="P598" s="20" t="s">
        <v>821</v>
      </c>
      <c r="Q598" s="1">
        <f t="shared" si="21"/>
        <v>1</v>
      </c>
      <c r="R598" s="1">
        <v>98</v>
      </c>
      <c r="S598" s="2" t="s">
        <v>662</v>
      </c>
      <c r="T598" s="1" t="s">
        <v>661</v>
      </c>
      <c r="U598" s="12">
        <v>41791</v>
      </c>
    </row>
    <row r="599" spans="1:21" x14ac:dyDescent="0.25">
      <c r="A599" s="2">
        <f t="shared" si="20"/>
        <v>11</v>
      </c>
      <c r="B599" t="s">
        <v>155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511</v>
      </c>
      <c r="P599" s="20" t="s">
        <v>821</v>
      </c>
      <c r="Q599" s="1">
        <f t="shared" si="21"/>
        <v>1</v>
      </c>
      <c r="R599" s="1">
        <v>98</v>
      </c>
      <c r="T599" s="1" t="s">
        <v>661</v>
      </c>
      <c r="U599" s="12">
        <v>41791</v>
      </c>
    </row>
    <row r="600" spans="1:21" x14ac:dyDescent="0.25">
      <c r="A600" s="2">
        <f t="shared" si="20"/>
        <v>11</v>
      </c>
      <c r="B600" t="s">
        <v>319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511</v>
      </c>
      <c r="P600" s="20" t="s">
        <v>821</v>
      </c>
      <c r="Q600" s="1">
        <f t="shared" si="21"/>
        <v>1</v>
      </c>
      <c r="R600" s="1">
        <v>98</v>
      </c>
      <c r="T600" s="1" t="s">
        <v>661</v>
      </c>
      <c r="U600" s="12">
        <v>41791</v>
      </c>
    </row>
    <row r="601" spans="1:21" x14ac:dyDescent="0.25">
      <c r="A601" s="2">
        <f>A600</f>
        <v>11</v>
      </c>
      <c r="B601" s="21" t="s">
        <v>560</v>
      </c>
      <c r="C601" s="2" t="s">
        <v>807</v>
      </c>
      <c r="J601" s="1"/>
      <c r="M601" t="s">
        <v>15</v>
      </c>
      <c r="N601" t="str">
        <f>IFERROR(VLOOKUP(B601,'[1]All Player'!$B$2:$C$1992,2,0),"")</f>
        <v/>
      </c>
      <c r="O601" s="2" t="s">
        <v>511</v>
      </c>
      <c r="P601" s="20" t="s">
        <v>560</v>
      </c>
      <c r="Q601" s="1">
        <f t="shared" si="21"/>
        <v>1</v>
      </c>
      <c r="R601" s="1">
        <v>99</v>
      </c>
      <c r="U601" s="12">
        <v>41791</v>
      </c>
    </row>
    <row r="602" spans="1:21" x14ac:dyDescent="0.25">
      <c r="A602" s="2">
        <f t="shared" si="20"/>
        <v>11</v>
      </c>
      <c r="B602" t="s">
        <v>147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511</v>
      </c>
      <c r="P602" s="20" t="s">
        <v>560</v>
      </c>
      <c r="Q602" s="1">
        <f t="shared" si="21"/>
        <v>1</v>
      </c>
      <c r="R602" s="1">
        <v>99</v>
      </c>
      <c r="U602" s="12">
        <v>41791</v>
      </c>
    </row>
    <row r="603" spans="1:21" x14ac:dyDescent="0.25">
      <c r="A603" s="2">
        <f t="shared" si="20"/>
        <v>11</v>
      </c>
      <c r="B603" t="s">
        <v>157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511</v>
      </c>
      <c r="P603" s="20" t="s">
        <v>560</v>
      </c>
      <c r="Q603" s="1">
        <f t="shared" si="21"/>
        <v>1</v>
      </c>
      <c r="R603" s="1">
        <v>99</v>
      </c>
      <c r="U603" s="12">
        <v>41791</v>
      </c>
    </row>
    <row r="604" spans="1:21" x14ac:dyDescent="0.25">
      <c r="A604" s="2">
        <f t="shared" si="20"/>
        <v>11</v>
      </c>
      <c r="B604" t="s">
        <v>196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511</v>
      </c>
      <c r="P604" s="20" t="s">
        <v>560</v>
      </c>
      <c r="Q604" s="1">
        <f t="shared" si="21"/>
        <v>1</v>
      </c>
      <c r="R604" s="1">
        <v>99</v>
      </c>
      <c r="U604" s="12">
        <v>41791</v>
      </c>
    </row>
    <row r="605" spans="1:21" x14ac:dyDescent="0.25">
      <c r="A605" s="2">
        <f t="shared" si="20"/>
        <v>11</v>
      </c>
      <c r="B605" t="s">
        <v>362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511</v>
      </c>
      <c r="P605" s="20" t="s">
        <v>560</v>
      </c>
      <c r="Q605" s="1">
        <f t="shared" si="21"/>
        <v>1</v>
      </c>
      <c r="R605" s="1">
        <v>99</v>
      </c>
      <c r="U605" s="12">
        <v>41791</v>
      </c>
    </row>
    <row r="606" spans="1:21" x14ac:dyDescent="0.25">
      <c r="A606" s="2">
        <f t="shared" si="20"/>
        <v>11</v>
      </c>
      <c r="B606" t="s">
        <v>292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511</v>
      </c>
      <c r="P606" s="20" t="s">
        <v>560</v>
      </c>
      <c r="Q606" s="1">
        <f t="shared" si="21"/>
        <v>1</v>
      </c>
      <c r="R606" s="1">
        <v>99</v>
      </c>
      <c r="U606" s="12">
        <v>41791</v>
      </c>
    </row>
    <row r="607" spans="1:21" x14ac:dyDescent="0.25">
      <c r="A607" s="2">
        <f>A606</f>
        <v>11</v>
      </c>
      <c r="B607" t="s">
        <v>822</v>
      </c>
      <c r="C607" s="2" t="s">
        <v>807</v>
      </c>
      <c r="J607" s="1"/>
      <c r="M607" t="s">
        <v>15</v>
      </c>
      <c r="N607" t="str">
        <f>IFERROR(VLOOKUP(B607,'[1]All Player'!$B$2:$C$1992,2,0),"")</f>
        <v/>
      </c>
      <c r="O607" s="2" t="s">
        <v>511</v>
      </c>
      <c r="P607" s="20" t="s">
        <v>823</v>
      </c>
      <c r="Q607" s="1">
        <f t="shared" si="21"/>
        <v>1</v>
      </c>
      <c r="R607" s="1">
        <v>100</v>
      </c>
      <c r="T607" s="1" t="s">
        <v>659</v>
      </c>
      <c r="U607" s="12">
        <v>41791</v>
      </c>
    </row>
    <row r="608" spans="1:21" x14ac:dyDescent="0.25">
      <c r="A608" s="2">
        <f t="shared" ref="A608:A671" si="22">A607</f>
        <v>11</v>
      </c>
      <c r="B608" t="s">
        <v>283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511</v>
      </c>
      <c r="P608" s="20" t="s">
        <v>823</v>
      </c>
      <c r="Q608" s="1">
        <f t="shared" si="21"/>
        <v>1</v>
      </c>
      <c r="R608" s="1">
        <v>100</v>
      </c>
      <c r="T608" s="1" t="s">
        <v>659</v>
      </c>
      <c r="U608" s="12">
        <v>41791</v>
      </c>
    </row>
    <row r="609" spans="1:21" x14ac:dyDescent="0.25">
      <c r="A609" s="2">
        <f t="shared" si="22"/>
        <v>11</v>
      </c>
      <c r="B609" t="s">
        <v>115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511</v>
      </c>
      <c r="P609" s="20" t="s">
        <v>823</v>
      </c>
      <c r="Q609" s="1">
        <f t="shared" si="21"/>
        <v>1</v>
      </c>
      <c r="R609" s="1">
        <v>100</v>
      </c>
      <c r="T609" s="1" t="s">
        <v>659</v>
      </c>
      <c r="U609" s="12">
        <v>41791</v>
      </c>
    </row>
    <row r="610" spans="1:21" x14ac:dyDescent="0.25">
      <c r="A610" s="2">
        <f t="shared" si="22"/>
        <v>11</v>
      </c>
      <c r="B610" t="s">
        <v>170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511</v>
      </c>
      <c r="P610" s="20" t="s">
        <v>823</v>
      </c>
      <c r="Q610" s="1">
        <f t="shared" si="21"/>
        <v>1</v>
      </c>
      <c r="R610" s="1">
        <v>100</v>
      </c>
      <c r="T610" s="1" t="s">
        <v>659</v>
      </c>
      <c r="U610" s="12">
        <v>41791</v>
      </c>
    </row>
    <row r="611" spans="1:21" x14ac:dyDescent="0.25">
      <c r="A611" s="2">
        <f t="shared" si="22"/>
        <v>11</v>
      </c>
      <c r="B611" t="s">
        <v>174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511</v>
      </c>
      <c r="P611" s="20" t="s">
        <v>823</v>
      </c>
      <c r="Q611" s="1">
        <f t="shared" si="21"/>
        <v>1</v>
      </c>
      <c r="R611" s="1">
        <v>100</v>
      </c>
      <c r="T611" s="1" t="s">
        <v>659</v>
      </c>
      <c r="U611" s="12">
        <v>41791</v>
      </c>
    </row>
    <row r="612" spans="1:21" x14ac:dyDescent="0.25">
      <c r="A612" s="2">
        <f t="shared" si="22"/>
        <v>11</v>
      </c>
      <c r="B612" t="s">
        <v>229</v>
      </c>
      <c r="C612" s="2">
        <v>11</v>
      </c>
      <c r="D612" s="2">
        <v>191</v>
      </c>
      <c r="E612" s="28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511</v>
      </c>
      <c r="P612" s="20" t="s">
        <v>823</v>
      </c>
      <c r="Q612" s="1">
        <f t="shared" si="21"/>
        <v>1</v>
      </c>
      <c r="R612" s="1">
        <v>100</v>
      </c>
      <c r="T612" s="1" t="s">
        <v>659</v>
      </c>
      <c r="U612" s="12">
        <v>41791</v>
      </c>
    </row>
    <row r="613" spans="1:21" x14ac:dyDescent="0.25">
      <c r="A613" s="2">
        <f>A612</f>
        <v>11</v>
      </c>
      <c r="B613" t="s">
        <v>824</v>
      </c>
      <c r="C613" s="2" t="s">
        <v>807</v>
      </c>
      <c r="J613" s="1"/>
      <c r="M613" t="s">
        <v>15</v>
      </c>
      <c r="N613" t="str">
        <f>IFERROR(VLOOKUP(B613,'[1]All Player'!$B$2:$C$1992,2,0),"")</f>
        <v/>
      </c>
      <c r="O613" s="2" t="s">
        <v>511</v>
      </c>
      <c r="P613" s="20" t="s">
        <v>825</v>
      </c>
      <c r="Q613" s="1">
        <f t="shared" si="21"/>
        <v>1</v>
      </c>
      <c r="R613" s="1">
        <v>101</v>
      </c>
      <c r="U613" s="12">
        <v>41791</v>
      </c>
    </row>
    <row r="614" spans="1:21" x14ac:dyDescent="0.25">
      <c r="A614" s="2">
        <f t="shared" si="22"/>
        <v>11</v>
      </c>
      <c r="B614" t="s">
        <v>224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511</v>
      </c>
      <c r="P614" s="20" t="s">
        <v>825</v>
      </c>
      <c r="Q614" s="1">
        <f t="shared" si="21"/>
        <v>1</v>
      </c>
      <c r="R614" s="1">
        <v>101</v>
      </c>
      <c r="U614" s="12">
        <v>41791</v>
      </c>
    </row>
    <row r="615" spans="1:21" x14ac:dyDescent="0.25">
      <c r="A615" s="2">
        <f t="shared" si="22"/>
        <v>11</v>
      </c>
      <c r="B615" t="s">
        <v>792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511</v>
      </c>
      <c r="P615" s="20" t="s">
        <v>825</v>
      </c>
      <c r="Q615" s="1">
        <f t="shared" si="21"/>
        <v>1</v>
      </c>
      <c r="R615" s="1">
        <v>101</v>
      </c>
      <c r="U615" s="12">
        <v>41791</v>
      </c>
    </row>
    <row r="616" spans="1:21" x14ac:dyDescent="0.25">
      <c r="A616" s="2">
        <f t="shared" si="22"/>
        <v>11</v>
      </c>
      <c r="B616" t="s">
        <v>348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511</v>
      </c>
      <c r="P616" s="20" t="s">
        <v>825</v>
      </c>
      <c r="Q616" s="1">
        <f t="shared" si="21"/>
        <v>1</v>
      </c>
      <c r="R616" s="1">
        <v>101</v>
      </c>
      <c r="U616" s="12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511</v>
      </c>
      <c r="P617" s="20" t="s">
        <v>825</v>
      </c>
      <c r="Q617" s="1">
        <f t="shared" si="21"/>
        <v>1</v>
      </c>
      <c r="R617" s="1">
        <v>101</v>
      </c>
      <c r="U617" s="12">
        <v>41791</v>
      </c>
    </row>
    <row r="618" spans="1:21" x14ac:dyDescent="0.25">
      <c r="A618" s="2">
        <f t="shared" si="22"/>
        <v>11</v>
      </c>
      <c r="B618" t="s">
        <v>774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511</v>
      </c>
      <c r="P618" s="20" t="s">
        <v>825</v>
      </c>
      <c r="Q618" s="1">
        <f t="shared" si="21"/>
        <v>1</v>
      </c>
      <c r="R618" s="1">
        <v>101</v>
      </c>
      <c r="U618" s="12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511</v>
      </c>
      <c r="P619" s="20" t="s">
        <v>825</v>
      </c>
      <c r="Q619" s="1">
        <f t="shared" si="21"/>
        <v>1</v>
      </c>
      <c r="R619" s="1">
        <v>101</v>
      </c>
      <c r="U619" s="12">
        <v>41791</v>
      </c>
    </row>
    <row r="620" spans="1:21" x14ac:dyDescent="0.25">
      <c r="A620" s="2">
        <f t="shared" si="22"/>
        <v>11</v>
      </c>
      <c r="B620" t="s">
        <v>826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511</v>
      </c>
      <c r="P620" s="20" t="s">
        <v>825</v>
      </c>
      <c r="Q620" s="1">
        <f t="shared" si="21"/>
        <v>1</v>
      </c>
      <c r="R620" s="1">
        <v>101</v>
      </c>
      <c r="U620" s="12">
        <v>41791</v>
      </c>
    </row>
    <row r="621" spans="1:21" x14ac:dyDescent="0.25">
      <c r="A621" s="2">
        <v>12</v>
      </c>
      <c r="B621" t="s">
        <v>596</v>
      </c>
      <c r="J621" s="1"/>
      <c r="M621" t="s">
        <v>15</v>
      </c>
      <c r="N621" t="str">
        <f>IFERROR(VLOOKUP(B621,'[1]All Player'!$B$2:$C$1992,2,0),"")</f>
        <v/>
      </c>
      <c r="O621" s="2" t="s">
        <v>524</v>
      </c>
      <c r="P621" s="20" t="s">
        <v>596</v>
      </c>
      <c r="Q621" s="1">
        <f t="shared" si="21"/>
        <v>1</v>
      </c>
      <c r="R621" s="1">
        <v>102</v>
      </c>
      <c r="U621" s="12">
        <v>42339</v>
      </c>
    </row>
    <row r="622" spans="1:21" x14ac:dyDescent="0.25">
      <c r="A622" s="2">
        <f t="shared" si="22"/>
        <v>12</v>
      </c>
      <c r="B622" t="s">
        <v>139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524</v>
      </c>
      <c r="P622" s="20" t="s">
        <v>596</v>
      </c>
      <c r="Q622" s="1">
        <f t="shared" si="21"/>
        <v>1</v>
      </c>
      <c r="R622" s="1">
        <v>102</v>
      </c>
      <c r="U622" s="12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524</v>
      </c>
      <c r="P623" s="20" t="s">
        <v>596</v>
      </c>
      <c r="Q623" s="1">
        <f t="shared" si="21"/>
        <v>1</v>
      </c>
      <c r="R623" s="1">
        <v>102</v>
      </c>
      <c r="U623" s="12">
        <v>42339</v>
      </c>
    </row>
    <row r="624" spans="1:21" x14ac:dyDescent="0.25">
      <c r="A624" s="2">
        <f t="shared" si="22"/>
        <v>12</v>
      </c>
      <c r="B624" t="s">
        <v>354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524</v>
      </c>
      <c r="P624" s="20" t="s">
        <v>596</v>
      </c>
      <c r="Q624" s="1">
        <f t="shared" si="21"/>
        <v>1</v>
      </c>
      <c r="R624" s="1">
        <v>102</v>
      </c>
      <c r="U624" s="12">
        <v>42339</v>
      </c>
    </row>
    <row r="625" spans="1:22" x14ac:dyDescent="0.25">
      <c r="A625" s="2">
        <f t="shared" si="22"/>
        <v>12</v>
      </c>
      <c r="B625" t="s">
        <v>364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524</v>
      </c>
      <c r="P625" s="20" t="s">
        <v>596</v>
      </c>
      <c r="Q625" s="1">
        <f t="shared" si="21"/>
        <v>1</v>
      </c>
      <c r="R625" s="1">
        <v>102</v>
      </c>
      <c r="U625" s="12">
        <v>42339</v>
      </c>
    </row>
    <row r="626" spans="1:22" x14ac:dyDescent="0.25">
      <c r="A626" s="2">
        <f t="shared" si="22"/>
        <v>12</v>
      </c>
      <c r="B626" t="s">
        <v>663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524</v>
      </c>
      <c r="P626" s="20" t="s">
        <v>596</v>
      </c>
      <c r="Q626" s="1">
        <f t="shared" si="21"/>
        <v>1</v>
      </c>
      <c r="R626" s="1">
        <v>102</v>
      </c>
      <c r="U626" s="12">
        <v>42339</v>
      </c>
    </row>
    <row r="627" spans="1:22" x14ac:dyDescent="0.25">
      <c r="A627" s="2">
        <f t="shared" si="22"/>
        <v>12</v>
      </c>
      <c r="B627" t="s">
        <v>559</v>
      </c>
      <c r="J627" s="1"/>
      <c r="M627" t="s">
        <v>15</v>
      </c>
      <c r="N627" t="str">
        <f>IFERROR(VLOOKUP(B627,'[1]All Player'!$B$2:$C$1992,2,0),"")</f>
        <v/>
      </c>
      <c r="O627" s="2" t="s">
        <v>524</v>
      </c>
      <c r="P627" s="20" t="s">
        <v>559</v>
      </c>
      <c r="Q627" s="1">
        <f t="shared" si="21"/>
        <v>1</v>
      </c>
      <c r="R627" s="1">
        <v>103</v>
      </c>
      <c r="U627" s="12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524</v>
      </c>
      <c r="P628" s="20" t="s">
        <v>559</v>
      </c>
      <c r="Q628" s="1">
        <f t="shared" si="21"/>
        <v>1</v>
      </c>
      <c r="R628" s="1">
        <v>103</v>
      </c>
      <c r="U628" s="12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524</v>
      </c>
      <c r="P629" s="20" t="s">
        <v>559</v>
      </c>
      <c r="Q629" s="1">
        <f t="shared" si="21"/>
        <v>1</v>
      </c>
      <c r="R629" s="1">
        <v>103</v>
      </c>
      <c r="U629" s="12">
        <v>42339</v>
      </c>
    </row>
    <row r="630" spans="1:22" x14ac:dyDescent="0.25">
      <c r="A630" s="2">
        <f t="shared" si="22"/>
        <v>12</v>
      </c>
      <c r="B630" t="s">
        <v>303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524</v>
      </c>
      <c r="P630" s="20" t="s">
        <v>559</v>
      </c>
      <c r="Q630" s="1">
        <f t="shared" si="21"/>
        <v>1</v>
      </c>
      <c r="R630" s="1">
        <v>103</v>
      </c>
      <c r="U630" s="12">
        <v>42339</v>
      </c>
    </row>
    <row r="631" spans="1:22" x14ac:dyDescent="0.25">
      <c r="A631" s="2">
        <f t="shared" si="22"/>
        <v>12</v>
      </c>
      <c r="B631" t="s">
        <v>198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524</v>
      </c>
      <c r="P631" s="20" t="s">
        <v>559</v>
      </c>
      <c r="Q631" s="1">
        <f t="shared" si="21"/>
        <v>1</v>
      </c>
      <c r="R631" s="1">
        <v>103</v>
      </c>
      <c r="U631" s="12">
        <v>42339</v>
      </c>
    </row>
    <row r="632" spans="1:22" x14ac:dyDescent="0.25">
      <c r="A632" s="2">
        <f t="shared" si="22"/>
        <v>12</v>
      </c>
      <c r="B632" t="s">
        <v>194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524</v>
      </c>
      <c r="P632" s="20" t="s">
        <v>559</v>
      </c>
      <c r="Q632" s="1">
        <f t="shared" si="21"/>
        <v>1</v>
      </c>
      <c r="R632" s="1">
        <v>103</v>
      </c>
      <c r="U632" s="12">
        <v>42339</v>
      </c>
    </row>
    <row r="633" spans="1:22" x14ac:dyDescent="0.25">
      <c r="A633" s="2">
        <f t="shared" si="22"/>
        <v>12</v>
      </c>
      <c r="B633" t="s">
        <v>534</v>
      </c>
      <c r="J633" s="1"/>
      <c r="M633" t="s">
        <v>15</v>
      </c>
      <c r="N633" t="str">
        <f>IFERROR(VLOOKUP(B633,'[1]All Player'!$B$2:$C$1992,2,0),"")</f>
        <v/>
      </c>
      <c r="O633" s="2" t="s">
        <v>524</v>
      </c>
      <c r="P633" s="20" t="s">
        <v>534</v>
      </c>
      <c r="Q633" s="1">
        <f t="shared" si="21"/>
        <v>1</v>
      </c>
      <c r="R633" s="1">
        <v>104</v>
      </c>
      <c r="U633" s="12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524</v>
      </c>
      <c r="P634" s="20" t="s">
        <v>534</v>
      </c>
      <c r="Q634" s="1">
        <f t="shared" si="21"/>
        <v>1</v>
      </c>
      <c r="R634" s="1">
        <v>104</v>
      </c>
      <c r="U634" s="12">
        <v>42339</v>
      </c>
    </row>
    <row r="635" spans="1:22" x14ac:dyDescent="0.25">
      <c r="A635" s="2">
        <f t="shared" si="22"/>
        <v>12</v>
      </c>
      <c r="B635" t="s">
        <v>127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524</v>
      </c>
      <c r="P635" s="20" t="s">
        <v>534</v>
      </c>
      <c r="Q635" s="1">
        <f t="shared" si="21"/>
        <v>1</v>
      </c>
      <c r="R635" s="1">
        <v>104</v>
      </c>
      <c r="U635" s="12">
        <v>42339</v>
      </c>
    </row>
    <row r="636" spans="1:22" x14ac:dyDescent="0.25">
      <c r="A636" s="2">
        <f t="shared" si="22"/>
        <v>12</v>
      </c>
      <c r="B636" t="s">
        <v>791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524</v>
      </c>
      <c r="P636" s="20" t="s">
        <v>534</v>
      </c>
      <c r="Q636" s="1">
        <f t="shared" si="21"/>
        <v>1</v>
      </c>
      <c r="R636" s="1">
        <v>104</v>
      </c>
      <c r="U636" s="12">
        <v>42339</v>
      </c>
    </row>
    <row r="637" spans="1:22" x14ac:dyDescent="0.25">
      <c r="A637" s="2">
        <f t="shared" si="22"/>
        <v>12</v>
      </c>
      <c r="B637" t="s">
        <v>159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524</v>
      </c>
      <c r="P637" s="20" t="s">
        <v>534</v>
      </c>
      <c r="Q637" s="1">
        <f t="shared" si="21"/>
        <v>1</v>
      </c>
      <c r="R637" s="1">
        <v>104</v>
      </c>
      <c r="U637" s="12">
        <v>42339</v>
      </c>
    </row>
    <row r="638" spans="1:22" x14ac:dyDescent="0.25">
      <c r="A638" s="2">
        <f t="shared" si="22"/>
        <v>12</v>
      </c>
      <c r="B638" t="s">
        <v>299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524</v>
      </c>
      <c r="P638" s="20" t="s">
        <v>534</v>
      </c>
      <c r="Q638" s="1">
        <f t="shared" si="21"/>
        <v>1</v>
      </c>
      <c r="R638" s="1">
        <v>104</v>
      </c>
      <c r="U638" s="12">
        <v>42339</v>
      </c>
    </row>
    <row r="639" spans="1:22" x14ac:dyDescent="0.25">
      <c r="A639" s="2">
        <f t="shared" si="22"/>
        <v>12</v>
      </c>
      <c r="B639" t="s">
        <v>597</v>
      </c>
      <c r="J639" s="1"/>
      <c r="M639" t="s">
        <v>15</v>
      </c>
      <c r="N639" t="str">
        <f>IFERROR(VLOOKUP(B639,'[1]All Player'!$B$2:$C$1992,2,0),"")</f>
        <v/>
      </c>
      <c r="O639" s="2" t="s">
        <v>524</v>
      </c>
      <c r="P639" s="20" t="s">
        <v>597</v>
      </c>
      <c r="Q639" s="1">
        <f t="shared" si="21"/>
        <v>1</v>
      </c>
      <c r="R639" s="1">
        <v>105</v>
      </c>
      <c r="T639" s="1" t="s">
        <v>659</v>
      </c>
      <c r="U639" s="12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524</v>
      </c>
      <c r="P640" s="20" t="s">
        <v>597</v>
      </c>
      <c r="Q640" s="1">
        <f t="shared" si="21"/>
        <v>1</v>
      </c>
      <c r="R640" s="1">
        <v>105</v>
      </c>
      <c r="S640" s="2" t="s">
        <v>662</v>
      </c>
      <c r="T640" s="1" t="s">
        <v>659</v>
      </c>
      <c r="U640" s="12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524</v>
      </c>
      <c r="P641" s="20" t="s">
        <v>597</v>
      </c>
      <c r="Q641" s="1">
        <f t="shared" si="21"/>
        <v>1</v>
      </c>
      <c r="R641" s="1">
        <v>105</v>
      </c>
      <c r="T641" s="1" t="s">
        <v>659</v>
      </c>
      <c r="U641" s="12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524</v>
      </c>
      <c r="P642" s="20" t="s">
        <v>597</v>
      </c>
      <c r="Q642" s="1">
        <f t="shared" ref="Q642:Q705" si="23">IF(B642="","",1)</f>
        <v>1</v>
      </c>
      <c r="R642" s="1">
        <v>105</v>
      </c>
      <c r="T642" s="1" t="s">
        <v>659</v>
      </c>
      <c r="U642" s="12">
        <v>42339</v>
      </c>
    </row>
    <row r="643" spans="1:23" x14ac:dyDescent="0.25">
      <c r="A643" s="2">
        <f t="shared" si="22"/>
        <v>12</v>
      </c>
      <c r="B643" t="s">
        <v>366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524</v>
      </c>
      <c r="P643" s="20" t="s">
        <v>597</v>
      </c>
      <c r="Q643" s="1">
        <f t="shared" si="23"/>
        <v>1</v>
      </c>
      <c r="R643" s="1">
        <v>105</v>
      </c>
      <c r="T643" s="1" t="s">
        <v>659</v>
      </c>
      <c r="U643" s="12">
        <v>42339</v>
      </c>
    </row>
    <row r="644" spans="1:23" x14ac:dyDescent="0.25">
      <c r="A644" s="2">
        <f t="shared" si="22"/>
        <v>12</v>
      </c>
      <c r="B644" t="s">
        <v>184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524</v>
      </c>
      <c r="P644" s="20" t="s">
        <v>597</v>
      </c>
      <c r="Q644" s="1">
        <f t="shared" si="23"/>
        <v>1</v>
      </c>
      <c r="R644" s="1">
        <v>105</v>
      </c>
      <c r="T644" s="1" t="s">
        <v>659</v>
      </c>
      <c r="U644" s="12">
        <v>42339</v>
      </c>
    </row>
    <row r="645" spans="1:23" x14ac:dyDescent="0.25">
      <c r="A645" s="2">
        <f t="shared" si="22"/>
        <v>12</v>
      </c>
      <c r="B645" t="s">
        <v>827</v>
      </c>
      <c r="J645" s="1"/>
      <c r="M645" t="s">
        <v>15</v>
      </c>
      <c r="N645" t="str">
        <f>IFERROR(VLOOKUP(B645,'[1]All Player'!$B$2:$C$1992,2,0),"")</f>
        <v/>
      </c>
      <c r="O645" s="2" t="s">
        <v>524</v>
      </c>
      <c r="P645" s="20" t="s">
        <v>827</v>
      </c>
      <c r="Q645" s="1">
        <f t="shared" si="23"/>
        <v>1</v>
      </c>
      <c r="R645" s="1">
        <v>106</v>
      </c>
      <c r="U645" s="12">
        <v>42339</v>
      </c>
    </row>
    <row r="646" spans="1:23" x14ac:dyDescent="0.25">
      <c r="A646" s="2">
        <f t="shared" si="22"/>
        <v>12</v>
      </c>
      <c r="B646" t="s">
        <v>174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524</v>
      </c>
      <c r="P646" s="20" t="s">
        <v>827</v>
      </c>
      <c r="Q646" s="1">
        <f t="shared" si="23"/>
        <v>1</v>
      </c>
      <c r="R646" s="1">
        <v>106</v>
      </c>
      <c r="U646" s="12">
        <v>42339</v>
      </c>
    </row>
    <row r="647" spans="1:23" x14ac:dyDescent="0.25">
      <c r="A647" s="2">
        <f t="shared" si="22"/>
        <v>12</v>
      </c>
      <c r="B647" t="s">
        <v>145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524</v>
      </c>
      <c r="P647" s="20" t="s">
        <v>827</v>
      </c>
      <c r="Q647" s="1">
        <f t="shared" si="23"/>
        <v>1</v>
      </c>
      <c r="R647" s="1">
        <v>106</v>
      </c>
      <c r="U647" s="12">
        <v>42339</v>
      </c>
    </row>
    <row r="648" spans="1:23" x14ac:dyDescent="0.25">
      <c r="A648" s="2">
        <f t="shared" si="22"/>
        <v>12</v>
      </c>
      <c r="B648" t="s">
        <v>338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524</v>
      </c>
      <c r="P648" s="20" t="s">
        <v>827</v>
      </c>
      <c r="Q648" s="1">
        <f t="shared" si="23"/>
        <v>1</v>
      </c>
      <c r="R648" s="1">
        <v>106</v>
      </c>
      <c r="U648" s="12">
        <v>42339</v>
      </c>
    </row>
    <row r="649" spans="1:23" x14ac:dyDescent="0.25">
      <c r="A649" s="2">
        <f t="shared" si="22"/>
        <v>12</v>
      </c>
      <c r="B649" t="s">
        <v>356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524</v>
      </c>
      <c r="P649" s="20" t="s">
        <v>827</v>
      </c>
      <c r="Q649" s="1">
        <f t="shared" si="23"/>
        <v>1</v>
      </c>
      <c r="R649" s="1">
        <v>106</v>
      </c>
      <c r="U649" s="12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524</v>
      </c>
      <c r="P650" s="20" t="s">
        <v>827</v>
      </c>
      <c r="Q650" s="1">
        <f t="shared" si="23"/>
        <v>1</v>
      </c>
      <c r="R650" s="1">
        <v>106</v>
      </c>
      <c r="U650" s="12">
        <v>42339</v>
      </c>
    </row>
    <row r="651" spans="1:23" x14ac:dyDescent="0.25">
      <c r="A651" s="2">
        <f t="shared" si="22"/>
        <v>12</v>
      </c>
      <c r="B651" t="s">
        <v>828</v>
      </c>
      <c r="J651" s="1"/>
      <c r="M651" t="s">
        <v>15</v>
      </c>
      <c r="N651" t="str">
        <f>IFERROR(VLOOKUP(B651,'[1]All Player'!$B$2:$C$1992,2,0),"")</f>
        <v/>
      </c>
      <c r="O651" s="2" t="s">
        <v>524</v>
      </c>
      <c r="P651" s="20" t="s">
        <v>828</v>
      </c>
      <c r="Q651" s="1">
        <f t="shared" si="23"/>
        <v>1</v>
      </c>
      <c r="R651" s="1">
        <v>107</v>
      </c>
      <c r="T651" s="1" t="s">
        <v>661</v>
      </c>
      <c r="U651" s="12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524</v>
      </c>
      <c r="P652" s="20" t="s">
        <v>828</v>
      </c>
      <c r="Q652" s="1">
        <f t="shared" si="23"/>
        <v>1</v>
      </c>
      <c r="R652" s="1">
        <v>107</v>
      </c>
      <c r="T652" s="1" t="s">
        <v>661</v>
      </c>
      <c r="U652" s="12">
        <v>42339</v>
      </c>
    </row>
    <row r="653" spans="1:23" x14ac:dyDescent="0.25">
      <c r="A653" s="2">
        <f t="shared" si="22"/>
        <v>12</v>
      </c>
      <c r="B653" t="s">
        <v>246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524</v>
      </c>
      <c r="P653" s="20" t="s">
        <v>828</v>
      </c>
      <c r="Q653" s="1">
        <f t="shared" si="23"/>
        <v>1</v>
      </c>
      <c r="R653" s="1">
        <v>107</v>
      </c>
      <c r="T653" s="1" t="s">
        <v>661</v>
      </c>
      <c r="U653" s="12">
        <v>42339</v>
      </c>
    </row>
    <row r="654" spans="1:23" x14ac:dyDescent="0.25">
      <c r="A654" s="2">
        <f t="shared" si="22"/>
        <v>12</v>
      </c>
      <c r="B654" t="s">
        <v>192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524</v>
      </c>
      <c r="P654" s="20" t="s">
        <v>828</v>
      </c>
      <c r="Q654" s="1">
        <f t="shared" si="23"/>
        <v>1</v>
      </c>
      <c r="R654" s="1">
        <v>107</v>
      </c>
      <c r="T654" s="1" t="s">
        <v>661</v>
      </c>
      <c r="U654" s="12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524</v>
      </c>
      <c r="P655" s="20" t="s">
        <v>828</v>
      </c>
      <c r="Q655" s="1">
        <f t="shared" si="23"/>
        <v>1</v>
      </c>
      <c r="R655" s="1">
        <v>107</v>
      </c>
      <c r="S655" s="2" t="s">
        <v>660</v>
      </c>
      <c r="T655" s="1" t="s">
        <v>661</v>
      </c>
      <c r="U655" s="12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8">
        <v>4</v>
      </c>
      <c r="G656" s="28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524</v>
      </c>
      <c r="P656" s="20" t="s">
        <v>828</v>
      </c>
      <c r="Q656" s="1">
        <f t="shared" si="23"/>
        <v>1</v>
      </c>
      <c r="R656" s="1">
        <v>107</v>
      </c>
      <c r="T656" s="1" t="s">
        <v>661</v>
      </c>
      <c r="U656" s="12">
        <v>42339</v>
      </c>
    </row>
    <row r="657" spans="1:21" x14ac:dyDescent="0.25">
      <c r="A657" s="2">
        <f t="shared" si="22"/>
        <v>12</v>
      </c>
      <c r="B657" t="s">
        <v>829</v>
      </c>
      <c r="J657" s="1"/>
      <c r="M657" t="s">
        <v>15</v>
      </c>
      <c r="N657" t="str">
        <f>IFERROR(VLOOKUP(B657,'[1]All Player'!$B$2:$C$1992,2,0),"")</f>
        <v/>
      </c>
      <c r="O657" s="2" t="s">
        <v>524</v>
      </c>
      <c r="P657" s="20" t="s">
        <v>829</v>
      </c>
      <c r="Q657" s="1">
        <f t="shared" si="23"/>
        <v>1</v>
      </c>
      <c r="R657" s="1">
        <v>108</v>
      </c>
      <c r="U657" s="12">
        <v>42339</v>
      </c>
    </row>
    <row r="658" spans="1:21" x14ac:dyDescent="0.25">
      <c r="A658" s="2">
        <f t="shared" si="22"/>
        <v>12</v>
      </c>
      <c r="B658" t="s">
        <v>319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524</v>
      </c>
      <c r="P658" s="20" t="s">
        <v>829</v>
      </c>
      <c r="Q658" s="1">
        <f t="shared" si="23"/>
        <v>1</v>
      </c>
      <c r="R658" s="1">
        <v>108</v>
      </c>
      <c r="U658" s="12">
        <v>42339</v>
      </c>
    </row>
    <row r="659" spans="1:21" x14ac:dyDescent="0.25">
      <c r="A659" s="2">
        <f t="shared" si="22"/>
        <v>12</v>
      </c>
      <c r="B659" t="s">
        <v>809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524</v>
      </c>
      <c r="P659" s="20" t="s">
        <v>829</v>
      </c>
      <c r="Q659" s="1">
        <f t="shared" si="23"/>
        <v>1</v>
      </c>
      <c r="R659" s="1">
        <v>108</v>
      </c>
      <c r="U659" s="12">
        <v>42339</v>
      </c>
    </row>
    <row r="660" spans="1:21" x14ac:dyDescent="0.25">
      <c r="A660" s="2">
        <f t="shared" si="22"/>
        <v>12</v>
      </c>
      <c r="B660" t="s">
        <v>121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524</v>
      </c>
      <c r="P660" s="20" t="s">
        <v>829</v>
      </c>
      <c r="Q660" s="1">
        <f t="shared" si="23"/>
        <v>1</v>
      </c>
      <c r="R660" s="1">
        <v>108</v>
      </c>
      <c r="U660" s="12">
        <v>42339</v>
      </c>
    </row>
    <row r="661" spans="1:21" x14ac:dyDescent="0.25">
      <c r="A661" s="2">
        <f t="shared" si="22"/>
        <v>12</v>
      </c>
      <c r="B661" t="s">
        <v>147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524</v>
      </c>
      <c r="P661" s="20" t="s">
        <v>829</v>
      </c>
      <c r="Q661" s="1">
        <f t="shared" si="23"/>
        <v>1</v>
      </c>
      <c r="R661" s="1">
        <v>108</v>
      </c>
      <c r="U661" s="12">
        <v>42339</v>
      </c>
    </row>
    <row r="662" spans="1:21" x14ac:dyDescent="0.25">
      <c r="A662" s="2">
        <f t="shared" si="22"/>
        <v>12</v>
      </c>
      <c r="B662" t="s">
        <v>830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524</v>
      </c>
      <c r="P662" s="20" t="s">
        <v>829</v>
      </c>
      <c r="Q662" s="1">
        <f t="shared" si="23"/>
        <v>1</v>
      </c>
      <c r="R662" s="1">
        <v>108</v>
      </c>
      <c r="U662" s="12">
        <v>42339</v>
      </c>
    </row>
    <row r="663" spans="1:21" x14ac:dyDescent="0.25">
      <c r="A663" s="2">
        <f t="shared" si="22"/>
        <v>12</v>
      </c>
      <c r="B663" t="s">
        <v>525</v>
      </c>
      <c r="J663" s="1"/>
      <c r="M663" t="s">
        <v>15</v>
      </c>
      <c r="N663" t="str">
        <f>IFERROR(VLOOKUP(B663,'[1]All Player'!$B$2:$C$1992,2,0),"")</f>
        <v/>
      </c>
      <c r="O663" s="2" t="s">
        <v>524</v>
      </c>
      <c r="P663" s="20" t="s">
        <v>525</v>
      </c>
      <c r="Q663" s="1">
        <f t="shared" si="23"/>
        <v>1</v>
      </c>
      <c r="R663" s="1">
        <v>109</v>
      </c>
      <c r="U663" s="12">
        <v>42339</v>
      </c>
    </row>
    <row r="664" spans="1:21" x14ac:dyDescent="0.25">
      <c r="A664" s="2">
        <f t="shared" si="22"/>
        <v>12</v>
      </c>
      <c r="B664" t="s">
        <v>170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524</v>
      </c>
      <c r="P664" s="20" t="s">
        <v>525</v>
      </c>
      <c r="Q664" s="1">
        <f t="shared" si="23"/>
        <v>1</v>
      </c>
      <c r="R664" s="1">
        <v>109</v>
      </c>
      <c r="U664" s="12">
        <v>42339</v>
      </c>
    </row>
    <row r="665" spans="1:21" x14ac:dyDescent="0.25">
      <c r="A665" s="2">
        <f t="shared" si="22"/>
        <v>12</v>
      </c>
      <c r="B665" t="s">
        <v>202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524</v>
      </c>
      <c r="P665" s="20" t="s">
        <v>525</v>
      </c>
      <c r="Q665" s="1">
        <f t="shared" si="23"/>
        <v>1</v>
      </c>
      <c r="R665" s="1">
        <v>109</v>
      </c>
      <c r="U665" s="12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524</v>
      </c>
      <c r="P666" s="20" t="s">
        <v>525</v>
      </c>
      <c r="Q666" s="1">
        <f t="shared" si="23"/>
        <v>1</v>
      </c>
      <c r="R666" s="1">
        <v>109</v>
      </c>
      <c r="U666" s="12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524</v>
      </c>
      <c r="P667" s="20" t="s">
        <v>525</v>
      </c>
      <c r="Q667" s="1">
        <f t="shared" si="23"/>
        <v>1</v>
      </c>
      <c r="R667" s="1">
        <v>109</v>
      </c>
      <c r="U667" s="12">
        <v>42339</v>
      </c>
    </row>
    <row r="668" spans="1:21" x14ac:dyDescent="0.25">
      <c r="A668" s="2">
        <f t="shared" si="22"/>
        <v>12</v>
      </c>
      <c r="B668" t="s">
        <v>369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524</v>
      </c>
      <c r="P668" s="20" t="s">
        <v>525</v>
      </c>
      <c r="Q668" s="1">
        <f t="shared" si="23"/>
        <v>1</v>
      </c>
      <c r="R668" s="1">
        <v>109</v>
      </c>
      <c r="U668" s="12">
        <v>42339</v>
      </c>
    </row>
    <row r="669" spans="1:21" x14ac:dyDescent="0.25">
      <c r="A669" s="2">
        <f t="shared" si="22"/>
        <v>12</v>
      </c>
      <c r="B669" s="21" t="s">
        <v>598</v>
      </c>
      <c r="J669" s="1"/>
      <c r="M669" t="s">
        <v>15</v>
      </c>
      <c r="N669" t="str">
        <f>IFERROR(VLOOKUP(B669,'[1]All Player'!$B$2:$C$1992,2,0),"")</f>
        <v/>
      </c>
      <c r="O669" s="2" t="s">
        <v>524</v>
      </c>
      <c r="P669" s="20" t="s">
        <v>598</v>
      </c>
      <c r="Q669" s="1">
        <f t="shared" si="23"/>
        <v>1</v>
      </c>
      <c r="R669" s="1">
        <v>110</v>
      </c>
      <c r="U669" s="12">
        <v>42339</v>
      </c>
    </row>
    <row r="670" spans="1:21" x14ac:dyDescent="0.25">
      <c r="A670" s="2">
        <f t="shared" si="22"/>
        <v>12</v>
      </c>
      <c r="B670" t="s">
        <v>153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524</v>
      </c>
      <c r="P670" s="20" t="s">
        <v>598</v>
      </c>
      <c r="Q670" s="1">
        <f t="shared" si="23"/>
        <v>1</v>
      </c>
      <c r="R670" s="1">
        <v>110</v>
      </c>
      <c r="U670" s="12">
        <v>42339</v>
      </c>
    </row>
    <row r="671" spans="1:21" x14ac:dyDescent="0.25">
      <c r="A671" s="2">
        <f t="shared" si="22"/>
        <v>12</v>
      </c>
      <c r="B671" t="s">
        <v>115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524</v>
      </c>
      <c r="P671" s="20" t="s">
        <v>598</v>
      </c>
      <c r="Q671" s="1">
        <f t="shared" si="23"/>
        <v>1</v>
      </c>
      <c r="R671" s="1">
        <v>110</v>
      </c>
      <c r="U671" s="12">
        <v>42339</v>
      </c>
    </row>
    <row r="672" spans="1:21" x14ac:dyDescent="0.25">
      <c r="A672" s="2">
        <f t="shared" ref="A672:A735" si="24">A671</f>
        <v>12</v>
      </c>
      <c r="B672" t="s">
        <v>204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524</v>
      </c>
      <c r="P672" s="20" t="s">
        <v>598</v>
      </c>
      <c r="Q672" s="1">
        <f t="shared" si="23"/>
        <v>1</v>
      </c>
      <c r="R672" s="1">
        <v>110</v>
      </c>
      <c r="U672" s="12">
        <v>42339</v>
      </c>
    </row>
    <row r="673" spans="1:21" x14ac:dyDescent="0.25">
      <c r="A673" s="2">
        <f t="shared" si="24"/>
        <v>12</v>
      </c>
      <c r="B673" t="s">
        <v>133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524</v>
      </c>
      <c r="P673" s="20" t="s">
        <v>598</v>
      </c>
      <c r="Q673" s="1">
        <f t="shared" si="23"/>
        <v>1</v>
      </c>
      <c r="R673" s="1">
        <v>110</v>
      </c>
      <c r="U673" s="12">
        <v>42339</v>
      </c>
    </row>
    <row r="674" spans="1:21" x14ac:dyDescent="0.25">
      <c r="A674" s="2">
        <f t="shared" si="24"/>
        <v>12</v>
      </c>
      <c r="B674" t="s">
        <v>371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524</v>
      </c>
      <c r="P674" s="20" t="s">
        <v>598</v>
      </c>
      <c r="Q674" s="1">
        <f t="shared" si="23"/>
        <v>1</v>
      </c>
      <c r="R674" s="1">
        <v>110</v>
      </c>
      <c r="U674" s="12">
        <v>42339</v>
      </c>
    </row>
    <row r="675" spans="1:21" x14ac:dyDescent="0.25">
      <c r="A675" s="2">
        <f t="shared" si="24"/>
        <v>12</v>
      </c>
      <c r="B675" s="21" t="s">
        <v>599</v>
      </c>
      <c r="J675" s="1"/>
      <c r="M675" t="s">
        <v>15</v>
      </c>
      <c r="N675" t="str">
        <f>IFERROR(VLOOKUP(B675,'[1]All Player'!$B$2:$C$1992,2,0),"")</f>
        <v/>
      </c>
      <c r="O675" s="2" t="s">
        <v>524</v>
      </c>
      <c r="P675" s="20" t="s">
        <v>599</v>
      </c>
      <c r="Q675" s="1">
        <f t="shared" si="23"/>
        <v>1</v>
      </c>
      <c r="R675" s="1">
        <v>111</v>
      </c>
      <c r="U675" s="12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524</v>
      </c>
      <c r="P676" s="20" t="s">
        <v>599</v>
      </c>
      <c r="Q676" s="1">
        <f t="shared" si="23"/>
        <v>1</v>
      </c>
      <c r="R676" s="1">
        <v>111</v>
      </c>
      <c r="U676" s="12">
        <v>42339</v>
      </c>
    </row>
    <row r="677" spans="1:21" x14ac:dyDescent="0.25">
      <c r="A677" s="2">
        <f t="shared" si="24"/>
        <v>12</v>
      </c>
      <c r="B677" t="s">
        <v>155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524</v>
      </c>
      <c r="P677" s="20" t="s">
        <v>599</v>
      </c>
      <c r="Q677" s="1">
        <f t="shared" si="23"/>
        <v>1</v>
      </c>
      <c r="R677" s="1">
        <v>111</v>
      </c>
      <c r="U677" s="12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524</v>
      </c>
      <c r="P678" s="20" t="s">
        <v>599</v>
      </c>
      <c r="Q678" s="1">
        <f t="shared" si="23"/>
        <v>1</v>
      </c>
      <c r="R678" s="1">
        <v>111</v>
      </c>
      <c r="U678" s="12">
        <v>42339</v>
      </c>
    </row>
    <row r="679" spans="1:21" x14ac:dyDescent="0.25">
      <c r="A679" s="2">
        <f t="shared" si="24"/>
        <v>12</v>
      </c>
      <c r="B679" t="s">
        <v>831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524</v>
      </c>
      <c r="P679" s="20" t="s">
        <v>599</v>
      </c>
      <c r="Q679" s="1">
        <f t="shared" si="23"/>
        <v>1</v>
      </c>
      <c r="R679" s="1">
        <v>111</v>
      </c>
      <c r="U679" s="12">
        <v>42339</v>
      </c>
    </row>
    <row r="680" spans="1:21" x14ac:dyDescent="0.25">
      <c r="A680" s="2">
        <f t="shared" si="24"/>
        <v>12</v>
      </c>
      <c r="B680" t="s">
        <v>375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524</v>
      </c>
      <c r="P680" s="20" t="s">
        <v>599</v>
      </c>
      <c r="Q680" s="1">
        <f t="shared" si="23"/>
        <v>1</v>
      </c>
      <c r="R680" s="1">
        <v>111</v>
      </c>
      <c r="U680" s="12">
        <v>42339</v>
      </c>
    </row>
    <row r="681" spans="1:21" x14ac:dyDescent="0.25">
      <c r="A681" s="2">
        <f t="shared" si="24"/>
        <v>12</v>
      </c>
      <c r="B681" s="21" t="s">
        <v>539</v>
      </c>
      <c r="J681" s="1"/>
      <c r="M681" t="s">
        <v>15</v>
      </c>
      <c r="N681" t="str">
        <f>IFERROR(VLOOKUP(B681,'[1]All Player'!$B$2:$C$1992,2,0),"")</f>
        <v/>
      </c>
      <c r="O681" s="2" t="s">
        <v>524</v>
      </c>
      <c r="P681" s="20" t="s">
        <v>539</v>
      </c>
      <c r="Q681" s="1">
        <f t="shared" si="23"/>
        <v>1</v>
      </c>
      <c r="R681" s="1">
        <v>112</v>
      </c>
      <c r="U681" s="12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524</v>
      </c>
      <c r="P682" s="20" t="s">
        <v>539</v>
      </c>
      <c r="Q682" s="1">
        <f t="shared" si="23"/>
        <v>1</v>
      </c>
      <c r="R682" s="1">
        <v>112</v>
      </c>
      <c r="U682" s="12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524</v>
      </c>
      <c r="P683" s="20" t="s">
        <v>539</v>
      </c>
      <c r="Q683" s="1">
        <f t="shared" si="23"/>
        <v>1</v>
      </c>
      <c r="R683" s="1">
        <v>112</v>
      </c>
      <c r="U683" s="12">
        <v>42339</v>
      </c>
    </row>
    <row r="684" spans="1:21" x14ac:dyDescent="0.25">
      <c r="A684" s="2">
        <f t="shared" si="24"/>
        <v>12</v>
      </c>
      <c r="B684" t="s">
        <v>123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524</v>
      </c>
      <c r="P684" s="20" t="s">
        <v>539</v>
      </c>
      <c r="Q684" s="1">
        <f t="shared" si="23"/>
        <v>1</v>
      </c>
      <c r="R684" s="1">
        <v>112</v>
      </c>
      <c r="U684" s="12">
        <v>42339</v>
      </c>
    </row>
    <row r="685" spans="1:21" x14ac:dyDescent="0.25">
      <c r="A685" s="2">
        <f t="shared" si="24"/>
        <v>12</v>
      </c>
      <c r="B685" t="s">
        <v>137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524</v>
      </c>
      <c r="P685" s="20" t="s">
        <v>539</v>
      </c>
      <c r="Q685" s="1">
        <f t="shared" si="23"/>
        <v>1</v>
      </c>
      <c r="R685" s="1">
        <v>112</v>
      </c>
      <c r="U685" s="12">
        <v>42339</v>
      </c>
    </row>
    <row r="686" spans="1:21" x14ac:dyDescent="0.25">
      <c r="A686" s="2">
        <f t="shared" si="24"/>
        <v>12</v>
      </c>
      <c r="B686" t="s">
        <v>182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524</v>
      </c>
      <c r="P686" s="20" t="s">
        <v>539</v>
      </c>
      <c r="Q686" s="1">
        <f t="shared" si="23"/>
        <v>1</v>
      </c>
      <c r="R686" s="1">
        <v>112</v>
      </c>
      <c r="U686" s="12">
        <v>42339</v>
      </c>
    </row>
    <row r="687" spans="1:21" x14ac:dyDescent="0.25">
      <c r="A687" s="2">
        <f t="shared" si="24"/>
        <v>12</v>
      </c>
      <c r="B687" s="21" t="s">
        <v>600</v>
      </c>
      <c r="J687" s="1"/>
      <c r="M687" t="s">
        <v>15</v>
      </c>
      <c r="N687" t="str">
        <f>IFERROR(VLOOKUP(B687,'[1]All Player'!$B$2:$C$1992,2,0),"")</f>
        <v/>
      </c>
      <c r="O687" s="2" t="s">
        <v>524</v>
      </c>
      <c r="P687" s="20" t="s">
        <v>600</v>
      </c>
      <c r="Q687" s="1">
        <f t="shared" si="23"/>
        <v>1</v>
      </c>
      <c r="R687" s="1">
        <v>113</v>
      </c>
      <c r="U687" s="12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524</v>
      </c>
      <c r="P688" s="20" t="s">
        <v>600</v>
      </c>
      <c r="Q688" s="1">
        <f t="shared" si="23"/>
        <v>1</v>
      </c>
      <c r="R688" s="1">
        <v>113</v>
      </c>
      <c r="U688" s="12">
        <v>42339</v>
      </c>
    </row>
    <row r="689" spans="1:21" x14ac:dyDescent="0.25">
      <c r="A689" s="2">
        <f t="shared" si="24"/>
        <v>12</v>
      </c>
      <c r="B689" t="s">
        <v>180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524</v>
      </c>
      <c r="P689" s="20" t="s">
        <v>600</v>
      </c>
      <c r="Q689" s="1">
        <f t="shared" si="23"/>
        <v>1</v>
      </c>
      <c r="R689" s="1">
        <v>113</v>
      </c>
      <c r="U689" s="12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524</v>
      </c>
      <c r="P690" s="20" t="s">
        <v>600</v>
      </c>
      <c r="Q690" s="1">
        <f t="shared" si="23"/>
        <v>1</v>
      </c>
      <c r="R690" s="1">
        <v>113</v>
      </c>
      <c r="U690" s="12">
        <v>42339</v>
      </c>
    </row>
    <row r="691" spans="1:21" x14ac:dyDescent="0.25">
      <c r="A691" s="2">
        <f t="shared" si="24"/>
        <v>12</v>
      </c>
      <c r="B691" t="s">
        <v>377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524</v>
      </c>
      <c r="P691" s="20" t="s">
        <v>600</v>
      </c>
      <c r="Q691" s="1">
        <f t="shared" si="23"/>
        <v>1</v>
      </c>
      <c r="R691" s="1">
        <v>113</v>
      </c>
      <c r="U691" s="12">
        <v>42339</v>
      </c>
    </row>
    <row r="692" spans="1:21" x14ac:dyDescent="0.25">
      <c r="A692" s="2">
        <f t="shared" si="24"/>
        <v>12</v>
      </c>
      <c r="B692" t="s">
        <v>277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524</v>
      </c>
      <c r="P692" s="20" t="s">
        <v>600</v>
      </c>
      <c r="Q692" s="1">
        <f t="shared" si="23"/>
        <v>1</v>
      </c>
      <c r="R692" s="1">
        <v>113</v>
      </c>
      <c r="U692" s="12">
        <v>42339</v>
      </c>
    </row>
    <row r="693" spans="1:21" x14ac:dyDescent="0.25">
      <c r="A693" s="2">
        <v>13</v>
      </c>
      <c r="B693" s="21" t="s">
        <v>548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527</v>
      </c>
      <c r="P693" s="20" t="s">
        <v>548</v>
      </c>
      <c r="Q693" s="1">
        <f t="shared" si="23"/>
        <v>1</v>
      </c>
      <c r="R693" s="1">
        <v>114</v>
      </c>
      <c r="T693" s="1" t="s">
        <v>659</v>
      </c>
      <c r="U693" s="12">
        <v>42036</v>
      </c>
    </row>
    <row r="694" spans="1:21" x14ac:dyDescent="0.25">
      <c r="A694" s="2">
        <f t="shared" si="24"/>
        <v>13</v>
      </c>
      <c r="B694" t="s">
        <v>131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527</v>
      </c>
      <c r="P694" s="20" t="s">
        <v>548</v>
      </c>
      <c r="Q694" s="1">
        <f t="shared" si="23"/>
        <v>1</v>
      </c>
      <c r="R694" s="1">
        <v>114</v>
      </c>
      <c r="S694" s="2" t="s">
        <v>660</v>
      </c>
      <c r="T694" s="1" t="s">
        <v>659</v>
      </c>
      <c r="U694" s="12">
        <f t="shared" ref="U694:U757" si="25">U693</f>
        <v>42036</v>
      </c>
    </row>
    <row r="695" spans="1:21" x14ac:dyDescent="0.25">
      <c r="A695" s="2">
        <f t="shared" si="24"/>
        <v>13</v>
      </c>
      <c r="B695" t="s">
        <v>123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527</v>
      </c>
      <c r="P695" s="20" t="s">
        <v>548</v>
      </c>
      <c r="Q695" s="1">
        <f t="shared" si="23"/>
        <v>1</v>
      </c>
      <c r="R695" s="1">
        <v>114</v>
      </c>
      <c r="T695" s="1" t="s">
        <v>659</v>
      </c>
      <c r="U695" s="12">
        <f t="shared" si="25"/>
        <v>42036</v>
      </c>
    </row>
    <row r="696" spans="1:21" x14ac:dyDescent="0.25">
      <c r="A696" s="2">
        <f t="shared" si="24"/>
        <v>13</v>
      </c>
      <c r="B696" t="s">
        <v>192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527</v>
      </c>
      <c r="P696" s="20" t="s">
        <v>548</v>
      </c>
      <c r="Q696" s="1">
        <f t="shared" si="23"/>
        <v>1</v>
      </c>
      <c r="R696" s="1">
        <v>114</v>
      </c>
      <c r="T696" s="1" t="s">
        <v>659</v>
      </c>
      <c r="U696" s="12">
        <f t="shared" si="25"/>
        <v>42036</v>
      </c>
    </row>
    <row r="697" spans="1:21" x14ac:dyDescent="0.25">
      <c r="A697" s="2">
        <f t="shared" si="24"/>
        <v>13</v>
      </c>
      <c r="B697" t="s">
        <v>229</v>
      </c>
      <c r="C697" s="1">
        <v>12</v>
      </c>
      <c r="D697" s="1">
        <v>205</v>
      </c>
      <c r="E697" s="25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527</v>
      </c>
      <c r="P697" s="20" t="s">
        <v>548</v>
      </c>
      <c r="Q697" s="1">
        <f t="shared" si="23"/>
        <v>1</v>
      </c>
      <c r="R697" s="1">
        <v>114</v>
      </c>
      <c r="T697" s="1" t="s">
        <v>659</v>
      </c>
      <c r="U697" s="12">
        <f t="shared" si="25"/>
        <v>42036</v>
      </c>
    </row>
    <row r="698" spans="1:21" x14ac:dyDescent="0.25">
      <c r="A698" s="2">
        <f t="shared" si="24"/>
        <v>13</v>
      </c>
      <c r="B698" t="s">
        <v>378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527</v>
      </c>
      <c r="P698" s="20" t="s">
        <v>548</v>
      </c>
      <c r="Q698" s="1">
        <f t="shared" si="23"/>
        <v>1</v>
      </c>
      <c r="R698" s="1">
        <v>114</v>
      </c>
      <c r="T698" s="1" t="s">
        <v>659</v>
      </c>
      <c r="U698" s="12">
        <f t="shared" si="25"/>
        <v>42036</v>
      </c>
    </row>
    <row r="699" spans="1:21" x14ac:dyDescent="0.25">
      <c r="A699" s="2">
        <f t="shared" si="24"/>
        <v>13</v>
      </c>
      <c r="B699" t="s">
        <v>161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527</v>
      </c>
      <c r="P699" s="20" t="s">
        <v>548</v>
      </c>
      <c r="Q699" s="1">
        <f t="shared" si="23"/>
        <v>1</v>
      </c>
      <c r="R699" s="1">
        <v>114</v>
      </c>
      <c r="T699" s="1" t="s">
        <v>659</v>
      </c>
      <c r="U699" s="12">
        <f t="shared" si="25"/>
        <v>42036</v>
      </c>
    </row>
    <row r="700" spans="1:21" x14ac:dyDescent="0.25">
      <c r="A700" s="2">
        <f t="shared" si="24"/>
        <v>13</v>
      </c>
      <c r="B700" t="s">
        <v>832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527</v>
      </c>
      <c r="P700" s="20" t="s">
        <v>832</v>
      </c>
      <c r="Q700" s="1">
        <f t="shared" si="23"/>
        <v>1</v>
      </c>
      <c r="R700" s="1">
        <v>115</v>
      </c>
      <c r="T700" s="1" t="s">
        <v>661</v>
      </c>
      <c r="U700" s="12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527</v>
      </c>
      <c r="P701" s="20" t="s">
        <v>832</v>
      </c>
      <c r="Q701" s="1">
        <f t="shared" si="23"/>
        <v>1</v>
      </c>
      <c r="R701" s="25">
        <v>115</v>
      </c>
      <c r="T701" s="1" t="s">
        <v>661</v>
      </c>
      <c r="U701" s="12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527</v>
      </c>
      <c r="P702" s="20" t="s">
        <v>832</v>
      </c>
      <c r="Q702" s="1">
        <f t="shared" si="23"/>
        <v>1</v>
      </c>
      <c r="R702" s="1">
        <v>115</v>
      </c>
      <c r="T702" s="1" t="s">
        <v>661</v>
      </c>
      <c r="U702" s="12">
        <f t="shared" si="25"/>
        <v>42036</v>
      </c>
    </row>
    <row r="703" spans="1:21" x14ac:dyDescent="0.25">
      <c r="A703" s="2">
        <f t="shared" si="24"/>
        <v>13</v>
      </c>
      <c r="B703" t="s">
        <v>194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527</v>
      </c>
      <c r="P703" s="20" t="s">
        <v>832</v>
      </c>
      <c r="Q703" s="1">
        <f t="shared" si="23"/>
        <v>1</v>
      </c>
      <c r="R703" s="1">
        <v>115</v>
      </c>
      <c r="T703" s="1" t="s">
        <v>661</v>
      </c>
      <c r="U703" s="12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527</v>
      </c>
      <c r="P704" s="20" t="s">
        <v>832</v>
      </c>
      <c r="Q704" s="1">
        <f t="shared" si="23"/>
        <v>1</v>
      </c>
      <c r="R704" s="1">
        <v>115</v>
      </c>
      <c r="S704" s="2" t="s">
        <v>662</v>
      </c>
      <c r="T704" s="1" t="s">
        <v>661</v>
      </c>
      <c r="U704" s="12">
        <f t="shared" si="25"/>
        <v>42036</v>
      </c>
    </row>
    <row r="705" spans="1:23" x14ac:dyDescent="0.25">
      <c r="A705" s="2">
        <f t="shared" si="24"/>
        <v>13</v>
      </c>
      <c r="B705" t="s">
        <v>174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527</v>
      </c>
      <c r="P705" s="20" t="s">
        <v>832</v>
      </c>
      <c r="Q705" s="1">
        <f t="shared" si="23"/>
        <v>1</v>
      </c>
      <c r="R705" s="1">
        <v>115</v>
      </c>
      <c r="T705" s="1" t="s">
        <v>661</v>
      </c>
      <c r="U705" s="12">
        <f t="shared" si="25"/>
        <v>42036</v>
      </c>
    </row>
    <row r="706" spans="1:23" x14ac:dyDescent="0.25">
      <c r="A706" s="2">
        <f t="shared" si="24"/>
        <v>13</v>
      </c>
      <c r="B706" t="s">
        <v>352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527</v>
      </c>
      <c r="P706" s="20" t="s">
        <v>832</v>
      </c>
      <c r="Q706" s="1">
        <f t="shared" ref="Q706:Q769" si="26">IF(B706="","",1)</f>
        <v>1</v>
      </c>
      <c r="R706" s="1">
        <v>115</v>
      </c>
      <c r="T706" s="1" t="s">
        <v>661</v>
      </c>
      <c r="U706" s="12">
        <f t="shared" si="25"/>
        <v>42036</v>
      </c>
    </row>
    <row r="707" spans="1:23" x14ac:dyDescent="0.25">
      <c r="A707" s="2">
        <f t="shared" si="24"/>
        <v>13</v>
      </c>
      <c r="B707" t="s">
        <v>545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527</v>
      </c>
      <c r="P707" s="20" t="s">
        <v>545</v>
      </c>
      <c r="Q707" s="1">
        <f t="shared" si="26"/>
        <v>1</v>
      </c>
      <c r="R707" s="1">
        <v>116</v>
      </c>
      <c r="U707" s="12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527</v>
      </c>
      <c r="P708" s="20" t="s">
        <v>545</v>
      </c>
      <c r="Q708" s="1">
        <f t="shared" si="26"/>
        <v>1</v>
      </c>
      <c r="R708" s="1">
        <v>116</v>
      </c>
      <c r="U708" s="12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527</v>
      </c>
      <c r="P709" s="20" t="s">
        <v>545</v>
      </c>
      <c r="Q709" s="1">
        <f t="shared" si="26"/>
        <v>1</v>
      </c>
      <c r="R709" s="1">
        <v>116</v>
      </c>
      <c r="U709" s="12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527</v>
      </c>
      <c r="P710" s="20" t="s">
        <v>545</v>
      </c>
      <c r="Q710" s="1">
        <f t="shared" si="26"/>
        <v>1</v>
      </c>
      <c r="R710" s="1">
        <v>116</v>
      </c>
      <c r="U710" s="12">
        <f t="shared" si="25"/>
        <v>42036</v>
      </c>
    </row>
    <row r="711" spans="1:23" x14ac:dyDescent="0.25">
      <c r="A711" s="2">
        <f t="shared" si="24"/>
        <v>13</v>
      </c>
      <c r="B711" t="s">
        <v>149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527</v>
      </c>
      <c r="P711" s="20" t="s">
        <v>545</v>
      </c>
      <c r="Q711" s="1">
        <f t="shared" si="26"/>
        <v>1</v>
      </c>
      <c r="R711" s="1">
        <v>116</v>
      </c>
      <c r="U711" s="12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127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527</v>
      </c>
      <c r="P712" s="20" t="s">
        <v>545</v>
      </c>
      <c r="Q712" s="1">
        <f t="shared" si="26"/>
        <v>1</v>
      </c>
      <c r="R712" s="1">
        <v>116</v>
      </c>
      <c r="U712" s="12">
        <f t="shared" si="25"/>
        <v>42036</v>
      </c>
    </row>
    <row r="713" spans="1:23" x14ac:dyDescent="0.25">
      <c r="A713" s="2">
        <f t="shared" si="24"/>
        <v>13</v>
      </c>
      <c r="B713" t="s">
        <v>231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527</v>
      </c>
      <c r="P713" s="20" t="s">
        <v>545</v>
      </c>
      <c r="Q713" s="1">
        <f t="shared" si="26"/>
        <v>1</v>
      </c>
      <c r="R713" s="1">
        <v>116</v>
      </c>
      <c r="U713" s="12">
        <f t="shared" si="25"/>
        <v>42036</v>
      </c>
    </row>
    <row r="714" spans="1:23" x14ac:dyDescent="0.25">
      <c r="A714" s="2">
        <f t="shared" si="24"/>
        <v>13</v>
      </c>
      <c r="B714" t="s">
        <v>833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527</v>
      </c>
      <c r="P714" s="20" t="s">
        <v>833</v>
      </c>
      <c r="Q714" s="1">
        <f t="shared" si="26"/>
        <v>1</v>
      </c>
      <c r="R714" s="1">
        <v>117</v>
      </c>
      <c r="U714" s="12">
        <f t="shared" si="25"/>
        <v>42036</v>
      </c>
    </row>
    <row r="715" spans="1:23" x14ac:dyDescent="0.25">
      <c r="A715" s="2">
        <f t="shared" si="24"/>
        <v>13</v>
      </c>
      <c r="B715" t="s">
        <v>791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527</v>
      </c>
      <c r="P715" s="20" t="s">
        <v>833</v>
      </c>
      <c r="Q715" s="1">
        <f t="shared" si="26"/>
        <v>1</v>
      </c>
      <c r="R715" s="1">
        <v>117</v>
      </c>
      <c r="U715" s="12">
        <f t="shared" si="25"/>
        <v>42036</v>
      </c>
    </row>
    <row r="716" spans="1:23" x14ac:dyDescent="0.25">
      <c r="A716" s="2">
        <f t="shared" si="24"/>
        <v>13</v>
      </c>
      <c r="B716" t="s">
        <v>180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527</v>
      </c>
      <c r="P716" s="20" t="s">
        <v>833</v>
      </c>
      <c r="Q716" s="1">
        <f t="shared" si="26"/>
        <v>1</v>
      </c>
      <c r="R716" s="1">
        <v>117</v>
      </c>
      <c r="U716" s="12">
        <f t="shared" si="25"/>
        <v>42036</v>
      </c>
    </row>
    <row r="717" spans="1:23" x14ac:dyDescent="0.25">
      <c r="A717" s="2">
        <f t="shared" si="24"/>
        <v>13</v>
      </c>
      <c r="B717" t="s">
        <v>834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527</v>
      </c>
      <c r="P717" s="20" t="s">
        <v>833</v>
      </c>
      <c r="Q717" s="1">
        <f t="shared" si="26"/>
        <v>1</v>
      </c>
      <c r="R717" s="1">
        <v>117</v>
      </c>
      <c r="U717" s="12">
        <f t="shared" si="25"/>
        <v>42036</v>
      </c>
    </row>
    <row r="718" spans="1:23" x14ac:dyDescent="0.25">
      <c r="A718" s="2">
        <f t="shared" si="24"/>
        <v>13</v>
      </c>
      <c r="B718" t="s">
        <v>202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527</v>
      </c>
      <c r="P718" s="20" t="s">
        <v>833</v>
      </c>
      <c r="Q718" s="1">
        <f t="shared" si="26"/>
        <v>1</v>
      </c>
      <c r="R718" s="1">
        <v>117</v>
      </c>
      <c r="U718" s="12">
        <f t="shared" si="25"/>
        <v>42036</v>
      </c>
    </row>
    <row r="719" spans="1:23" x14ac:dyDescent="0.25">
      <c r="A719" s="2">
        <f t="shared" si="24"/>
        <v>13</v>
      </c>
      <c r="B719" t="s">
        <v>157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527</v>
      </c>
      <c r="P719" s="20" t="s">
        <v>833</v>
      </c>
      <c r="Q719" s="1">
        <f t="shared" si="26"/>
        <v>1</v>
      </c>
      <c r="R719" s="1">
        <v>117</v>
      </c>
      <c r="U719" s="12">
        <f t="shared" si="25"/>
        <v>42036</v>
      </c>
    </row>
    <row r="720" spans="1:23" x14ac:dyDescent="0.25">
      <c r="A720" s="2">
        <f t="shared" si="24"/>
        <v>13</v>
      </c>
      <c r="B720" t="s">
        <v>283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527</v>
      </c>
      <c r="P720" s="20" t="s">
        <v>833</v>
      </c>
      <c r="Q720" s="1">
        <f t="shared" si="26"/>
        <v>1</v>
      </c>
      <c r="R720" s="1">
        <v>117</v>
      </c>
      <c r="U720" s="12">
        <f t="shared" si="25"/>
        <v>42036</v>
      </c>
    </row>
    <row r="721" spans="1:21" x14ac:dyDescent="0.25">
      <c r="A721" s="2">
        <f t="shared" si="24"/>
        <v>13</v>
      </c>
      <c r="B721" s="21" t="s">
        <v>601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527</v>
      </c>
      <c r="P721" s="20" t="s">
        <v>601</v>
      </c>
      <c r="Q721" s="1">
        <f t="shared" si="26"/>
        <v>1</v>
      </c>
      <c r="R721" s="1">
        <v>118</v>
      </c>
      <c r="U721" s="12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527</v>
      </c>
      <c r="P722" s="20" t="s">
        <v>601</v>
      </c>
      <c r="Q722" s="1">
        <f t="shared" si="26"/>
        <v>1</v>
      </c>
      <c r="R722" s="1">
        <v>118</v>
      </c>
      <c r="U722" s="12">
        <f t="shared" si="25"/>
        <v>42036</v>
      </c>
    </row>
    <row r="723" spans="1:21" x14ac:dyDescent="0.25">
      <c r="A723" s="2">
        <f t="shared" si="24"/>
        <v>13</v>
      </c>
      <c r="B723" t="s">
        <v>811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527</v>
      </c>
      <c r="P723" s="20" t="s">
        <v>601</v>
      </c>
      <c r="Q723" s="1">
        <f t="shared" si="26"/>
        <v>1</v>
      </c>
      <c r="R723" s="1">
        <v>118</v>
      </c>
      <c r="U723" s="12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527</v>
      </c>
      <c r="P724" s="20" t="s">
        <v>601</v>
      </c>
      <c r="Q724" s="1">
        <f t="shared" si="26"/>
        <v>1</v>
      </c>
      <c r="R724" s="1">
        <v>118</v>
      </c>
      <c r="U724" s="12">
        <f t="shared" si="25"/>
        <v>42036</v>
      </c>
    </row>
    <row r="725" spans="1:21" x14ac:dyDescent="0.25">
      <c r="A725" s="2">
        <f t="shared" si="24"/>
        <v>13</v>
      </c>
      <c r="B725" t="s">
        <v>182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527</v>
      </c>
      <c r="P725" s="20" t="s">
        <v>601</v>
      </c>
      <c r="Q725" s="1">
        <f t="shared" si="26"/>
        <v>1</v>
      </c>
      <c r="R725" s="1">
        <v>118</v>
      </c>
      <c r="U725" s="12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527</v>
      </c>
      <c r="P726" s="20" t="s">
        <v>601</v>
      </c>
      <c r="Q726" s="1">
        <f t="shared" si="26"/>
        <v>1</v>
      </c>
      <c r="R726" s="1">
        <v>118</v>
      </c>
      <c r="U726" s="12">
        <f t="shared" si="25"/>
        <v>42036</v>
      </c>
    </row>
    <row r="727" spans="1:21" x14ac:dyDescent="0.25">
      <c r="A727" s="2">
        <f t="shared" si="24"/>
        <v>13</v>
      </c>
      <c r="B727" t="s">
        <v>380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527</v>
      </c>
      <c r="P727" s="20" t="s">
        <v>601</v>
      </c>
      <c r="Q727" s="1">
        <f t="shared" si="26"/>
        <v>1</v>
      </c>
      <c r="R727" s="1">
        <v>118</v>
      </c>
      <c r="U727" s="12">
        <f t="shared" si="25"/>
        <v>42036</v>
      </c>
    </row>
    <row r="728" spans="1:21" x14ac:dyDescent="0.25">
      <c r="A728" s="2">
        <f t="shared" si="24"/>
        <v>13</v>
      </c>
      <c r="B728" s="21" t="s">
        <v>602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527</v>
      </c>
      <c r="P728" s="20" t="s">
        <v>602</v>
      </c>
      <c r="Q728" s="1">
        <f t="shared" si="26"/>
        <v>1</v>
      </c>
      <c r="R728" s="1">
        <v>119</v>
      </c>
      <c r="U728" s="12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527</v>
      </c>
      <c r="P729" s="20" t="s">
        <v>602</v>
      </c>
      <c r="Q729" s="1">
        <f t="shared" si="26"/>
        <v>1</v>
      </c>
      <c r="R729" s="1">
        <v>119</v>
      </c>
      <c r="U729" s="12">
        <f t="shared" si="25"/>
        <v>42036</v>
      </c>
    </row>
    <row r="730" spans="1:21" x14ac:dyDescent="0.25">
      <c r="A730" s="2">
        <f t="shared" si="24"/>
        <v>13</v>
      </c>
      <c r="B730" t="s">
        <v>115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527</v>
      </c>
      <c r="P730" s="20" t="s">
        <v>602</v>
      </c>
      <c r="Q730" s="1">
        <f t="shared" si="26"/>
        <v>1</v>
      </c>
      <c r="R730" s="1">
        <v>119</v>
      </c>
      <c r="U730" s="12">
        <f t="shared" si="25"/>
        <v>42036</v>
      </c>
    </row>
    <row r="731" spans="1:21" x14ac:dyDescent="0.25">
      <c r="A731" s="2">
        <f t="shared" si="24"/>
        <v>13</v>
      </c>
      <c r="B731" t="s">
        <v>382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527</v>
      </c>
      <c r="P731" s="20" t="s">
        <v>602</v>
      </c>
      <c r="Q731" s="1">
        <f t="shared" si="26"/>
        <v>1</v>
      </c>
      <c r="R731" s="1">
        <v>119</v>
      </c>
      <c r="U731" s="12">
        <f t="shared" si="25"/>
        <v>42036</v>
      </c>
    </row>
    <row r="732" spans="1:21" x14ac:dyDescent="0.25">
      <c r="A732" s="2">
        <f t="shared" si="24"/>
        <v>13</v>
      </c>
      <c r="B732" t="s">
        <v>224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527</v>
      </c>
      <c r="P732" s="20" t="s">
        <v>602</v>
      </c>
      <c r="Q732" s="1">
        <f t="shared" si="26"/>
        <v>1</v>
      </c>
      <c r="R732" s="1">
        <v>119</v>
      </c>
      <c r="U732" s="12">
        <f t="shared" si="25"/>
        <v>42036</v>
      </c>
    </row>
    <row r="733" spans="1:21" x14ac:dyDescent="0.25">
      <c r="A733" s="2">
        <f t="shared" si="24"/>
        <v>13</v>
      </c>
      <c r="B733" t="s">
        <v>328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527</v>
      </c>
      <c r="P733" s="20" t="s">
        <v>602</v>
      </c>
      <c r="Q733" s="1">
        <f t="shared" si="26"/>
        <v>1</v>
      </c>
      <c r="R733" s="1">
        <v>119</v>
      </c>
      <c r="U733" s="12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527</v>
      </c>
      <c r="P734" s="20" t="s">
        <v>602</v>
      </c>
      <c r="Q734" s="1">
        <f t="shared" si="26"/>
        <v>1</v>
      </c>
      <c r="R734" s="1">
        <v>119</v>
      </c>
      <c r="U734" s="12">
        <f t="shared" si="25"/>
        <v>42036</v>
      </c>
    </row>
    <row r="735" spans="1:21" x14ac:dyDescent="0.25">
      <c r="A735" s="2">
        <f t="shared" si="24"/>
        <v>13</v>
      </c>
      <c r="B735" t="s">
        <v>835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527</v>
      </c>
      <c r="P735" s="20" t="s">
        <v>835</v>
      </c>
      <c r="Q735" s="1">
        <f t="shared" si="26"/>
        <v>1</v>
      </c>
      <c r="R735" s="1">
        <v>120</v>
      </c>
      <c r="U735" s="12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527</v>
      </c>
      <c r="P736" s="20" t="s">
        <v>835</v>
      </c>
      <c r="Q736" s="1">
        <f t="shared" si="26"/>
        <v>1</v>
      </c>
      <c r="R736" s="1">
        <v>120</v>
      </c>
      <c r="U736" s="12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527</v>
      </c>
      <c r="P737" s="20" t="s">
        <v>835</v>
      </c>
      <c r="Q737" s="1">
        <f t="shared" si="26"/>
        <v>1</v>
      </c>
      <c r="R737" s="1">
        <v>120</v>
      </c>
      <c r="U737" s="12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5">
        <v>19</v>
      </c>
      <c r="G738" s="25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527</v>
      </c>
      <c r="P738" s="20" t="s">
        <v>835</v>
      </c>
      <c r="Q738" s="1">
        <f t="shared" si="26"/>
        <v>1</v>
      </c>
      <c r="R738" s="1">
        <v>120</v>
      </c>
      <c r="U738" s="12">
        <f t="shared" si="25"/>
        <v>42036</v>
      </c>
    </row>
    <row r="739" spans="1:22" x14ac:dyDescent="0.25">
      <c r="A739" s="2">
        <f t="shared" si="27"/>
        <v>13</v>
      </c>
      <c r="B739" t="s">
        <v>831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527</v>
      </c>
      <c r="P739" s="20" t="s">
        <v>835</v>
      </c>
      <c r="Q739" s="1">
        <f t="shared" si="26"/>
        <v>1</v>
      </c>
      <c r="R739" s="1">
        <v>120</v>
      </c>
      <c r="U739" s="12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527</v>
      </c>
      <c r="P740" s="20" t="s">
        <v>835</v>
      </c>
      <c r="Q740" s="1">
        <f t="shared" si="26"/>
        <v>1</v>
      </c>
      <c r="R740" s="1">
        <v>120</v>
      </c>
      <c r="U740" s="12">
        <f t="shared" si="25"/>
        <v>42036</v>
      </c>
    </row>
    <row r="741" spans="1:22" x14ac:dyDescent="0.25">
      <c r="A741" s="2">
        <f t="shared" si="27"/>
        <v>13</v>
      </c>
      <c r="B741" t="s">
        <v>836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527</v>
      </c>
      <c r="P741" s="20" t="s">
        <v>835</v>
      </c>
      <c r="Q741" s="1">
        <f t="shared" si="26"/>
        <v>1</v>
      </c>
      <c r="R741" s="1">
        <v>120</v>
      </c>
      <c r="U741" s="12">
        <f t="shared" si="25"/>
        <v>42036</v>
      </c>
    </row>
    <row r="742" spans="1:22" x14ac:dyDescent="0.25">
      <c r="A742" s="2">
        <f t="shared" si="27"/>
        <v>13</v>
      </c>
      <c r="B742" s="21" t="s">
        <v>837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527</v>
      </c>
      <c r="P742" s="20" t="s">
        <v>837</v>
      </c>
      <c r="Q742" s="1">
        <f t="shared" si="26"/>
        <v>1</v>
      </c>
      <c r="R742" s="1">
        <v>121</v>
      </c>
      <c r="U742" s="12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527</v>
      </c>
      <c r="P743" s="20" t="s">
        <v>837</v>
      </c>
      <c r="Q743" s="1">
        <f t="shared" si="26"/>
        <v>1</v>
      </c>
      <c r="R743" s="1">
        <v>121</v>
      </c>
      <c r="U743" s="12">
        <f t="shared" si="25"/>
        <v>42036</v>
      </c>
    </row>
    <row r="744" spans="1:22" x14ac:dyDescent="0.25">
      <c r="A744" s="2">
        <f t="shared" si="27"/>
        <v>13</v>
      </c>
      <c r="B744" t="s">
        <v>159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527</v>
      </c>
      <c r="P744" s="20" t="s">
        <v>837</v>
      </c>
      <c r="Q744" s="1">
        <f t="shared" si="26"/>
        <v>1</v>
      </c>
      <c r="R744" s="1">
        <v>121</v>
      </c>
      <c r="U744" s="12">
        <f t="shared" si="25"/>
        <v>42036</v>
      </c>
    </row>
    <row r="745" spans="1:22" x14ac:dyDescent="0.25">
      <c r="A745" s="2">
        <f t="shared" si="27"/>
        <v>13</v>
      </c>
      <c r="B745" t="s">
        <v>184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527</v>
      </c>
      <c r="P745" s="20" t="s">
        <v>837</v>
      </c>
      <c r="Q745" s="1">
        <f t="shared" si="26"/>
        <v>1</v>
      </c>
      <c r="R745" s="1">
        <v>121</v>
      </c>
      <c r="U745" s="12">
        <f t="shared" si="25"/>
        <v>42036</v>
      </c>
    </row>
    <row r="746" spans="1:22" x14ac:dyDescent="0.25">
      <c r="A746" s="2">
        <f t="shared" si="27"/>
        <v>13</v>
      </c>
      <c r="B746" t="s">
        <v>299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527</v>
      </c>
      <c r="P746" s="20" t="s">
        <v>837</v>
      </c>
      <c r="Q746" s="1">
        <f t="shared" si="26"/>
        <v>1</v>
      </c>
      <c r="R746" s="1">
        <v>121</v>
      </c>
      <c r="U746" s="12">
        <f t="shared" si="25"/>
        <v>42036</v>
      </c>
    </row>
    <row r="747" spans="1:22" x14ac:dyDescent="0.25">
      <c r="A747" s="2">
        <f t="shared" si="27"/>
        <v>13</v>
      </c>
      <c r="B747" t="s">
        <v>202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527</v>
      </c>
      <c r="P747" s="20" t="s">
        <v>837</v>
      </c>
      <c r="Q747" s="1">
        <f t="shared" si="26"/>
        <v>1</v>
      </c>
      <c r="R747" s="1">
        <v>121</v>
      </c>
      <c r="U747" s="12">
        <f t="shared" si="25"/>
        <v>42036</v>
      </c>
    </row>
    <row r="748" spans="1:22" x14ac:dyDescent="0.25">
      <c r="A748" s="2">
        <f t="shared" si="27"/>
        <v>13</v>
      </c>
      <c r="B748" t="s">
        <v>147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527</v>
      </c>
      <c r="P748" s="20" t="s">
        <v>837</v>
      </c>
      <c r="Q748" s="1">
        <f t="shared" si="26"/>
        <v>1</v>
      </c>
      <c r="R748" s="1">
        <v>121</v>
      </c>
      <c r="U748" s="12">
        <f t="shared" si="25"/>
        <v>42036</v>
      </c>
    </row>
    <row r="749" spans="1:22" ht="15.75" x14ac:dyDescent="0.25">
      <c r="A749" s="2">
        <f t="shared" si="27"/>
        <v>13</v>
      </c>
      <c r="B749" s="22" t="s">
        <v>838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527</v>
      </c>
      <c r="P749" s="20" t="s">
        <v>838</v>
      </c>
      <c r="Q749" s="1">
        <f t="shared" si="26"/>
        <v>1</v>
      </c>
      <c r="R749" s="1">
        <v>122</v>
      </c>
      <c r="U749" s="12">
        <f t="shared" si="25"/>
        <v>42036</v>
      </c>
    </row>
    <row r="750" spans="1:22" x14ac:dyDescent="0.25">
      <c r="A750" s="2">
        <f t="shared" si="27"/>
        <v>13</v>
      </c>
      <c r="B750" t="s">
        <v>145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527</v>
      </c>
      <c r="P750" s="20" t="s">
        <v>838</v>
      </c>
      <c r="Q750" s="1">
        <f t="shared" si="26"/>
        <v>1</v>
      </c>
      <c r="R750" s="1">
        <v>122</v>
      </c>
      <c r="U750" s="12">
        <f t="shared" si="25"/>
        <v>42036</v>
      </c>
    </row>
    <row r="751" spans="1:22" x14ac:dyDescent="0.25">
      <c r="A751" s="2">
        <f t="shared" si="27"/>
        <v>13</v>
      </c>
      <c r="B751" t="s">
        <v>155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527</v>
      </c>
      <c r="P751" s="20" t="s">
        <v>838</v>
      </c>
      <c r="Q751" s="1">
        <f t="shared" si="26"/>
        <v>1</v>
      </c>
      <c r="R751" s="1">
        <v>122</v>
      </c>
      <c r="U751" s="12">
        <f t="shared" si="25"/>
        <v>42036</v>
      </c>
    </row>
    <row r="752" spans="1:22" x14ac:dyDescent="0.25">
      <c r="A752" s="2">
        <f t="shared" si="27"/>
        <v>13</v>
      </c>
      <c r="B752" t="s">
        <v>354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527</v>
      </c>
      <c r="P752" s="20" t="s">
        <v>838</v>
      </c>
      <c r="Q752" s="1">
        <f t="shared" si="26"/>
        <v>1</v>
      </c>
      <c r="R752" s="1">
        <v>122</v>
      </c>
      <c r="U752" s="12">
        <f t="shared" si="25"/>
        <v>42036</v>
      </c>
    </row>
    <row r="753" spans="1:21" x14ac:dyDescent="0.25">
      <c r="A753" s="2">
        <f t="shared" si="27"/>
        <v>13</v>
      </c>
      <c r="B753" t="s">
        <v>319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527</v>
      </c>
      <c r="P753" s="20" t="s">
        <v>838</v>
      </c>
      <c r="Q753" s="1">
        <f t="shared" si="26"/>
        <v>1</v>
      </c>
      <c r="R753" s="1">
        <v>122</v>
      </c>
      <c r="U753" s="12">
        <f t="shared" si="25"/>
        <v>42036</v>
      </c>
    </row>
    <row r="754" spans="1:21" x14ac:dyDescent="0.25">
      <c r="A754" s="2">
        <f t="shared" si="27"/>
        <v>13</v>
      </c>
      <c r="B754" t="s">
        <v>198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527</v>
      </c>
      <c r="P754" s="20" t="s">
        <v>838</v>
      </c>
      <c r="Q754" s="1">
        <f t="shared" si="26"/>
        <v>1</v>
      </c>
      <c r="R754" s="1">
        <v>122</v>
      </c>
      <c r="U754" s="12">
        <f t="shared" si="25"/>
        <v>42036</v>
      </c>
    </row>
    <row r="755" spans="1:21" x14ac:dyDescent="0.25">
      <c r="A755" s="2">
        <f t="shared" si="27"/>
        <v>13</v>
      </c>
      <c r="B755" t="s">
        <v>334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527</v>
      </c>
      <c r="P755" s="20" t="s">
        <v>838</v>
      </c>
      <c r="Q755" s="1">
        <f t="shared" si="26"/>
        <v>1</v>
      </c>
      <c r="R755" s="1">
        <v>122</v>
      </c>
      <c r="U755" s="12">
        <f t="shared" si="25"/>
        <v>42036</v>
      </c>
    </row>
    <row r="756" spans="1:21" ht="15.75" x14ac:dyDescent="0.25">
      <c r="A756" s="2">
        <f t="shared" si="27"/>
        <v>13</v>
      </c>
      <c r="B756" s="22" t="s">
        <v>528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527</v>
      </c>
      <c r="P756" s="20" t="s">
        <v>528</v>
      </c>
      <c r="Q756" s="1">
        <f t="shared" si="26"/>
        <v>1</v>
      </c>
      <c r="R756" s="1">
        <v>123</v>
      </c>
      <c r="U756" s="12">
        <f t="shared" si="25"/>
        <v>42036</v>
      </c>
    </row>
    <row r="757" spans="1:21" x14ac:dyDescent="0.25">
      <c r="A757" s="2">
        <f t="shared" si="27"/>
        <v>13</v>
      </c>
      <c r="B757" t="s">
        <v>153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527</v>
      </c>
      <c r="P757" s="20" t="s">
        <v>528</v>
      </c>
      <c r="Q757" s="1">
        <f t="shared" si="26"/>
        <v>1</v>
      </c>
      <c r="R757" s="1">
        <v>123</v>
      </c>
      <c r="U757" s="12">
        <f t="shared" si="25"/>
        <v>42036</v>
      </c>
    </row>
    <row r="758" spans="1:21" x14ac:dyDescent="0.25">
      <c r="A758" s="2">
        <f t="shared" si="27"/>
        <v>13</v>
      </c>
      <c r="B758" t="s">
        <v>240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527</v>
      </c>
      <c r="P758" s="20" t="s">
        <v>528</v>
      </c>
      <c r="Q758" s="1">
        <f t="shared" si="26"/>
        <v>1</v>
      </c>
      <c r="R758" s="1">
        <v>123</v>
      </c>
      <c r="U758" s="12">
        <f t="shared" ref="U758:U776" si="28">U757</f>
        <v>42036</v>
      </c>
    </row>
    <row r="759" spans="1:21" x14ac:dyDescent="0.25">
      <c r="A759" s="2">
        <f t="shared" si="27"/>
        <v>13</v>
      </c>
      <c r="B759" t="s">
        <v>117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527</v>
      </c>
      <c r="P759" s="20" t="s">
        <v>528</v>
      </c>
      <c r="Q759" s="1">
        <f t="shared" si="26"/>
        <v>1</v>
      </c>
      <c r="R759" s="1">
        <v>123</v>
      </c>
      <c r="U759" s="12">
        <f t="shared" si="28"/>
        <v>42036</v>
      </c>
    </row>
    <row r="760" spans="1:21" x14ac:dyDescent="0.25">
      <c r="A760" s="2">
        <f t="shared" si="27"/>
        <v>13</v>
      </c>
      <c r="B760" t="s">
        <v>172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527</v>
      </c>
      <c r="P760" s="20" t="s">
        <v>528</v>
      </c>
      <c r="Q760" s="1">
        <f t="shared" si="26"/>
        <v>1</v>
      </c>
      <c r="R760" s="1">
        <v>123</v>
      </c>
      <c r="U760" s="12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527</v>
      </c>
      <c r="P761" s="20" t="s">
        <v>528</v>
      </c>
      <c r="Q761" s="1">
        <f t="shared" si="26"/>
        <v>1</v>
      </c>
      <c r="R761" s="1">
        <v>123</v>
      </c>
      <c r="U761" s="12">
        <f t="shared" si="28"/>
        <v>42036</v>
      </c>
    </row>
    <row r="762" spans="1:21" x14ac:dyDescent="0.25">
      <c r="A762" s="2">
        <f t="shared" si="27"/>
        <v>13</v>
      </c>
      <c r="B762" t="s">
        <v>350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527</v>
      </c>
      <c r="P762" s="20" t="s">
        <v>528</v>
      </c>
      <c r="Q762" s="1">
        <f t="shared" si="26"/>
        <v>1</v>
      </c>
      <c r="R762" s="1">
        <v>123</v>
      </c>
      <c r="U762" s="12">
        <f t="shared" si="28"/>
        <v>42036</v>
      </c>
    </row>
    <row r="763" spans="1:21" x14ac:dyDescent="0.25">
      <c r="A763" s="2">
        <f t="shared" si="27"/>
        <v>13</v>
      </c>
      <c r="B763" t="s">
        <v>551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527</v>
      </c>
      <c r="P763" s="20" t="s">
        <v>551</v>
      </c>
      <c r="Q763" s="1">
        <f t="shared" si="26"/>
        <v>1</v>
      </c>
      <c r="R763" s="1">
        <v>124</v>
      </c>
      <c r="U763" s="12">
        <f t="shared" si="28"/>
        <v>42036</v>
      </c>
    </row>
    <row r="764" spans="1:21" x14ac:dyDescent="0.25">
      <c r="A764" s="2">
        <f t="shared" si="27"/>
        <v>13</v>
      </c>
      <c r="B764" t="s">
        <v>121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527</v>
      </c>
      <c r="P764" s="20" t="s">
        <v>551</v>
      </c>
      <c r="Q764" s="1">
        <f t="shared" si="26"/>
        <v>1</v>
      </c>
      <c r="R764" s="1">
        <v>124</v>
      </c>
      <c r="U764" s="12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527</v>
      </c>
      <c r="P765" s="20" t="s">
        <v>551</v>
      </c>
      <c r="Q765" s="1">
        <f t="shared" si="26"/>
        <v>1</v>
      </c>
      <c r="R765" s="1">
        <v>124</v>
      </c>
      <c r="U765" s="12">
        <f t="shared" si="28"/>
        <v>42036</v>
      </c>
    </row>
    <row r="766" spans="1:21" x14ac:dyDescent="0.25">
      <c r="A766" s="2">
        <f t="shared" si="27"/>
        <v>13</v>
      </c>
      <c r="B766" t="s">
        <v>168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527</v>
      </c>
      <c r="P766" s="20" t="s">
        <v>551</v>
      </c>
      <c r="Q766" s="1">
        <f t="shared" si="26"/>
        <v>1</v>
      </c>
      <c r="R766" s="1">
        <v>124</v>
      </c>
      <c r="U766" s="12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527</v>
      </c>
      <c r="P767" s="20" t="s">
        <v>551</v>
      </c>
      <c r="Q767" s="1">
        <f t="shared" si="26"/>
        <v>1</v>
      </c>
      <c r="R767" s="1">
        <v>124</v>
      </c>
      <c r="U767" s="12">
        <f t="shared" si="28"/>
        <v>42036</v>
      </c>
    </row>
    <row r="768" spans="1:21" x14ac:dyDescent="0.25">
      <c r="A768" s="2">
        <f t="shared" si="27"/>
        <v>13</v>
      </c>
      <c r="B768" t="s">
        <v>297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527</v>
      </c>
      <c r="P768" s="20" t="s">
        <v>551</v>
      </c>
      <c r="Q768" s="1">
        <f t="shared" si="26"/>
        <v>1</v>
      </c>
      <c r="R768" s="1">
        <v>124</v>
      </c>
      <c r="U768" s="12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527</v>
      </c>
      <c r="P769" s="20" t="s">
        <v>551</v>
      </c>
      <c r="Q769" s="1">
        <f t="shared" si="26"/>
        <v>1</v>
      </c>
      <c r="R769" s="1">
        <v>124</v>
      </c>
      <c r="U769" s="12">
        <f t="shared" si="28"/>
        <v>42036</v>
      </c>
    </row>
    <row r="770" spans="1:21" x14ac:dyDescent="0.25">
      <c r="A770" s="2">
        <f t="shared" si="27"/>
        <v>13</v>
      </c>
      <c r="B770" t="s">
        <v>839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527</v>
      </c>
      <c r="P770" s="20" t="s">
        <v>839</v>
      </c>
      <c r="Q770" s="1">
        <f t="shared" ref="Q770:Q833" si="29">IF(B770="","",1)</f>
        <v>1</v>
      </c>
      <c r="R770" s="1">
        <v>125</v>
      </c>
      <c r="U770" s="12">
        <f t="shared" si="28"/>
        <v>42036</v>
      </c>
    </row>
    <row r="771" spans="1:21" x14ac:dyDescent="0.25">
      <c r="A771" s="2">
        <f t="shared" si="27"/>
        <v>13</v>
      </c>
      <c r="B771" t="s">
        <v>303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527</v>
      </c>
      <c r="P771" s="20" t="s">
        <v>839</v>
      </c>
      <c r="Q771" s="1">
        <f t="shared" si="29"/>
        <v>1</v>
      </c>
      <c r="R771" s="1">
        <v>125</v>
      </c>
      <c r="U771" s="12">
        <f t="shared" si="28"/>
        <v>42036</v>
      </c>
    </row>
    <row r="772" spans="1:21" x14ac:dyDescent="0.25">
      <c r="A772" s="2">
        <f t="shared" si="27"/>
        <v>13</v>
      </c>
      <c r="B772" t="s">
        <v>137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527</v>
      </c>
      <c r="P772" s="20" t="s">
        <v>839</v>
      </c>
      <c r="Q772" s="1">
        <f t="shared" si="29"/>
        <v>1</v>
      </c>
      <c r="R772" s="1">
        <v>125</v>
      </c>
      <c r="U772" s="12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527</v>
      </c>
      <c r="P773" s="20" t="s">
        <v>839</v>
      </c>
      <c r="Q773" s="1">
        <f t="shared" si="29"/>
        <v>1</v>
      </c>
      <c r="R773" s="1">
        <v>125</v>
      </c>
      <c r="U773" s="12">
        <f t="shared" si="28"/>
        <v>42036</v>
      </c>
    </row>
    <row r="774" spans="1:21" x14ac:dyDescent="0.25">
      <c r="A774" s="2">
        <f t="shared" si="27"/>
        <v>13</v>
      </c>
      <c r="B774" t="s">
        <v>159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527</v>
      </c>
      <c r="P774" s="20" t="s">
        <v>839</v>
      </c>
      <c r="Q774" s="1">
        <f t="shared" si="29"/>
        <v>1</v>
      </c>
      <c r="R774" s="1">
        <v>125</v>
      </c>
      <c r="U774" s="12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527</v>
      </c>
      <c r="P775" s="20" t="s">
        <v>839</v>
      </c>
      <c r="Q775" s="1">
        <f t="shared" si="29"/>
        <v>1</v>
      </c>
      <c r="R775" s="1">
        <v>125</v>
      </c>
      <c r="U775" s="12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527</v>
      </c>
      <c r="P776" s="20" t="s">
        <v>839</v>
      </c>
      <c r="Q776" s="1">
        <f t="shared" si="29"/>
        <v>1</v>
      </c>
      <c r="R776" s="1">
        <v>125</v>
      </c>
      <c r="U776" s="12">
        <f t="shared" si="28"/>
        <v>42036</v>
      </c>
    </row>
    <row r="777" spans="1:21" x14ac:dyDescent="0.25">
      <c r="A777" s="2">
        <v>14</v>
      </c>
      <c r="B777" s="17" t="s">
        <v>514</v>
      </c>
      <c r="J777" s="1"/>
      <c r="M777" t="s">
        <v>15</v>
      </c>
      <c r="N777" t="str">
        <f>IFERROR(VLOOKUP(B777,'[1]All Player'!$B$2:$C$1992,2,0),"")</f>
        <v/>
      </c>
      <c r="O777" s="2" t="s">
        <v>513</v>
      </c>
      <c r="P777" s="20" t="s">
        <v>514</v>
      </c>
      <c r="Q777" s="1">
        <f t="shared" si="29"/>
        <v>1</v>
      </c>
      <c r="R777" s="1">
        <v>126</v>
      </c>
      <c r="T777" s="1" t="s">
        <v>659</v>
      </c>
      <c r="U777" s="12">
        <v>42125</v>
      </c>
    </row>
    <row r="778" spans="1:21" x14ac:dyDescent="0.25">
      <c r="A778" s="2">
        <f t="shared" si="27"/>
        <v>14</v>
      </c>
      <c r="B778" t="s">
        <v>131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513</v>
      </c>
      <c r="P778" s="20" t="s">
        <v>514</v>
      </c>
      <c r="Q778" s="1">
        <f t="shared" si="29"/>
        <v>1</v>
      </c>
      <c r="R778" s="1">
        <v>126</v>
      </c>
      <c r="S778" s="30" t="s">
        <v>662</v>
      </c>
      <c r="T778" s="1" t="s">
        <v>659</v>
      </c>
      <c r="U778" s="12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513</v>
      </c>
      <c r="P779" s="20" t="s">
        <v>514</v>
      </c>
      <c r="Q779" s="1">
        <f t="shared" si="29"/>
        <v>1</v>
      </c>
      <c r="R779" s="1">
        <v>126</v>
      </c>
      <c r="T779" s="1" t="s">
        <v>659</v>
      </c>
      <c r="U779" s="12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513</v>
      </c>
      <c r="P780" s="20" t="s">
        <v>514</v>
      </c>
      <c r="Q780" s="1">
        <f t="shared" si="29"/>
        <v>1</v>
      </c>
      <c r="R780" s="1">
        <v>126</v>
      </c>
      <c r="T780" s="1" t="s">
        <v>659</v>
      </c>
      <c r="U780" s="12">
        <f t="shared" si="30"/>
        <v>42125</v>
      </c>
    </row>
    <row r="781" spans="1:21" x14ac:dyDescent="0.25">
      <c r="A781" s="2">
        <f t="shared" si="27"/>
        <v>14</v>
      </c>
      <c r="B781" t="s">
        <v>198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513</v>
      </c>
      <c r="P781" s="20" t="s">
        <v>514</v>
      </c>
      <c r="Q781" s="1">
        <f t="shared" si="29"/>
        <v>1</v>
      </c>
      <c r="R781" s="1">
        <v>126</v>
      </c>
      <c r="T781" s="1" t="s">
        <v>659</v>
      </c>
      <c r="U781" s="12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513</v>
      </c>
      <c r="P782" s="20" t="s">
        <v>514</v>
      </c>
      <c r="Q782" s="1">
        <f t="shared" si="29"/>
        <v>1</v>
      </c>
      <c r="R782" s="1">
        <v>126</v>
      </c>
      <c r="T782" s="1" t="s">
        <v>659</v>
      </c>
      <c r="U782" s="12">
        <f t="shared" si="30"/>
        <v>42125</v>
      </c>
    </row>
    <row r="783" spans="1:21" x14ac:dyDescent="0.25">
      <c r="A783" s="2">
        <f t="shared" si="27"/>
        <v>14</v>
      </c>
      <c r="B783" s="21" t="s">
        <v>561</v>
      </c>
      <c r="J783" s="1"/>
      <c r="M783" t="s">
        <v>15</v>
      </c>
      <c r="N783" t="str">
        <f>IFERROR(VLOOKUP(B783,'[1]All Player'!$B$2:$C$1992,2,0),"")</f>
        <v/>
      </c>
      <c r="O783" s="2" t="s">
        <v>513</v>
      </c>
      <c r="P783" s="20" t="s">
        <v>561</v>
      </c>
      <c r="Q783" s="1">
        <f t="shared" si="29"/>
        <v>1</v>
      </c>
      <c r="R783" s="1">
        <v>127</v>
      </c>
      <c r="T783" s="1" t="s">
        <v>661</v>
      </c>
      <c r="U783" s="12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513</v>
      </c>
      <c r="P784" s="20" t="s">
        <v>561</v>
      </c>
      <c r="Q784" s="1">
        <f t="shared" si="29"/>
        <v>1</v>
      </c>
      <c r="R784" s="1">
        <v>127</v>
      </c>
      <c r="T784" s="1" t="s">
        <v>661</v>
      </c>
      <c r="U784" s="12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513</v>
      </c>
      <c r="P785" s="20" t="s">
        <v>561</v>
      </c>
      <c r="Q785" s="1">
        <f t="shared" si="29"/>
        <v>1</v>
      </c>
      <c r="R785" s="1">
        <v>127</v>
      </c>
      <c r="T785" s="1" t="s">
        <v>661</v>
      </c>
      <c r="U785" s="12">
        <f t="shared" si="30"/>
        <v>42125</v>
      </c>
    </row>
    <row r="786" spans="1:21" x14ac:dyDescent="0.25">
      <c r="A786" s="2">
        <f t="shared" si="27"/>
        <v>14</v>
      </c>
      <c r="B786" t="s">
        <v>200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513</v>
      </c>
      <c r="P786" s="20" t="s">
        <v>561</v>
      </c>
      <c r="Q786" s="1">
        <f t="shared" si="29"/>
        <v>1</v>
      </c>
      <c r="R786" s="1">
        <v>127</v>
      </c>
      <c r="T786" s="1" t="s">
        <v>661</v>
      </c>
      <c r="U786" s="12">
        <f t="shared" si="30"/>
        <v>42125</v>
      </c>
    </row>
    <row r="787" spans="1:21" x14ac:dyDescent="0.25">
      <c r="A787" s="2">
        <f t="shared" si="27"/>
        <v>14</v>
      </c>
      <c r="B787" t="s">
        <v>182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513</v>
      </c>
      <c r="P787" s="20" t="s">
        <v>561</v>
      </c>
      <c r="Q787" s="1">
        <f t="shared" si="29"/>
        <v>1</v>
      </c>
      <c r="R787" s="1">
        <v>127</v>
      </c>
      <c r="T787" s="1" t="s">
        <v>661</v>
      </c>
      <c r="U787" s="12">
        <f t="shared" si="30"/>
        <v>42125</v>
      </c>
    </row>
    <row r="788" spans="1:21" x14ac:dyDescent="0.25">
      <c r="A788" s="2">
        <f t="shared" si="27"/>
        <v>14</v>
      </c>
      <c r="B788" t="s">
        <v>378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513</v>
      </c>
      <c r="P788" s="20" t="s">
        <v>561</v>
      </c>
      <c r="Q788" s="1">
        <f t="shared" si="29"/>
        <v>1</v>
      </c>
      <c r="R788" s="1">
        <v>127</v>
      </c>
      <c r="T788" s="1" t="s">
        <v>661</v>
      </c>
      <c r="U788" s="12">
        <f t="shared" si="30"/>
        <v>42125</v>
      </c>
    </row>
    <row r="789" spans="1:21" x14ac:dyDescent="0.25">
      <c r="A789" s="2">
        <f t="shared" si="27"/>
        <v>14</v>
      </c>
      <c r="B789" s="21" t="s">
        <v>840</v>
      </c>
      <c r="J789" s="1"/>
      <c r="M789" t="s">
        <v>15</v>
      </c>
      <c r="N789" t="str">
        <f>IFERROR(VLOOKUP(B789,'[1]All Player'!$B$2:$C$1992,2,0),"")</f>
        <v/>
      </c>
      <c r="O789" s="2" t="s">
        <v>513</v>
      </c>
      <c r="P789" s="20" t="s">
        <v>840</v>
      </c>
      <c r="Q789" s="1">
        <f t="shared" si="29"/>
        <v>1</v>
      </c>
      <c r="R789" s="1">
        <v>128</v>
      </c>
      <c r="U789" s="12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513</v>
      </c>
      <c r="P790" s="20" t="s">
        <v>840</v>
      </c>
      <c r="Q790" s="1">
        <f t="shared" si="29"/>
        <v>1</v>
      </c>
      <c r="R790" s="1">
        <v>128</v>
      </c>
      <c r="U790" s="12">
        <f t="shared" si="30"/>
        <v>42125</v>
      </c>
    </row>
    <row r="791" spans="1:21" x14ac:dyDescent="0.25">
      <c r="A791" s="2">
        <f t="shared" si="27"/>
        <v>14</v>
      </c>
      <c r="B791" t="s">
        <v>319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513</v>
      </c>
      <c r="P791" s="20" t="s">
        <v>840</v>
      </c>
      <c r="Q791" s="1">
        <f t="shared" si="29"/>
        <v>1</v>
      </c>
      <c r="R791" s="1">
        <v>128</v>
      </c>
      <c r="U791" s="12">
        <f t="shared" si="30"/>
        <v>42125</v>
      </c>
    </row>
    <row r="792" spans="1:21" x14ac:dyDescent="0.25">
      <c r="A792" s="2">
        <f t="shared" si="27"/>
        <v>14</v>
      </c>
      <c r="B792" t="s">
        <v>194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513</v>
      </c>
      <c r="P792" s="20" t="s">
        <v>840</v>
      </c>
      <c r="Q792" s="1">
        <f t="shared" si="29"/>
        <v>1</v>
      </c>
      <c r="R792" s="1">
        <v>128</v>
      </c>
      <c r="U792" s="12">
        <f t="shared" si="30"/>
        <v>42125</v>
      </c>
    </row>
    <row r="793" spans="1:21" x14ac:dyDescent="0.25">
      <c r="A793" s="2">
        <f t="shared" si="27"/>
        <v>14</v>
      </c>
      <c r="B793" t="s">
        <v>354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513</v>
      </c>
      <c r="P793" s="20" t="s">
        <v>840</v>
      </c>
      <c r="Q793" s="1">
        <f t="shared" si="29"/>
        <v>1</v>
      </c>
      <c r="R793" s="1">
        <v>128</v>
      </c>
      <c r="U793" s="12">
        <f t="shared" si="30"/>
        <v>42125</v>
      </c>
    </row>
    <row r="794" spans="1:21" x14ac:dyDescent="0.25">
      <c r="A794" s="2">
        <f t="shared" si="27"/>
        <v>14</v>
      </c>
      <c r="B794" t="s">
        <v>155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513</v>
      </c>
      <c r="P794" s="20" t="s">
        <v>840</v>
      </c>
      <c r="Q794" s="1">
        <f t="shared" si="29"/>
        <v>1</v>
      </c>
      <c r="R794" s="1">
        <v>128</v>
      </c>
      <c r="U794" s="12">
        <f t="shared" si="30"/>
        <v>42125</v>
      </c>
    </row>
    <row r="795" spans="1:21" x14ac:dyDescent="0.25">
      <c r="A795" s="2">
        <f t="shared" si="27"/>
        <v>14</v>
      </c>
      <c r="B795" s="17" t="s">
        <v>841</v>
      </c>
      <c r="J795" s="1"/>
      <c r="M795" t="s">
        <v>15</v>
      </c>
      <c r="N795" t="str">
        <f>IFERROR(VLOOKUP(#REF!,'[1]All Player'!$B$2:$C$1992,2,0),"")</f>
        <v/>
      </c>
      <c r="O795" s="2" t="s">
        <v>513</v>
      </c>
      <c r="P795" s="20" t="s">
        <v>841</v>
      </c>
      <c r="Q795" s="1">
        <f t="shared" si="29"/>
        <v>1</v>
      </c>
      <c r="R795" s="1">
        <v>129</v>
      </c>
      <c r="U795" s="12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8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513</v>
      </c>
      <c r="P796" s="20" t="s">
        <v>841</v>
      </c>
      <c r="Q796" s="1">
        <f t="shared" si="29"/>
        <v>1</v>
      </c>
      <c r="R796" s="1">
        <v>129</v>
      </c>
      <c r="U796" s="12">
        <f t="shared" si="30"/>
        <v>42125</v>
      </c>
    </row>
    <row r="797" spans="1:21" x14ac:dyDescent="0.25">
      <c r="A797" s="2">
        <v>14</v>
      </c>
      <c r="B797" t="s">
        <v>121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513</v>
      </c>
      <c r="P797" s="20" t="s">
        <v>841</v>
      </c>
      <c r="Q797" s="1">
        <f t="shared" si="29"/>
        <v>1</v>
      </c>
      <c r="R797" s="1">
        <v>129</v>
      </c>
      <c r="U797" s="12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513</v>
      </c>
      <c r="P798" s="20" t="s">
        <v>841</v>
      </c>
      <c r="Q798" s="1">
        <f t="shared" si="29"/>
        <v>1</v>
      </c>
      <c r="R798" s="1">
        <v>129</v>
      </c>
      <c r="U798" s="12">
        <f t="shared" si="30"/>
        <v>42125</v>
      </c>
    </row>
    <row r="799" spans="1:21" x14ac:dyDescent="0.25">
      <c r="A799" s="2">
        <v>14</v>
      </c>
      <c r="B799" t="s">
        <v>184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513</v>
      </c>
      <c r="P799" s="20" t="s">
        <v>841</v>
      </c>
      <c r="Q799" s="1">
        <f t="shared" si="29"/>
        <v>1</v>
      </c>
      <c r="R799" s="1">
        <v>129</v>
      </c>
      <c r="U799" s="12">
        <f t="shared" si="30"/>
        <v>42125</v>
      </c>
    </row>
    <row r="800" spans="1:21" x14ac:dyDescent="0.25">
      <c r="A800" s="2">
        <v>14</v>
      </c>
      <c r="B800" t="s">
        <v>220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513</v>
      </c>
      <c r="P800" s="20" t="s">
        <v>841</v>
      </c>
      <c r="Q800" s="1">
        <f t="shared" si="29"/>
        <v>1</v>
      </c>
      <c r="R800" s="1">
        <v>129</v>
      </c>
      <c r="U800" s="12">
        <f t="shared" si="30"/>
        <v>42125</v>
      </c>
    </row>
    <row r="801" spans="1:21" x14ac:dyDescent="0.25">
      <c r="A801" s="2">
        <v>14</v>
      </c>
      <c r="B801" s="17" t="s">
        <v>603</v>
      </c>
      <c r="J801" s="1"/>
      <c r="M801" t="s">
        <v>15</v>
      </c>
      <c r="N801" t="str">
        <f>IFERROR(VLOOKUP(B801,'[1]All Player'!$B$2:$C$1992,2,0),"")</f>
        <v/>
      </c>
      <c r="O801" s="2" t="s">
        <v>513</v>
      </c>
      <c r="P801" s="20" t="s">
        <v>603</v>
      </c>
      <c r="Q801" s="1">
        <f t="shared" si="29"/>
        <v>1</v>
      </c>
      <c r="R801" s="1">
        <v>130</v>
      </c>
      <c r="U801" s="12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513</v>
      </c>
      <c r="P802" s="20" t="s">
        <v>603</v>
      </c>
      <c r="Q802" s="1">
        <f t="shared" si="29"/>
        <v>1</v>
      </c>
      <c r="R802" s="1">
        <v>130</v>
      </c>
      <c r="U802" s="12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513</v>
      </c>
      <c r="P803" s="20" t="s">
        <v>603</v>
      </c>
      <c r="Q803" s="1">
        <f t="shared" si="29"/>
        <v>1</v>
      </c>
      <c r="R803" s="1">
        <v>130</v>
      </c>
      <c r="U803" s="12">
        <f t="shared" si="30"/>
        <v>42125</v>
      </c>
    </row>
    <row r="804" spans="1:21" x14ac:dyDescent="0.25">
      <c r="A804" s="2">
        <v>14</v>
      </c>
      <c r="B804" t="s">
        <v>240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513</v>
      </c>
      <c r="P804" s="20" t="s">
        <v>603</v>
      </c>
      <c r="Q804" s="1">
        <f t="shared" si="29"/>
        <v>1</v>
      </c>
      <c r="R804" s="1">
        <v>130</v>
      </c>
      <c r="U804" s="12">
        <f t="shared" si="30"/>
        <v>42125</v>
      </c>
    </row>
    <row r="805" spans="1:21" x14ac:dyDescent="0.25">
      <c r="A805" s="2">
        <v>14</v>
      </c>
      <c r="B805" t="s">
        <v>842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513</v>
      </c>
      <c r="P805" s="20" t="s">
        <v>603</v>
      </c>
      <c r="Q805" s="1">
        <f t="shared" si="29"/>
        <v>1</v>
      </c>
      <c r="R805" s="1">
        <v>130</v>
      </c>
      <c r="U805" s="12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513</v>
      </c>
      <c r="P806" s="20" t="s">
        <v>603</v>
      </c>
      <c r="Q806" s="1">
        <f t="shared" si="29"/>
        <v>1</v>
      </c>
      <c r="R806" s="1">
        <v>130</v>
      </c>
      <c r="U806" s="12">
        <f t="shared" si="30"/>
        <v>42125</v>
      </c>
    </row>
    <row r="807" spans="1:21" x14ac:dyDescent="0.25">
      <c r="A807" s="2">
        <v>14</v>
      </c>
      <c r="B807" s="21" t="s">
        <v>843</v>
      </c>
      <c r="J807" s="1"/>
      <c r="M807" t="s">
        <v>15</v>
      </c>
      <c r="N807" t="str">
        <f>IFERROR(VLOOKUP(B807,'[1]All Player'!$B$2:$C$1992,2,0),"")</f>
        <v/>
      </c>
      <c r="O807" s="2" t="s">
        <v>513</v>
      </c>
      <c r="P807" s="20" t="s">
        <v>843</v>
      </c>
      <c r="Q807" s="1">
        <f t="shared" si="29"/>
        <v>1</v>
      </c>
      <c r="R807" s="1">
        <v>131</v>
      </c>
      <c r="U807" s="12">
        <f t="shared" si="30"/>
        <v>42125</v>
      </c>
    </row>
    <row r="808" spans="1:21" x14ac:dyDescent="0.25">
      <c r="A808" s="2">
        <v>14</v>
      </c>
      <c r="B808" t="s">
        <v>153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513</v>
      </c>
      <c r="P808" s="20" t="s">
        <v>843</v>
      </c>
      <c r="Q808" s="1">
        <f t="shared" si="29"/>
        <v>1</v>
      </c>
      <c r="R808" s="1">
        <v>131</v>
      </c>
      <c r="U808" s="12">
        <f t="shared" si="30"/>
        <v>42125</v>
      </c>
    </row>
    <row r="809" spans="1:21" x14ac:dyDescent="0.25">
      <c r="A809" s="2">
        <v>14</v>
      </c>
      <c r="B809" t="s">
        <v>297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513</v>
      </c>
      <c r="P809" s="20" t="s">
        <v>843</v>
      </c>
      <c r="Q809" s="1">
        <f t="shared" si="29"/>
        <v>1</v>
      </c>
      <c r="R809" s="1">
        <v>131</v>
      </c>
      <c r="U809" s="12">
        <f t="shared" si="30"/>
        <v>42125</v>
      </c>
    </row>
    <row r="810" spans="1:21" x14ac:dyDescent="0.25">
      <c r="A810" s="2">
        <v>14</v>
      </c>
      <c r="B810" t="s">
        <v>117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513</v>
      </c>
      <c r="P810" s="20" t="s">
        <v>843</v>
      </c>
      <c r="Q810" s="1">
        <f t="shared" si="29"/>
        <v>1</v>
      </c>
      <c r="R810" s="1">
        <v>131</v>
      </c>
      <c r="U810" s="12">
        <f t="shared" si="30"/>
        <v>42125</v>
      </c>
    </row>
    <row r="811" spans="1:21" x14ac:dyDescent="0.25">
      <c r="A811" s="2">
        <v>14</v>
      </c>
      <c r="B811" t="s">
        <v>844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513</v>
      </c>
      <c r="P811" s="20" t="s">
        <v>843</v>
      </c>
      <c r="Q811" s="1">
        <f t="shared" si="29"/>
        <v>1</v>
      </c>
      <c r="R811" s="1">
        <v>131</v>
      </c>
      <c r="U811" s="12">
        <f t="shared" si="30"/>
        <v>42125</v>
      </c>
    </row>
    <row r="812" spans="1:21" x14ac:dyDescent="0.25">
      <c r="A812" s="2">
        <v>14</v>
      </c>
      <c r="B812" t="s">
        <v>283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513</v>
      </c>
      <c r="P812" s="20" t="s">
        <v>843</v>
      </c>
      <c r="Q812" s="1">
        <f t="shared" si="29"/>
        <v>1</v>
      </c>
      <c r="R812" s="1">
        <v>131</v>
      </c>
      <c r="U812" s="12">
        <f t="shared" si="30"/>
        <v>42125</v>
      </c>
    </row>
    <row r="813" spans="1:21" x14ac:dyDescent="0.25">
      <c r="A813" s="2">
        <v>14</v>
      </c>
      <c r="B813" s="21" t="s">
        <v>845</v>
      </c>
      <c r="J813" s="1"/>
      <c r="M813" t="s">
        <v>15</v>
      </c>
      <c r="N813" t="str">
        <f>IFERROR(VLOOKUP(B813,'[1]All Player'!$B$2:$C$1992,2,0),"")</f>
        <v/>
      </c>
      <c r="O813" s="2" t="s">
        <v>513</v>
      </c>
      <c r="P813" s="20" t="s">
        <v>845</v>
      </c>
      <c r="Q813" s="1">
        <f t="shared" si="29"/>
        <v>1</v>
      </c>
      <c r="R813" s="1">
        <v>132</v>
      </c>
      <c r="U813" s="12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513</v>
      </c>
      <c r="P814" s="20" t="s">
        <v>845</v>
      </c>
      <c r="Q814" s="1">
        <f t="shared" si="29"/>
        <v>1</v>
      </c>
      <c r="R814" s="1">
        <v>132</v>
      </c>
      <c r="U814" s="12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513</v>
      </c>
      <c r="P815" s="20" t="s">
        <v>845</v>
      </c>
      <c r="Q815" s="1">
        <f t="shared" si="29"/>
        <v>1</v>
      </c>
      <c r="R815" s="1">
        <v>132</v>
      </c>
      <c r="U815" s="12">
        <f t="shared" si="30"/>
        <v>42125</v>
      </c>
    </row>
    <row r="816" spans="1:21" x14ac:dyDescent="0.25">
      <c r="A816" s="2">
        <v>14</v>
      </c>
      <c r="B816" t="s">
        <v>382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513</v>
      </c>
      <c r="P816" s="20" t="s">
        <v>845</v>
      </c>
      <c r="Q816" s="1">
        <f t="shared" si="29"/>
        <v>1</v>
      </c>
      <c r="R816" s="1">
        <v>132</v>
      </c>
      <c r="U816" s="12">
        <f t="shared" si="30"/>
        <v>42125</v>
      </c>
    </row>
    <row r="817" spans="1:23" x14ac:dyDescent="0.25">
      <c r="A817" s="2">
        <v>14</v>
      </c>
      <c r="B817" t="s">
        <v>147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513</v>
      </c>
      <c r="P817" s="20" t="s">
        <v>845</v>
      </c>
      <c r="Q817" s="1">
        <f t="shared" si="29"/>
        <v>1</v>
      </c>
      <c r="R817" s="1">
        <v>132</v>
      </c>
      <c r="U817" s="12">
        <f t="shared" si="30"/>
        <v>42125</v>
      </c>
    </row>
    <row r="818" spans="1:23" x14ac:dyDescent="0.25">
      <c r="A818" s="2">
        <v>14</v>
      </c>
      <c r="B818" t="s">
        <v>192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513</v>
      </c>
      <c r="P818" s="20" t="s">
        <v>845</v>
      </c>
      <c r="Q818" s="1">
        <f t="shared" si="29"/>
        <v>1</v>
      </c>
      <c r="R818" s="1">
        <v>132</v>
      </c>
      <c r="U818" s="12">
        <f t="shared" si="30"/>
        <v>42125</v>
      </c>
    </row>
    <row r="819" spans="1:23" x14ac:dyDescent="0.25">
      <c r="A819" s="2">
        <v>14</v>
      </c>
      <c r="B819" t="s">
        <v>535</v>
      </c>
      <c r="J819" s="1"/>
      <c r="M819" t="s">
        <v>15</v>
      </c>
      <c r="N819" t="str">
        <f>IFERROR(VLOOKUP(B819,'[1]All Player'!$B$2:$C$1992,2,0),"")</f>
        <v/>
      </c>
      <c r="O819" s="2" t="s">
        <v>513</v>
      </c>
      <c r="P819" s="20" t="s">
        <v>535</v>
      </c>
      <c r="Q819" s="1">
        <f t="shared" si="29"/>
        <v>1</v>
      </c>
      <c r="R819" s="1">
        <v>133</v>
      </c>
      <c r="U819" s="12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513</v>
      </c>
      <c r="P820" s="20" t="s">
        <v>535</v>
      </c>
      <c r="Q820" s="1">
        <f t="shared" si="29"/>
        <v>1</v>
      </c>
      <c r="R820" s="1">
        <v>133</v>
      </c>
      <c r="U820" s="12">
        <f t="shared" si="30"/>
        <v>42125</v>
      </c>
    </row>
    <row r="821" spans="1:23" x14ac:dyDescent="0.25">
      <c r="A821" s="2">
        <v>14</v>
      </c>
      <c r="B821" t="s">
        <v>172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513</v>
      </c>
      <c r="P821" s="20" t="s">
        <v>535</v>
      </c>
      <c r="Q821" s="1">
        <f t="shared" si="29"/>
        <v>1</v>
      </c>
      <c r="R821" s="1">
        <v>133</v>
      </c>
      <c r="U821" s="12">
        <f t="shared" si="30"/>
        <v>42125</v>
      </c>
    </row>
    <row r="822" spans="1:23" x14ac:dyDescent="0.25">
      <c r="A822" s="2">
        <v>14</v>
      </c>
      <c r="B822" t="s">
        <v>157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513</v>
      </c>
      <c r="P822" s="20" t="s">
        <v>535</v>
      </c>
      <c r="Q822" s="1">
        <f t="shared" si="29"/>
        <v>1</v>
      </c>
      <c r="R822" s="1">
        <v>133</v>
      </c>
      <c r="U822" s="12">
        <f t="shared" si="30"/>
        <v>42125</v>
      </c>
    </row>
    <row r="823" spans="1:23" x14ac:dyDescent="0.25">
      <c r="A823" s="2">
        <v>14</v>
      </c>
      <c r="B823" t="s">
        <v>168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513</v>
      </c>
      <c r="P823" s="20" t="s">
        <v>535</v>
      </c>
      <c r="Q823" s="1">
        <f t="shared" si="29"/>
        <v>1</v>
      </c>
      <c r="R823" s="1">
        <v>133</v>
      </c>
      <c r="U823" s="12">
        <f t="shared" si="30"/>
        <v>42125</v>
      </c>
    </row>
    <row r="824" spans="1:23" x14ac:dyDescent="0.25">
      <c r="A824" s="2">
        <v>14</v>
      </c>
      <c r="B824" t="s">
        <v>129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513</v>
      </c>
      <c r="P824" s="20" t="s">
        <v>535</v>
      </c>
      <c r="Q824" s="1">
        <f t="shared" si="29"/>
        <v>1</v>
      </c>
      <c r="R824" s="1">
        <v>133</v>
      </c>
      <c r="U824" s="12">
        <f t="shared" si="30"/>
        <v>42125</v>
      </c>
    </row>
    <row r="825" spans="1:23" x14ac:dyDescent="0.25">
      <c r="A825" s="2">
        <v>14</v>
      </c>
      <c r="B825" s="21" t="s">
        <v>846</v>
      </c>
      <c r="J825" s="1"/>
      <c r="M825" t="s">
        <v>15</v>
      </c>
      <c r="N825" t="str">
        <f>IFERROR(VLOOKUP(B825,'[1]All Player'!$B$2:$C$1992,2,0),"")</f>
        <v/>
      </c>
      <c r="O825" s="2" t="s">
        <v>513</v>
      </c>
      <c r="P825" s="20" t="s">
        <v>846</v>
      </c>
      <c r="Q825" s="1">
        <f t="shared" si="29"/>
        <v>1</v>
      </c>
      <c r="R825" s="1">
        <v>134</v>
      </c>
      <c r="U825" s="12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30" t="s">
        <v>513</v>
      </c>
      <c r="P826" s="20" t="s">
        <v>846</v>
      </c>
      <c r="Q826" s="1">
        <f t="shared" si="29"/>
        <v>1</v>
      </c>
      <c r="R826" s="1">
        <v>134</v>
      </c>
      <c r="U826" s="12">
        <f t="shared" si="30"/>
        <v>42125</v>
      </c>
    </row>
    <row r="827" spans="1:23" x14ac:dyDescent="0.25">
      <c r="A827" s="2">
        <v>14</v>
      </c>
      <c r="B827" t="s">
        <v>229</v>
      </c>
      <c r="C827" s="2">
        <v>6</v>
      </c>
      <c r="D827" s="2">
        <v>154</v>
      </c>
      <c r="E827" s="28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513</v>
      </c>
      <c r="P827" s="20" t="s">
        <v>846</v>
      </c>
      <c r="Q827" s="1">
        <f t="shared" si="29"/>
        <v>1</v>
      </c>
      <c r="R827" s="1">
        <v>134</v>
      </c>
      <c r="U827" s="12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513</v>
      </c>
      <c r="P828" s="20" t="s">
        <v>846</v>
      </c>
      <c r="Q828" s="1">
        <f t="shared" si="29"/>
        <v>1</v>
      </c>
      <c r="R828" s="1">
        <v>134</v>
      </c>
      <c r="U828" s="12">
        <f t="shared" si="30"/>
        <v>42125</v>
      </c>
    </row>
    <row r="829" spans="1:23" x14ac:dyDescent="0.25">
      <c r="A829" s="2">
        <v>14</v>
      </c>
      <c r="B829" t="s">
        <v>139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513</v>
      </c>
      <c r="P829" s="20" t="s">
        <v>846</v>
      </c>
      <c r="Q829" s="1">
        <f t="shared" si="29"/>
        <v>1</v>
      </c>
      <c r="R829" s="1">
        <v>134</v>
      </c>
      <c r="U829" s="12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513</v>
      </c>
      <c r="P830" s="20" t="s">
        <v>846</v>
      </c>
      <c r="Q830" s="1">
        <f t="shared" si="29"/>
        <v>1</v>
      </c>
      <c r="R830" s="1">
        <v>134</v>
      </c>
      <c r="U830" s="12">
        <f t="shared" si="30"/>
        <v>42125</v>
      </c>
    </row>
    <row r="831" spans="1:23" x14ac:dyDescent="0.25">
      <c r="A831" s="2">
        <v>14</v>
      </c>
      <c r="B831" s="21" t="s">
        <v>604</v>
      </c>
      <c r="J831" s="1"/>
      <c r="M831" t="s">
        <v>15</v>
      </c>
      <c r="N831" t="str">
        <f>IFERROR(VLOOKUP(B831,'[1]All Player'!$B$2:$C$1992,2,0),"")</f>
        <v/>
      </c>
      <c r="O831" s="2" t="s">
        <v>513</v>
      </c>
      <c r="P831" s="20" t="s">
        <v>604</v>
      </c>
      <c r="Q831" s="1">
        <f t="shared" si="29"/>
        <v>1</v>
      </c>
      <c r="R831" s="1">
        <v>135</v>
      </c>
      <c r="U831" s="12">
        <f t="shared" si="30"/>
        <v>42125</v>
      </c>
    </row>
    <row r="832" spans="1:23" x14ac:dyDescent="0.25">
      <c r="A832" s="2">
        <v>14</v>
      </c>
      <c r="B832" t="s">
        <v>811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513</v>
      </c>
      <c r="P832" s="20" t="s">
        <v>604</v>
      </c>
      <c r="Q832" s="1">
        <f t="shared" si="29"/>
        <v>1</v>
      </c>
      <c r="R832" s="1">
        <v>135</v>
      </c>
      <c r="U832" s="12">
        <f t="shared" si="30"/>
        <v>42125</v>
      </c>
      <c r="W832" s="1">
        <v>1</v>
      </c>
    </row>
    <row r="833" spans="1:22" x14ac:dyDescent="0.25">
      <c r="A833" s="2">
        <v>14</v>
      </c>
      <c r="B833" t="s">
        <v>386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513</v>
      </c>
      <c r="P833" s="20" t="s">
        <v>604</v>
      </c>
      <c r="Q833" s="1">
        <f t="shared" si="29"/>
        <v>1</v>
      </c>
      <c r="R833" s="1">
        <v>135</v>
      </c>
      <c r="S833" s="28" t="s">
        <v>660</v>
      </c>
      <c r="U833" s="12">
        <f t="shared" si="30"/>
        <v>42125</v>
      </c>
    </row>
    <row r="834" spans="1:22" x14ac:dyDescent="0.25">
      <c r="A834" s="2">
        <v>14</v>
      </c>
      <c r="B834" t="s">
        <v>196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513</v>
      </c>
      <c r="P834" s="20" t="s">
        <v>604</v>
      </c>
      <c r="Q834" s="1">
        <f t="shared" ref="Q834:Q897" si="31">IF(B834="","",1)</f>
        <v>1</v>
      </c>
      <c r="R834" s="1">
        <v>135</v>
      </c>
      <c r="U834" s="12">
        <f t="shared" si="30"/>
        <v>42125</v>
      </c>
    </row>
    <row r="835" spans="1:22" x14ac:dyDescent="0.25">
      <c r="A835" s="2">
        <v>14</v>
      </c>
      <c r="B835" t="s">
        <v>202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513</v>
      </c>
      <c r="P835" s="20" t="s">
        <v>604</v>
      </c>
      <c r="Q835" s="1">
        <f t="shared" si="31"/>
        <v>1</v>
      </c>
      <c r="R835" s="1">
        <v>135</v>
      </c>
      <c r="U835" s="12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513</v>
      </c>
      <c r="P836" s="20" t="s">
        <v>604</v>
      </c>
      <c r="Q836" s="1">
        <f t="shared" si="31"/>
        <v>1</v>
      </c>
      <c r="R836" s="1">
        <v>135</v>
      </c>
      <c r="U836" s="12">
        <f t="shared" si="30"/>
        <v>42125</v>
      </c>
    </row>
    <row r="837" spans="1:22" ht="15.75" x14ac:dyDescent="0.25">
      <c r="A837" s="2">
        <v>14</v>
      </c>
      <c r="B837" s="22" t="s">
        <v>520</v>
      </c>
      <c r="J837" s="1"/>
      <c r="M837" t="s">
        <v>15</v>
      </c>
      <c r="N837" t="str">
        <f>IFERROR(VLOOKUP(B837,'[1]All Player'!$B$2:$C$1992,2,0),"")</f>
        <v/>
      </c>
      <c r="O837" s="2" t="s">
        <v>513</v>
      </c>
      <c r="P837" s="20" t="s">
        <v>520</v>
      </c>
      <c r="Q837" s="1">
        <f t="shared" si="31"/>
        <v>1</v>
      </c>
      <c r="R837" s="1">
        <v>136</v>
      </c>
      <c r="U837" s="12">
        <f t="shared" si="30"/>
        <v>42125</v>
      </c>
    </row>
    <row r="838" spans="1:22" x14ac:dyDescent="0.25">
      <c r="A838" s="2">
        <v>14</v>
      </c>
      <c r="B838" t="s">
        <v>123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513</v>
      </c>
      <c r="P838" s="20" t="s">
        <v>520</v>
      </c>
      <c r="Q838" s="1">
        <f t="shared" si="31"/>
        <v>1</v>
      </c>
      <c r="R838" s="1">
        <v>136</v>
      </c>
      <c r="U838" s="12">
        <f t="shared" si="30"/>
        <v>42125</v>
      </c>
    </row>
    <row r="839" spans="1:22" x14ac:dyDescent="0.25">
      <c r="A839" s="2">
        <v>14</v>
      </c>
      <c r="B839" t="s">
        <v>180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513</v>
      </c>
      <c r="P839" s="20" t="s">
        <v>520</v>
      </c>
      <c r="Q839" s="1">
        <f t="shared" si="31"/>
        <v>1</v>
      </c>
      <c r="R839" s="1">
        <v>136</v>
      </c>
      <c r="U839" s="12">
        <f t="shared" si="30"/>
        <v>42125</v>
      </c>
    </row>
    <row r="840" spans="1:22" x14ac:dyDescent="0.25">
      <c r="A840" s="2">
        <v>14</v>
      </c>
      <c r="B840" t="s">
        <v>299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513</v>
      </c>
      <c r="P840" s="20" t="s">
        <v>520</v>
      </c>
      <c r="Q840" s="1">
        <f t="shared" si="31"/>
        <v>1</v>
      </c>
      <c r="R840" s="1">
        <v>136</v>
      </c>
      <c r="U840" s="12">
        <f t="shared" si="30"/>
        <v>42125</v>
      </c>
      <c r="V840" s="1">
        <v>1</v>
      </c>
    </row>
    <row r="841" spans="1:22" x14ac:dyDescent="0.25">
      <c r="A841" s="2">
        <v>14</v>
      </c>
      <c r="B841" t="s">
        <v>334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513</v>
      </c>
      <c r="P841" s="20" t="s">
        <v>520</v>
      </c>
      <c r="Q841" s="1">
        <f t="shared" si="31"/>
        <v>1</v>
      </c>
      <c r="R841" s="1">
        <v>136</v>
      </c>
      <c r="U841" s="12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513</v>
      </c>
      <c r="P842" s="20" t="s">
        <v>520</v>
      </c>
      <c r="Q842" s="1">
        <f t="shared" si="31"/>
        <v>1</v>
      </c>
      <c r="R842" s="1">
        <v>136</v>
      </c>
      <c r="U842" s="12">
        <f t="shared" ref="U842:U860" si="32">U841</f>
        <v>42125</v>
      </c>
    </row>
    <row r="843" spans="1:22" x14ac:dyDescent="0.25">
      <c r="A843" s="2">
        <v>14</v>
      </c>
      <c r="B843" s="17" t="s">
        <v>847</v>
      </c>
      <c r="J843" s="1"/>
      <c r="M843" t="s">
        <v>15</v>
      </c>
      <c r="N843" t="str">
        <f>IFERROR(VLOOKUP(B843,'[1]All Player'!$B$2:$C$1992,2,0),"")</f>
        <v/>
      </c>
      <c r="O843" s="2" t="s">
        <v>513</v>
      </c>
      <c r="P843" s="20" t="s">
        <v>847</v>
      </c>
      <c r="Q843" s="1">
        <f t="shared" si="31"/>
        <v>1</v>
      </c>
      <c r="R843" s="1">
        <v>137</v>
      </c>
      <c r="U843" s="12">
        <f t="shared" si="32"/>
        <v>42125</v>
      </c>
    </row>
    <row r="844" spans="1:22" x14ac:dyDescent="0.25">
      <c r="A844" s="2">
        <v>14</v>
      </c>
      <c r="B844" t="s">
        <v>115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513</v>
      </c>
      <c r="P844" s="20" t="s">
        <v>847</v>
      </c>
      <c r="Q844" s="1">
        <f t="shared" si="31"/>
        <v>1</v>
      </c>
      <c r="R844" s="1">
        <v>137</v>
      </c>
      <c r="U844" s="12">
        <f t="shared" si="32"/>
        <v>42125</v>
      </c>
    </row>
    <row r="845" spans="1:22" x14ac:dyDescent="0.25">
      <c r="A845" s="2">
        <v>14</v>
      </c>
      <c r="B845" t="s">
        <v>149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513</v>
      </c>
      <c r="P845" s="20" t="s">
        <v>847</v>
      </c>
      <c r="Q845" s="1">
        <f t="shared" si="31"/>
        <v>1</v>
      </c>
      <c r="R845" s="1">
        <v>137</v>
      </c>
      <c r="U845" s="12">
        <f t="shared" si="32"/>
        <v>42125</v>
      </c>
    </row>
    <row r="846" spans="1:22" x14ac:dyDescent="0.25">
      <c r="A846" s="2">
        <v>14</v>
      </c>
      <c r="B846" t="s">
        <v>174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513</v>
      </c>
      <c r="P846" s="20" t="s">
        <v>847</v>
      </c>
      <c r="Q846" s="1">
        <f t="shared" si="31"/>
        <v>1</v>
      </c>
      <c r="R846" s="1">
        <v>137</v>
      </c>
      <c r="U846" s="12">
        <f t="shared" si="32"/>
        <v>42125</v>
      </c>
    </row>
    <row r="847" spans="1:22" x14ac:dyDescent="0.25">
      <c r="A847" s="2">
        <v>14</v>
      </c>
      <c r="B847" t="s">
        <v>159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513</v>
      </c>
      <c r="P847" s="20" t="s">
        <v>847</v>
      </c>
      <c r="Q847" s="1">
        <f t="shared" si="31"/>
        <v>1</v>
      </c>
      <c r="R847" s="1">
        <v>137</v>
      </c>
      <c r="U847" s="12">
        <f t="shared" si="32"/>
        <v>42125</v>
      </c>
    </row>
    <row r="848" spans="1:22" x14ac:dyDescent="0.25">
      <c r="A848" s="2">
        <v>14</v>
      </c>
      <c r="B848" t="s">
        <v>354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513</v>
      </c>
      <c r="P848" s="20" t="s">
        <v>847</v>
      </c>
      <c r="Q848" s="1">
        <f t="shared" si="31"/>
        <v>1</v>
      </c>
      <c r="R848" s="1">
        <v>137</v>
      </c>
      <c r="U848" s="12">
        <f t="shared" si="32"/>
        <v>42125</v>
      </c>
    </row>
    <row r="849" spans="1:21" x14ac:dyDescent="0.25">
      <c r="A849" s="2">
        <v>14</v>
      </c>
      <c r="B849" s="17" t="s">
        <v>605</v>
      </c>
      <c r="J849" s="1"/>
      <c r="M849" t="s">
        <v>15</v>
      </c>
      <c r="N849" t="str">
        <f>IFERROR(VLOOKUP(B849,'[1]All Player'!$B$2:$C$1992,2,0),"")</f>
        <v/>
      </c>
      <c r="O849" s="2" t="s">
        <v>513</v>
      </c>
      <c r="P849" s="20" t="s">
        <v>605</v>
      </c>
      <c r="Q849" s="1">
        <f t="shared" si="31"/>
        <v>1</v>
      </c>
      <c r="R849" s="1">
        <v>138</v>
      </c>
      <c r="U849" s="12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513</v>
      </c>
      <c r="P850" s="20" t="s">
        <v>605</v>
      </c>
      <c r="Q850" s="1">
        <f t="shared" si="31"/>
        <v>1</v>
      </c>
      <c r="R850" s="1">
        <v>138</v>
      </c>
      <c r="U850" s="12">
        <f t="shared" si="32"/>
        <v>42125</v>
      </c>
    </row>
    <row r="851" spans="1:21" x14ac:dyDescent="0.25">
      <c r="A851" s="2">
        <v>14</v>
      </c>
      <c r="B851" t="s">
        <v>145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513</v>
      </c>
      <c r="P851" s="20" t="s">
        <v>605</v>
      </c>
      <c r="Q851" s="1">
        <f t="shared" si="31"/>
        <v>1</v>
      </c>
      <c r="R851" s="1">
        <v>138</v>
      </c>
      <c r="U851" s="12">
        <f t="shared" si="32"/>
        <v>42125</v>
      </c>
    </row>
    <row r="852" spans="1:21" x14ac:dyDescent="0.25">
      <c r="A852" s="2">
        <v>14</v>
      </c>
      <c r="B852" t="s">
        <v>137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513</v>
      </c>
      <c r="P852" s="20" t="s">
        <v>605</v>
      </c>
      <c r="Q852" s="1">
        <f t="shared" si="31"/>
        <v>1</v>
      </c>
      <c r="R852" s="1">
        <v>138</v>
      </c>
      <c r="U852" s="12">
        <f t="shared" si="32"/>
        <v>42125</v>
      </c>
    </row>
    <row r="853" spans="1:21" x14ac:dyDescent="0.25">
      <c r="A853" s="2">
        <v>14</v>
      </c>
      <c r="B853" t="s">
        <v>388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513</v>
      </c>
      <c r="P853" s="20" t="s">
        <v>605</v>
      </c>
      <c r="Q853" s="1">
        <f t="shared" si="31"/>
        <v>1</v>
      </c>
      <c r="R853" s="1">
        <v>138</v>
      </c>
      <c r="U853" s="12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513</v>
      </c>
      <c r="P854" s="20" t="s">
        <v>605</v>
      </c>
      <c r="Q854" s="1">
        <f t="shared" si="31"/>
        <v>1</v>
      </c>
      <c r="R854" s="1">
        <v>138</v>
      </c>
      <c r="U854" s="12">
        <f t="shared" si="32"/>
        <v>42125</v>
      </c>
    </row>
    <row r="855" spans="1:21" x14ac:dyDescent="0.25">
      <c r="A855" s="2">
        <v>14</v>
      </c>
      <c r="B855" s="17" t="s">
        <v>848</v>
      </c>
      <c r="J855" s="1"/>
      <c r="M855" t="s">
        <v>15</v>
      </c>
      <c r="N855" t="str">
        <f>IFERROR(VLOOKUP(B855,'[1]All Player'!$B$2:$C$1992,2,0),"")</f>
        <v/>
      </c>
      <c r="O855" s="2" t="s">
        <v>513</v>
      </c>
      <c r="P855" s="20" t="s">
        <v>848</v>
      </c>
      <c r="Q855" s="1">
        <f t="shared" si="31"/>
        <v>1</v>
      </c>
      <c r="R855" s="1">
        <v>139</v>
      </c>
      <c r="U855" s="12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513</v>
      </c>
      <c r="P856" s="20" t="s">
        <v>848</v>
      </c>
      <c r="Q856" s="1">
        <f t="shared" si="31"/>
        <v>1</v>
      </c>
      <c r="R856" s="1">
        <v>139</v>
      </c>
      <c r="U856" s="12">
        <f t="shared" si="32"/>
        <v>42125</v>
      </c>
    </row>
    <row r="857" spans="1:21" x14ac:dyDescent="0.25">
      <c r="A857" s="2">
        <v>14</v>
      </c>
      <c r="B857" t="s">
        <v>159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513</v>
      </c>
      <c r="P857" s="20" t="s">
        <v>848</v>
      </c>
      <c r="Q857" s="1">
        <f t="shared" si="31"/>
        <v>1</v>
      </c>
      <c r="R857" s="1">
        <v>139</v>
      </c>
      <c r="U857" s="12">
        <f t="shared" si="32"/>
        <v>42125</v>
      </c>
    </row>
    <row r="858" spans="1:21" x14ac:dyDescent="0.25">
      <c r="A858" s="2">
        <v>14</v>
      </c>
      <c r="B858" t="s">
        <v>127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513</v>
      </c>
      <c r="P858" s="20" t="s">
        <v>848</v>
      </c>
      <c r="Q858" s="1">
        <f t="shared" si="31"/>
        <v>1</v>
      </c>
      <c r="R858" s="1">
        <v>139</v>
      </c>
      <c r="U858" s="12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513</v>
      </c>
      <c r="P859" s="20" t="s">
        <v>848</v>
      </c>
      <c r="Q859" s="1">
        <f t="shared" si="31"/>
        <v>1</v>
      </c>
      <c r="R859" s="1">
        <v>139</v>
      </c>
      <c r="U859" s="12">
        <f t="shared" si="32"/>
        <v>42125</v>
      </c>
    </row>
    <row r="860" spans="1:21" x14ac:dyDescent="0.25">
      <c r="A860" s="2">
        <v>14</v>
      </c>
      <c r="B860" t="s">
        <v>352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513</v>
      </c>
      <c r="P860" s="20" t="s">
        <v>848</v>
      </c>
      <c r="Q860" s="1">
        <f t="shared" si="31"/>
        <v>1</v>
      </c>
      <c r="R860" s="1">
        <v>139</v>
      </c>
      <c r="U860" s="12">
        <f t="shared" si="32"/>
        <v>42125</v>
      </c>
    </row>
    <row r="861" spans="1:21" x14ac:dyDescent="0.25">
      <c r="A861" s="2">
        <v>15</v>
      </c>
      <c r="B861" s="21" t="s">
        <v>849</v>
      </c>
      <c r="J861" s="1"/>
      <c r="M861" t="s">
        <v>15</v>
      </c>
      <c r="N861" t="str">
        <f>IFERROR(VLOOKUP(B861,'[1]All Player'!$B$2:$C$1992,2,0),"")</f>
        <v/>
      </c>
      <c r="O861" s="2" t="s">
        <v>532</v>
      </c>
      <c r="P861" s="20" t="s">
        <v>849</v>
      </c>
      <c r="Q861" s="1">
        <f t="shared" si="31"/>
        <v>1</v>
      </c>
      <c r="R861" s="1">
        <v>140</v>
      </c>
      <c r="U861" s="12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30" t="s">
        <v>532</v>
      </c>
      <c r="P862" s="20" t="s">
        <v>849</v>
      </c>
      <c r="Q862" s="1">
        <f t="shared" si="31"/>
        <v>1</v>
      </c>
      <c r="R862" s="1">
        <v>140</v>
      </c>
      <c r="U862" s="12">
        <f t="shared" ref="U862:U921" si="33">U861</f>
        <v>42248</v>
      </c>
    </row>
    <row r="863" spans="1:21" x14ac:dyDescent="0.25">
      <c r="A863" s="2">
        <v>15</v>
      </c>
      <c r="B863" t="s">
        <v>206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532</v>
      </c>
      <c r="P863" s="20" t="s">
        <v>849</v>
      </c>
      <c r="Q863" s="1">
        <f t="shared" si="31"/>
        <v>1</v>
      </c>
      <c r="R863" s="1">
        <v>140</v>
      </c>
      <c r="U863" s="12">
        <f t="shared" si="33"/>
        <v>42248</v>
      </c>
    </row>
    <row r="864" spans="1:21" x14ac:dyDescent="0.25">
      <c r="A864" s="2">
        <v>15</v>
      </c>
      <c r="B864" t="s">
        <v>139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532</v>
      </c>
      <c r="P864" s="20" t="s">
        <v>849</v>
      </c>
      <c r="Q864" s="1">
        <f t="shared" si="31"/>
        <v>1</v>
      </c>
      <c r="R864" s="1">
        <v>140</v>
      </c>
      <c r="U864" s="12">
        <f t="shared" si="33"/>
        <v>42248</v>
      </c>
    </row>
    <row r="865" spans="1:21" x14ac:dyDescent="0.25">
      <c r="A865" s="2">
        <v>15</v>
      </c>
      <c r="B865" t="s">
        <v>283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532</v>
      </c>
      <c r="P865" s="20" t="s">
        <v>849</v>
      </c>
      <c r="Q865" s="1">
        <f t="shared" si="31"/>
        <v>1</v>
      </c>
      <c r="R865" s="1">
        <v>140</v>
      </c>
      <c r="U865" s="12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532</v>
      </c>
      <c r="P866" s="20" t="s">
        <v>849</v>
      </c>
      <c r="Q866" s="1">
        <f t="shared" si="31"/>
        <v>1</v>
      </c>
      <c r="R866" s="1">
        <v>140</v>
      </c>
      <c r="U866" s="12">
        <f t="shared" si="33"/>
        <v>42248</v>
      </c>
    </row>
    <row r="867" spans="1:21" x14ac:dyDescent="0.25">
      <c r="A867" s="2">
        <v>15</v>
      </c>
      <c r="B867" s="21" t="s">
        <v>850</v>
      </c>
      <c r="J867" s="1"/>
      <c r="M867" t="s">
        <v>15</v>
      </c>
      <c r="N867" t="str">
        <f>IFERROR(VLOOKUP(B867,'[1]All Player'!$B$2:$C$1992,2,0),"")</f>
        <v/>
      </c>
      <c r="O867" s="2" t="s">
        <v>532</v>
      </c>
      <c r="P867" s="20" t="s">
        <v>850</v>
      </c>
      <c r="Q867" s="1">
        <f t="shared" si="31"/>
        <v>1</v>
      </c>
      <c r="R867" s="1">
        <v>141</v>
      </c>
      <c r="U867" s="12">
        <f t="shared" si="33"/>
        <v>42248</v>
      </c>
    </row>
    <row r="868" spans="1:21" x14ac:dyDescent="0.25">
      <c r="A868" s="2">
        <v>15</v>
      </c>
      <c r="B868" t="s">
        <v>115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532</v>
      </c>
      <c r="P868" s="20" t="s">
        <v>850</v>
      </c>
      <c r="Q868" s="1">
        <f t="shared" si="31"/>
        <v>1</v>
      </c>
      <c r="R868" s="1">
        <v>141</v>
      </c>
      <c r="U868" s="12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532</v>
      </c>
      <c r="P869" s="20" t="s">
        <v>850</v>
      </c>
      <c r="Q869" s="1">
        <f t="shared" si="31"/>
        <v>1</v>
      </c>
      <c r="R869" s="1">
        <v>141</v>
      </c>
      <c r="U869" s="12">
        <f t="shared" si="33"/>
        <v>42248</v>
      </c>
    </row>
    <row r="870" spans="1:21" x14ac:dyDescent="0.25">
      <c r="A870" s="2">
        <v>15</v>
      </c>
      <c r="B870" t="s">
        <v>155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532</v>
      </c>
      <c r="P870" s="20" t="s">
        <v>850</v>
      </c>
      <c r="Q870" s="1">
        <f t="shared" si="31"/>
        <v>1</v>
      </c>
      <c r="R870" s="1">
        <v>141</v>
      </c>
      <c r="U870" s="12">
        <f t="shared" si="33"/>
        <v>42248</v>
      </c>
    </row>
    <row r="871" spans="1:21" x14ac:dyDescent="0.25">
      <c r="A871" s="2">
        <v>15</v>
      </c>
      <c r="B871" t="s">
        <v>137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532</v>
      </c>
      <c r="P871" s="20" t="s">
        <v>850</v>
      </c>
      <c r="Q871" s="1">
        <f t="shared" si="31"/>
        <v>1</v>
      </c>
      <c r="R871" s="1">
        <v>141</v>
      </c>
      <c r="U871" s="12">
        <f t="shared" si="33"/>
        <v>42248</v>
      </c>
    </row>
    <row r="872" spans="1:21" x14ac:dyDescent="0.25">
      <c r="A872" s="2">
        <v>15</v>
      </c>
      <c r="B872" s="21" t="s">
        <v>606</v>
      </c>
      <c r="J872" s="1"/>
      <c r="M872" t="s">
        <v>15</v>
      </c>
      <c r="N872" t="str">
        <f>IFERROR(VLOOKUP(B872,'[1]All Player'!$B$2:$C$1992,2,0),"")</f>
        <v/>
      </c>
      <c r="O872" s="2" t="s">
        <v>532</v>
      </c>
      <c r="P872" s="20" t="s">
        <v>606</v>
      </c>
      <c r="Q872" s="1">
        <f t="shared" si="31"/>
        <v>1</v>
      </c>
      <c r="R872" s="1">
        <v>142</v>
      </c>
      <c r="U872" s="12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532</v>
      </c>
      <c r="P873" s="20" t="s">
        <v>606</v>
      </c>
      <c r="Q873" s="1">
        <f t="shared" si="31"/>
        <v>1</v>
      </c>
      <c r="R873" s="1">
        <v>142</v>
      </c>
      <c r="U873" s="12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532</v>
      </c>
      <c r="P874" s="20" t="s">
        <v>606</v>
      </c>
      <c r="Q874" s="1">
        <f t="shared" si="31"/>
        <v>1</v>
      </c>
      <c r="R874" s="1">
        <v>142</v>
      </c>
      <c r="U874" s="12">
        <f t="shared" si="33"/>
        <v>42248</v>
      </c>
    </row>
    <row r="875" spans="1:21" x14ac:dyDescent="0.25">
      <c r="A875" s="2">
        <v>15</v>
      </c>
      <c r="B875" t="s">
        <v>168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532</v>
      </c>
      <c r="P875" s="20" t="s">
        <v>606</v>
      </c>
      <c r="Q875" s="1">
        <f t="shared" si="31"/>
        <v>1</v>
      </c>
      <c r="R875" s="1">
        <v>142</v>
      </c>
      <c r="U875" s="12">
        <f t="shared" si="33"/>
        <v>42248</v>
      </c>
    </row>
    <row r="876" spans="1:21" x14ac:dyDescent="0.25">
      <c r="A876" s="2">
        <v>15</v>
      </c>
      <c r="B876" t="s">
        <v>390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532</v>
      </c>
      <c r="P876" s="20" t="s">
        <v>606</v>
      </c>
      <c r="Q876" s="1">
        <f t="shared" si="31"/>
        <v>1</v>
      </c>
      <c r="R876" s="1">
        <v>142</v>
      </c>
      <c r="U876" s="12">
        <f t="shared" si="33"/>
        <v>42248</v>
      </c>
    </row>
    <row r="877" spans="1:21" x14ac:dyDescent="0.25">
      <c r="A877" s="2">
        <v>15</v>
      </c>
      <c r="B877" s="21" t="s">
        <v>851</v>
      </c>
      <c r="J877" s="1"/>
      <c r="M877" t="s">
        <v>15</v>
      </c>
      <c r="N877" t="str">
        <f>IFERROR(VLOOKUP(B877,'[1]All Player'!$B$2:$C$1992,2,0),"")</f>
        <v/>
      </c>
      <c r="O877" s="2" t="s">
        <v>532</v>
      </c>
      <c r="P877" s="20" t="s">
        <v>851</v>
      </c>
      <c r="Q877" s="1">
        <f t="shared" si="31"/>
        <v>1</v>
      </c>
      <c r="R877" s="1">
        <v>143</v>
      </c>
      <c r="U877" s="12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532</v>
      </c>
      <c r="P878" s="20" t="s">
        <v>851</v>
      </c>
      <c r="Q878" s="1">
        <f t="shared" si="31"/>
        <v>1</v>
      </c>
      <c r="R878" s="1">
        <v>143</v>
      </c>
      <c r="U878" s="12">
        <f t="shared" si="33"/>
        <v>42248</v>
      </c>
    </row>
    <row r="879" spans="1:21" x14ac:dyDescent="0.25">
      <c r="A879" s="2">
        <v>15</v>
      </c>
      <c r="B879" t="s">
        <v>121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532</v>
      </c>
      <c r="P879" s="20" t="s">
        <v>851</v>
      </c>
      <c r="Q879" s="1">
        <f t="shared" si="31"/>
        <v>1</v>
      </c>
      <c r="R879" s="1">
        <v>143</v>
      </c>
      <c r="U879" s="12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532</v>
      </c>
      <c r="P880" s="20" t="s">
        <v>851</v>
      </c>
      <c r="Q880" s="1">
        <f t="shared" si="31"/>
        <v>1</v>
      </c>
      <c r="R880" s="1">
        <v>143</v>
      </c>
      <c r="U880" s="12">
        <f t="shared" si="33"/>
        <v>42248</v>
      </c>
    </row>
    <row r="881" spans="1:23" x14ac:dyDescent="0.25">
      <c r="A881" s="2">
        <v>15</v>
      </c>
      <c r="B881" t="s">
        <v>382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532</v>
      </c>
      <c r="P881" s="20" t="s">
        <v>851</v>
      </c>
      <c r="Q881" s="1">
        <f t="shared" si="31"/>
        <v>1</v>
      </c>
      <c r="R881" s="1">
        <v>143</v>
      </c>
      <c r="U881" s="12">
        <f t="shared" si="33"/>
        <v>42248</v>
      </c>
    </row>
    <row r="882" spans="1:23" x14ac:dyDescent="0.25">
      <c r="A882" s="2">
        <v>15</v>
      </c>
      <c r="B882" s="21" t="s">
        <v>852</v>
      </c>
      <c r="J882" s="1"/>
      <c r="M882" t="s">
        <v>15</v>
      </c>
      <c r="N882" t="str">
        <f>IFERROR(VLOOKUP(B882,'[1]All Player'!$B$2:$C$1992,2,0),"")</f>
        <v/>
      </c>
      <c r="O882" s="2" t="s">
        <v>532</v>
      </c>
      <c r="P882" s="20" t="s">
        <v>852</v>
      </c>
      <c r="Q882" s="1">
        <f t="shared" si="31"/>
        <v>1</v>
      </c>
      <c r="R882" s="1">
        <v>144</v>
      </c>
      <c r="T882" s="1" t="s">
        <v>659</v>
      </c>
      <c r="U882" s="12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532</v>
      </c>
      <c r="P883" s="20" t="s">
        <v>852</v>
      </c>
      <c r="Q883" s="1">
        <f t="shared" si="31"/>
        <v>1</v>
      </c>
      <c r="R883" s="1">
        <v>144</v>
      </c>
      <c r="T883" s="1" t="s">
        <v>659</v>
      </c>
      <c r="U883" s="12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532</v>
      </c>
      <c r="P884" s="20" t="s">
        <v>852</v>
      </c>
      <c r="Q884" s="1">
        <f t="shared" si="31"/>
        <v>1</v>
      </c>
      <c r="R884" s="1">
        <v>144</v>
      </c>
      <c r="T884" s="1" t="s">
        <v>659</v>
      </c>
      <c r="U884" s="12">
        <f t="shared" si="33"/>
        <v>42248</v>
      </c>
    </row>
    <row r="885" spans="1:23" x14ac:dyDescent="0.25">
      <c r="A885" s="2">
        <v>15</v>
      </c>
      <c r="B885" t="s">
        <v>198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532</v>
      </c>
      <c r="P885" s="20" t="s">
        <v>852</v>
      </c>
      <c r="Q885" s="1">
        <f t="shared" si="31"/>
        <v>1</v>
      </c>
      <c r="R885" s="1">
        <v>144</v>
      </c>
      <c r="T885" s="1" t="s">
        <v>659</v>
      </c>
      <c r="U885" s="12">
        <f t="shared" si="33"/>
        <v>42248</v>
      </c>
    </row>
    <row r="886" spans="1:23" x14ac:dyDescent="0.25">
      <c r="A886" s="2">
        <v>15</v>
      </c>
      <c r="B886" t="s">
        <v>200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532</v>
      </c>
      <c r="P886" s="20" t="s">
        <v>852</v>
      </c>
      <c r="Q886" s="1">
        <f t="shared" si="31"/>
        <v>1</v>
      </c>
      <c r="R886" s="1">
        <v>144</v>
      </c>
      <c r="S886" s="2" t="s">
        <v>660</v>
      </c>
      <c r="T886" s="1" t="s">
        <v>659</v>
      </c>
      <c r="U886" s="12">
        <f t="shared" si="33"/>
        <v>42248</v>
      </c>
      <c r="V886" s="1">
        <v>1</v>
      </c>
    </row>
    <row r="887" spans="1:23" x14ac:dyDescent="0.25">
      <c r="A887" s="2">
        <v>15</v>
      </c>
      <c r="B887" s="21" t="s">
        <v>853</v>
      </c>
      <c r="J887" s="1"/>
      <c r="M887" t="s">
        <v>15</v>
      </c>
      <c r="N887" t="str">
        <f>IFERROR(VLOOKUP(B887,'[1]All Player'!$B$2:$C$1992,2,0),"")</f>
        <v/>
      </c>
      <c r="O887" s="2" t="s">
        <v>532</v>
      </c>
      <c r="P887" s="20" t="s">
        <v>853</v>
      </c>
      <c r="Q887" s="1">
        <f t="shared" si="31"/>
        <v>1</v>
      </c>
      <c r="R887" s="1">
        <v>145</v>
      </c>
      <c r="U887" s="12">
        <f t="shared" si="33"/>
        <v>42248</v>
      </c>
    </row>
    <row r="888" spans="1:23" x14ac:dyDescent="0.25">
      <c r="A888" s="2">
        <v>15</v>
      </c>
      <c r="B888" t="s">
        <v>123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532</v>
      </c>
      <c r="P888" s="20" t="s">
        <v>853</v>
      </c>
      <c r="Q888" s="1">
        <f t="shared" si="31"/>
        <v>1</v>
      </c>
      <c r="R888" s="1">
        <v>145</v>
      </c>
      <c r="U888" s="12">
        <f t="shared" si="33"/>
        <v>42248</v>
      </c>
    </row>
    <row r="889" spans="1:23" x14ac:dyDescent="0.25">
      <c r="A889" s="2">
        <v>15</v>
      </c>
      <c r="B889" t="s">
        <v>133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532</v>
      </c>
      <c r="P889" s="20" t="s">
        <v>853</v>
      </c>
      <c r="Q889" s="1">
        <f t="shared" si="31"/>
        <v>1</v>
      </c>
      <c r="R889" s="1">
        <v>145</v>
      </c>
      <c r="U889" s="12">
        <f t="shared" si="33"/>
        <v>42248</v>
      </c>
    </row>
    <row r="890" spans="1:23" x14ac:dyDescent="0.25">
      <c r="A890" s="2">
        <v>15</v>
      </c>
      <c r="B890" t="s">
        <v>182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532</v>
      </c>
      <c r="P890" s="20" t="s">
        <v>853</v>
      </c>
      <c r="Q890" s="1">
        <f t="shared" si="31"/>
        <v>1</v>
      </c>
      <c r="R890" s="1">
        <v>145</v>
      </c>
      <c r="U890" s="12">
        <f t="shared" si="33"/>
        <v>42248</v>
      </c>
    </row>
    <row r="891" spans="1:23" x14ac:dyDescent="0.25">
      <c r="A891" s="2">
        <v>15</v>
      </c>
      <c r="B891" t="s">
        <v>149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532</v>
      </c>
      <c r="P891" s="20" t="s">
        <v>853</v>
      </c>
      <c r="Q891" s="1">
        <f t="shared" si="31"/>
        <v>1</v>
      </c>
      <c r="R891" s="1">
        <v>145</v>
      </c>
      <c r="U891" s="12">
        <f t="shared" si="33"/>
        <v>42248</v>
      </c>
    </row>
    <row r="892" spans="1:23" x14ac:dyDescent="0.25">
      <c r="A892" s="2">
        <v>15</v>
      </c>
      <c r="B892" s="21" t="s">
        <v>854</v>
      </c>
      <c r="J892" s="1"/>
      <c r="M892" t="s">
        <v>15</v>
      </c>
      <c r="N892" t="str">
        <f>IFERROR(VLOOKUP(B892,'[1]All Player'!$B$2:$C$1992,2,0),"")</f>
        <v/>
      </c>
      <c r="O892" s="2" t="s">
        <v>532</v>
      </c>
      <c r="P892" s="20" t="s">
        <v>854</v>
      </c>
      <c r="Q892" s="1">
        <f t="shared" si="31"/>
        <v>1</v>
      </c>
      <c r="R892" s="1">
        <v>146</v>
      </c>
      <c r="U892" s="12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532</v>
      </c>
      <c r="P893" s="20" t="s">
        <v>854</v>
      </c>
      <c r="Q893" s="1">
        <f t="shared" si="31"/>
        <v>1</v>
      </c>
      <c r="R893" s="1">
        <v>146</v>
      </c>
      <c r="U893" s="12">
        <f t="shared" si="33"/>
        <v>42248</v>
      </c>
    </row>
    <row r="894" spans="1:23" x14ac:dyDescent="0.25">
      <c r="A894" s="2">
        <v>15</v>
      </c>
      <c r="B894" t="s">
        <v>159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532</v>
      </c>
      <c r="P894" s="20" t="s">
        <v>854</v>
      </c>
      <c r="Q894" s="1">
        <f t="shared" si="31"/>
        <v>1</v>
      </c>
      <c r="R894" s="1">
        <v>146</v>
      </c>
      <c r="U894" s="12">
        <f t="shared" si="33"/>
        <v>42248</v>
      </c>
    </row>
    <row r="895" spans="1:23" x14ac:dyDescent="0.25">
      <c r="A895" s="2">
        <v>15</v>
      </c>
      <c r="B895" t="s">
        <v>196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532</v>
      </c>
      <c r="P895" s="20" t="s">
        <v>854</v>
      </c>
      <c r="Q895" s="1">
        <f t="shared" si="31"/>
        <v>1</v>
      </c>
      <c r="R895" s="1">
        <v>146</v>
      </c>
      <c r="U895" s="12">
        <f t="shared" si="33"/>
        <v>42248</v>
      </c>
    </row>
    <row r="896" spans="1:23" x14ac:dyDescent="0.25">
      <c r="A896" s="2">
        <v>15</v>
      </c>
      <c r="B896" t="s">
        <v>194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532</v>
      </c>
      <c r="P896" s="20" t="s">
        <v>854</v>
      </c>
      <c r="Q896" s="1">
        <f t="shared" si="31"/>
        <v>1</v>
      </c>
      <c r="R896" s="1">
        <v>146</v>
      </c>
      <c r="U896" s="12">
        <f t="shared" si="33"/>
        <v>42248</v>
      </c>
    </row>
    <row r="897" spans="1:21" x14ac:dyDescent="0.25">
      <c r="A897" s="2">
        <v>15</v>
      </c>
      <c r="B897" s="21" t="s">
        <v>855</v>
      </c>
      <c r="J897" s="1"/>
      <c r="M897" t="s">
        <v>15</v>
      </c>
      <c r="N897" t="str">
        <f>IFERROR(VLOOKUP(B897,'[1]All Player'!$B$2:$C$1992,2,0),"")</f>
        <v/>
      </c>
      <c r="O897" s="2" t="s">
        <v>532</v>
      </c>
      <c r="P897" s="20" t="s">
        <v>855</v>
      </c>
      <c r="Q897" s="1">
        <f t="shared" si="31"/>
        <v>1</v>
      </c>
      <c r="R897" s="1">
        <v>147</v>
      </c>
      <c r="U897" s="12">
        <f t="shared" si="33"/>
        <v>42248</v>
      </c>
    </row>
    <row r="898" spans="1:21" x14ac:dyDescent="0.25">
      <c r="A898" s="2">
        <v>15</v>
      </c>
      <c r="B898" t="s">
        <v>299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532</v>
      </c>
      <c r="P898" s="20" t="s">
        <v>855</v>
      </c>
      <c r="Q898" s="1">
        <f t="shared" ref="Q898:Q961" si="34">IF(B898="","",1)</f>
        <v>1</v>
      </c>
      <c r="R898" s="1">
        <v>147</v>
      </c>
      <c r="U898" s="12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532</v>
      </c>
      <c r="P899" s="20" t="s">
        <v>855</v>
      </c>
      <c r="Q899" s="1">
        <f t="shared" si="34"/>
        <v>1</v>
      </c>
      <c r="R899" s="1">
        <v>147</v>
      </c>
      <c r="U899" s="12">
        <f t="shared" si="33"/>
        <v>42248</v>
      </c>
    </row>
    <row r="900" spans="1:21" x14ac:dyDescent="0.25">
      <c r="A900" s="2">
        <v>15</v>
      </c>
      <c r="B900" t="s">
        <v>297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532</v>
      </c>
      <c r="P900" s="20" t="s">
        <v>855</v>
      </c>
      <c r="Q900" s="1">
        <f t="shared" si="34"/>
        <v>1</v>
      </c>
      <c r="R900" s="1">
        <v>147</v>
      </c>
      <c r="U900" s="12">
        <f t="shared" si="33"/>
        <v>42248</v>
      </c>
    </row>
    <row r="901" spans="1:21" x14ac:dyDescent="0.25">
      <c r="A901" s="2">
        <v>15</v>
      </c>
      <c r="B901" t="s">
        <v>172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532</v>
      </c>
      <c r="P901" s="20" t="s">
        <v>855</v>
      </c>
      <c r="Q901" s="1">
        <f t="shared" si="34"/>
        <v>1</v>
      </c>
      <c r="R901" s="1">
        <v>147</v>
      </c>
      <c r="U901" s="12">
        <f t="shared" si="33"/>
        <v>42248</v>
      </c>
    </row>
    <row r="902" spans="1:21" x14ac:dyDescent="0.25">
      <c r="A902" s="2">
        <v>15</v>
      </c>
      <c r="B902" s="21" t="s">
        <v>856</v>
      </c>
      <c r="J902" s="1"/>
      <c r="M902" t="s">
        <v>15</v>
      </c>
      <c r="N902" t="str">
        <f>IFERROR(VLOOKUP(B902,'[1]All Player'!$B$2:$C$1992,2,0),"")</f>
        <v/>
      </c>
      <c r="O902" s="2" t="s">
        <v>532</v>
      </c>
      <c r="P902" s="20" t="s">
        <v>856</v>
      </c>
      <c r="Q902" s="1">
        <f t="shared" si="34"/>
        <v>1</v>
      </c>
      <c r="R902" s="1">
        <v>148</v>
      </c>
      <c r="U902" s="12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532</v>
      </c>
      <c r="P903" s="20" t="s">
        <v>856</v>
      </c>
      <c r="Q903" s="1">
        <f t="shared" si="34"/>
        <v>1</v>
      </c>
      <c r="R903" s="1">
        <v>148</v>
      </c>
      <c r="U903" s="12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532</v>
      </c>
      <c r="P904" s="20" t="s">
        <v>856</v>
      </c>
      <c r="Q904" s="1">
        <f t="shared" si="34"/>
        <v>1</v>
      </c>
      <c r="R904" s="1">
        <v>148</v>
      </c>
      <c r="U904" s="12">
        <f t="shared" si="33"/>
        <v>42248</v>
      </c>
    </row>
    <row r="905" spans="1:21" x14ac:dyDescent="0.25">
      <c r="A905" s="2">
        <v>15</v>
      </c>
      <c r="B905" t="s">
        <v>184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532</v>
      </c>
      <c r="P905" s="20" t="s">
        <v>856</v>
      </c>
      <c r="Q905" s="1">
        <f t="shared" si="34"/>
        <v>1</v>
      </c>
      <c r="R905" s="1">
        <v>148</v>
      </c>
      <c r="U905" s="12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532</v>
      </c>
      <c r="P906" s="20" t="s">
        <v>856</v>
      </c>
      <c r="Q906" s="1">
        <f t="shared" si="34"/>
        <v>1</v>
      </c>
      <c r="R906" s="1">
        <v>148</v>
      </c>
      <c r="U906" s="12">
        <f t="shared" si="33"/>
        <v>42248</v>
      </c>
    </row>
    <row r="907" spans="1:21" x14ac:dyDescent="0.25">
      <c r="A907" s="2">
        <v>15</v>
      </c>
      <c r="B907" s="21" t="s">
        <v>857</v>
      </c>
      <c r="J907" s="1"/>
      <c r="M907" t="s">
        <v>15</v>
      </c>
      <c r="N907" t="str">
        <f>IFERROR(VLOOKUP(B907,'[1]All Player'!$B$2:$C$1992,2,0),"")</f>
        <v/>
      </c>
      <c r="O907" s="2" t="s">
        <v>532</v>
      </c>
      <c r="P907" s="20" t="s">
        <v>857</v>
      </c>
      <c r="Q907" s="1">
        <f t="shared" si="34"/>
        <v>1</v>
      </c>
      <c r="R907" s="1">
        <v>149</v>
      </c>
      <c r="T907" s="1" t="s">
        <v>661</v>
      </c>
      <c r="U907" s="12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532</v>
      </c>
      <c r="P908" s="20" t="s">
        <v>857</v>
      </c>
      <c r="Q908" s="1">
        <f t="shared" si="34"/>
        <v>1</v>
      </c>
      <c r="R908" s="1">
        <v>149</v>
      </c>
      <c r="T908" s="1" t="s">
        <v>661</v>
      </c>
      <c r="U908" s="12">
        <f t="shared" si="33"/>
        <v>42248</v>
      </c>
    </row>
    <row r="909" spans="1:21" x14ac:dyDescent="0.25">
      <c r="A909" s="2">
        <v>15</v>
      </c>
      <c r="B909" t="s">
        <v>145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532</v>
      </c>
      <c r="P909" s="20" t="s">
        <v>857</v>
      </c>
      <c r="Q909" s="1">
        <f t="shared" si="34"/>
        <v>1</v>
      </c>
      <c r="R909" s="1">
        <v>149</v>
      </c>
      <c r="S909" s="2" t="s">
        <v>662</v>
      </c>
      <c r="T909" s="1" t="s">
        <v>661</v>
      </c>
      <c r="U909" s="12">
        <f t="shared" si="33"/>
        <v>42248</v>
      </c>
    </row>
    <row r="910" spans="1:21" x14ac:dyDescent="0.25">
      <c r="A910" s="2">
        <v>15</v>
      </c>
      <c r="B910" t="s">
        <v>192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532</v>
      </c>
      <c r="P910" s="20" t="s">
        <v>857</v>
      </c>
      <c r="Q910" s="1">
        <f t="shared" si="34"/>
        <v>1</v>
      </c>
      <c r="R910" s="1">
        <v>149</v>
      </c>
      <c r="T910" s="1" t="s">
        <v>661</v>
      </c>
      <c r="U910" s="12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532</v>
      </c>
      <c r="P911" s="20" t="s">
        <v>857</v>
      </c>
      <c r="Q911" s="1">
        <f t="shared" si="34"/>
        <v>1</v>
      </c>
      <c r="R911" s="1">
        <v>149</v>
      </c>
      <c r="T911" s="1" t="s">
        <v>661</v>
      </c>
      <c r="U911" s="12">
        <f t="shared" si="33"/>
        <v>42248</v>
      </c>
    </row>
    <row r="912" spans="1:21" x14ac:dyDescent="0.25">
      <c r="A912" s="2">
        <v>15</v>
      </c>
      <c r="B912" s="21" t="s">
        <v>533</v>
      </c>
      <c r="J912" s="1"/>
      <c r="M912" t="s">
        <v>15</v>
      </c>
      <c r="N912" t="str">
        <f>IFERROR(VLOOKUP(B912,'[1]All Player'!$B$2:$C$1992,2,0),"")</f>
        <v/>
      </c>
      <c r="O912" s="2" t="s">
        <v>532</v>
      </c>
      <c r="P912" s="20" t="s">
        <v>533</v>
      </c>
      <c r="Q912" s="1">
        <f t="shared" si="34"/>
        <v>1</v>
      </c>
      <c r="R912" s="1">
        <v>150</v>
      </c>
      <c r="U912" s="12">
        <f t="shared" si="33"/>
        <v>42248</v>
      </c>
    </row>
    <row r="913" spans="1:21" x14ac:dyDescent="0.25">
      <c r="A913" s="2">
        <v>15</v>
      </c>
      <c r="B913" t="s">
        <v>131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532</v>
      </c>
      <c r="P913" s="20" t="s">
        <v>533</v>
      </c>
      <c r="Q913" s="1">
        <f t="shared" si="34"/>
        <v>1</v>
      </c>
      <c r="R913" s="1">
        <v>150</v>
      </c>
      <c r="U913" s="12">
        <f t="shared" si="33"/>
        <v>42248</v>
      </c>
    </row>
    <row r="914" spans="1:21" x14ac:dyDescent="0.25">
      <c r="A914" s="2">
        <v>15</v>
      </c>
      <c r="B914" t="s">
        <v>222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532</v>
      </c>
      <c r="P914" s="20" t="s">
        <v>533</v>
      </c>
      <c r="Q914" s="1">
        <f t="shared" si="34"/>
        <v>1</v>
      </c>
      <c r="R914" s="1">
        <v>150</v>
      </c>
      <c r="U914" s="12">
        <f t="shared" si="33"/>
        <v>42248</v>
      </c>
    </row>
    <row r="915" spans="1:21" x14ac:dyDescent="0.25">
      <c r="A915" s="2">
        <v>15</v>
      </c>
      <c r="B915" t="s">
        <v>125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532</v>
      </c>
      <c r="P915" s="20" t="s">
        <v>533</v>
      </c>
      <c r="Q915" s="1">
        <f t="shared" si="34"/>
        <v>1</v>
      </c>
      <c r="R915" s="1">
        <v>150</v>
      </c>
      <c r="U915" s="12">
        <f t="shared" si="33"/>
        <v>42248</v>
      </c>
    </row>
    <row r="916" spans="1:21" x14ac:dyDescent="0.25">
      <c r="A916" s="2">
        <v>15</v>
      </c>
      <c r="B916" t="s">
        <v>240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532</v>
      </c>
      <c r="P916" s="20" t="s">
        <v>533</v>
      </c>
      <c r="Q916" s="1">
        <f t="shared" si="34"/>
        <v>1</v>
      </c>
      <c r="R916" s="1">
        <v>150</v>
      </c>
      <c r="U916" s="12">
        <f t="shared" si="33"/>
        <v>42248</v>
      </c>
    </row>
    <row r="917" spans="1:21" x14ac:dyDescent="0.25">
      <c r="A917" s="2">
        <v>15</v>
      </c>
      <c r="B917" s="21" t="s">
        <v>858</v>
      </c>
      <c r="J917" s="1"/>
      <c r="M917" t="s">
        <v>15</v>
      </c>
      <c r="N917" t="str">
        <f>IFERROR(VLOOKUP(B917,'[1]All Player'!$B$2:$C$1992,2,0),"")</f>
        <v/>
      </c>
      <c r="O917" s="2" t="s">
        <v>532</v>
      </c>
      <c r="P917" s="20" t="s">
        <v>858</v>
      </c>
      <c r="Q917" s="1">
        <f t="shared" si="34"/>
        <v>1</v>
      </c>
      <c r="R917" s="1">
        <v>151</v>
      </c>
      <c r="U917" s="12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8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532</v>
      </c>
      <c r="P918" s="20" t="s">
        <v>858</v>
      </c>
      <c r="Q918" s="1">
        <f t="shared" si="34"/>
        <v>1</v>
      </c>
      <c r="R918" s="1">
        <v>151</v>
      </c>
      <c r="U918" s="12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532</v>
      </c>
      <c r="P919" s="20" t="s">
        <v>858</v>
      </c>
      <c r="Q919" s="1">
        <f t="shared" si="34"/>
        <v>1</v>
      </c>
      <c r="R919" s="1">
        <v>151</v>
      </c>
      <c r="U919" s="12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532</v>
      </c>
      <c r="P920" s="20" t="s">
        <v>858</v>
      </c>
      <c r="Q920" s="1">
        <f t="shared" si="34"/>
        <v>1</v>
      </c>
      <c r="R920" s="1">
        <v>151</v>
      </c>
      <c r="U920" s="12">
        <f t="shared" si="33"/>
        <v>42248</v>
      </c>
    </row>
    <row r="921" spans="1:21" x14ac:dyDescent="0.25">
      <c r="A921" s="2">
        <v>15</v>
      </c>
      <c r="B921" t="s">
        <v>157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532</v>
      </c>
      <c r="P921" s="20" t="s">
        <v>858</v>
      </c>
      <c r="Q921" s="1">
        <f t="shared" si="34"/>
        <v>1</v>
      </c>
      <c r="R921" s="1">
        <v>151</v>
      </c>
      <c r="U921" s="12">
        <f t="shared" si="33"/>
        <v>42248</v>
      </c>
    </row>
    <row r="922" spans="1:21" x14ac:dyDescent="0.25">
      <c r="A922" s="2">
        <v>16</v>
      </c>
      <c r="B922" t="s">
        <v>859</v>
      </c>
      <c r="J922" s="1"/>
      <c r="M922" t="s">
        <v>15</v>
      </c>
      <c r="N922" t="str">
        <f>IFERROR(VLOOKUP(B922,'[1]All Player'!$B$2:$C$1992,2,0),"")</f>
        <v/>
      </c>
      <c r="O922" s="2" t="s">
        <v>498</v>
      </c>
      <c r="P922" s="20" t="s">
        <v>608</v>
      </c>
      <c r="Q922" s="1">
        <f t="shared" si="34"/>
        <v>1</v>
      </c>
      <c r="R922" s="1">
        <v>152</v>
      </c>
      <c r="T922" s="31"/>
      <c r="U922" s="12">
        <v>42401</v>
      </c>
    </row>
    <row r="923" spans="1:21" x14ac:dyDescent="0.25">
      <c r="A923" s="2">
        <v>16</v>
      </c>
      <c r="B923" t="s">
        <v>192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498</v>
      </c>
      <c r="P923" s="20" t="s">
        <v>608</v>
      </c>
      <c r="Q923" s="1">
        <f t="shared" si="34"/>
        <v>1</v>
      </c>
      <c r="R923" s="1">
        <v>152</v>
      </c>
      <c r="U923" s="12">
        <f t="shared" ref="U923:U984" si="35">U922</f>
        <v>42401</v>
      </c>
    </row>
    <row r="924" spans="1:21" x14ac:dyDescent="0.25">
      <c r="A924" s="2">
        <v>16</v>
      </c>
      <c r="B924" t="s">
        <v>402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498</v>
      </c>
      <c r="P924" s="20" t="s">
        <v>608</v>
      </c>
      <c r="Q924" s="1">
        <f t="shared" si="34"/>
        <v>1</v>
      </c>
      <c r="R924" s="1">
        <v>152</v>
      </c>
      <c r="U924" s="12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498</v>
      </c>
      <c r="P925" s="20" t="s">
        <v>608</v>
      </c>
      <c r="Q925" s="1">
        <f t="shared" si="34"/>
        <v>1</v>
      </c>
      <c r="R925" s="1">
        <v>152</v>
      </c>
      <c r="U925" s="12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498</v>
      </c>
      <c r="P926" s="20" t="s">
        <v>608</v>
      </c>
      <c r="Q926" s="1">
        <f t="shared" si="34"/>
        <v>1</v>
      </c>
      <c r="R926" s="1">
        <v>152</v>
      </c>
      <c r="U926" s="12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30" t="s">
        <v>498</v>
      </c>
      <c r="P927" s="20" t="s">
        <v>608</v>
      </c>
      <c r="Q927" s="1">
        <f t="shared" si="34"/>
        <v>1</v>
      </c>
      <c r="R927" s="1">
        <v>152</v>
      </c>
      <c r="U927" s="12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8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498</v>
      </c>
      <c r="P928" s="20" t="s">
        <v>608</v>
      </c>
      <c r="Q928" s="1">
        <f t="shared" si="34"/>
        <v>1</v>
      </c>
      <c r="R928" s="1">
        <v>152</v>
      </c>
      <c r="U928" s="12">
        <f t="shared" si="35"/>
        <v>42401</v>
      </c>
    </row>
    <row r="929" spans="1:22" x14ac:dyDescent="0.25">
      <c r="A929" s="2">
        <v>16</v>
      </c>
      <c r="B929" t="s">
        <v>174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498</v>
      </c>
      <c r="P929" s="20" t="s">
        <v>608</v>
      </c>
      <c r="Q929" s="1">
        <f t="shared" si="34"/>
        <v>1</v>
      </c>
      <c r="R929" s="1">
        <v>152</v>
      </c>
      <c r="U929" s="12">
        <f t="shared" si="35"/>
        <v>42401</v>
      </c>
    </row>
    <row r="930" spans="1:22" x14ac:dyDescent="0.25">
      <c r="A930" s="2">
        <v>16</v>
      </c>
      <c r="B930" t="s">
        <v>860</v>
      </c>
      <c r="J930" s="1"/>
      <c r="M930" t="s">
        <v>15</v>
      </c>
      <c r="N930" t="str">
        <f>IFERROR(VLOOKUP(B930,'[1]All Player'!$B$2:$C$1992,2,0),"")</f>
        <v/>
      </c>
      <c r="O930" s="2" t="s">
        <v>498</v>
      </c>
      <c r="P930" s="20" t="s">
        <v>861</v>
      </c>
      <c r="Q930" s="1">
        <f t="shared" si="34"/>
        <v>1</v>
      </c>
      <c r="R930" s="1">
        <v>153</v>
      </c>
      <c r="T930" s="1" t="s">
        <v>661</v>
      </c>
      <c r="U930" s="12">
        <f t="shared" si="35"/>
        <v>42401</v>
      </c>
    </row>
    <row r="931" spans="1:22" x14ac:dyDescent="0.25">
      <c r="A931" s="2">
        <v>16</v>
      </c>
      <c r="B931" t="s">
        <v>127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498</v>
      </c>
      <c r="P931" s="20" t="s">
        <v>861</v>
      </c>
      <c r="Q931" s="1">
        <f t="shared" si="34"/>
        <v>1</v>
      </c>
      <c r="R931" s="1">
        <v>153</v>
      </c>
      <c r="T931" s="1" t="s">
        <v>661</v>
      </c>
      <c r="U931" s="12">
        <f t="shared" si="35"/>
        <v>42401</v>
      </c>
    </row>
    <row r="932" spans="1:22" x14ac:dyDescent="0.25">
      <c r="A932" s="2">
        <v>16</v>
      </c>
      <c r="B932" t="s">
        <v>125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498</v>
      </c>
      <c r="P932" s="20" t="s">
        <v>861</v>
      </c>
      <c r="Q932" s="1">
        <f t="shared" si="34"/>
        <v>1</v>
      </c>
      <c r="R932" s="1">
        <v>153</v>
      </c>
      <c r="T932" s="1" t="s">
        <v>661</v>
      </c>
      <c r="U932" s="12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498</v>
      </c>
      <c r="P933" s="20" t="s">
        <v>861</v>
      </c>
      <c r="Q933" s="1">
        <f t="shared" si="34"/>
        <v>1</v>
      </c>
      <c r="R933" s="1">
        <v>153</v>
      </c>
      <c r="S933" s="2" t="s">
        <v>662</v>
      </c>
      <c r="T933" s="1" t="s">
        <v>661</v>
      </c>
      <c r="U933" s="12">
        <f t="shared" si="35"/>
        <v>42401</v>
      </c>
      <c r="V933" s="1">
        <v>1</v>
      </c>
    </row>
    <row r="934" spans="1:22" x14ac:dyDescent="0.25">
      <c r="A934" s="2">
        <v>16</v>
      </c>
      <c r="B934" t="s">
        <v>198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498</v>
      </c>
      <c r="P934" s="20" t="s">
        <v>861</v>
      </c>
      <c r="Q934" s="1">
        <f t="shared" si="34"/>
        <v>1</v>
      </c>
      <c r="R934" s="1">
        <v>153</v>
      </c>
      <c r="T934" s="1" t="s">
        <v>661</v>
      </c>
      <c r="U934" s="12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498</v>
      </c>
      <c r="P935" s="20" t="s">
        <v>861</v>
      </c>
      <c r="Q935" s="1">
        <f t="shared" si="34"/>
        <v>1</v>
      </c>
      <c r="R935" s="1">
        <v>153</v>
      </c>
      <c r="T935" s="1" t="s">
        <v>661</v>
      </c>
      <c r="U935" s="12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498</v>
      </c>
      <c r="P936" s="20" t="s">
        <v>861</v>
      </c>
      <c r="Q936" s="1">
        <f t="shared" si="34"/>
        <v>1</v>
      </c>
      <c r="R936" s="1">
        <v>153</v>
      </c>
      <c r="T936" s="1" t="s">
        <v>661</v>
      </c>
      <c r="U936" s="12">
        <f t="shared" si="35"/>
        <v>42401</v>
      </c>
    </row>
    <row r="937" spans="1:22" x14ac:dyDescent="0.25">
      <c r="A937" s="2">
        <v>16</v>
      </c>
      <c r="B937" t="s">
        <v>862</v>
      </c>
      <c r="J937" s="1"/>
      <c r="M937" t="s">
        <v>15</v>
      </c>
      <c r="N937" t="str">
        <f>IFERROR(VLOOKUP(B937,'[1]All Player'!$B$2:$C$1992,2,0),"")</f>
        <v/>
      </c>
      <c r="O937" s="2" t="s">
        <v>498</v>
      </c>
      <c r="P937" s="20" t="s">
        <v>499</v>
      </c>
      <c r="Q937" s="1">
        <f t="shared" si="34"/>
        <v>1</v>
      </c>
      <c r="R937" s="1">
        <v>154</v>
      </c>
      <c r="U937" s="12">
        <f t="shared" si="35"/>
        <v>42401</v>
      </c>
    </row>
    <row r="938" spans="1:22" x14ac:dyDescent="0.25">
      <c r="A938" s="2">
        <v>16</v>
      </c>
      <c r="B938" t="s">
        <v>172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498</v>
      </c>
      <c r="P938" s="20" t="s">
        <v>499</v>
      </c>
      <c r="Q938" s="1">
        <f t="shared" si="34"/>
        <v>1</v>
      </c>
      <c r="R938" s="1">
        <v>154</v>
      </c>
      <c r="U938" s="12">
        <f t="shared" si="35"/>
        <v>42401</v>
      </c>
    </row>
    <row r="939" spans="1:22" x14ac:dyDescent="0.25">
      <c r="A939" s="2">
        <v>16</v>
      </c>
      <c r="B939" t="s">
        <v>396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498</v>
      </c>
      <c r="P939" s="20" t="s">
        <v>499</v>
      </c>
      <c r="Q939" s="1">
        <f t="shared" si="34"/>
        <v>1</v>
      </c>
      <c r="R939" s="1">
        <v>154</v>
      </c>
      <c r="U939" s="12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498</v>
      </c>
      <c r="P940" s="20" t="s">
        <v>499</v>
      </c>
      <c r="Q940" s="1">
        <f t="shared" si="34"/>
        <v>1</v>
      </c>
      <c r="R940" s="1">
        <v>154</v>
      </c>
      <c r="U940" s="12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498</v>
      </c>
      <c r="P941" s="20" t="s">
        <v>499</v>
      </c>
      <c r="Q941" s="1">
        <f t="shared" si="34"/>
        <v>1</v>
      </c>
      <c r="R941" s="1">
        <v>154</v>
      </c>
      <c r="U941" s="12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498</v>
      </c>
      <c r="P942" s="20" t="s">
        <v>499</v>
      </c>
      <c r="Q942" s="1">
        <f t="shared" si="34"/>
        <v>1</v>
      </c>
      <c r="R942" s="1">
        <v>154</v>
      </c>
      <c r="U942" s="12">
        <f t="shared" si="35"/>
        <v>42401</v>
      </c>
    </row>
    <row r="943" spans="1:22" x14ac:dyDescent="0.25">
      <c r="A943" s="2">
        <v>16</v>
      </c>
      <c r="B943" t="s">
        <v>200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498</v>
      </c>
      <c r="P943" s="20" t="s">
        <v>499</v>
      </c>
      <c r="Q943" s="1">
        <f t="shared" si="34"/>
        <v>1</v>
      </c>
      <c r="R943" s="1">
        <v>154</v>
      </c>
      <c r="U943" s="12">
        <f t="shared" si="35"/>
        <v>42401</v>
      </c>
    </row>
    <row r="944" spans="1:22" x14ac:dyDescent="0.25">
      <c r="A944" s="2">
        <v>16</v>
      </c>
      <c r="B944" t="s">
        <v>155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498</v>
      </c>
      <c r="P944" s="20" t="s">
        <v>499</v>
      </c>
      <c r="Q944" s="1">
        <f t="shared" si="34"/>
        <v>1</v>
      </c>
      <c r="R944" s="1">
        <v>154</v>
      </c>
      <c r="U944" s="12">
        <f t="shared" si="35"/>
        <v>42401</v>
      </c>
    </row>
    <row r="945" spans="1:21" x14ac:dyDescent="0.25">
      <c r="A945" s="2">
        <v>16</v>
      </c>
      <c r="B945" t="s">
        <v>863</v>
      </c>
      <c r="J945" s="1"/>
      <c r="M945" t="s">
        <v>15</v>
      </c>
      <c r="N945" t="str">
        <f>IFERROR(VLOOKUP(B945,'[1]All Player'!$B$2:$C$1992,2,0),"")</f>
        <v/>
      </c>
      <c r="O945" s="2" t="s">
        <v>498</v>
      </c>
      <c r="P945" s="20" t="s">
        <v>864</v>
      </c>
      <c r="Q945" s="1">
        <f t="shared" si="34"/>
        <v>1</v>
      </c>
      <c r="R945" s="1">
        <v>155</v>
      </c>
      <c r="U945" s="12">
        <f t="shared" si="35"/>
        <v>42401</v>
      </c>
    </row>
    <row r="946" spans="1:21" x14ac:dyDescent="0.25">
      <c r="A946" s="2">
        <v>16</v>
      </c>
      <c r="B946" t="s">
        <v>137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498</v>
      </c>
      <c r="P946" s="20" t="s">
        <v>864</v>
      </c>
      <c r="Q946" s="1">
        <f t="shared" si="34"/>
        <v>1</v>
      </c>
      <c r="R946" s="1">
        <v>155</v>
      </c>
      <c r="U946" s="12">
        <f t="shared" si="35"/>
        <v>42401</v>
      </c>
    </row>
    <row r="947" spans="1:21" x14ac:dyDescent="0.25">
      <c r="A947" s="2">
        <v>16</v>
      </c>
      <c r="B947" t="s">
        <v>131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498</v>
      </c>
      <c r="P947" s="20" t="s">
        <v>864</v>
      </c>
      <c r="Q947" s="1">
        <f t="shared" si="34"/>
        <v>1</v>
      </c>
      <c r="R947" s="1">
        <v>155</v>
      </c>
      <c r="U947" s="12">
        <f t="shared" si="35"/>
        <v>42401</v>
      </c>
    </row>
    <row r="948" spans="1:21" x14ac:dyDescent="0.25">
      <c r="A948" s="2">
        <v>16</v>
      </c>
      <c r="B948" t="s">
        <v>334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498</v>
      </c>
      <c r="P948" s="20" t="s">
        <v>864</v>
      </c>
      <c r="Q948" s="1">
        <f t="shared" si="34"/>
        <v>1</v>
      </c>
      <c r="R948" s="1">
        <v>155</v>
      </c>
      <c r="U948" s="12">
        <f t="shared" si="35"/>
        <v>42401</v>
      </c>
    </row>
    <row r="949" spans="1:21" x14ac:dyDescent="0.25">
      <c r="A949" s="2">
        <v>16</v>
      </c>
      <c r="B949" t="s">
        <v>133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498</v>
      </c>
      <c r="P949" s="20" t="s">
        <v>864</v>
      </c>
      <c r="Q949" s="1">
        <f t="shared" si="34"/>
        <v>1</v>
      </c>
      <c r="R949" s="1">
        <v>155</v>
      </c>
      <c r="U949" s="12">
        <f t="shared" si="35"/>
        <v>42401</v>
      </c>
    </row>
    <row r="950" spans="1:21" x14ac:dyDescent="0.25">
      <c r="A950" s="2">
        <v>16</v>
      </c>
      <c r="B950" t="s">
        <v>297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498</v>
      </c>
      <c r="P950" s="20" t="s">
        <v>864</v>
      </c>
      <c r="Q950" s="1">
        <f t="shared" si="34"/>
        <v>1</v>
      </c>
      <c r="R950" s="1">
        <v>155</v>
      </c>
      <c r="U950" s="12">
        <f t="shared" si="35"/>
        <v>42401</v>
      </c>
    </row>
    <row r="951" spans="1:21" x14ac:dyDescent="0.25">
      <c r="A951" s="2">
        <v>16</v>
      </c>
      <c r="B951" t="s">
        <v>121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498</v>
      </c>
      <c r="P951" s="20" t="s">
        <v>864</v>
      </c>
      <c r="Q951" s="1">
        <f t="shared" si="34"/>
        <v>1</v>
      </c>
      <c r="R951" s="1">
        <v>155</v>
      </c>
      <c r="U951" s="12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498</v>
      </c>
      <c r="P952" s="20" t="s">
        <v>864</v>
      </c>
      <c r="Q952" s="1">
        <f t="shared" si="34"/>
        <v>1</v>
      </c>
      <c r="R952" s="1">
        <v>155</v>
      </c>
      <c r="U952" s="12">
        <f t="shared" si="35"/>
        <v>42401</v>
      </c>
    </row>
    <row r="953" spans="1:21" x14ac:dyDescent="0.25">
      <c r="A953" s="2">
        <v>16</v>
      </c>
      <c r="B953" t="s">
        <v>865</v>
      </c>
      <c r="J953" s="1"/>
      <c r="M953" t="s">
        <v>15</v>
      </c>
      <c r="N953" t="str">
        <f>IFERROR(VLOOKUP(B953,'[1]All Player'!$B$2:$C$1992,2,0),"")</f>
        <v/>
      </c>
      <c r="O953" s="2" t="s">
        <v>498</v>
      </c>
      <c r="P953" s="20" t="s">
        <v>866</v>
      </c>
      <c r="Q953" s="1">
        <f t="shared" si="34"/>
        <v>1</v>
      </c>
      <c r="R953" s="1">
        <v>156</v>
      </c>
      <c r="U953" s="12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498</v>
      </c>
      <c r="P954" s="20" t="s">
        <v>866</v>
      </c>
      <c r="Q954" s="1">
        <f t="shared" si="34"/>
        <v>1</v>
      </c>
      <c r="R954" s="1">
        <v>156</v>
      </c>
      <c r="U954" s="12">
        <f t="shared" si="35"/>
        <v>42401</v>
      </c>
    </row>
    <row r="955" spans="1:21" x14ac:dyDescent="0.25">
      <c r="A955" s="2">
        <v>16</v>
      </c>
      <c r="B955" t="s">
        <v>117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498</v>
      </c>
      <c r="P955" s="20" t="s">
        <v>866</v>
      </c>
      <c r="Q955" s="1">
        <f t="shared" si="34"/>
        <v>1</v>
      </c>
      <c r="R955" s="1">
        <v>156</v>
      </c>
      <c r="U955" s="12">
        <f t="shared" si="35"/>
        <v>42401</v>
      </c>
    </row>
    <row r="956" spans="1:21" x14ac:dyDescent="0.25">
      <c r="A956" s="2">
        <v>16</v>
      </c>
      <c r="B956" t="s">
        <v>157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498</v>
      </c>
      <c r="P956" s="20" t="s">
        <v>866</v>
      </c>
      <c r="Q956" s="1">
        <f t="shared" si="34"/>
        <v>1</v>
      </c>
      <c r="R956" s="1">
        <v>156</v>
      </c>
      <c r="U956" s="12">
        <f t="shared" si="35"/>
        <v>42401</v>
      </c>
    </row>
    <row r="957" spans="1:21" x14ac:dyDescent="0.25">
      <c r="A957" s="2">
        <v>16</v>
      </c>
      <c r="B957" t="s">
        <v>663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498</v>
      </c>
      <c r="P957" s="20" t="s">
        <v>866</v>
      </c>
      <c r="Q957" s="1">
        <f t="shared" si="34"/>
        <v>1</v>
      </c>
      <c r="R957" s="1">
        <v>156</v>
      </c>
      <c r="U957" s="12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498</v>
      </c>
      <c r="P958" s="20" t="s">
        <v>866</v>
      </c>
      <c r="Q958" s="1">
        <f t="shared" si="34"/>
        <v>1</v>
      </c>
      <c r="R958" s="1">
        <v>156</v>
      </c>
      <c r="U958" s="12">
        <f t="shared" si="35"/>
        <v>42401</v>
      </c>
    </row>
    <row r="959" spans="1:21" x14ac:dyDescent="0.25">
      <c r="A959" s="2">
        <v>16</v>
      </c>
      <c r="B959" t="s">
        <v>352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498</v>
      </c>
      <c r="P959" s="20" t="s">
        <v>866</v>
      </c>
      <c r="Q959" s="1">
        <f t="shared" si="34"/>
        <v>1</v>
      </c>
      <c r="R959" s="1">
        <v>156</v>
      </c>
      <c r="U959" s="12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498</v>
      </c>
      <c r="P960" s="20" t="s">
        <v>866</v>
      </c>
      <c r="Q960" s="1">
        <f t="shared" si="34"/>
        <v>1</v>
      </c>
      <c r="R960" s="1">
        <v>156</v>
      </c>
      <c r="U960" s="12">
        <f t="shared" si="35"/>
        <v>42401</v>
      </c>
    </row>
    <row r="961" spans="1:23" x14ac:dyDescent="0.25">
      <c r="A961" s="2">
        <v>16</v>
      </c>
      <c r="B961" t="s">
        <v>867</v>
      </c>
      <c r="J961" s="1"/>
      <c r="M961" t="s">
        <v>15</v>
      </c>
      <c r="N961" t="str">
        <f>IFERROR(VLOOKUP(B961,'[1]All Player'!$B$2:$C$1992,2,0),"")</f>
        <v/>
      </c>
      <c r="O961" s="2" t="s">
        <v>498</v>
      </c>
      <c r="P961" s="20" t="s">
        <v>555</v>
      </c>
      <c r="Q961" s="1">
        <f t="shared" si="34"/>
        <v>1</v>
      </c>
      <c r="R961" s="1">
        <v>157</v>
      </c>
      <c r="U961" s="12">
        <f t="shared" si="35"/>
        <v>42401</v>
      </c>
    </row>
    <row r="962" spans="1:23" x14ac:dyDescent="0.25">
      <c r="A962" s="2">
        <v>16</v>
      </c>
      <c r="B962" t="s">
        <v>149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498</v>
      </c>
      <c r="P962" s="20" t="s">
        <v>555</v>
      </c>
      <c r="Q962" s="1">
        <f t="shared" ref="Q962:Q1025" si="36">IF(B962="","",1)</f>
        <v>1</v>
      </c>
      <c r="R962" s="1">
        <v>157</v>
      </c>
      <c r="S962" s="2" t="s">
        <v>660</v>
      </c>
      <c r="U962" s="12">
        <f t="shared" si="35"/>
        <v>42401</v>
      </c>
      <c r="W962" s="1">
        <v>1</v>
      </c>
    </row>
    <row r="963" spans="1:23" x14ac:dyDescent="0.25">
      <c r="A963" s="2">
        <v>16</v>
      </c>
      <c r="B963" t="s">
        <v>145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498</v>
      </c>
      <c r="P963" s="20" t="s">
        <v>555</v>
      </c>
      <c r="Q963" s="1">
        <f t="shared" si="36"/>
        <v>1</v>
      </c>
      <c r="R963" s="1">
        <v>157</v>
      </c>
      <c r="U963" s="12">
        <f t="shared" si="35"/>
        <v>42401</v>
      </c>
    </row>
    <row r="964" spans="1:23" x14ac:dyDescent="0.25">
      <c r="A964" s="2">
        <v>16</v>
      </c>
      <c r="B964" t="s">
        <v>398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498</v>
      </c>
      <c r="P964" s="20" t="s">
        <v>555</v>
      </c>
      <c r="Q964" s="1">
        <f t="shared" si="36"/>
        <v>1</v>
      </c>
      <c r="R964" s="1">
        <v>157</v>
      </c>
      <c r="U964" s="12">
        <f t="shared" si="35"/>
        <v>42401</v>
      </c>
    </row>
    <row r="965" spans="1:23" x14ac:dyDescent="0.25">
      <c r="A965" s="2">
        <v>16</v>
      </c>
      <c r="B965" t="s">
        <v>178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498</v>
      </c>
      <c r="P965" s="20" t="s">
        <v>555</v>
      </c>
      <c r="Q965" s="1">
        <f t="shared" si="36"/>
        <v>1</v>
      </c>
      <c r="R965" s="1">
        <v>157</v>
      </c>
      <c r="U965" s="12">
        <f t="shared" si="35"/>
        <v>42401</v>
      </c>
    </row>
    <row r="966" spans="1:23" x14ac:dyDescent="0.25">
      <c r="A966" s="2">
        <v>16</v>
      </c>
      <c r="B966" t="s">
        <v>139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498</v>
      </c>
      <c r="P966" s="20" t="s">
        <v>555</v>
      </c>
      <c r="Q966" s="1">
        <f t="shared" si="36"/>
        <v>1</v>
      </c>
      <c r="R966" s="1">
        <v>157</v>
      </c>
      <c r="U966" s="12">
        <f t="shared" si="35"/>
        <v>42401</v>
      </c>
    </row>
    <row r="967" spans="1:23" x14ac:dyDescent="0.25">
      <c r="A967" s="2">
        <v>16</v>
      </c>
      <c r="B967" t="s">
        <v>187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498</v>
      </c>
      <c r="P967" s="20" t="s">
        <v>555</v>
      </c>
      <c r="Q967" s="1">
        <f t="shared" si="36"/>
        <v>1</v>
      </c>
      <c r="R967" s="1">
        <v>157</v>
      </c>
      <c r="U967" s="12">
        <f t="shared" si="35"/>
        <v>42401</v>
      </c>
    </row>
    <row r="968" spans="1:23" x14ac:dyDescent="0.25">
      <c r="A968" s="2">
        <v>16</v>
      </c>
      <c r="B968" t="s">
        <v>283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498</v>
      </c>
      <c r="P968" s="20" t="s">
        <v>555</v>
      </c>
      <c r="Q968" s="1">
        <f t="shared" si="36"/>
        <v>1</v>
      </c>
      <c r="R968" s="1">
        <v>157</v>
      </c>
      <c r="U968" s="12">
        <f t="shared" si="35"/>
        <v>42401</v>
      </c>
    </row>
    <row r="969" spans="1:23" x14ac:dyDescent="0.25">
      <c r="A969" s="2">
        <v>16</v>
      </c>
      <c r="B969" t="s">
        <v>868</v>
      </c>
      <c r="J969" s="1"/>
      <c r="M969" t="s">
        <v>15</v>
      </c>
      <c r="N969" t="str">
        <f>IFERROR(VLOOKUP(B969,'[1]All Player'!$B$2:$C$1992,2,0),"")</f>
        <v/>
      </c>
      <c r="O969" s="2" t="s">
        <v>498</v>
      </c>
      <c r="P969" s="20" t="s">
        <v>869</v>
      </c>
      <c r="Q969" s="1">
        <f t="shared" si="36"/>
        <v>1</v>
      </c>
      <c r="R969" s="1">
        <v>158</v>
      </c>
      <c r="T969" s="1" t="s">
        <v>659</v>
      </c>
      <c r="U969" s="12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498</v>
      </c>
      <c r="P970" s="20" t="s">
        <v>869</v>
      </c>
      <c r="Q970" s="1">
        <f t="shared" si="36"/>
        <v>1</v>
      </c>
      <c r="R970" s="1">
        <v>158</v>
      </c>
      <c r="T970" s="1" t="s">
        <v>659</v>
      </c>
      <c r="U970" s="12">
        <f t="shared" si="35"/>
        <v>42401</v>
      </c>
    </row>
    <row r="971" spans="1:23" x14ac:dyDescent="0.25">
      <c r="A971" s="2">
        <v>16</v>
      </c>
      <c r="B971" t="s">
        <v>240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498</v>
      </c>
      <c r="P971" s="20" t="s">
        <v>869</v>
      </c>
      <c r="Q971" s="1">
        <f t="shared" si="36"/>
        <v>1</v>
      </c>
      <c r="R971" s="1">
        <v>158</v>
      </c>
      <c r="T971" s="1" t="s">
        <v>659</v>
      </c>
      <c r="U971" s="12">
        <f t="shared" si="35"/>
        <v>42401</v>
      </c>
    </row>
    <row r="972" spans="1:23" x14ac:dyDescent="0.25">
      <c r="A972" s="2">
        <v>16</v>
      </c>
      <c r="B972" t="s">
        <v>229</v>
      </c>
      <c r="C972" s="2">
        <v>6</v>
      </c>
      <c r="D972" s="2">
        <v>69</v>
      </c>
      <c r="E972" s="28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498</v>
      </c>
      <c r="P972" s="20" t="s">
        <v>869</v>
      </c>
      <c r="Q972" s="1">
        <f t="shared" si="36"/>
        <v>1</v>
      </c>
      <c r="R972" s="1">
        <v>158</v>
      </c>
      <c r="T972" s="1" t="s">
        <v>659</v>
      </c>
      <c r="U972" s="12">
        <f t="shared" si="35"/>
        <v>42401</v>
      </c>
    </row>
    <row r="973" spans="1:23" x14ac:dyDescent="0.25">
      <c r="A973" s="2">
        <v>16</v>
      </c>
      <c r="B973" t="s">
        <v>115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498</v>
      </c>
      <c r="P973" s="20" t="s">
        <v>869</v>
      </c>
      <c r="Q973" s="1">
        <f t="shared" si="36"/>
        <v>1</v>
      </c>
      <c r="R973" s="1">
        <v>158</v>
      </c>
      <c r="T973" s="1" t="s">
        <v>659</v>
      </c>
      <c r="U973" s="12">
        <f t="shared" si="35"/>
        <v>42401</v>
      </c>
    </row>
    <row r="974" spans="1:23" x14ac:dyDescent="0.25">
      <c r="A974" s="2">
        <v>16</v>
      </c>
      <c r="B974" t="s">
        <v>129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498</v>
      </c>
      <c r="P974" s="20" t="s">
        <v>869</v>
      </c>
      <c r="Q974" s="1">
        <f t="shared" si="36"/>
        <v>1</v>
      </c>
      <c r="R974" s="1">
        <v>158</v>
      </c>
      <c r="T974" s="1" t="s">
        <v>659</v>
      </c>
      <c r="U974" s="12">
        <f t="shared" si="35"/>
        <v>42401</v>
      </c>
    </row>
    <row r="975" spans="1:23" x14ac:dyDescent="0.25">
      <c r="A975" s="2">
        <v>16</v>
      </c>
      <c r="B975" t="s">
        <v>123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498</v>
      </c>
      <c r="P975" s="20" t="s">
        <v>869</v>
      </c>
      <c r="Q975" s="1">
        <f t="shared" si="36"/>
        <v>1</v>
      </c>
      <c r="R975" s="1">
        <v>158</v>
      </c>
      <c r="T975" s="1" t="s">
        <v>659</v>
      </c>
      <c r="U975" s="12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498</v>
      </c>
      <c r="P976" s="20" t="s">
        <v>869</v>
      </c>
      <c r="Q976" s="1">
        <f t="shared" si="36"/>
        <v>1</v>
      </c>
      <c r="R976" s="1">
        <v>158</v>
      </c>
      <c r="T976" s="1" t="s">
        <v>659</v>
      </c>
      <c r="U976" s="12">
        <f t="shared" si="35"/>
        <v>42401</v>
      </c>
    </row>
    <row r="977" spans="1:22" x14ac:dyDescent="0.25">
      <c r="A977" s="2">
        <v>16</v>
      </c>
      <c r="B977" t="s">
        <v>870</v>
      </c>
      <c r="J977" s="1"/>
      <c r="M977" t="s">
        <v>15</v>
      </c>
      <c r="N977" t="str">
        <f>IFERROR(VLOOKUP(B977,'[1]All Player'!$B$2:$C$1992,2,0),"")</f>
        <v/>
      </c>
      <c r="O977" s="2" t="s">
        <v>498</v>
      </c>
      <c r="P977" s="20" t="s">
        <v>607</v>
      </c>
      <c r="Q977" s="1">
        <f t="shared" si="36"/>
        <v>1</v>
      </c>
      <c r="R977" s="1">
        <v>159</v>
      </c>
      <c r="U977" s="12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498</v>
      </c>
      <c r="P978" s="20" t="s">
        <v>607</v>
      </c>
      <c r="Q978" s="1">
        <f t="shared" si="36"/>
        <v>1</v>
      </c>
      <c r="R978" s="1">
        <v>159</v>
      </c>
      <c r="U978" s="12">
        <f t="shared" si="35"/>
        <v>42401</v>
      </c>
    </row>
    <row r="979" spans="1:22" x14ac:dyDescent="0.25">
      <c r="A979" s="2">
        <v>16</v>
      </c>
      <c r="B979" t="s">
        <v>392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498</v>
      </c>
      <c r="P979" s="20" t="s">
        <v>607</v>
      </c>
      <c r="Q979" s="1">
        <f t="shared" si="36"/>
        <v>1</v>
      </c>
      <c r="R979" s="1">
        <v>159</v>
      </c>
      <c r="U979" s="12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498</v>
      </c>
      <c r="P980" s="20" t="s">
        <v>607</v>
      </c>
      <c r="Q980" s="1">
        <f t="shared" si="36"/>
        <v>1</v>
      </c>
      <c r="R980" s="1">
        <v>159</v>
      </c>
      <c r="U980" s="12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498</v>
      </c>
      <c r="P981" s="20" t="s">
        <v>607</v>
      </c>
      <c r="Q981" s="1">
        <f t="shared" si="36"/>
        <v>1</v>
      </c>
      <c r="R981" s="1">
        <v>159</v>
      </c>
      <c r="U981" s="12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498</v>
      </c>
      <c r="P982" s="20" t="s">
        <v>607</v>
      </c>
      <c r="Q982" s="1">
        <f t="shared" si="36"/>
        <v>1</v>
      </c>
      <c r="R982" s="1">
        <v>159</v>
      </c>
      <c r="U982" s="12">
        <f t="shared" si="35"/>
        <v>42401</v>
      </c>
    </row>
    <row r="983" spans="1:22" x14ac:dyDescent="0.25">
      <c r="A983" s="2">
        <v>16</v>
      </c>
      <c r="B983" t="s">
        <v>400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498</v>
      </c>
      <c r="P983" s="20" t="s">
        <v>607</v>
      </c>
      <c r="Q983" s="1">
        <f t="shared" si="36"/>
        <v>1</v>
      </c>
      <c r="R983" s="1">
        <v>159</v>
      </c>
      <c r="U983" s="12">
        <f t="shared" si="35"/>
        <v>42401</v>
      </c>
    </row>
    <row r="984" spans="1:22" x14ac:dyDescent="0.25">
      <c r="A984" s="2">
        <v>16</v>
      </c>
      <c r="B984" t="s">
        <v>394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498</v>
      </c>
      <c r="P984" s="20" t="s">
        <v>607</v>
      </c>
      <c r="Q984" s="1">
        <f t="shared" si="36"/>
        <v>1</v>
      </c>
      <c r="R984" s="1">
        <v>159</v>
      </c>
      <c r="U984" s="12">
        <f t="shared" si="35"/>
        <v>42401</v>
      </c>
    </row>
    <row r="985" spans="1:22" x14ac:dyDescent="0.25">
      <c r="A985" s="2">
        <v>17</v>
      </c>
      <c r="B985" s="21" t="s">
        <v>871</v>
      </c>
      <c r="J985" s="1"/>
      <c r="M985" t="s">
        <v>15</v>
      </c>
      <c r="N985" t="str">
        <f>IFERROR(VLOOKUP(B985,'[1]All Player'!$B$2:$C$1992,2,0),"")</f>
        <v/>
      </c>
      <c r="O985" s="2" t="s">
        <v>541</v>
      </c>
      <c r="P985" s="20" t="s">
        <v>871</v>
      </c>
      <c r="Q985" s="1">
        <f t="shared" si="36"/>
        <v>1</v>
      </c>
      <c r="R985" s="1">
        <v>160</v>
      </c>
      <c r="U985" s="12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541</v>
      </c>
      <c r="P986" s="20" t="s">
        <v>871</v>
      </c>
      <c r="Q986" s="1">
        <f t="shared" si="36"/>
        <v>1</v>
      </c>
      <c r="R986" s="1">
        <v>160</v>
      </c>
      <c r="U986" s="12">
        <f t="shared" ref="U986:U1042" si="37">U985</f>
        <v>42339</v>
      </c>
    </row>
    <row r="987" spans="1:22" x14ac:dyDescent="0.25">
      <c r="A987" s="2">
        <v>17</v>
      </c>
      <c r="B987" t="s">
        <v>149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541</v>
      </c>
      <c r="P987" s="20" t="s">
        <v>871</v>
      </c>
      <c r="Q987" s="1">
        <f t="shared" si="36"/>
        <v>1</v>
      </c>
      <c r="R987" s="1">
        <v>160</v>
      </c>
      <c r="U987" s="12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541</v>
      </c>
      <c r="P988" s="20" t="s">
        <v>871</v>
      </c>
      <c r="Q988" s="1">
        <f t="shared" si="36"/>
        <v>1</v>
      </c>
      <c r="R988" s="1">
        <v>160</v>
      </c>
      <c r="U988" s="12">
        <f t="shared" si="37"/>
        <v>42339</v>
      </c>
    </row>
    <row r="989" spans="1:22" x14ac:dyDescent="0.25">
      <c r="A989" s="2">
        <v>17</v>
      </c>
      <c r="B989" t="s">
        <v>352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541</v>
      </c>
      <c r="P989" s="20" t="s">
        <v>871</v>
      </c>
      <c r="Q989" s="1">
        <f t="shared" si="36"/>
        <v>1</v>
      </c>
      <c r="R989" s="1">
        <v>160</v>
      </c>
      <c r="U989" s="12">
        <f t="shared" si="37"/>
        <v>42339</v>
      </c>
    </row>
    <row r="990" spans="1:22" x14ac:dyDescent="0.25">
      <c r="A990" s="2">
        <v>17</v>
      </c>
      <c r="B990" t="s">
        <v>872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541</v>
      </c>
      <c r="P990" s="20" t="s">
        <v>871</v>
      </c>
      <c r="Q990" s="1">
        <f t="shared" si="36"/>
        <v>1</v>
      </c>
      <c r="R990" s="1">
        <v>160</v>
      </c>
      <c r="U990" s="12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541</v>
      </c>
      <c r="P991" s="20" t="s">
        <v>871</v>
      </c>
      <c r="Q991" s="1">
        <f t="shared" si="36"/>
        <v>1</v>
      </c>
      <c r="R991" s="1">
        <v>160</v>
      </c>
      <c r="S991" s="2" t="s">
        <v>662</v>
      </c>
      <c r="U991" s="12">
        <f t="shared" si="37"/>
        <v>42339</v>
      </c>
      <c r="V991" s="1">
        <v>1</v>
      </c>
    </row>
    <row r="992" spans="1:22" x14ac:dyDescent="0.25">
      <c r="A992" s="2">
        <v>17</v>
      </c>
      <c r="B992" t="s">
        <v>198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541</v>
      </c>
      <c r="P992" s="20" t="s">
        <v>871</v>
      </c>
      <c r="Q992" s="1">
        <f t="shared" si="36"/>
        <v>1</v>
      </c>
      <c r="R992" s="1">
        <v>160</v>
      </c>
      <c r="U992" s="12">
        <f t="shared" si="37"/>
        <v>42339</v>
      </c>
    </row>
    <row r="993" spans="1:21" x14ac:dyDescent="0.25">
      <c r="A993" s="2">
        <v>17</v>
      </c>
      <c r="B993" s="21" t="s">
        <v>873</v>
      </c>
      <c r="J993" s="1"/>
      <c r="M993" t="s">
        <v>15</v>
      </c>
      <c r="N993" t="str">
        <f>IFERROR(VLOOKUP(B993,'[1]All Player'!$B$2:$C$1992,2,0),"")</f>
        <v/>
      </c>
      <c r="O993" s="2" t="s">
        <v>541</v>
      </c>
      <c r="P993" s="20" t="s">
        <v>873</v>
      </c>
      <c r="Q993" s="1">
        <f t="shared" si="36"/>
        <v>1</v>
      </c>
      <c r="R993" s="1">
        <v>161</v>
      </c>
      <c r="U993" s="12">
        <f t="shared" si="37"/>
        <v>42339</v>
      </c>
    </row>
    <row r="994" spans="1:21" x14ac:dyDescent="0.25">
      <c r="A994" s="2">
        <v>17</v>
      </c>
      <c r="B994" t="s">
        <v>137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541</v>
      </c>
      <c r="P994" s="20" t="s">
        <v>873</v>
      </c>
      <c r="Q994" s="1">
        <f t="shared" si="36"/>
        <v>1</v>
      </c>
      <c r="R994" s="1">
        <v>161</v>
      </c>
      <c r="U994" s="12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541</v>
      </c>
      <c r="P995" s="20" t="s">
        <v>873</v>
      </c>
      <c r="Q995" s="1">
        <f t="shared" si="36"/>
        <v>1</v>
      </c>
      <c r="R995" s="1">
        <v>161</v>
      </c>
      <c r="U995" s="12">
        <f t="shared" si="37"/>
        <v>42339</v>
      </c>
    </row>
    <row r="996" spans="1:21" x14ac:dyDescent="0.25">
      <c r="A996" s="2">
        <v>17</v>
      </c>
      <c r="B996" t="s">
        <v>155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541</v>
      </c>
      <c r="P996" s="20" t="s">
        <v>873</v>
      </c>
      <c r="Q996" s="1">
        <f t="shared" si="36"/>
        <v>1</v>
      </c>
      <c r="R996" s="1">
        <v>161</v>
      </c>
      <c r="U996" s="12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541</v>
      </c>
      <c r="P997" s="20" t="s">
        <v>873</v>
      </c>
      <c r="Q997" s="1">
        <f t="shared" si="36"/>
        <v>1</v>
      </c>
      <c r="R997" s="1">
        <v>161</v>
      </c>
      <c r="U997" s="12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541</v>
      </c>
      <c r="P998" s="20" t="s">
        <v>873</v>
      </c>
      <c r="Q998" s="1">
        <f t="shared" si="36"/>
        <v>1</v>
      </c>
      <c r="R998" s="1">
        <v>161</v>
      </c>
      <c r="U998" s="12">
        <f t="shared" si="37"/>
        <v>42339</v>
      </c>
    </row>
    <row r="999" spans="1:21" x14ac:dyDescent="0.25">
      <c r="A999" s="2">
        <v>17</v>
      </c>
      <c r="B999" t="s">
        <v>398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541</v>
      </c>
      <c r="P999" s="20" t="s">
        <v>873</v>
      </c>
      <c r="Q999" s="1">
        <f t="shared" si="36"/>
        <v>1</v>
      </c>
      <c r="R999" s="1">
        <v>161</v>
      </c>
      <c r="U999" s="12">
        <f t="shared" si="37"/>
        <v>42339</v>
      </c>
    </row>
    <row r="1000" spans="1:21" x14ac:dyDescent="0.25">
      <c r="A1000" s="2">
        <v>17</v>
      </c>
      <c r="B1000" t="s">
        <v>194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541</v>
      </c>
      <c r="P1000" s="20" t="s">
        <v>873</v>
      </c>
      <c r="Q1000" s="1">
        <f t="shared" si="36"/>
        <v>1</v>
      </c>
      <c r="R1000" s="1">
        <v>161</v>
      </c>
      <c r="U1000" s="12">
        <f t="shared" si="37"/>
        <v>42339</v>
      </c>
    </row>
    <row r="1001" spans="1:21" x14ac:dyDescent="0.25">
      <c r="A1001" s="2">
        <v>17</v>
      </c>
      <c r="B1001" s="21" t="s">
        <v>874</v>
      </c>
      <c r="J1001" s="1"/>
      <c r="M1001" t="s">
        <v>15</v>
      </c>
      <c r="N1001" t="str">
        <f>IFERROR(VLOOKUP(B1001,'[1]All Player'!$B$2:$C$1992,2,0),"")</f>
        <v/>
      </c>
      <c r="O1001" s="2" t="s">
        <v>541</v>
      </c>
      <c r="P1001" s="20" t="s">
        <v>874</v>
      </c>
      <c r="Q1001" s="1">
        <f t="shared" si="36"/>
        <v>1</v>
      </c>
      <c r="R1001" s="1">
        <v>162</v>
      </c>
      <c r="U1001" s="12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541</v>
      </c>
      <c r="P1002" s="20" t="s">
        <v>874</v>
      </c>
      <c r="Q1002" s="1">
        <f t="shared" si="36"/>
        <v>1</v>
      </c>
      <c r="R1002" s="1">
        <v>162</v>
      </c>
      <c r="U1002" s="12">
        <f t="shared" si="37"/>
        <v>42339</v>
      </c>
    </row>
    <row r="1003" spans="1:21" x14ac:dyDescent="0.25">
      <c r="A1003" s="2">
        <v>17</v>
      </c>
      <c r="B1003" t="s">
        <v>131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541</v>
      </c>
      <c r="P1003" s="20" t="s">
        <v>874</v>
      </c>
      <c r="Q1003" s="1">
        <f t="shared" si="36"/>
        <v>1</v>
      </c>
      <c r="R1003" s="1">
        <v>162</v>
      </c>
      <c r="U1003" s="12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541</v>
      </c>
      <c r="P1004" s="20" t="s">
        <v>874</v>
      </c>
      <c r="Q1004" s="1">
        <f t="shared" si="36"/>
        <v>1</v>
      </c>
      <c r="R1004" s="1">
        <v>162</v>
      </c>
      <c r="U1004" s="12">
        <f t="shared" si="37"/>
        <v>42339</v>
      </c>
    </row>
    <row r="1005" spans="1:21" x14ac:dyDescent="0.25">
      <c r="A1005" s="2">
        <v>17</v>
      </c>
      <c r="B1005" t="s">
        <v>129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541</v>
      </c>
      <c r="P1005" s="20" t="s">
        <v>874</v>
      </c>
      <c r="Q1005" s="1">
        <f t="shared" si="36"/>
        <v>1</v>
      </c>
      <c r="R1005" s="1">
        <v>162</v>
      </c>
      <c r="U1005" s="12">
        <f t="shared" si="37"/>
        <v>42339</v>
      </c>
    </row>
    <row r="1006" spans="1:21" x14ac:dyDescent="0.25">
      <c r="A1006" s="2">
        <v>17</v>
      </c>
      <c r="B1006" t="s">
        <v>229</v>
      </c>
      <c r="C1006" s="2">
        <v>5</v>
      </c>
      <c r="D1006" s="2">
        <v>24</v>
      </c>
      <c r="E1006" s="28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541</v>
      </c>
      <c r="P1006" s="20" t="s">
        <v>874</v>
      </c>
      <c r="Q1006" s="1">
        <f t="shared" si="36"/>
        <v>1</v>
      </c>
      <c r="R1006" s="1">
        <v>162</v>
      </c>
      <c r="U1006" s="12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541</v>
      </c>
      <c r="P1007" s="20" t="s">
        <v>874</v>
      </c>
      <c r="Q1007" s="1">
        <f t="shared" si="36"/>
        <v>1</v>
      </c>
      <c r="R1007" s="1">
        <v>162</v>
      </c>
      <c r="U1007" s="12">
        <f t="shared" si="37"/>
        <v>42339</v>
      </c>
    </row>
    <row r="1008" spans="1:21" x14ac:dyDescent="0.25">
      <c r="A1008" s="2">
        <v>17</v>
      </c>
      <c r="B1008" s="21" t="s">
        <v>875</v>
      </c>
      <c r="J1008" s="1"/>
      <c r="M1008" t="s">
        <v>15</v>
      </c>
      <c r="N1008" t="str">
        <f>IFERROR(VLOOKUP(B1008,'[1]All Player'!$B$2:$C$1992,2,0),"")</f>
        <v/>
      </c>
      <c r="O1008" s="2" t="s">
        <v>541</v>
      </c>
      <c r="P1008" s="20" t="s">
        <v>875</v>
      </c>
      <c r="Q1008" s="1">
        <f t="shared" si="36"/>
        <v>1</v>
      </c>
      <c r="R1008" s="1">
        <v>163</v>
      </c>
      <c r="T1008" s="1" t="s">
        <v>661</v>
      </c>
      <c r="U1008" s="12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541</v>
      </c>
      <c r="P1009" s="20" t="s">
        <v>875</v>
      </c>
      <c r="Q1009" s="1">
        <f t="shared" si="36"/>
        <v>1</v>
      </c>
      <c r="R1009" s="1">
        <v>163</v>
      </c>
      <c r="T1009" s="1" t="s">
        <v>661</v>
      </c>
      <c r="U1009" s="12">
        <f t="shared" si="37"/>
        <v>42339</v>
      </c>
    </row>
    <row r="1010" spans="1:21" x14ac:dyDescent="0.25">
      <c r="A1010" s="2">
        <v>17</v>
      </c>
      <c r="B1010" t="s">
        <v>172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541</v>
      </c>
      <c r="P1010" s="20" t="s">
        <v>875</v>
      </c>
      <c r="Q1010" s="1">
        <f t="shared" si="36"/>
        <v>1</v>
      </c>
      <c r="R1010" s="1">
        <v>163</v>
      </c>
      <c r="T1010" s="1" t="s">
        <v>661</v>
      </c>
      <c r="U1010" s="12">
        <f t="shared" si="37"/>
        <v>42339</v>
      </c>
    </row>
    <row r="1011" spans="1:21" x14ac:dyDescent="0.25">
      <c r="A1011" s="2">
        <v>17</v>
      </c>
      <c r="B1011" t="s">
        <v>192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541</v>
      </c>
      <c r="P1011" s="20" t="s">
        <v>875</v>
      </c>
      <c r="Q1011" s="1">
        <f t="shared" si="36"/>
        <v>1</v>
      </c>
      <c r="R1011" s="1">
        <v>163</v>
      </c>
      <c r="T1011" s="1" t="s">
        <v>661</v>
      </c>
      <c r="U1011" s="12">
        <f t="shared" si="37"/>
        <v>42339</v>
      </c>
    </row>
    <row r="1012" spans="1:21" x14ac:dyDescent="0.25">
      <c r="A1012" s="2">
        <v>17</v>
      </c>
      <c r="B1012" s="7" t="s">
        <v>235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541</v>
      </c>
      <c r="P1012" s="20" t="s">
        <v>875</v>
      </c>
      <c r="Q1012" s="1">
        <f t="shared" si="36"/>
        <v>1</v>
      </c>
      <c r="R1012" s="1">
        <v>163</v>
      </c>
      <c r="T1012" s="1" t="s">
        <v>661</v>
      </c>
      <c r="U1012" s="12">
        <f t="shared" si="37"/>
        <v>42339</v>
      </c>
    </row>
    <row r="1013" spans="1:21" x14ac:dyDescent="0.25">
      <c r="A1013" s="2">
        <v>17</v>
      </c>
      <c r="B1013" t="s">
        <v>876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541</v>
      </c>
      <c r="P1013" s="20" t="s">
        <v>875</v>
      </c>
      <c r="Q1013" s="1">
        <f t="shared" si="36"/>
        <v>1</v>
      </c>
      <c r="R1013" s="1">
        <v>163</v>
      </c>
      <c r="T1013" s="1" t="s">
        <v>661</v>
      </c>
      <c r="U1013" s="12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541</v>
      </c>
      <c r="P1014" s="20" t="s">
        <v>875</v>
      </c>
      <c r="Q1014" s="1">
        <f t="shared" si="36"/>
        <v>1</v>
      </c>
      <c r="R1014" s="1">
        <v>163</v>
      </c>
      <c r="T1014" s="1" t="s">
        <v>661</v>
      </c>
      <c r="U1014" s="12">
        <f t="shared" si="37"/>
        <v>42339</v>
      </c>
    </row>
    <row r="1015" spans="1:21" x14ac:dyDescent="0.25">
      <c r="A1015" s="2">
        <v>17</v>
      </c>
      <c r="B1015" s="21" t="s">
        <v>612</v>
      </c>
      <c r="J1015" s="1"/>
      <c r="M1015" t="s">
        <v>15</v>
      </c>
      <c r="N1015" t="str">
        <f>IFERROR(VLOOKUP(B1015,'[1]All Player'!$B$2:$C$1992,2,0),"")</f>
        <v/>
      </c>
      <c r="O1015" s="2" t="s">
        <v>541</v>
      </c>
      <c r="P1015" s="20" t="s">
        <v>612</v>
      </c>
      <c r="Q1015" s="1">
        <f t="shared" si="36"/>
        <v>1</v>
      </c>
      <c r="R1015" s="1">
        <v>164</v>
      </c>
      <c r="U1015" s="12">
        <f t="shared" si="37"/>
        <v>42339</v>
      </c>
    </row>
    <row r="1016" spans="1:21" x14ac:dyDescent="0.25">
      <c r="A1016" s="2">
        <v>17</v>
      </c>
      <c r="B1016" t="s">
        <v>157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541</v>
      </c>
      <c r="P1016" s="20" t="s">
        <v>612</v>
      </c>
      <c r="Q1016" s="1">
        <f t="shared" si="36"/>
        <v>1</v>
      </c>
      <c r="R1016" s="1">
        <v>164</v>
      </c>
      <c r="U1016" s="12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541</v>
      </c>
      <c r="P1017" s="20" t="s">
        <v>612</v>
      </c>
      <c r="Q1017" s="1">
        <f t="shared" si="36"/>
        <v>1</v>
      </c>
      <c r="R1017" s="1">
        <v>164</v>
      </c>
      <c r="U1017" s="12">
        <f t="shared" si="37"/>
        <v>42339</v>
      </c>
    </row>
    <row r="1018" spans="1:21" x14ac:dyDescent="0.25">
      <c r="A1018" s="2">
        <v>17</v>
      </c>
      <c r="B1018" t="s">
        <v>411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541</v>
      </c>
      <c r="P1018" s="20" t="s">
        <v>612</v>
      </c>
      <c r="Q1018" s="1">
        <f t="shared" si="36"/>
        <v>1</v>
      </c>
      <c r="R1018" s="1">
        <v>164</v>
      </c>
      <c r="U1018" s="12">
        <f t="shared" si="37"/>
        <v>42339</v>
      </c>
    </row>
    <row r="1019" spans="1:21" x14ac:dyDescent="0.25">
      <c r="A1019" s="2">
        <v>17</v>
      </c>
      <c r="B1019" t="s">
        <v>402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541</v>
      </c>
      <c r="P1019" s="20" t="s">
        <v>612</v>
      </c>
      <c r="Q1019" s="1">
        <f t="shared" si="36"/>
        <v>1</v>
      </c>
      <c r="R1019" s="1">
        <v>164</v>
      </c>
      <c r="U1019" s="12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541</v>
      </c>
      <c r="P1020" s="20" t="s">
        <v>612</v>
      </c>
      <c r="Q1020" s="1">
        <f t="shared" si="36"/>
        <v>1</v>
      </c>
      <c r="R1020" s="1">
        <v>164</v>
      </c>
      <c r="U1020" s="12">
        <f t="shared" si="37"/>
        <v>42339</v>
      </c>
    </row>
    <row r="1021" spans="1:21" x14ac:dyDescent="0.25">
      <c r="A1021" s="2">
        <v>17</v>
      </c>
      <c r="B1021" t="s">
        <v>125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541</v>
      </c>
      <c r="P1021" s="20" t="s">
        <v>612</v>
      </c>
      <c r="Q1021" s="1">
        <f t="shared" si="36"/>
        <v>1</v>
      </c>
      <c r="R1021" s="1">
        <v>164</v>
      </c>
      <c r="U1021" s="12">
        <f t="shared" si="37"/>
        <v>42339</v>
      </c>
    </row>
    <row r="1022" spans="1:21" x14ac:dyDescent="0.25">
      <c r="A1022" s="2">
        <v>17</v>
      </c>
      <c r="B1022" s="21" t="s">
        <v>542</v>
      </c>
      <c r="J1022" s="1"/>
      <c r="M1022" t="s">
        <v>15</v>
      </c>
      <c r="N1022" t="str">
        <f>IFERROR(VLOOKUP(B1022,'[1]All Player'!$B$2:$C$1992,2,0),"")</f>
        <v/>
      </c>
      <c r="O1022" s="2" t="s">
        <v>541</v>
      </c>
      <c r="P1022" s="20" t="s">
        <v>542</v>
      </c>
      <c r="Q1022" s="1">
        <f t="shared" si="36"/>
        <v>1</v>
      </c>
      <c r="R1022" s="1">
        <v>165</v>
      </c>
      <c r="T1022" s="1" t="s">
        <v>659</v>
      </c>
      <c r="U1022" s="12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541</v>
      </c>
      <c r="P1023" s="20" t="s">
        <v>542</v>
      </c>
      <c r="Q1023" s="1">
        <f t="shared" si="36"/>
        <v>1</v>
      </c>
      <c r="R1023" s="1">
        <v>165</v>
      </c>
      <c r="T1023" s="1" t="s">
        <v>659</v>
      </c>
      <c r="U1023" s="12">
        <f t="shared" si="37"/>
        <v>42339</v>
      </c>
    </row>
    <row r="1024" spans="1:21" x14ac:dyDescent="0.25">
      <c r="A1024" s="2">
        <v>17</v>
      </c>
      <c r="B1024" t="s">
        <v>115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541</v>
      </c>
      <c r="P1024" s="20" t="s">
        <v>542</v>
      </c>
      <c r="Q1024" s="1">
        <f t="shared" si="36"/>
        <v>1</v>
      </c>
      <c r="R1024" s="1">
        <v>165</v>
      </c>
      <c r="T1024" s="1" t="s">
        <v>659</v>
      </c>
      <c r="U1024" s="12">
        <f t="shared" si="37"/>
        <v>42339</v>
      </c>
    </row>
    <row r="1025" spans="1:23" x14ac:dyDescent="0.25">
      <c r="A1025" s="2">
        <v>17</v>
      </c>
      <c r="B1025" t="s">
        <v>168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541</v>
      </c>
      <c r="P1025" s="20" t="s">
        <v>542</v>
      </c>
      <c r="Q1025" s="1">
        <f t="shared" si="36"/>
        <v>1</v>
      </c>
      <c r="R1025" s="1">
        <v>165</v>
      </c>
      <c r="T1025" s="1" t="s">
        <v>659</v>
      </c>
      <c r="U1025" s="12">
        <f t="shared" si="37"/>
        <v>42339</v>
      </c>
    </row>
    <row r="1026" spans="1:23" x14ac:dyDescent="0.25">
      <c r="A1026" s="2">
        <v>17</v>
      </c>
      <c r="B1026" t="s">
        <v>141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541</v>
      </c>
      <c r="P1026" s="20" t="s">
        <v>542</v>
      </c>
      <c r="Q1026" s="1">
        <f t="shared" ref="Q1026:Q1089" si="38">IF(B1026="","",1)</f>
        <v>1</v>
      </c>
      <c r="R1026" s="1">
        <v>165</v>
      </c>
      <c r="T1026" s="1" t="s">
        <v>659</v>
      </c>
      <c r="U1026" s="12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541</v>
      </c>
      <c r="P1027" s="20" t="s">
        <v>542</v>
      </c>
      <c r="Q1027" s="1">
        <f t="shared" si="38"/>
        <v>1</v>
      </c>
      <c r="R1027" s="1">
        <v>165</v>
      </c>
      <c r="T1027" s="1" t="s">
        <v>659</v>
      </c>
      <c r="U1027" s="12">
        <f t="shared" si="37"/>
        <v>42339</v>
      </c>
    </row>
    <row r="1028" spans="1:23" x14ac:dyDescent="0.25">
      <c r="A1028" s="2">
        <v>17</v>
      </c>
      <c r="B1028" t="s">
        <v>153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541</v>
      </c>
      <c r="P1028" s="20" t="s">
        <v>542</v>
      </c>
      <c r="Q1028" s="1">
        <f t="shared" si="38"/>
        <v>1</v>
      </c>
      <c r="R1028" s="1">
        <v>165</v>
      </c>
      <c r="T1028" s="1" t="s">
        <v>659</v>
      </c>
      <c r="U1028" s="12">
        <f t="shared" si="37"/>
        <v>42339</v>
      </c>
    </row>
    <row r="1029" spans="1:23" x14ac:dyDescent="0.25">
      <c r="A1029" s="2">
        <v>17</v>
      </c>
      <c r="B1029" s="21" t="s">
        <v>877</v>
      </c>
      <c r="J1029" s="1"/>
      <c r="M1029" t="s">
        <v>15</v>
      </c>
      <c r="N1029" t="str">
        <f>IFERROR(VLOOKUP(B1029,'[1]All Player'!$B$2:$C$1992,2,0),"")</f>
        <v/>
      </c>
      <c r="O1029" s="2" t="s">
        <v>541</v>
      </c>
      <c r="P1029" s="20" t="s">
        <v>877</v>
      </c>
      <c r="Q1029" s="1">
        <f t="shared" si="38"/>
        <v>1</v>
      </c>
      <c r="R1029" s="1">
        <v>166</v>
      </c>
      <c r="U1029" s="12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8">
        <v>10</v>
      </c>
      <c r="G1030" s="28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541</v>
      </c>
      <c r="P1030" s="20" t="s">
        <v>877</v>
      </c>
      <c r="Q1030" s="1">
        <f t="shared" si="38"/>
        <v>1</v>
      </c>
      <c r="R1030" s="1">
        <v>166</v>
      </c>
      <c r="U1030" s="12">
        <f t="shared" si="37"/>
        <v>42339</v>
      </c>
    </row>
    <row r="1031" spans="1:23" x14ac:dyDescent="0.25">
      <c r="A1031" s="2">
        <v>17</v>
      </c>
      <c r="B1031" t="s">
        <v>139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541</v>
      </c>
      <c r="P1031" s="20" t="s">
        <v>877</v>
      </c>
      <c r="Q1031" s="1">
        <f t="shared" si="38"/>
        <v>1</v>
      </c>
      <c r="R1031" s="1">
        <v>166</v>
      </c>
      <c r="U1031" s="12">
        <f t="shared" si="37"/>
        <v>42339</v>
      </c>
    </row>
    <row r="1032" spans="1:23" x14ac:dyDescent="0.25">
      <c r="A1032" s="2">
        <v>17</v>
      </c>
      <c r="B1032" t="s">
        <v>123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541</v>
      </c>
      <c r="P1032" s="20" t="s">
        <v>877</v>
      </c>
      <c r="Q1032" s="1">
        <f t="shared" si="38"/>
        <v>1</v>
      </c>
      <c r="R1032" s="1">
        <v>166</v>
      </c>
      <c r="U1032" s="12">
        <f t="shared" si="37"/>
        <v>42339</v>
      </c>
    </row>
    <row r="1033" spans="1:23" x14ac:dyDescent="0.25">
      <c r="A1033" s="2">
        <v>17</v>
      </c>
      <c r="B1033" t="s">
        <v>117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541</v>
      </c>
      <c r="P1033" s="20" t="s">
        <v>877</v>
      </c>
      <c r="Q1033" s="1">
        <f t="shared" si="38"/>
        <v>1</v>
      </c>
      <c r="R1033" s="1">
        <v>166</v>
      </c>
      <c r="U1033" s="12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133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541</v>
      </c>
      <c r="P1034" s="20" t="s">
        <v>877</v>
      </c>
      <c r="Q1034" s="1">
        <f t="shared" si="38"/>
        <v>1</v>
      </c>
      <c r="R1034" s="1">
        <v>166</v>
      </c>
      <c r="U1034" s="12">
        <f t="shared" si="37"/>
        <v>42339</v>
      </c>
    </row>
    <row r="1035" spans="1:23" x14ac:dyDescent="0.25">
      <c r="A1035" s="2">
        <v>17</v>
      </c>
      <c r="B1035" t="s">
        <v>121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541</v>
      </c>
      <c r="P1035" s="20" t="s">
        <v>877</v>
      </c>
      <c r="Q1035" s="1">
        <f t="shared" si="38"/>
        <v>1</v>
      </c>
      <c r="R1035" s="1">
        <v>166</v>
      </c>
      <c r="S1035" s="2" t="s">
        <v>660</v>
      </c>
      <c r="U1035" s="12">
        <f t="shared" si="37"/>
        <v>42339</v>
      </c>
    </row>
    <row r="1036" spans="1:23" x14ac:dyDescent="0.25">
      <c r="A1036" s="2">
        <v>17</v>
      </c>
      <c r="B1036" s="21" t="s">
        <v>611</v>
      </c>
      <c r="J1036" s="1"/>
      <c r="M1036" t="s">
        <v>15</v>
      </c>
      <c r="N1036" t="str">
        <f>IFERROR(VLOOKUP(B1036,'[1]All Player'!$B$2:$C$1992,2,0),"")</f>
        <v/>
      </c>
      <c r="O1036" s="2" t="s">
        <v>541</v>
      </c>
      <c r="P1036" s="20" t="s">
        <v>611</v>
      </c>
      <c r="Q1036" s="1">
        <f t="shared" si="38"/>
        <v>1</v>
      </c>
      <c r="R1036" s="1">
        <v>167</v>
      </c>
      <c r="U1036" s="12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30" t="s">
        <v>541</v>
      </c>
      <c r="P1037" s="20" t="s">
        <v>611</v>
      </c>
      <c r="Q1037" s="1">
        <f t="shared" si="38"/>
        <v>1</v>
      </c>
      <c r="R1037" s="1">
        <v>167</v>
      </c>
      <c r="U1037" s="12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541</v>
      </c>
      <c r="P1038" s="20" t="s">
        <v>611</v>
      </c>
      <c r="Q1038" s="1">
        <f t="shared" si="38"/>
        <v>1</v>
      </c>
      <c r="R1038" s="1">
        <v>167</v>
      </c>
      <c r="U1038" s="12">
        <f t="shared" si="37"/>
        <v>42339</v>
      </c>
    </row>
    <row r="1039" spans="1:23" x14ac:dyDescent="0.25">
      <c r="A1039" s="2">
        <v>17</v>
      </c>
      <c r="B1039" t="s">
        <v>409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541</v>
      </c>
      <c r="P1039" s="20" t="s">
        <v>611</v>
      </c>
      <c r="Q1039" s="1">
        <f t="shared" si="38"/>
        <v>1</v>
      </c>
      <c r="R1039" s="1">
        <v>167</v>
      </c>
      <c r="U1039" s="12">
        <f t="shared" si="37"/>
        <v>42339</v>
      </c>
    </row>
    <row r="1040" spans="1:23" x14ac:dyDescent="0.25">
      <c r="A1040" s="2">
        <v>17</v>
      </c>
      <c r="B1040" t="s">
        <v>394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541</v>
      </c>
      <c r="P1040" s="20" t="s">
        <v>611</v>
      </c>
      <c r="Q1040" s="1">
        <f t="shared" si="38"/>
        <v>1</v>
      </c>
      <c r="R1040" s="1">
        <v>167</v>
      </c>
      <c r="U1040" s="12">
        <f t="shared" si="37"/>
        <v>42339</v>
      </c>
    </row>
    <row r="1041" spans="1:23" x14ac:dyDescent="0.25">
      <c r="A1041" s="2">
        <v>17</v>
      </c>
      <c r="B1041" t="s">
        <v>407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541</v>
      </c>
      <c r="P1041" s="20" t="s">
        <v>611</v>
      </c>
      <c r="Q1041" s="1">
        <f t="shared" si="38"/>
        <v>1</v>
      </c>
      <c r="R1041" s="1">
        <v>167</v>
      </c>
      <c r="U1041" s="12">
        <f t="shared" si="37"/>
        <v>42339</v>
      </c>
    </row>
    <row r="1042" spans="1:23" x14ac:dyDescent="0.25">
      <c r="A1042" s="2">
        <v>17</v>
      </c>
      <c r="B1042" t="s">
        <v>161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541</v>
      </c>
      <c r="P1042" s="20" t="s">
        <v>611</v>
      </c>
      <c r="Q1042" s="1">
        <f t="shared" si="38"/>
        <v>1</v>
      </c>
      <c r="R1042" s="1">
        <v>167</v>
      </c>
      <c r="U1042" s="12">
        <f t="shared" si="37"/>
        <v>42339</v>
      </c>
    </row>
    <row r="1043" spans="1:23" x14ac:dyDescent="0.25">
      <c r="A1043" s="2">
        <v>18</v>
      </c>
      <c r="B1043" s="21" t="s">
        <v>878</v>
      </c>
      <c r="J1043" s="1"/>
      <c r="M1043" t="s">
        <v>15</v>
      </c>
      <c r="N1043" t="str">
        <f>IFERROR(VLOOKUP(B1043,'[1]All Player'!$B$2:$C$1992,2,0),"")</f>
        <v/>
      </c>
      <c r="O1043" s="2" t="s">
        <v>486</v>
      </c>
      <c r="P1043" s="20" t="s">
        <v>556</v>
      </c>
      <c r="Q1043" s="1">
        <f t="shared" si="38"/>
        <v>1</v>
      </c>
      <c r="R1043" s="1">
        <v>168</v>
      </c>
      <c r="T1043" s="1" t="s">
        <v>659</v>
      </c>
      <c r="U1043" s="12">
        <v>42675</v>
      </c>
    </row>
    <row r="1044" spans="1:23" x14ac:dyDescent="0.25">
      <c r="A1044" s="2">
        <v>18</v>
      </c>
      <c r="B1044" t="s">
        <v>663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486</v>
      </c>
      <c r="P1044" s="20" t="s">
        <v>556</v>
      </c>
      <c r="Q1044" s="1">
        <f t="shared" si="38"/>
        <v>1</v>
      </c>
      <c r="R1044" s="1">
        <v>168</v>
      </c>
      <c r="T1044" s="1" t="s">
        <v>659</v>
      </c>
      <c r="U1044" s="12">
        <f t="shared" ref="U1044:U1103" si="39">U1043</f>
        <v>42675</v>
      </c>
    </row>
    <row r="1045" spans="1:23" x14ac:dyDescent="0.25">
      <c r="A1045" s="2">
        <v>18</v>
      </c>
      <c r="B1045" t="s">
        <v>189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486</v>
      </c>
      <c r="P1045" s="20" t="s">
        <v>556</v>
      </c>
      <c r="Q1045" s="1">
        <f t="shared" si="38"/>
        <v>1</v>
      </c>
      <c r="R1045" s="1">
        <v>168</v>
      </c>
      <c r="T1045" s="1" t="s">
        <v>659</v>
      </c>
      <c r="U1045" s="12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486</v>
      </c>
      <c r="P1046" s="20" t="s">
        <v>556</v>
      </c>
      <c r="Q1046" s="1">
        <f t="shared" si="38"/>
        <v>1</v>
      </c>
      <c r="R1046" s="1">
        <v>168</v>
      </c>
      <c r="T1046" s="1" t="s">
        <v>659</v>
      </c>
      <c r="U1046" s="12">
        <f t="shared" si="39"/>
        <v>42675</v>
      </c>
    </row>
    <row r="1047" spans="1:23" x14ac:dyDescent="0.25">
      <c r="A1047" s="2">
        <v>18</v>
      </c>
      <c r="B1047" t="s">
        <v>184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486</v>
      </c>
      <c r="P1047" s="20" t="s">
        <v>556</v>
      </c>
      <c r="Q1047" s="1">
        <f t="shared" si="38"/>
        <v>1</v>
      </c>
      <c r="R1047" s="32">
        <v>168</v>
      </c>
      <c r="T1047" s="1" t="s">
        <v>659</v>
      </c>
      <c r="U1047" s="12">
        <f t="shared" si="39"/>
        <v>42675</v>
      </c>
    </row>
    <row r="1048" spans="1:23" x14ac:dyDescent="0.25">
      <c r="A1048" s="2">
        <v>18</v>
      </c>
      <c r="B1048" t="s">
        <v>170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486</v>
      </c>
      <c r="P1048" s="20" t="s">
        <v>556</v>
      </c>
      <c r="Q1048" s="1">
        <f t="shared" si="38"/>
        <v>1</v>
      </c>
      <c r="R1048" s="32">
        <v>168</v>
      </c>
      <c r="T1048" s="1" t="s">
        <v>659</v>
      </c>
      <c r="U1048" s="12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486</v>
      </c>
      <c r="P1049" s="20" t="s">
        <v>556</v>
      </c>
      <c r="Q1049" s="1">
        <f t="shared" si="38"/>
        <v>1</v>
      </c>
      <c r="R1049" s="1">
        <v>168</v>
      </c>
      <c r="T1049" s="1" t="s">
        <v>659</v>
      </c>
      <c r="U1049" s="12">
        <f t="shared" si="39"/>
        <v>42675</v>
      </c>
    </row>
    <row r="1050" spans="1:23" x14ac:dyDescent="0.25">
      <c r="A1050" s="2">
        <v>18</v>
      </c>
      <c r="B1050" s="21" t="s">
        <v>879</v>
      </c>
      <c r="J1050" s="1"/>
      <c r="M1050" t="s">
        <v>15</v>
      </c>
      <c r="N1050" t="str">
        <f>IFERROR(VLOOKUP(B1050,'[1]All Player'!$B$2:$C$1992,2,0),"")</f>
        <v/>
      </c>
      <c r="O1050" s="2" t="s">
        <v>486</v>
      </c>
      <c r="P1050" s="20" t="s">
        <v>880</v>
      </c>
      <c r="Q1050" s="1">
        <f t="shared" si="38"/>
        <v>1</v>
      </c>
      <c r="R1050" s="1">
        <v>169</v>
      </c>
      <c r="T1050" s="1" t="s">
        <v>661</v>
      </c>
      <c r="U1050" s="12">
        <f t="shared" si="39"/>
        <v>42675</v>
      </c>
    </row>
    <row r="1051" spans="1:23" x14ac:dyDescent="0.25">
      <c r="A1051" s="2">
        <v>18</v>
      </c>
      <c r="B1051" t="s">
        <v>157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486</v>
      </c>
      <c r="P1051" s="20" t="s">
        <v>880</v>
      </c>
      <c r="Q1051" s="1">
        <f t="shared" si="38"/>
        <v>1</v>
      </c>
      <c r="R1051" s="1">
        <v>169</v>
      </c>
      <c r="S1051" s="2" t="s">
        <v>662</v>
      </c>
      <c r="T1051" s="1" t="s">
        <v>661</v>
      </c>
      <c r="U1051" s="12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486</v>
      </c>
      <c r="P1052" s="20" t="s">
        <v>880</v>
      </c>
      <c r="Q1052" s="1">
        <f t="shared" si="38"/>
        <v>1</v>
      </c>
      <c r="R1052" s="1">
        <v>169</v>
      </c>
      <c r="T1052" s="1" t="s">
        <v>661</v>
      </c>
      <c r="U1052" s="12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486</v>
      </c>
      <c r="P1053" s="20" t="s">
        <v>880</v>
      </c>
      <c r="Q1053" s="1">
        <f t="shared" si="38"/>
        <v>1</v>
      </c>
      <c r="R1053" s="1">
        <v>169</v>
      </c>
      <c r="T1053" s="1" t="s">
        <v>661</v>
      </c>
      <c r="U1053" s="12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486</v>
      </c>
      <c r="P1054" s="20" t="s">
        <v>880</v>
      </c>
      <c r="Q1054" s="1">
        <f t="shared" si="38"/>
        <v>1</v>
      </c>
      <c r="R1054" s="1">
        <v>169</v>
      </c>
      <c r="T1054" s="1" t="s">
        <v>661</v>
      </c>
      <c r="U1054" s="12">
        <f t="shared" si="39"/>
        <v>42675</v>
      </c>
    </row>
    <row r="1055" spans="1:23" x14ac:dyDescent="0.25">
      <c r="A1055" s="2">
        <v>18</v>
      </c>
      <c r="B1055" t="s">
        <v>115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486</v>
      </c>
      <c r="P1055" s="20" t="s">
        <v>880</v>
      </c>
      <c r="Q1055" s="1">
        <f t="shared" si="38"/>
        <v>1</v>
      </c>
      <c r="R1055" s="1">
        <v>169</v>
      </c>
      <c r="T1055" s="1" t="s">
        <v>661</v>
      </c>
      <c r="U1055" s="12">
        <f t="shared" si="39"/>
        <v>42675</v>
      </c>
    </row>
    <row r="1056" spans="1:23" x14ac:dyDescent="0.25">
      <c r="A1056" s="2">
        <v>18</v>
      </c>
      <c r="B1056" s="21" t="s">
        <v>881</v>
      </c>
      <c r="J1056" s="1"/>
      <c r="M1056" t="s">
        <v>15</v>
      </c>
      <c r="N1056" t="str">
        <f>IFERROR(VLOOKUP(B1056,'[1]All Player'!$B$2:$C$1992,2,0),"")</f>
        <v/>
      </c>
      <c r="O1056" s="2" t="s">
        <v>486</v>
      </c>
      <c r="P1056" s="20" t="s">
        <v>613</v>
      </c>
      <c r="Q1056" s="1">
        <f t="shared" si="38"/>
        <v>1</v>
      </c>
      <c r="R1056" s="1">
        <v>170</v>
      </c>
      <c r="U1056" s="12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486</v>
      </c>
      <c r="P1057" s="20" t="s">
        <v>613</v>
      </c>
      <c r="Q1057" s="1">
        <f t="shared" si="38"/>
        <v>1</v>
      </c>
      <c r="R1057" s="1">
        <v>170</v>
      </c>
      <c r="U1057" s="12">
        <f t="shared" si="39"/>
        <v>42675</v>
      </c>
    </row>
    <row r="1058" spans="1:22" x14ac:dyDescent="0.25">
      <c r="A1058" s="2">
        <v>18</v>
      </c>
      <c r="B1058" t="s">
        <v>413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486</v>
      </c>
      <c r="P1058" s="20" t="s">
        <v>613</v>
      </c>
      <c r="Q1058" s="1">
        <f t="shared" si="38"/>
        <v>1</v>
      </c>
      <c r="R1058" s="1">
        <v>170</v>
      </c>
      <c r="U1058" s="12">
        <f t="shared" si="39"/>
        <v>42675</v>
      </c>
    </row>
    <row r="1059" spans="1:22" x14ac:dyDescent="0.25">
      <c r="A1059" s="2">
        <v>18</v>
      </c>
      <c r="B1059" t="s">
        <v>178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486</v>
      </c>
      <c r="P1059" s="20" t="s">
        <v>613</v>
      </c>
      <c r="Q1059" s="1">
        <f t="shared" si="38"/>
        <v>1</v>
      </c>
      <c r="R1059" s="1">
        <v>170</v>
      </c>
      <c r="U1059" s="12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30" t="s">
        <v>486</v>
      </c>
      <c r="P1060" s="20" t="s">
        <v>613</v>
      </c>
      <c r="Q1060" s="1">
        <f t="shared" si="38"/>
        <v>1</v>
      </c>
      <c r="R1060" s="1">
        <v>170</v>
      </c>
      <c r="U1060" s="12">
        <f t="shared" si="39"/>
        <v>42675</v>
      </c>
    </row>
    <row r="1061" spans="1:22" x14ac:dyDescent="0.25">
      <c r="A1061" s="2">
        <v>18</v>
      </c>
      <c r="B1061" t="s">
        <v>192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486</v>
      </c>
      <c r="P1061" s="20" t="s">
        <v>613</v>
      </c>
      <c r="Q1061" s="1">
        <f t="shared" si="38"/>
        <v>1</v>
      </c>
      <c r="R1061" s="1">
        <v>170</v>
      </c>
      <c r="U1061" s="12">
        <f t="shared" si="39"/>
        <v>42675</v>
      </c>
    </row>
    <row r="1062" spans="1:22" x14ac:dyDescent="0.25">
      <c r="A1062" s="2">
        <v>18</v>
      </c>
      <c r="B1062" s="21" t="s">
        <v>882</v>
      </c>
      <c r="J1062" s="1"/>
      <c r="M1062" t="s">
        <v>15</v>
      </c>
      <c r="N1062" t="str">
        <f>IFERROR(VLOOKUP(B1062,'[1]All Player'!$B$2:$C$1992,2,0),"")</f>
        <v/>
      </c>
      <c r="O1062" s="2" t="s">
        <v>486</v>
      </c>
      <c r="P1062" s="20" t="s">
        <v>883</v>
      </c>
      <c r="Q1062" s="1">
        <f t="shared" si="38"/>
        <v>1</v>
      </c>
      <c r="R1062" s="1">
        <v>171</v>
      </c>
      <c r="U1062" s="12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486</v>
      </c>
      <c r="P1063" s="20" t="s">
        <v>883</v>
      </c>
      <c r="Q1063" s="1">
        <f t="shared" si="38"/>
        <v>1</v>
      </c>
      <c r="R1063" s="1">
        <v>171</v>
      </c>
      <c r="U1063" s="12">
        <f t="shared" si="39"/>
        <v>42675</v>
      </c>
    </row>
    <row r="1064" spans="1:22" x14ac:dyDescent="0.25">
      <c r="A1064" s="2">
        <v>18</v>
      </c>
      <c r="B1064" t="s">
        <v>791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486</v>
      </c>
      <c r="P1064" s="20" t="s">
        <v>883</v>
      </c>
      <c r="Q1064" s="1">
        <f t="shared" si="38"/>
        <v>1</v>
      </c>
      <c r="R1064" s="1">
        <v>171</v>
      </c>
      <c r="U1064" s="12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486</v>
      </c>
      <c r="P1065" s="20" t="s">
        <v>883</v>
      </c>
      <c r="Q1065" s="1">
        <f t="shared" si="38"/>
        <v>1</v>
      </c>
      <c r="R1065" s="1">
        <v>171</v>
      </c>
      <c r="U1065" s="12">
        <f t="shared" si="39"/>
        <v>42675</v>
      </c>
    </row>
    <row r="1066" spans="1:22" x14ac:dyDescent="0.25">
      <c r="A1066" s="2">
        <v>18</v>
      </c>
      <c r="B1066" t="s">
        <v>137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486</v>
      </c>
      <c r="P1066" s="20" t="s">
        <v>883</v>
      </c>
      <c r="Q1066" s="1">
        <f t="shared" si="38"/>
        <v>1</v>
      </c>
      <c r="R1066" s="1">
        <v>171</v>
      </c>
      <c r="S1066" s="2" t="s">
        <v>660</v>
      </c>
      <c r="U1066" s="12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486</v>
      </c>
      <c r="P1067" s="20" t="s">
        <v>883</v>
      </c>
      <c r="Q1067" s="1">
        <f t="shared" si="38"/>
        <v>1</v>
      </c>
      <c r="R1067" s="1">
        <v>171</v>
      </c>
      <c r="U1067" s="12">
        <f t="shared" si="39"/>
        <v>42675</v>
      </c>
    </row>
    <row r="1068" spans="1:22" x14ac:dyDescent="0.25">
      <c r="A1068" s="2">
        <v>18</v>
      </c>
      <c r="B1068" s="21" t="s">
        <v>884</v>
      </c>
      <c r="J1068" s="1"/>
      <c r="M1068" t="s">
        <v>15</v>
      </c>
      <c r="N1068" t="str">
        <f>IFERROR(VLOOKUP(B1068,'[1]All Player'!$B$2:$C$1992,2,0),"")</f>
        <v/>
      </c>
      <c r="O1068" s="2" t="s">
        <v>486</v>
      </c>
      <c r="P1068" s="20" t="s">
        <v>885</v>
      </c>
      <c r="Q1068" s="1">
        <f t="shared" si="38"/>
        <v>1</v>
      </c>
      <c r="R1068" s="1">
        <v>172</v>
      </c>
      <c r="U1068" s="12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8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486</v>
      </c>
      <c r="P1069" s="20" t="s">
        <v>885</v>
      </c>
      <c r="Q1069" s="1">
        <f t="shared" si="38"/>
        <v>1</v>
      </c>
      <c r="R1069" s="1">
        <v>172</v>
      </c>
      <c r="U1069" s="12">
        <f t="shared" si="39"/>
        <v>42675</v>
      </c>
    </row>
    <row r="1070" spans="1:22" x14ac:dyDescent="0.25">
      <c r="A1070" s="2">
        <v>18</v>
      </c>
      <c r="B1070" t="s">
        <v>400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486</v>
      </c>
      <c r="P1070" s="20" t="s">
        <v>885</v>
      </c>
      <c r="Q1070" s="1">
        <f t="shared" si="38"/>
        <v>1</v>
      </c>
      <c r="R1070" s="1">
        <v>172</v>
      </c>
      <c r="U1070" s="12">
        <f t="shared" si="39"/>
        <v>42675</v>
      </c>
    </row>
    <row r="1071" spans="1:22" x14ac:dyDescent="0.25">
      <c r="A1071" s="2">
        <v>18</v>
      </c>
      <c r="B1071" t="s">
        <v>229</v>
      </c>
      <c r="C1071" s="2">
        <v>13</v>
      </c>
      <c r="D1071" s="2">
        <v>231</v>
      </c>
      <c r="E1071" s="28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486</v>
      </c>
      <c r="P1071" s="20" t="s">
        <v>885</v>
      </c>
      <c r="Q1071" s="1">
        <f t="shared" si="38"/>
        <v>1</v>
      </c>
      <c r="R1071" s="1">
        <v>172</v>
      </c>
      <c r="U1071" s="12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486</v>
      </c>
      <c r="P1072" s="20" t="s">
        <v>885</v>
      </c>
      <c r="Q1072" s="1">
        <f t="shared" si="38"/>
        <v>1</v>
      </c>
      <c r="R1072" s="1">
        <v>172</v>
      </c>
      <c r="U1072" s="12">
        <f t="shared" si="39"/>
        <v>42675</v>
      </c>
    </row>
    <row r="1073" spans="1:21" x14ac:dyDescent="0.25">
      <c r="A1073" s="2">
        <v>18</v>
      </c>
      <c r="B1073" t="s">
        <v>117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486</v>
      </c>
      <c r="P1073" s="20" t="s">
        <v>885</v>
      </c>
      <c r="Q1073" s="1">
        <f t="shared" si="38"/>
        <v>1</v>
      </c>
      <c r="R1073" s="1">
        <v>172</v>
      </c>
      <c r="U1073" s="12">
        <f t="shared" si="39"/>
        <v>42675</v>
      </c>
    </row>
    <row r="1074" spans="1:21" x14ac:dyDescent="0.25">
      <c r="A1074" s="2">
        <v>18</v>
      </c>
      <c r="B1074" s="21" t="s">
        <v>886</v>
      </c>
      <c r="J1074" s="1"/>
      <c r="M1074" t="s">
        <v>15</v>
      </c>
      <c r="N1074" t="str">
        <f>IFERROR(VLOOKUP(B1074,'[1]All Player'!$B$2:$C$1992,2,0),"")</f>
        <v/>
      </c>
      <c r="O1074" s="2" t="s">
        <v>486</v>
      </c>
      <c r="P1074" s="20" t="s">
        <v>614</v>
      </c>
      <c r="Q1074" s="1">
        <f t="shared" si="38"/>
        <v>1</v>
      </c>
      <c r="R1074" s="1">
        <v>173</v>
      </c>
      <c r="U1074" s="12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486</v>
      </c>
      <c r="P1075" s="20" t="s">
        <v>614</v>
      </c>
      <c r="Q1075" s="1">
        <f t="shared" si="38"/>
        <v>1</v>
      </c>
      <c r="R1075" s="1">
        <v>173</v>
      </c>
      <c r="U1075" s="12">
        <f t="shared" si="39"/>
        <v>42675</v>
      </c>
    </row>
    <row r="1076" spans="1:21" x14ac:dyDescent="0.25">
      <c r="A1076" s="2">
        <v>18</v>
      </c>
      <c r="B1076" t="s">
        <v>415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486</v>
      </c>
      <c r="P1076" s="20" t="s">
        <v>614</v>
      </c>
      <c r="Q1076" s="1">
        <f t="shared" si="38"/>
        <v>1</v>
      </c>
      <c r="R1076" s="1">
        <v>173</v>
      </c>
      <c r="U1076" s="12">
        <f t="shared" si="39"/>
        <v>42675</v>
      </c>
    </row>
    <row r="1077" spans="1:21" x14ac:dyDescent="0.25">
      <c r="A1077" s="2">
        <v>18</v>
      </c>
      <c r="B1077" t="s">
        <v>125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486</v>
      </c>
      <c r="P1077" s="20" t="s">
        <v>614</v>
      </c>
      <c r="Q1077" s="1">
        <f t="shared" si="38"/>
        <v>1</v>
      </c>
      <c r="R1077" s="1">
        <v>173</v>
      </c>
      <c r="U1077" s="12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486</v>
      </c>
      <c r="P1078" s="20" t="s">
        <v>614</v>
      </c>
      <c r="Q1078" s="1">
        <f t="shared" si="38"/>
        <v>1</v>
      </c>
      <c r="R1078" s="1">
        <v>173</v>
      </c>
      <c r="U1078" s="12">
        <f t="shared" si="39"/>
        <v>42675</v>
      </c>
    </row>
    <row r="1079" spans="1:21" x14ac:dyDescent="0.25">
      <c r="A1079" s="2">
        <v>18</v>
      </c>
      <c r="B1079" t="s">
        <v>121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486</v>
      </c>
      <c r="P1079" s="20" t="s">
        <v>614</v>
      </c>
      <c r="Q1079" s="1">
        <f t="shared" si="38"/>
        <v>1</v>
      </c>
      <c r="R1079" s="1">
        <v>173</v>
      </c>
      <c r="U1079" s="12">
        <f t="shared" si="39"/>
        <v>42675</v>
      </c>
    </row>
    <row r="1080" spans="1:21" x14ac:dyDescent="0.25">
      <c r="A1080" s="2">
        <v>18</v>
      </c>
      <c r="B1080" s="21" t="s">
        <v>887</v>
      </c>
      <c r="J1080" s="1"/>
      <c r="M1080" t="s">
        <v>15</v>
      </c>
      <c r="N1080" t="str">
        <f>IFERROR(VLOOKUP(B1080,'[1]All Player'!$B$2:$C$1992,2,0),"")</f>
        <v/>
      </c>
      <c r="O1080" s="2" t="s">
        <v>486</v>
      </c>
      <c r="P1080" s="20" t="s">
        <v>487</v>
      </c>
      <c r="Q1080" s="1">
        <f t="shared" si="38"/>
        <v>1</v>
      </c>
      <c r="R1080" s="1">
        <v>174</v>
      </c>
      <c r="U1080" s="12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486</v>
      </c>
      <c r="P1081" s="20" t="s">
        <v>487</v>
      </c>
      <c r="Q1081" s="1">
        <f t="shared" si="38"/>
        <v>1</v>
      </c>
      <c r="R1081" s="1">
        <v>174</v>
      </c>
      <c r="U1081" s="12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486</v>
      </c>
      <c r="P1082" s="20" t="s">
        <v>487</v>
      </c>
      <c r="Q1082" s="1">
        <f t="shared" si="38"/>
        <v>1</v>
      </c>
      <c r="R1082" s="1">
        <v>174</v>
      </c>
      <c r="U1082" s="12">
        <f t="shared" si="39"/>
        <v>42675</v>
      </c>
    </row>
    <row r="1083" spans="1:21" x14ac:dyDescent="0.25">
      <c r="A1083" s="2">
        <v>18</v>
      </c>
      <c r="B1083" t="s">
        <v>386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486</v>
      </c>
      <c r="P1083" s="20" t="s">
        <v>487</v>
      </c>
      <c r="Q1083" s="1">
        <f t="shared" si="38"/>
        <v>1</v>
      </c>
      <c r="R1083" s="1">
        <v>174</v>
      </c>
      <c r="U1083" s="12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486</v>
      </c>
      <c r="P1084" s="20" t="s">
        <v>487</v>
      </c>
      <c r="Q1084" s="1">
        <f t="shared" si="38"/>
        <v>1</v>
      </c>
      <c r="R1084" s="1">
        <v>174</v>
      </c>
      <c r="U1084" s="12">
        <f t="shared" si="39"/>
        <v>42675</v>
      </c>
    </row>
    <row r="1085" spans="1:21" x14ac:dyDescent="0.25">
      <c r="A1085" s="2">
        <v>18</v>
      </c>
      <c r="B1085" t="s">
        <v>147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486</v>
      </c>
      <c r="P1085" s="20" t="s">
        <v>487</v>
      </c>
      <c r="Q1085" s="1">
        <f t="shared" si="38"/>
        <v>1</v>
      </c>
      <c r="R1085" s="1">
        <v>174</v>
      </c>
      <c r="U1085" s="12">
        <f t="shared" si="39"/>
        <v>42675</v>
      </c>
    </row>
    <row r="1086" spans="1:21" x14ac:dyDescent="0.25">
      <c r="A1086" s="2">
        <v>18</v>
      </c>
      <c r="B1086" s="21" t="s">
        <v>888</v>
      </c>
      <c r="J1086" s="1"/>
      <c r="M1086" t="s">
        <v>15</v>
      </c>
      <c r="N1086" t="str">
        <f>IFERROR(VLOOKUP(B1086,'[1]All Player'!$B$2:$C$1992,2,0),"")</f>
        <v/>
      </c>
      <c r="O1086" s="2" t="s">
        <v>486</v>
      </c>
      <c r="P1086" s="20" t="s">
        <v>889</v>
      </c>
      <c r="Q1086" s="1">
        <f t="shared" si="38"/>
        <v>1</v>
      </c>
      <c r="R1086" s="1">
        <v>175</v>
      </c>
      <c r="U1086" s="12">
        <f t="shared" si="39"/>
        <v>42675</v>
      </c>
    </row>
    <row r="1087" spans="1:21" x14ac:dyDescent="0.25">
      <c r="A1087" s="2">
        <v>18</v>
      </c>
      <c r="B1087" t="s">
        <v>139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486</v>
      </c>
      <c r="P1087" s="20" t="s">
        <v>889</v>
      </c>
      <c r="Q1087" s="1">
        <f t="shared" si="38"/>
        <v>1</v>
      </c>
      <c r="R1087" s="1">
        <v>175</v>
      </c>
      <c r="U1087" s="12">
        <f t="shared" si="39"/>
        <v>42675</v>
      </c>
    </row>
    <row r="1088" spans="1:21" x14ac:dyDescent="0.25">
      <c r="A1088" s="2">
        <v>18</v>
      </c>
      <c r="B1088" t="s">
        <v>182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486</v>
      </c>
      <c r="P1088" s="20" t="s">
        <v>889</v>
      </c>
      <c r="Q1088" s="1">
        <f t="shared" si="38"/>
        <v>1</v>
      </c>
      <c r="R1088" s="1">
        <v>175</v>
      </c>
      <c r="U1088" s="12">
        <f t="shared" si="39"/>
        <v>42675</v>
      </c>
    </row>
    <row r="1089" spans="1:21" x14ac:dyDescent="0.25">
      <c r="A1089" s="2">
        <v>18</v>
      </c>
      <c r="B1089" t="s">
        <v>172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486</v>
      </c>
      <c r="P1089" s="20" t="s">
        <v>889</v>
      </c>
      <c r="Q1089" s="1">
        <f t="shared" si="38"/>
        <v>1</v>
      </c>
      <c r="R1089" s="1">
        <v>175</v>
      </c>
      <c r="U1089" s="12">
        <f t="shared" si="39"/>
        <v>42675</v>
      </c>
    </row>
    <row r="1090" spans="1:21" x14ac:dyDescent="0.25">
      <c r="A1090" s="2">
        <v>18</v>
      </c>
      <c r="B1090" t="s">
        <v>131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486</v>
      </c>
      <c r="P1090" s="20" t="s">
        <v>889</v>
      </c>
      <c r="Q1090" s="1">
        <f t="shared" ref="Q1090:Q1153" si="40">IF(B1090="","",1)</f>
        <v>1</v>
      </c>
      <c r="R1090" s="1">
        <v>175</v>
      </c>
      <c r="U1090" s="12">
        <f t="shared" si="39"/>
        <v>42675</v>
      </c>
    </row>
    <row r="1091" spans="1:21" x14ac:dyDescent="0.25">
      <c r="A1091" s="2">
        <v>18</v>
      </c>
      <c r="B1091" t="s">
        <v>174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486</v>
      </c>
      <c r="P1091" s="20" t="s">
        <v>889</v>
      </c>
      <c r="Q1091" s="1">
        <f t="shared" si="40"/>
        <v>1</v>
      </c>
      <c r="R1091" s="1">
        <v>175</v>
      </c>
      <c r="U1091" s="12">
        <f t="shared" si="39"/>
        <v>42675</v>
      </c>
    </row>
    <row r="1092" spans="1:21" x14ac:dyDescent="0.25">
      <c r="A1092" s="2">
        <v>18</v>
      </c>
      <c r="B1092" s="21" t="s">
        <v>890</v>
      </c>
      <c r="J1092" s="1"/>
      <c r="M1092" t="s">
        <v>15</v>
      </c>
      <c r="N1092" t="str">
        <f>IFERROR(VLOOKUP(B1092,'[1]All Player'!$B$2:$C$1992,2,0),"")</f>
        <v/>
      </c>
      <c r="O1092" s="2" t="s">
        <v>486</v>
      </c>
      <c r="P1092" s="20" t="s">
        <v>891</v>
      </c>
      <c r="Q1092" s="1">
        <f t="shared" si="40"/>
        <v>1</v>
      </c>
      <c r="R1092" s="1">
        <v>176</v>
      </c>
      <c r="U1092" s="12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486</v>
      </c>
      <c r="P1093" s="20" t="s">
        <v>891</v>
      </c>
      <c r="Q1093" s="1">
        <f t="shared" si="40"/>
        <v>1</v>
      </c>
      <c r="R1093" s="1">
        <v>176</v>
      </c>
      <c r="U1093" s="12">
        <f t="shared" si="39"/>
        <v>42675</v>
      </c>
    </row>
    <row r="1094" spans="1:21" x14ac:dyDescent="0.25">
      <c r="A1094" s="2">
        <v>18</v>
      </c>
      <c r="B1094" t="s">
        <v>149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486</v>
      </c>
      <c r="P1094" s="20" t="s">
        <v>891</v>
      </c>
      <c r="Q1094" s="1">
        <f t="shared" si="40"/>
        <v>1</v>
      </c>
      <c r="R1094" s="1">
        <v>176</v>
      </c>
      <c r="U1094" s="12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486</v>
      </c>
      <c r="P1095" s="20" t="s">
        <v>891</v>
      </c>
      <c r="Q1095" s="1">
        <f t="shared" si="40"/>
        <v>1</v>
      </c>
      <c r="R1095" s="1">
        <v>176</v>
      </c>
      <c r="U1095" s="12">
        <f t="shared" si="39"/>
        <v>42675</v>
      </c>
    </row>
    <row r="1096" spans="1:21" x14ac:dyDescent="0.25">
      <c r="A1096" s="2">
        <v>18</v>
      </c>
      <c r="B1096" t="s">
        <v>123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486</v>
      </c>
      <c r="P1096" s="20" t="s">
        <v>891</v>
      </c>
      <c r="Q1096" s="1">
        <f t="shared" si="40"/>
        <v>1</v>
      </c>
      <c r="R1096" s="1">
        <v>176</v>
      </c>
      <c r="U1096" s="12">
        <f t="shared" si="39"/>
        <v>42675</v>
      </c>
    </row>
    <row r="1097" spans="1:21" x14ac:dyDescent="0.25">
      <c r="A1097" s="2">
        <v>18</v>
      </c>
      <c r="B1097" t="s">
        <v>299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486</v>
      </c>
      <c r="P1097" s="20" t="s">
        <v>891</v>
      </c>
      <c r="Q1097" s="1">
        <f t="shared" si="40"/>
        <v>1</v>
      </c>
      <c r="R1097" s="1">
        <v>176</v>
      </c>
      <c r="U1097" s="12">
        <f t="shared" si="39"/>
        <v>42675</v>
      </c>
    </row>
    <row r="1098" spans="1:21" x14ac:dyDescent="0.25">
      <c r="A1098" s="2">
        <v>18</v>
      </c>
      <c r="B1098" s="21" t="s">
        <v>892</v>
      </c>
      <c r="J1098" s="1"/>
      <c r="M1098" t="s">
        <v>15</v>
      </c>
      <c r="N1098" t="str">
        <f>IFERROR(VLOOKUP(B1098,'[1]All Player'!$B$2:$C$1992,2,0),"")</f>
        <v/>
      </c>
      <c r="O1098" s="2" t="s">
        <v>486</v>
      </c>
      <c r="P1098" s="20" t="s">
        <v>893</v>
      </c>
      <c r="Q1098" s="1">
        <f t="shared" si="40"/>
        <v>1</v>
      </c>
      <c r="R1098" s="1">
        <v>177</v>
      </c>
      <c r="U1098" s="12">
        <f t="shared" si="39"/>
        <v>42675</v>
      </c>
    </row>
    <row r="1099" spans="1:21" x14ac:dyDescent="0.25">
      <c r="A1099" s="2">
        <v>18</v>
      </c>
      <c r="B1099" t="s">
        <v>133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486</v>
      </c>
      <c r="P1099" s="20" t="s">
        <v>893</v>
      </c>
      <c r="Q1099" s="1">
        <f t="shared" si="40"/>
        <v>1</v>
      </c>
      <c r="R1099" s="1">
        <v>177</v>
      </c>
      <c r="U1099" s="12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486</v>
      </c>
      <c r="P1100" s="20" t="s">
        <v>893</v>
      </c>
      <c r="Q1100" s="1">
        <f t="shared" si="40"/>
        <v>1</v>
      </c>
      <c r="R1100" s="1">
        <v>177</v>
      </c>
      <c r="U1100" s="12">
        <f t="shared" si="39"/>
        <v>42675</v>
      </c>
    </row>
    <row r="1101" spans="1:21" x14ac:dyDescent="0.25">
      <c r="A1101" s="2">
        <v>18</v>
      </c>
      <c r="B1101" t="s">
        <v>198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486</v>
      </c>
      <c r="P1101" s="20" t="s">
        <v>893</v>
      </c>
      <c r="Q1101" s="1">
        <f t="shared" si="40"/>
        <v>1</v>
      </c>
      <c r="R1101" s="1">
        <v>177</v>
      </c>
      <c r="U1101" s="12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486</v>
      </c>
      <c r="P1102" s="20" t="s">
        <v>893</v>
      </c>
      <c r="Q1102" s="1">
        <f t="shared" si="40"/>
        <v>1</v>
      </c>
      <c r="R1102" s="1">
        <v>177</v>
      </c>
      <c r="U1102" s="12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486</v>
      </c>
      <c r="P1103" s="20" t="s">
        <v>893</v>
      </c>
      <c r="Q1103" s="1">
        <f t="shared" si="40"/>
        <v>1</v>
      </c>
      <c r="R1103" s="1">
        <v>177</v>
      </c>
      <c r="U1103" s="12">
        <f t="shared" si="39"/>
        <v>42675</v>
      </c>
    </row>
    <row r="1104" spans="1:21" x14ac:dyDescent="0.25">
      <c r="A1104" s="2">
        <v>19</v>
      </c>
      <c r="B1104" s="21" t="s">
        <v>894</v>
      </c>
      <c r="J1104" s="1"/>
      <c r="M1104" t="s">
        <v>15</v>
      </c>
      <c r="N1104" t="str">
        <f>IFERROR(VLOOKUP(B1104,'[1]All Player'!$B$2:$C$1992,2,0),"")</f>
        <v/>
      </c>
      <c r="O1104" s="2" t="s">
        <v>553</v>
      </c>
      <c r="P1104" s="20" t="s">
        <v>894</v>
      </c>
      <c r="Q1104" s="1">
        <f t="shared" si="40"/>
        <v>1</v>
      </c>
      <c r="R1104" s="1">
        <v>178</v>
      </c>
      <c r="U1104" s="12">
        <v>42795</v>
      </c>
    </row>
    <row r="1105" spans="1:22" x14ac:dyDescent="0.25">
      <c r="A1105" s="2">
        <v>19</v>
      </c>
      <c r="B1105" t="s">
        <v>172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553</v>
      </c>
      <c r="P1105" s="20" t="s">
        <v>894</v>
      </c>
      <c r="Q1105" s="1">
        <f t="shared" si="40"/>
        <v>1</v>
      </c>
      <c r="R1105" s="1">
        <v>178</v>
      </c>
      <c r="U1105" s="12">
        <f t="shared" ref="U1105:U1168" si="41">U1104</f>
        <v>42795</v>
      </c>
    </row>
    <row r="1106" spans="1:22" x14ac:dyDescent="0.25">
      <c r="A1106" s="2">
        <v>19</v>
      </c>
      <c r="B1106" t="s">
        <v>149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553</v>
      </c>
      <c r="P1106" s="20" t="s">
        <v>894</v>
      </c>
      <c r="Q1106" s="1">
        <f t="shared" si="40"/>
        <v>1</v>
      </c>
      <c r="R1106" s="1">
        <v>178</v>
      </c>
      <c r="U1106" s="12">
        <f t="shared" si="41"/>
        <v>42795</v>
      </c>
    </row>
    <row r="1107" spans="1:22" x14ac:dyDescent="0.25">
      <c r="A1107" s="2">
        <v>19</v>
      </c>
      <c r="B1107" t="s">
        <v>131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553</v>
      </c>
      <c r="P1107" s="20" t="s">
        <v>894</v>
      </c>
      <c r="Q1107" s="1">
        <f t="shared" si="40"/>
        <v>1</v>
      </c>
      <c r="R1107" s="1">
        <v>178</v>
      </c>
      <c r="S1107" s="2" t="s">
        <v>662</v>
      </c>
      <c r="U1107" s="12">
        <f t="shared" si="41"/>
        <v>42795</v>
      </c>
      <c r="V1107" s="1">
        <v>1</v>
      </c>
    </row>
    <row r="1108" spans="1:22" x14ac:dyDescent="0.25">
      <c r="A1108" s="2">
        <v>19</v>
      </c>
      <c r="B1108" s="21" t="s">
        <v>895</v>
      </c>
      <c r="J1108" s="1"/>
      <c r="M1108" t="s">
        <v>15</v>
      </c>
      <c r="N1108" t="str">
        <f>IFERROR(VLOOKUP(B1108,'[1]All Player'!$B$2:$C$1992,2,0),"")</f>
        <v/>
      </c>
      <c r="O1108" s="2" t="s">
        <v>553</v>
      </c>
      <c r="P1108" s="20" t="s">
        <v>895</v>
      </c>
      <c r="Q1108" s="1">
        <f t="shared" si="40"/>
        <v>1</v>
      </c>
      <c r="R1108" s="1">
        <v>179</v>
      </c>
      <c r="U1108" s="12">
        <f t="shared" si="41"/>
        <v>42795</v>
      </c>
    </row>
    <row r="1109" spans="1:22" x14ac:dyDescent="0.25">
      <c r="A1109" s="2">
        <v>19</v>
      </c>
      <c r="B1109" t="s">
        <v>153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553</v>
      </c>
      <c r="P1109" s="20" t="s">
        <v>895</v>
      </c>
      <c r="Q1109" s="1">
        <f t="shared" si="40"/>
        <v>1</v>
      </c>
      <c r="R1109" s="1">
        <v>179</v>
      </c>
      <c r="U1109" s="12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553</v>
      </c>
      <c r="P1110" s="20" t="s">
        <v>895</v>
      </c>
      <c r="Q1110" s="1">
        <f t="shared" si="40"/>
        <v>1</v>
      </c>
      <c r="R1110" s="1">
        <v>179</v>
      </c>
      <c r="U1110" s="12">
        <f t="shared" si="41"/>
        <v>42795</v>
      </c>
    </row>
    <row r="1111" spans="1:22" x14ac:dyDescent="0.25">
      <c r="A1111" s="2">
        <v>19</v>
      </c>
      <c r="B1111" t="s">
        <v>174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553</v>
      </c>
      <c r="P1111" s="20" t="s">
        <v>895</v>
      </c>
      <c r="Q1111" s="1">
        <f t="shared" si="40"/>
        <v>1</v>
      </c>
      <c r="R1111" s="1">
        <v>179</v>
      </c>
      <c r="U1111" s="12">
        <f t="shared" si="41"/>
        <v>42795</v>
      </c>
    </row>
    <row r="1112" spans="1:22" x14ac:dyDescent="0.25">
      <c r="A1112" s="2">
        <v>19</v>
      </c>
      <c r="B1112" s="21" t="s">
        <v>896</v>
      </c>
      <c r="J1112" s="1"/>
      <c r="M1112" t="s">
        <v>15</v>
      </c>
      <c r="N1112" t="str">
        <f>IFERROR(VLOOKUP(B1112,'[1]All Player'!$B$2:$C$1992,2,0),"")</f>
        <v/>
      </c>
      <c r="O1112" s="2" t="s">
        <v>553</v>
      </c>
      <c r="P1112" s="20" t="s">
        <v>896</v>
      </c>
      <c r="Q1112" s="1">
        <f t="shared" si="40"/>
        <v>1</v>
      </c>
      <c r="R1112" s="1">
        <v>180</v>
      </c>
      <c r="U1112" s="12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553</v>
      </c>
      <c r="P1113" s="20" t="s">
        <v>896</v>
      </c>
      <c r="Q1113" s="1">
        <f t="shared" si="40"/>
        <v>1</v>
      </c>
      <c r="R1113" s="1">
        <v>180</v>
      </c>
      <c r="U1113" s="12">
        <f t="shared" si="41"/>
        <v>42795</v>
      </c>
    </row>
    <row r="1114" spans="1:22" x14ac:dyDescent="0.25">
      <c r="A1114" s="2">
        <v>19</v>
      </c>
      <c r="B1114" t="s">
        <v>139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553</v>
      </c>
      <c r="P1114" s="20" t="s">
        <v>896</v>
      </c>
      <c r="Q1114" s="1">
        <f t="shared" si="40"/>
        <v>1</v>
      </c>
      <c r="R1114" s="1">
        <v>180</v>
      </c>
      <c r="U1114" s="12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553</v>
      </c>
      <c r="P1115" s="20" t="s">
        <v>896</v>
      </c>
      <c r="Q1115" s="1">
        <f t="shared" si="40"/>
        <v>1</v>
      </c>
      <c r="R1115" s="1">
        <v>180</v>
      </c>
      <c r="U1115" s="12">
        <f t="shared" si="41"/>
        <v>42795</v>
      </c>
    </row>
    <row r="1116" spans="1:22" x14ac:dyDescent="0.25">
      <c r="A1116" s="2">
        <v>19</v>
      </c>
      <c r="B1116" s="21" t="s">
        <v>897</v>
      </c>
      <c r="J1116" s="1"/>
      <c r="M1116" t="s">
        <v>15</v>
      </c>
      <c r="N1116" t="str">
        <f>IFERROR(VLOOKUP(B1116,'[1]All Player'!$B$2:$C$1992,2,0),"")</f>
        <v/>
      </c>
      <c r="O1116" s="2" t="s">
        <v>553</v>
      </c>
      <c r="P1116" s="20" t="s">
        <v>897</v>
      </c>
      <c r="Q1116" s="1">
        <f t="shared" si="40"/>
        <v>1</v>
      </c>
      <c r="R1116" s="1">
        <v>181</v>
      </c>
      <c r="U1116" s="12">
        <f t="shared" si="41"/>
        <v>42795</v>
      </c>
    </row>
    <row r="1117" spans="1:22" x14ac:dyDescent="0.25">
      <c r="A1117" s="2">
        <v>19</v>
      </c>
      <c r="B1117" t="s">
        <v>663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553</v>
      </c>
      <c r="P1117" s="20" t="s">
        <v>897</v>
      </c>
      <c r="Q1117" s="1">
        <f t="shared" si="40"/>
        <v>1</v>
      </c>
      <c r="R1117" s="1">
        <v>181</v>
      </c>
      <c r="U1117" s="12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553</v>
      </c>
      <c r="P1118" s="20" t="s">
        <v>897</v>
      </c>
      <c r="Q1118" s="1">
        <f t="shared" si="40"/>
        <v>1</v>
      </c>
      <c r="R1118" s="1">
        <v>181</v>
      </c>
      <c r="U1118" s="12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553</v>
      </c>
      <c r="P1119" s="20" t="s">
        <v>897</v>
      </c>
      <c r="Q1119" s="1">
        <f t="shared" si="40"/>
        <v>1</v>
      </c>
      <c r="R1119" s="1">
        <v>181</v>
      </c>
      <c r="U1119" s="12">
        <f t="shared" si="41"/>
        <v>42795</v>
      </c>
    </row>
    <row r="1120" spans="1:22" x14ac:dyDescent="0.25">
      <c r="A1120" s="2">
        <v>19</v>
      </c>
      <c r="B1120" s="21" t="s">
        <v>554</v>
      </c>
      <c r="J1120" s="1"/>
      <c r="M1120" t="s">
        <v>15</v>
      </c>
      <c r="N1120" t="str">
        <f>IFERROR(VLOOKUP(B1120,'[1]All Player'!$B$2:$C$1992,2,0),"")</f>
        <v/>
      </c>
      <c r="O1120" s="2" t="s">
        <v>553</v>
      </c>
      <c r="P1120" s="20" t="s">
        <v>554</v>
      </c>
      <c r="Q1120" s="1">
        <f t="shared" si="40"/>
        <v>1</v>
      </c>
      <c r="R1120" s="1">
        <v>182</v>
      </c>
      <c r="U1120" s="12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30" t="s">
        <v>553</v>
      </c>
      <c r="P1121" s="20" t="s">
        <v>554</v>
      </c>
      <c r="Q1121" s="1">
        <f t="shared" si="40"/>
        <v>1</v>
      </c>
      <c r="R1121" s="1">
        <v>182</v>
      </c>
      <c r="U1121" s="12">
        <f t="shared" si="41"/>
        <v>42795</v>
      </c>
    </row>
    <row r="1122" spans="1:23" x14ac:dyDescent="0.25">
      <c r="A1122" s="2">
        <v>19</v>
      </c>
      <c r="B1122" t="s">
        <v>176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553</v>
      </c>
      <c r="P1122" s="20" t="s">
        <v>554</v>
      </c>
      <c r="Q1122" s="1">
        <f t="shared" si="40"/>
        <v>1</v>
      </c>
      <c r="R1122" s="1">
        <v>182</v>
      </c>
      <c r="U1122" s="12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553</v>
      </c>
      <c r="P1123" s="20" t="s">
        <v>554</v>
      </c>
      <c r="Q1123" s="1">
        <f t="shared" si="40"/>
        <v>1</v>
      </c>
      <c r="R1123" s="1">
        <v>182</v>
      </c>
      <c r="U1123" s="12">
        <f t="shared" si="41"/>
        <v>42795</v>
      </c>
    </row>
    <row r="1124" spans="1:23" x14ac:dyDescent="0.25">
      <c r="A1124" s="2">
        <v>19</v>
      </c>
      <c r="B1124" s="21" t="s">
        <v>898</v>
      </c>
      <c r="J1124" s="1"/>
      <c r="M1124" t="s">
        <v>15</v>
      </c>
      <c r="N1124" t="str">
        <f>IFERROR(VLOOKUP(B1124,'[1]All Player'!$B$2:$C$1992,2,0),"")</f>
        <v/>
      </c>
      <c r="O1124" s="2" t="s">
        <v>553</v>
      </c>
      <c r="P1124" s="20" t="s">
        <v>898</v>
      </c>
      <c r="Q1124" s="1">
        <f t="shared" si="40"/>
        <v>1</v>
      </c>
      <c r="R1124" s="1">
        <v>183</v>
      </c>
      <c r="U1124" s="12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553</v>
      </c>
      <c r="P1125" s="20" t="s">
        <v>898</v>
      </c>
      <c r="Q1125" s="1">
        <f t="shared" si="40"/>
        <v>1</v>
      </c>
      <c r="R1125" s="1">
        <v>183</v>
      </c>
      <c r="U1125" s="12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553</v>
      </c>
      <c r="P1126" s="20" t="s">
        <v>898</v>
      </c>
      <c r="Q1126" s="1">
        <f t="shared" si="40"/>
        <v>1</v>
      </c>
      <c r="R1126" s="1">
        <v>183</v>
      </c>
      <c r="U1126" s="12">
        <f t="shared" si="41"/>
        <v>42795</v>
      </c>
    </row>
    <row r="1127" spans="1:23" x14ac:dyDescent="0.25">
      <c r="A1127" s="2">
        <v>19</v>
      </c>
      <c r="B1127" t="s">
        <v>117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553</v>
      </c>
      <c r="P1127" s="20" t="s">
        <v>898</v>
      </c>
      <c r="Q1127" s="1">
        <f t="shared" si="40"/>
        <v>1</v>
      </c>
      <c r="R1127" s="1">
        <v>183</v>
      </c>
      <c r="U1127" s="12">
        <f t="shared" si="41"/>
        <v>42795</v>
      </c>
    </row>
    <row r="1128" spans="1:23" x14ac:dyDescent="0.25">
      <c r="A1128" s="2">
        <v>19</v>
      </c>
      <c r="B1128" t="s">
        <v>899</v>
      </c>
      <c r="J1128" s="1"/>
      <c r="M1128" t="s">
        <v>15</v>
      </c>
      <c r="N1128" t="str">
        <f>IFERROR(VLOOKUP(B1128,'[1]All Player'!$B$2:$C$1992,2,0),"")</f>
        <v/>
      </c>
      <c r="O1128" s="2" t="s">
        <v>553</v>
      </c>
      <c r="P1128" s="20" t="s">
        <v>899</v>
      </c>
      <c r="Q1128" s="1">
        <f t="shared" si="40"/>
        <v>1</v>
      </c>
      <c r="R1128" s="1">
        <v>184</v>
      </c>
      <c r="U1128" s="12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553</v>
      </c>
      <c r="P1129" s="20" t="s">
        <v>899</v>
      </c>
      <c r="Q1129" s="1">
        <f t="shared" si="40"/>
        <v>1</v>
      </c>
      <c r="R1129" s="1">
        <v>184</v>
      </c>
      <c r="U1129" s="12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157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553</v>
      </c>
      <c r="P1130" s="20" t="s">
        <v>899</v>
      </c>
      <c r="Q1130" s="1">
        <f t="shared" si="40"/>
        <v>1</v>
      </c>
      <c r="R1130" s="1">
        <v>184</v>
      </c>
      <c r="U1130" s="12">
        <f t="shared" si="41"/>
        <v>42795</v>
      </c>
    </row>
    <row r="1131" spans="1:23" x14ac:dyDescent="0.25">
      <c r="A1131" s="2">
        <v>19</v>
      </c>
      <c r="B1131" t="s">
        <v>125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553</v>
      </c>
      <c r="P1131" s="20" t="s">
        <v>899</v>
      </c>
      <c r="Q1131" s="1">
        <f t="shared" si="40"/>
        <v>1</v>
      </c>
      <c r="R1131" s="1">
        <v>184</v>
      </c>
      <c r="U1131" s="12">
        <f t="shared" si="41"/>
        <v>42795</v>
      </c>
    </row>
    <row r="1132" spans="1:23" x14ac:dyDescent="0.25">
      <c r="A1132" s="2">
        <v>19</v>
      </c>
      <c r="B1132" t="s">
        <v>204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553</v>
      </c>
      <c r="P1132" s="20" t="s">
        <v>899</v>
      </c>
      <c r="Q1132" s="1">
        <f t="shared" si="40"/>
        <v>1</v>
      </c>
      <c r="R1132" s="1">
        <v>184</v>
      </c>
      <c r="U1132" s="12">
        <f t="shared" si="41"/>
        <v>42795</v>
      </c>
    </row>
    <row r="1133" spans="1:23" x14ac:dyDescent="0.25">
      <c r="A1133" s="2">
        <v>19</v>
      </c>
      <c r="B1133" t="s">
        <v>900</v>
      </c>
      <c r="J1133" s="1"/>
      <c r="M1133" t="s">
        <v>15</v>
      </c>
      <c r="N1133" t="str">
        <f>IFERROR(VLOOKUP(B1133,'[1]All Player'!$B$2:$C$1992,2,0),"")</f>
        <v/>
      </c>
      <c r="O1133" s="2" t="s">
        <v>553</v>
      </c>
      <c r="P1133" s="20" t="s">
        <v>900</v>
      </c>
      <c r="Q1133" s="1">
        <f t="shared" si="40"/>
        <v>1</v>
      </c>
      <c r="R1133" s="1">
        <v>185</v>
      </c>
      <c r="U1133" s="12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553</v>
      </c>
      <c r="P1134" s="20" t="s">
        <v>900</v>
      </c>
      <c r="Q1134" s="1">
        <f t="shared" si="40"/>
        <v>1</v>
      </c>
      <c r="R1134" s="1">
        <v>185</v>
      </c>
      <c r="U1134" s="12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553</v>
      </c>
      <c r="P1135" s="20" t="s">
        <v>900</v>
      </c>
      <c r="Q1135" s="1">
        <f t="shared" si="40"/>
        <v>1</v>
      </c>
      <c r="R1135" s="1">
        <v>185</v>
      </c>
      <c r="U1135" s="12">
        <f t="shared" si="41"/>
        <v>42795</v>
      </c>
    </row>
    <row r="1136" spans="1:23" x14ac:dyDescent="0.25">
      <c r="A1136" s="2">
        <v>19</v>
      </c>
      <c r="B1136" t="s">
        <v>178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553</v>
      </c>
      <c r="P1136" s="20" t="s">
        <v>900</v>
      </c>
      <c r="Q1136" s="1">
        <f t="shared" si="40"/>
        <v>1</v>
      </c>
      <c r="R1136" s="1">
        <v>185</v>
      </c>
      <c r="U1136" s="12">
        <f t="shared" si="41"/>
        <v>42795</v>
      </c>
    </row>
    <row r="1137" spans="1:21" x14ac:dyDescent="0.25">
      <c r="A1137" s="2">
        <v>19</v>
      </c>
      <c r="B1137" t="s">
        <v>901</v>
      </c>
      <c r="J1137" s="1"/>
      <c r="M1137" t="s">
        <v>15</v>
      </c>
      <c r="N1137" t="str">
        <f>IFERROR(VLOOKUP(B1137,'[1]All Player'!$B$2:$C$1992,2,0),"")</f>
        <v/>
      </c>
      <c r="O1137" s="2" t="s">
        <v>553</v>
      </c>
      <c r="P1137" s="20" t="s">
        <v>901</v>
      </c>
      <c r="Q1137" s="1">
        <f t="shared" si="40"/>
        <v>1</v>
      </c>
      <c r="R1137" s="1">
        <v>186</v>
      </c>
      <c r="U1137" s="12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553</v>
      </c>
      <c r="P1138" s="20" t="s">
        <v>901</v>
      </c>
      <c r="Q1138" s="1">
        <f t="shared" si="40"/>
        <v>1</v>
      </c>
      <c r="R1138" s="1">
        <v>186</v>
      </c>
      <c r="U1138" s="12">
        <f t="shared" si="41"/>
        <v>42795</v>
      </c>
    </row>
    <row r="1139" spans="1:21" x14ac:dyDescent="0.25">
      <c r="A1139" s="2">
        <v>19</v>
      </c>
      <c r="B1139" t="s">
        <v>182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553</v>
      </c>
      <c r="P1139" s="20" t="s">
        <v>901</v>
      </c>
      <c r="Q1139" s="1">
        <f t="shared" si="40"/>
        <v>1</v>
      </c>
      <c r="R1139" s="1">
        <v>186</v>
      </c>
      <c r="U1139" s="12">
        <f t="shared" si="41"/>
        <v>42795</v>
      </c>
    </row>
    <row r="1140" spans="1:21" x14ac:dyDescent="0.25">
      <c r="A1140" s="2">
        <v>19</v>
      </c>
      <c r="B1140" t="s">
        <v>184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553</v>
      </c>
      <c r="P1140" s="20" t="s">
        <v>901</v>
      </c>
      <c r="Q1140" s="1">
        <f t="shared" si="40"/>
        <v>1</v>
      </c>
      <c r="R1140" s="1">
        <v>186</v>
      </c>
      <c r="U1140" s="12">
        <f t="shared" si="41"/>
        <v>42795</v>
      </c>
    </row>
    <row r="1141" spans="1:21" x14ac:dyDescent="0.25">
      <c r="A1141" s="2">
        <v>19</v>
      </c>
      <c r="B1141" t="s">
        <v>902</v>
      </c>
      <c r="J1141" s="1"/>
      <c r="M1141" t="s">
        <v>15</v>
      </c>
      <c r="N1141" t="str">
        <f>IFERROR(VLOOKUP(B1141,'[1]All Player'!$B$2:$C$1992,2,0),"")</f>
        <v/>
      </c>
      <c r="O1141" s="2" t="s">
        <v>553</v>
      </c>
      <c r="P1141" s="20" t="s">
        <v>902</v>
      </c>
      <c r="Q1141" s="1">
        <f t="shared" si="40"/>
        <v>1</v>
      </c>
      <c r="R1141" s="1">
        <v>187</v>
      </c>
      <c r="U1141" s="12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553</v>
      </c>
      <c r="P1142" s="20" t="s">
        <v>902</v>
      </c>
      <c r="Q1142" s="1">
        <f t="shared" si="40"/>
        <v>1</v>
      </c>
      <c r="R1142" s="1">
        <v>187</v>
      </c>
      <c r="U1142" s="12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553</v>
      </c>
      <c r="P1143" s="20" t="s">
        <v>902</v>
      </c>
      <c r="Q1143" s="1">
        <f t="shared" si="40"/>
        <v>1</v>
      </c>
      <c r="R1143" s="1">
        <v>187</v>
      </c>
      <c r="U1143" s="12">
        <f t="shared" si="41"/>
        <v>42795</v>
      </c>
    </row>
    <row r="1144" spans="1:21" x14ac:dyDescent="0.25">
      <c r="A1144" s="2">
        <v>19</v>
      </c>
      <c r="B1144" t="s">
        <v>187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553</v>
      </c>
      <c r="P1144" s="20" t="s">
        <v>902</v>
      </c>
      <c r="Q1144" s="1">
        <f t="shared" si="40"/>
        <v>1</v>
      </c>
      <c r="R1144" s="1">
        <v>187</v>
      </c>
      <c r="U1144" s="12">
        <f t="shared" si="41"/>
        <v>42795</v>
      </c>
    </row>
    <row r="1145" spans="1:21" x14ac:dyDescent="0.25">
      <c r="A1145" s="2">
        <v>19</v>
      </c>
      <c r="B1145" t="s">
        <v>557</v>
      </c>
      <c r="J1145" s="1"/>
      <c r="M1145" t="s">
        <v>15</v>
      </c>
      <c r="N1145" t="str">
        <f>IFERROR(VLOOKUP(B1145,'[1]All Player'!$B$2:$C$1992,2,0),"")</f>
        <v/>
      </c>
      <c r="O1145" s="2" t="s">
        <v>553</v>
      </c>
      <c r="P1145" s="20" t="s">
        <v>557</v>
      </c>
      <c r="Q1145" s="1">
        <f t="shared" si="40"/>
        <v>1</v>
      </c>
      <c r="R1145" s="1">
        <v>188</v>
      </c>
      <c r="U1145" s="12">
        <f t="shared" si="41"/>
        <v>42795</v>
      </c>
    </row>
    <row r="1146" spans="1:21" x14ac:dyDescent="0.25">
      <c r="A1146" s="2">
        <v>19</v>
      </c>
      <c r="B1146" t="s">
        <v>133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553</v>
      </c>
      <c r="P1146" s="20" t="s">
        <v>557</v>
      </c>
      <c r="Q1146" s="1">
        <f t="shared" si="40"/>
        <v>1</v>
      </c>
      <c r="R1146" s="1">
        <v>188</v>
      </c>
      <c r="U1146" s="12">
        <f t="shared" si="41"/>
        <v>42795</v>
      </c>
    </row>
    <row r="1147" spans="1:21" x14ac:dyDescent="0.25">
      <c r="A1147" s="2">
        <v>19</v>
      </c>
      <c r="B1147" t="s">
        <v>191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553</v>
      </c>
      <c r="P1147" s="20" t="s">
        <v>557</v>
      </c>
      <c r="Q1147" s="1">
        <f t="shared" si="40"/>
        <v>1</v>
      </c>
      <c r="R1147" s="1">
        <v>188</v>
      </c>
      <c r="U1147" s="12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553</v>
      </c>
      <c r="P1148" s="20" t="s">
        <v>557</v>
      </c>
      <c r="Q1148" s="1">
        <f t="shared" si="40"/>
        <v>1</v>
      </c>
      <c r="R1148" s="1">
        <v>188</v>
      </c>
      <c r="U1148" s="12">
        <f t="shared" si="41"/>
        <v>42795</v>
      </c>
    </row>
    <row r="1149" spans="1:21" x14ac:dyDescent="0.25">
      <c r="A1149" s="2">
        <v>19</v>
      </c>
      <c r="B1149" t="s">
        <v>903</v>
      </c>
      <c r="J1149" s="1"/>
      <c r="M1149" t="s">
        <v>15</v>
      </c>
      <c r="N1149" t="str">
        <f>IFERROR(VLOOKUP(B1149,'[1]All Player'!$B$2:$C$1992,2,0),"")</f>
        <v/>
      </c>
      <c r="O1149" s="2" t="s">
        <v>553</v>
      </c>
      <c r="P1149" s="20" t="s">
        <v>903</v>
      </c>
      <c r="Q1149" s="1">
        <f t="shared" si="40"/>
        <v>1</v>
      </c>
      <c r="R1149" s="1">
        <v>189</v>
      </c>
      <c r="U1149" s="12">
        <f t="shared" si="41"/>
        <v>42795</v>
      </c>
    </row>
    <row r="1150" spans="1:21" x14ac:dyDescent="0.25">
      <c r="A1150" s="2">
        <v>19</v>
      </c>
      <c r="B1150" t="s">
        <v>137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553</v>
      </c>
      <c r="P1150" s="20" t="s">
        <v>903</v>
      </c>
      <c r="Q1150" s="1">
        <f t="shared" si="40"/>
        <v>1</v>
      </c>
      <c r="R1150" s="1">
        <v>189</v>
      </c>
      <c r="U1150" s="12">
        <f t="shared" si="41"/>
        <v>42795</v>
      </c>
    </row>
    <row r="1151" spans="1:21" x14ac:dyDescent="0.25">
      <c r="A1151" s="2">
        <v>19</v>
      </c>
      <c r="B1151" t="s">
        <v>192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553</v>
      </c>
      <c r="P1151" s="20" t="s">
        <v>903</v>
      </c>
      <c r="Q1151" s="1">
        <f t="shared" si="40"/>
        <v>1</v>
      </c>
      <c r="R1151" s="1">
        <v>189</v>
      </c>
      <c r="U1151" s="12">
        <f t="shared" si="41"/>
        <v>42795</v>
      </c>
    </row>
    <row r="1152" spans="1:21" x14ac:dyDescent="0.25">
      <c r="A1152" s="2">
        <v>19</v>
      </c>
      <c r="B1152" t="s">
        <v>194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553</v>
      </c>
      <c r="P1152" s="20" t="s">
        <v>903</v>
      </c>
      <c r="Q1152" s="1">
        <f t="shared" si="40"/>
        <v>1</v>
      </c>
      <c r="R1152" s="1">
        <v>189</v>
      </c>
      <c r="U1152" s="12">
        <f t="shared" si="41"/>
        <v>42795</v>
      </c>
    </row>
    <row r="1153" spans="1:21" x14ac:dyDescent="0.25">
      <c r="A1153" s="2">
        <v>19</v>
      </c>
      <c r="B1153" t="s">
        <v>904</v>
      </c>
      <c r="J1153" s="1"/>
      <c r="M1153" t="s">
        <v>15</v>
      </c>
      <c r="N1153" t="str">
        <f>IFERROR(VLOOKUP(B1153,'[1]All Player'!$B$2:$C$1992,2,0),"")</f>
        <v/>
      </c>
      <c r="O1153" s="2" t="s">
        <v>553</v>
      </c>
      <c r="P1153" s="20" t="s">
        <v>904</v>
      </c>
      <c r="Q1153" s="1">
        <f t="shared" si="40"/>
        <v>1</v>
      </c>
      <c r="R1153" s="1">
        <v>190</v>
      </c>
      <c r="U1153" s="12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553</v>
      </c>
      <c r="P1154" s="20" t="s">
        <v>904</v>
      </c>
      <c r="Q1154" s="1">
        <f t="shared" ref="Q1154:Q1217" si="42">IF(B1154="","",1)</f>
        <v>1</v>
      </c>
      <c r="R1154" s="1">
        <v>190</v>
      </c>
      <c r="U1154" s="12">
        <f t="shared" si="41"/>
        <v>42795</v>
      </c>
    </row>
    <row r="1155" spans="1:21" x14ac:dyDescent="0.25">
      <c r="A1155" s="2">
        <v>19</v>
      </c>
      <c r="B1155" t="s">
        <v>189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553</v>
      </c>
      <c r="P1155" s="20" t="s">
        <v>904</v>
      </c>
      <c r="Q1155" s="1">
        <f t="shared" si="42"/>
        <v>1</v>
      </c>
      <c r="R1155" s="1">
        <v>190</v>
      </c>
      <c r="U1155" s="12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553</v>
      </c>
      <c r="P1156" s="20" t="s">
        <v>904</v>
      </c>
      <c r="Q1156" s="1">
        <f t="shared" si="42"/>
        <v>1</v>
      </c>
      <c r="R1156" s="1">
        <v>190</v>
      </c>
      <c r="U1156" s="12">
        <f t="shared" si="41"/>
        <v>42795</v>
      </c>
    </row>
    <row r="1157" spans="1:21" x14ac:dyDescent="0.25">
      <c r="A1157" s="2">
        <v>19</v>
      </c>
      <c r="B1157" t="s">
        <v>141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553</v>
      </c>
      <c r="P1157" s="20" t="s">
        <v>904</v>
      </c>
      <c r="Q1157" s="1">
        <f t="shared" si="42"/>
        <v>1</v>
      </c>
      <c r="R1157" s="1">
        <v>190</v>
      </c>
      <c r="U1157" s="12">
        <f t="shared" si="41"/>
        <v>42795</v>
      </c>
    </row>
    <row r="1158" spans="1:21" x14ac:dyDescent="0.25">
      <c r="A1158" s="2">
        <v>19</v>
      </c>
      <c r="B1158" t="s">
        <v>170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553</v>
      </c>
      <c r="P1158" s="20" t="s">
        <v>904</v>
      </c>
      <c r="Q1158" s="1">
        <f t="shared" si="42"/>
        <v>1</v>
      </c>
      <c r="R1158" s="1">
        <v>190</v>
      </c>
      <c r="U1158" s="12">
        <f t="shared" si="41"/>
        <v>42795</v>
      </c>
    </row>
    <row r="1159" spans="1:21" x14ac:dyDescent="0.25">
      <c r="A1159" s="2">
        <v>19</v>
      </c>
      <c r="B1159" t="s">
        <v>905</v>
      </c>
      <c r="J1159" s="1"/>
      <c r="M1159" t="s">
        <v>15</v>
      </c>
      <c r="N1159" t="str">
        <f>IFERROR(VLOOKUP(B1159,'[1]All Player'!$B$2:$C$1992,2,0),"")</f>
        <v/>
      </c>
      <c r="O1159" s="2" t="s">
        <v>553</v>
      </c>
      <c r="P1159" s="20" t="s">
        <v>905</v>
      </c>
      <c r="Q1159" s="1">
        <f t="shared" si="42"/>
        <v>1</v>
      </c>
      <c r="R1159" s="1">
        <v>191</v>
      </c>
      <c r="U1159" s="12">
        <f t="shared" si="41"/>
        <v>42795</v>
      </c>
    </row>
    <row r="1160" spans="1:21" x14ac:dyDescent="0.25">
      <c r="A1160" s="2">
        <v>19</v>
      </c>
      <c r="B1160" t="s">
        <v>229</v>
      </c>
      <c r="C1160" s="2">
        <v>8</v>
      </c>
      <c r="D1160" s="2">
        <v>141</v>
      </c>
      <c r="E1160" s="28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553</v>
      </c>
      <c r="P1160" s="20" t="s">
        <v>905</v>
      </c>
      <c r="Q1160" s="1">
        <f t="shared" si="42"/>
        <v>1</v>
      </c>
      <c r="R1160" s="1">
        <v>191</v>
      </c>
      <c r="U1160" s="12">
        <f t="shared" si="41"/>
        <v>42795</v>
      </c>
    </row>
    <row r="1161" spans="1:21" x14ac:dyDescent="0.25">
      <c r="A1161" s="2">
        <v>19</v>
      </c>
      <c r="B1161" t="s">
        <v>123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553</v>
      </c>
      <c r="P1161" s="20" t="s">
        <v>905</v>
      </c>
      <c r="Q1161" s="1">
        <f t="shared" si="42"/>
        <v>1</v>
      </c>
      <c r="R1161" s="1">
        <v>191</v>
      </c>
      <c r="U1161" s="12">
        <f t="shared" si="41"/>
        <v>42795</v>
      </c>
    </row>
    <row r="1162" spans="1:21" x14ac:dyDescent="0.25">
      <c r="A1162" s="2">
        <v>19</v>
      </c>
      <c r="B1162" t="s">
        <v>196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553</v>
      </c>
      <c r="P1162" s="20" t="s">
        <v>905</v>
      </c>
      <c r="Q1162" s="1">
        <f t="shared" si="42"/>
        <v>1</v>
      </c>
      <c r="R1162" s="1">
        <v>191</v>
      </c>
      <c r="U1162" s="12">
        <f t="shared" si="41"/>
        <v>42795</v>
      </c>
    </row>
    <row r="1163" spans="1:21" x14ac:dyDescent="0.25">
      <c r="A1163" s="2">
        <v>19</v>
      </c>
      <c r="B1163" t="s">
        <v>906</v>
      </c>
      <c r="J1163" s="1"/>
      <c r="M1163" t="s">
        <v>15</v>
      </c>
      <c r="N1163" t="str">
        <f>IFERROR(VLOOKUP(B1163,'[1]All Player'!$B$2:$C$1992,2,0),"")</f>
        <v/>
      </c>
      <c r="O1163" s="2" t="s">
        <v>553</v>
      </c>
      <c r="P1163" s="20" t="s">
        <v>906</v>
      </c>
      <c r="Q1163" s="1">
        <f t="shared" si="42"/>
        <v>1</v>
      </c>
      <c r="R1163" s="1">
        <v>192</v>
      </c>
      <c r="U1163" s="12">
        <f t="shared" si="41"/>
        <v>42795</v>
      </c>
    </row>
    <row r="1164" spans="1:21" x14ac:dyDescent="0.25">
      <c r="A1164" s="2">
        <v>19</v>
      </c>
      <c r="B1164" t="s">
        <v>202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553</v>
      </c>
      <c r="P1164" s="20" t="s">
        <v>906</v>
      </c>
      <c r="Q1164" s="1">
        <f t="shared" si="42"/>
        <v>1</v>
      </c>
      <c r="R1164" s="1">
        <v>192</v>
      </c>
      <c r="U1164" s="12">
        <f t="shared" si="41"/>
        <v>42795</v>
      </c>
    </row>
    <row r="1165" spans="1:21" x14ac:dyDescent="0.25">
      <c r="A1165" s="2">
        <v>19</v>
      </c>
      <c r="B1165" t="s">
        <v>127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553</v>
      </c>
      <c r="P1165" s="20" t="s">
        <v>906</v>
      </c>
      <c r="Q1165" s="1">
        <f t="shared" si="42"/>
        <v>1</v>
      </c>
      <c r="R1165" s="1">
        <v>192</v>
      </c>
      <c r="U1165" s="12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553</v>
      </c>
      <c r="P1166" s="20" t="s">
        <v>906</v>
      </c>
      <c r="Q1166" s="1">
        <f t="shared" si="42"/>
        <v>1</v>
      </c>
      <c r="R1166" s="1">
        <v>192</v>
      </c>
      <c r="U1166" s="12">
        <f t="shared" si="41"/>
        <v>42795</v>
      </c>
    </row>
    <row r="1167" spans="1:21" x14ac:dyDescent="0.25">
      <c r="A1167" s="2">
        <v>19</v>
      </c>
      <c r="B1167" t="s">
        <v>907</v>
      </c>
      <c r="J1167" s="1"/>
      <c r="M1167" t="s">
        <v>15</v>
      </c>
      <c r="N1167" t="str">
        <f>IFERROR(VLOOKUP(B1167,'[1]All Player'!$B$2:$C$1992,2,0),"")</f>
        <v/>
      </c>
      <c r="O1167" s="2" t="s">
        <v>553</v>
      </c>
      <c r="P1167" s="20" t="s">
        <v>907</v>
      </c>
      <c r="Q1167" s="1">
        <f t="shared" si="42"/>
        <v>1</v>
      </c>
      <c r="R1167" s="1">
        <v>193</v>
      </c>
      <c r="T1167" s="1" t="s">
        <v>661</v>
      </c>
      <c r="U1167" s="12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553</v>
      </c>
      <c r="P1168" s="20" t="s">
        <v>907</v>
      </c>
      <c r="Q1168" s="1">
        <f t="shared" si="42"/>
        <v>1</v>
      </c>
      <c r="R1168" s="1">
        <v>193</v>
      </c>
      <c r="T1168" s="1" t="s">
        <v>661</v>
      </c>
      <c r="U1168" s="12">
        <f t="shared" si="41"/>
        <v>42795</v>
      </c>
    </row>
    <row r="1169" spans="1:21" x14ac:dyDescent="0.25">
      <c r="A1169" s="2">
        <v>19</v>
      </c>
      <c r="B1169" t="s">
        <v>180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553</v>
      </c>
      <c r="P1169" s="20" t="s">
        <v>907</v>
      </c>
      <c r="Q1169" s="1">
        <f t="shared" si="42"/>
        <v>1</v>
      </c>
      <c r="R1169" s="1">
        <v>193</v>
      </c>
      <c r="T1169" s="1" t="s">
        <v>661</v>
      </c>
      <c r="U1169" s="12">
        <f t="shared" ref="U1169:U1178" si="43">U1168</f>
        <v>42795</v>
      </c>
    </row>
    <row r="1170" spans="1:21" x14ac:dyDescent="0.25">
      <c r="A1170" s="2">
        <v>19</v>
      </c>
      <c r="B1170" t="s">
        <v>198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553</v>
      </c>
      <c r="P1170" s="20" t="s">
        <v>907</v>
      </c>
      <c r="Q1170" s="1">
        <f t="shared" si="42"/>
        <v>1</v>
      </c>
      <c r="R1170" s="1">
        <v>193</v>
      </c>
      <c r="T1170" s="1" t="s">
        <v>661</v>
      </c>
      <c r="U1170" s="12">
        <f t="shared" si="43"/>
        <v>42795</v>
      </c>
    </row>
    <row r="1171" spans="1:21" x14ac:dyDescent="0.25">
      <c r="A1171" s="2">
        <v>19</v>
      </c>
      <c r="B1171" t="s">
        <v>908</v>
      </c>
      <c r="J1171" s="1"/>
      <c r="M1171" t="s">
        <v>15</v>
      </c>
      <c r="N1171" t="str">
        <f>IFERROR(VLOOKUP(B1171,'[1]All Player'!$B$2:$C$1992,2,0),"")</f>
        <v/>
      </c>
      <c r="O1171" s="2" t="s">
        <v>553</v>
      </c>
      <c r="P1171" s="20" t="s">
        <v>908</v>
      </c>
      <c r="Q1171" s="1">
        <f t="shared" si="42"/>
        <v>1</v>
      </c>
      <c r="R1171" s="1">
        <v>194</v>
      </c>
      <c r="T1171" s="1" t="s">
        <v>659</v>
      </c>
      <c r="U1171" s="12">
        <f t="shared" si="43"/>
        <v>42795</v>
      </c>
    </row>
    <row r="1172" spans="1:21" x14ac:dyDescent="0.25">
      <c r="A1172" s="2">
        <v>19</v>
      </c>
      <c r="B1172" t="s">
        <v>115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553</v>
      </c>
      <c r="P1172" s="20" t="s">
        <v>908</v>
      </c>
      <c r="Q1172" s="1">
        <f t="shared" si="42"/>
        <v>1</v>
      </c>
      <c r="R1172" s="1">
        <v>194</v>
      </c>
      <c r="S1172" s="2" t="s">
        <v>660</v>
      </c>
      <c r="T1172" s="1" t="s">
        <v>659</v>
      </c>
      <c r="U1172" s="12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553</v>
      </c>
      <c r="P1173" s="20" t="s">
        <v>908</v>
      </c>
      <c r="Q1173" s="1">
        <f t="shared" si="42"/>
        <v>1</v>
      </c>
      <c r="R1173" s="1">
        <v>194</v>
      </c>
      <c r="T1173" s="1" t="s">
        <v>659</v>
      </c>
      <c r="U1173" s="12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553</v>
      </c>
      <c r="P1174" s="20" t="s">
        <v>908</v>
      </c>
      <c r="Q1174" s="1">
        <f t="shared" si="42"/>
        <v>1</v>
      </c>
      <c r="R1174" s="1">
        <v>194</v>
      </c>
      <c r="T1174" s="1" t="s">
        <v>659</v>
      </c>
      <c r="U1174" s="12">
        <f t="shared" si="43"/>
        <v>42795</v>
      </c>
    </row>
    <row r="1175" spans="1:21" x14ac:dyDescent="0.25">
      <c r="A1175" s="2">
        <v>19</v>
      </c>
      <c r="B1175" t="s">
        <v>909</v>
      </c>
      <c r="J1175" s="1"/>
      <c r="M1175" t="s">
        <v>15</v>
      </c>
      <c r="N1175" t="str">
        <f>IFERROR(VLOOKUP(B1175,'[1]All Player'!$B$2:$C$1992,2,0),"")</f>
        <v/>
      </c>
      <c r="O1175" s="2" t="s">
        <v>553</v>
      </c>
      <c r="P1175" s="20" t="s">
        <v>909</v>
      </c>
      <c r="Q1175" s="1">
        <f t="shared" si="42"/>
        <v>1</v>
      </c>
      <c r="R1175" s="1">
        <v>195</v>
      </c>
      <c r="U1175" s="12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553</v>
      </c>
      <c r="P1176" s="20" t="s">
        <v>909</v>
      </c>
      <c r="Q1176" s="1">
        <f t="shared" si="42"/>
        <v>1</v>
      </c>
      <c r="R1176" s="1">
        <v>195</v>
      </c>
      <c r="U1176" s="12">
        <f t="shared" si="43"/>
        <v>42795</v>
      </c>
    </row>
    <row r="1177" spans="1:21" x14ac:dyDescent="0.25">
      <c r="A1177" s="2">
        <v>19</v>
      </c>
      <c r="B1177" t="s">
        <v>200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553</v>
      </c>
      <c r="P1177" s="20" t="s">
        <v>909</v>
      </c>
      <c r="Q1177" s="1">
        <f t="shared" si="42"/>
        <v>1</v>
      </c>
      <c r="R1177" s="1">
        <v>195</v>
      </c>
      <c r="U1177" s="12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553</v>
      </c>
      <c r="P1178" s="20" t="s">
        <v>909</v>
      </c>
      <c r="Q1178" s="1">
        <f t="shared" si="42"/>
        <v>1</v>
      </c>
      <c r="R1178" s="1">
        <v>195</v>
      </c>
      <c r="U1178" s="12">
        <f t="shared" si="43"/>
        <v>42795</v>
      </c>
    </row>
    <row r="1179" spans="1:21" ht="15.75" x14ac:dyDescent="0.25">
      <c r="A1179" s="2">
        <v>20</v>
      </c>
      <c r="B1179" s="22" t="s">
        <v>910</v>
      </c>
      <c r="J1179" s="1"/>
      <c r="M1179" t="s">
        <v>15</v>
      </c>
      <c r="N1179" t="str">
        <f>IFERROR(VLOOKUP(B1179,'[1]All Player'!$B$2:$C$1992,2,0),"")</f>
        <v/>
      </c>
      <c r="O1179" s="2" t="s">
        <v>515</v>
      </c>
      <c r="P1179" s="20" t="s">
        <v>910</v>
      </c>
      <c r="Q1179" s="1">
        <f t="shared" si="42"/>
        <v>1</v>
      </c>
      <c r="R1179" s="1">
        <v>196</v>
      </c>
      <c r="U1179" s="12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515</v>
      </c>
      <c r="P1180" s="20" t="s">
        <v>910</v>
      </c>
      <c r="Q1180" s="1">
        <f t="shared" si="42"/>
        <v>1</v>
      </c>
      <c r="R1180" s="1">
        <v>196</v>
      </c>
      <c r="U1180" s="12">
        <f t="shared" ref="U1180:U1219" si="44">U1179</f>
        <v>43040</v>
      </c>
    </row>
    <row r="1181" spans="1:21" x14ac:dyDescent="0.25">
      <c r="A1181" s="2">
        <v>20</v>
      </c>
      <c r="B1181" t="s">
        <v>147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515</v>
      </c>
      <c r="P1181" s="20" t="s">
        <v>910</v>
      </c>
      <c r="Q1181" s="1">
        <f t="shared" si="42"/>
        <v>1</v>
      </c>
      <c r="R1181" s="1">
        <v>196</v>
      </c>
      <c r="U1181" s="12">
        <f t="shared" si="44"/>
        <v>43040</v>
      </c>
    </row>
    <row r="1182" spans="1:21" x14ac:dyDescent="0.25">
      <c r="A1182" s="2">
        <v>20</v>
      </c>
      <c r="B1182" t="s">
        <v>386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515</v>
      </c>
      <c r="P1182" s="20" t="s">
        <v>910</v>
      </c>
      <c r="Q1182" s="1">
        <f t="shared" si="42"/>
        <v>1</v>
      </c>
      <c r="R1182" s="1">
        <v>196</v>
      </c>
      <c r="U1182" s="12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515</v>
      </c>
      <c r="P1183" s="20" t="s">
        <v>910</v>
      </c>
      <c r="Q1183" s="1">
        <f t="shared" si="42"/>
        <v>1</v>
      </c>
      <c r="R1183" s="1">
        <v>196</v>
      </c>
      <c r="U1183" s="12">
        <f t="shared" si="44"/>
        <v>43040</v>
      </c>
    </row>
    <row r="1184" spans="1:21" x14ac:dyDescent="0.25">
      <c r="A1184" s="2">
        <v>20</v>
      </c>
      <c r="B1184" s="21" t="s">
        <v>516</v>
      </c>
      <c r="J1184" s="1"/>
      <c r="M1184" t="s">
        <v>15</v>
      </c>
      <c r="N1184" t="str">
        <f>IFERROR(VLOOKUP(B1184,'[1]All Player'!$B$2:$C$1992,2,0),"")</f>
        <v/>
      </c>
      <c r="O1184" s="2" t="s">
        <v>515</v>
      </c>
      <c r="P1184" s="20" t="s">
        <v>516</v>
      </c>
      <c r="Q1184" s="1">
        <f t="shared" si="42"/>
        <v>1</v>
      </c>
      <c r="R1184" s="1">
        <v>197</v>
      </c>
      <c r="T1184" s="1" t="s">
        <v>659</v>
      </c>
      <c r="U1184" s="12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515</v>
      </c>
      <c r="P1185" s="20" t="s">
        <v>516</v>
      </c>
      <c r="Q1185" s="1">
        <f t="shared" si="42"/>
        <v>1</v>
      </c>
      <c r="R1185" s="1">
        <v>197</v>
      </c>
      <c r="T1185" s="1" t="s">
        <v>659</v>
      </c>
      <c r="U1185" s="12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515</v>
      </c>
      <c r="P1186" s="20" t="s">
        <v>516</v>
      </c>
      <c r="Q1186" s="1">
        <f t="shared" si="42"/>
        <v>1</v>
      </c>
      <c r="R1186" s="1">
        <v>197</v>
      </c>
      <c r="T1186" s="1" t="s">
        <v>659</v>
      </c>
      <c r="U1186" s="12">
        <f t="shared" si="44"/>
        <v>43040</v>
      </c>
      <c r="W1186" s="1">
        <v>1</v>
      </c>
    </row>
    <row r="1187" spans="1:23" x14ac:dyDescent="0.25">
      <c r="A1187" s="2">
        <v>20</v>
      </c>
      <c r="B1187" s="7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515</v>
      </c>
      <c r="P1187" s="20" t="s">
        <v>516</v>
      </c>
      <c r="Q1187" s="1">
        <f t="shared" si="42"/>
        <v>1</v>
      </c>
      <c r="R1187" s="1">
        <v>197</v>
      </c>
      <c r="T1187" s="1" t="s">
        <v>659</v>
      </c>
      <c r="U1187" s="12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515</v>
      </c>
      <c r="P1188" s="20" t="s">
        <v>516</v>
      </c>
      <c r="Q1188" s="1">
        <f t="shared" si="42"/>
        <v>1</v>
      </c>
      <c r="R1188" s="1">
        <v>197</v>
      </c>
      <c r="T1188" s="1" t="s">
        <v>659</v>
      </c>
      <c r="U1188" s="12">
        <f t="shared" si="44"/>
        <v>43040</v>
      </c>
    </row>
    <row r="1189" spans="1:23" x14ac:dyDescent="0.25">
      <c r="A1189" s="2">
        <v>20</v>
      </c>
      <c r="B1189" s="21" t="s">
        <v>911</v>
      </c>
      <c r="J1189" s="1"/>
      <c r="M1189" t="s">
        <v>15</v>
      </c>
      <c r="N1189" t="str">
        <f>IFERROR(VLOOKUP(B1189,'[1]All Player'!$B$2:$C$1992,2,0),"")</f>
        <v/>
      </c>
      <c r="O1189" s="2" t="s">
        <v>515</v>
      </c>
      <c r="P1189" s="20" t="s">
        <v>911</v>
      </c>
      <c r="Q1189" s="1">
        <f t="shared" si="42"/>
        <v>1</v>
      </c>
      <c r="R1189" s="1">
        <v>198</v>
      </c>
      <c r="T1189" s="1" t="s">
        <v>661</v>
      </c>
      <c r="U1189" s="12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515</v>
      </c>
      <c r="P1190" s="20" t="s">
        <v>911</v>
      </c>
      <c r="Q1190" s="1">
        <f t="shared" si="42"/>
        <v>1</v>
      </c>
      <c r="R1190" s="1">
        <v>198</v>
      </c>
      <c r="T1190" s="1" t="s">
        <v>661</v>
      </c>
      <c r="U1190" s="12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515</v>
      </c>
      <c r="P1191" s="20" t="s">
        <v>911</v>
      </c>
      <c r="Q1191" s="1">
        <f t="shared" si="42"/>
        <v>1</v>
      </c>
      <c r="R1191" s="1">
        <v>198</v>
      </c>
      <c r="S1191" s="2" t="s">
        <v>660</v>
      </c>
      <c r="T1191" s="1" t="s">
        <v>661</v>
      </c>
      <c r="U1191" s="12">
        <f t="shared" si="44"/>
        <v>43040</v>
      </c>
    </row>
    <row r="1192" spans="1:23" x14ac:dyDescent="0.25">
      <c r="A1192" s="2">
        <v>20</v>
      </c>
      <c r="B1192" t="s">
        <v>149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515</v>
      </c>
      <c r="P1192" s="20" t="s">
        <v>911</v>
      </c>
      <c r="Q1192" s="1">
        <f t="shared" si="42"/>
        <v>1</v>
      </c>
      <c r="R1192" s="1">
        <v>198</v>
      </c>
      <c r="S1192" s="2" t="s">
        <v>662</v>
      </c>
      <c r="T1192" s="1" t="s">
        <v>661</v>
      </c>
      <c r="U1192" s="12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260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515</v>
      </c>
      <c r="P1193" s="20" t="s">
        <v>911</v>
      </c>
      <c r="Q1193" s="1">
        <f t="shared" si="42"/>
        <v>1</v>
      </c>
      <c r="R1193" s="1">
        <v>198</v>
      </c>
      <c r="T1193" s="1" t="s">
        <v>661</v>
      </c>
      <c r="U1193" s="12">
        <f t="shared" si="44"/>
        <v>43040</v>
      </c>
    </row>
    <row r="1194" spans="1:23" x14ac:dyDescent="0.25">
      <c r="A1194" s="2">
        <v>20</v>
      </c>
      <c r="B1194" s="21" t="s">
        <v>912</v>
      </c>
      <c r="J1194" s="1"/>
      <c r="M1194" t="s">
        <v>15</v>
      </c>
      <c r="N1194" t="str">
        <f>IFERROR(VLOOKUP(B1194,'[1]All Player'!$B$2:$C$1992,2,0),"")</f>
        <v/>
      </c>
      <c r="O1194" s="2" t="s">
        <v>515</v>
      </c>
      <c r="P1194" s="20" t="s">
        <v>912</v>
      </c>
      <c r="Q1194" s="1">
        <f t="shared" si="42"/>
        <v>1</v>
      </c>
      <c r="R1194" s="1">
        <v>199</v>
      </c>
      <c r="U1194" s="12">
        <f t="shared" si="44"/>
        <v>43040</v>
      </c>
    </row>
    <row r="1195" spans="1:23" x14ac:dyDescent="0.25">
      <c r="A1195" s="2">
        <v>20</v>
      </c>
      <c r="B1195" t="s">
        <v>139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515</v>
      </c>
      <c r="P1195" s="20" t="s">
        <v>912</v>
      </c>
      <c r="Q1195" s="1">
        <f t="shared" si="42"/>
        <v>1</v>
      </c>
      <c r="R1195" s="1">
        <v>199</v>
      </c>
      <c r="U1195" s="12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515</v>
      </c>
      <c r="P1196" s="20" t="s">
        <v>912</v>
      </c>
      <c r="Q1196" s="1">
        <f t="shared" si="42"/>
        <v>1</v>
      </c>
      <c r="R1196" s="1">
        <v>199</v>
      </c>
      <c r="U1196" s="12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515</v>
      </c>
      <c r="P1197" s="20" t="s">
        <v>912</v>
      </c>
      <c r="Q1197" s="1">
        <f t="shared" si="42"/>
        <v>1</v>
      </c>
      <c r="R1197" s="1">
        <v>199</v>
      </c>
      <c r="U1197" s="12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33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515</v>
      </c>
      <c r="P1198" s="20" t="s">
        <v>912</v>
      </c>
      <c r="Q1198" s="1">
        <f t="shared" si="42"/>
        <v>1</v>
      </c>
      <c r="R1198" s="1">
        <v>199</v>
      </c>
      <c r="U1198" s="12">
        <f t="shared" si="44"/>
        <v>43040</v>
      </c>
    </row>
    <row r="1199" spans="1:23" x14ac:dyDescent="0.25">
      <c r="A1199" s="2">
        <v>20</v>
      </c>
      <c r="B1199" s="21" t="s">
        <v>615</v>
      </c>
      <c r="J1199" s="1"/>
      <c r="M1199" t="s">
        <v>15</v>
      </c>
      <c r="N1199" t="str">
        <f>IFERROR(VLOOKUP(B1199,'[1]All Player'!$B$2:$C$1992,2,0),"")</f>
        <v/>
      </c>
      <c r="O1199" s="2" t="s">
        <v>515</v>
      </c>
      <c r="P1199" s="20" t="s">
        <v>615</v>
      </c>
      <c r="Q1199" s="1">
        <f t="shared" si="42"/>
        <v>1</v>
      </c>
      <c r="R1199" s="1">
        <v>200</v>
      </c>
      <c r="U1199" s="12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515</v>
      </c>
      <c r="P1200" s="20" t="s">
        <v>615</v>
      </c>
      <c r="Q1200" s="1">
        <f t="shared" si="42"/>
        <v>1</v>
      </c>
      <c r="R1200" s="1">
        <v>200</v>
      </c>
      <c r="U1200" s="12">
        <f t="shared" si="44"/>
        <v>43040</v>
      </c>
    </row>
    <row r="1201" spans="1:21" x14ac:dyDescent="0.25">
      <c r="A1201" s="2">
        <v>20</v>
      </c>
      <c r="B1201" t="s">
        <v>157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515</v>
      </c>
      <c r="P1201" s="20" t="s">
        <v>615</v>
      </c>
      <c r="Q1201" s="1">
        <f t="shared" si="42"/>
        <v>1</v>
      </c>
      <c r="R1201" s="1">
        <v>200</v>
      </c>
      <c r="U1201" s="12">
        <f t="shared" si="44"/>
        <v>43040</v>
      </c>
    </row>
    <row r="1202" spans="1:21" x14ac:dyDescent="0.25">
      <c r="A1202" s="2">
        <v>20</v>
      </c>
      <c r="B1202" t="s">
        <v>418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515</v>
      </c>
      <c r="P1202" s="20" t="s">
        <v>615</v>
      </c>
      <c r="Q1202" s="1">
        <f t="shared" si="42"/>
        <v>1</v>
      </c>
      <c r="R1202" s="1">
        <v>200</v>
      </c>
      <c r="U1202" s="12">
        <f t="shared" si="44"/>
        <v>43040</v>
      </c>
    </row>
    <row r="1203" spans="1:21" x14ac:dyDescent="0.25">
      <c r="A1203" s="2">
        <v>20</v>
      </c>
      <c r="B1203" t="s">
        <v>170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515</v>
      </c>
      <c r="P1203" s="20" t="s">
        <v>615</v>
      </c>
      <c r="Q1203" s="1">
        <f t="shared" si="42"/>
        <v>1</v>
      </c>
      <c r="R1203" s="1">
        <v>200</v>
      </c>
      <c r="U1203" s="12">
        <f t="shared" si="44"/>
        <v>43040</v>
      </c>
    </row>
    <row r="1204" spans="1:21" x14ac:dyDescent="0.25">
      <c r="A1204" s="2">
        <v>20</v>
      </c>
      <c r="B1204" s="21" t="s">
        <v>913</v>
      </c>
      <c r="J1204" s="1"/>
      <c r="M1204" t="s">
        <v>15</v>
      </c>
      <c r="N1204" t="str">
        <f>IFERROR(VLOOKUP(B1204,'[1]All Player'!$B$2:$C$1992,2,0),"")</f>
        <v/>
      </c>
      <c r="O1204" s="2" t="s">
        <v>515</v>
      </c>
      <c r="P1204" s="20" t="s">
        <v>913</v>
      </c>
      <c r="Q1204" s="1">
        <f t="shared" si="42"/>
        <v>1</v>
      </c>
      <c r="R1204" s="1">
        <v>201</v>
      </c>
      <c r="U1204" s="12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515</v>
      </c>
      <c r="P1205" s="20" t="s">
        <v>913</v>
      </c>
      <c r="Q1205" s="1">
        <f t="shared" si="42"/>
        <v>1</v>
      </c>
      <c r="R1205" s="1">
        <v>201</v>
      </c>
      <c r="U1205" s="12">
        <f t="shared" si="44"/>
        <v>43040</v>
      </c>
    </row>
    <row r="1206" spans="1:21" x14ac:dyDescent="0.25">
      <c r="A1206" s="2">
        <v>20</v>
      </c>
      <c r="B1206" t="s">
        <v>200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515</v>
      </c>
      <c r="P1206" s="20" t="s">
        <v>913</v>
      </c>
      <c r="Q1206" s="1">
        <f t="shared" si="42"/>
        <v>1</v>
      </c>
      <c r="R1206" s="1">
        <v>201</v>
      </c>
      <c r="U1206" s="12">
        <f t="shared" si="44"/>
        <v>43040</v>
      </c>
    </row>
    <row r="1207" spans="1:21" x14ac:dyDescent="0.25">
      <c r="A1207" s="2">
        <v>20</v>
      </c>
      <c r="B1207" t="s">
        <v>176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515</v>
      </c>
      <c r="P1207" s="20" t="s">
        <v>913</v>
      </c>
      <c r="Q1207" s="1">
        <f t="shared" si="42"/>
        <v>1</v>
      </c>
      <c r="R1207" s="1">
        <v>201</v>
      </c>
      <c r="U1207" s="12">
        <f t="shared" si="44"/>
        <v>43040</v>
      </c>
    </row>
    <row r="1208" spans="1:21" x14ac:dyDescent="0.25">
      <c r="A1208" s="2">
        <v>20</v>
      </c>
      <c r="B1208" t="s">
        <v>187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515</v>
      </c>
      <c r="P1208" s="20" t="s">
        <v>913</v>
      </c>
      <c r="Q1208" s="1">
        <f t="shared" si="42"/>
        <v>1</v>
      </c>
      <c r="R1208" s="1">
        <v>201</v>
      </c>
      <c r="U1208" s="12">
        <f t="shared" si="44"/>
        <v>43040</v>
      </c>
    </row>
    <row r="1209" spans="1:21" x14ac:dyDescent="0.25">
      <c r="A1209" s="2">
        <v>20</v>
      </c>
      <c r="B1209" s="21" t="s">
        <v>914</v>
      </c>
      <c r="J1209" s="1"/>
      <c r="M1209" t="s">
        <v>15</v>
      </c>
      <c r="N1209" t="str">
        <f>IFERROR(VLOOKUP(B1209,'[1]All Player'!$B$2:$C$1992,2,0),"")</f>
        <v/>
      </c>
      <c r="O1209" s="2" t="s">
        <v>515</v>
      </c>
      <c r="P1209" s="20" t="s">
        <v>914</v>
      </c>
      <c r="Q1209" s="1">
        <f t="shared" si="42"/>
        <v>1</v>
      </c>
      <c r="R1209" s="1">
        <v>202</v>
      </c>
      <c r="U1209" s="12">
        <f t="shared" si="44"/>
        <v>43040</v>
      </c>
    </row>
    <row r="1210" spans="1:21" x14ac:dyDescent="0.25">
      <c r="A1210" s="2">
        <v>20</v>
      </c>
      <c r="B1210" t="s">
        <v>141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515</v>
      </c>
      <c r="P1210" s="20" t="s">
        <v>914</v>
      </c>
      <c r="Q1210" s="1">
        <f t="shared" si="42"/>
        <v>1</v>
      </c>
      <c r="R1210" s="1">
        <v>202</v>
      </c>
      <c r="U1210" s="12">
        <f t="shared" si="44"/>
        <v>43040</v>
      </c>
    </row>
    <row r="1211" spans="1:21" x14ac:dyDescent="0.25">
      <c r="A1211" s="2">
        <v>20</v>
      </c>
      <c r="B1211" t="s">
        <v>413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515</v>
      </c>
      <c r="P1211" s="20" t="s">
        <v>914</v>
      </c>
      <c r="Q1211" s="1">
        <f t="shared" si="42"/>
        <v>1</v>
      </c>
      <c r="R1211" s="1">
        <v>202</v>
      </c>
      <c r="U1211" s="12">
        <f t="shared" si="44"/>
        <v>43040</v>
      </c>
    </row>
    <row r="1212" spans="1:21" x14ac:dyDescent="0.25">
      <c r="A1212" s="2">
        <v>20</v>
      </c>
      <c r="B1212" t="s">
        <v>125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515</v>
      </c>
      <c r="P1212" s="20" t="s">
        <v>914</v>
      </c>
      <c r="Q1212" s="1">
        <f t="shared" si="42"/>
        <v>1</v>
      </c>
      <c r="R1212" s="1">
        <v>202</v>
      </c>
      <c r="U1212" s="12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515</v>
      </c>
      <c r="P1213" s="20" t="s">
        <v>914</v>
      </c>
      <c r="Q1213" s="1">
        <f t="shared" si="42"/>
        <v>1</v>
      </c>
      <c r="R1213" s="1">
        <v>202</v>
      </c>
      <c r="U1213" s="12">
        <f t="shared" si="44"/>
        <v>43040</v>
      </c>
    </row>
    <row r="1214" spans="1:21" x14ac:dyDescent="0.25">
      <c r="A1214" s="2">
        <v>20</v>
      </c>
      <c r="B1214" s="21" t="s">
        <v>915</v>
      </c>
      <c r="J1214" s="1"/>
      <c r="M1214" t="s">
        <v>15</v>
      </c>
      <c r="N1214" t="str">
        <f>IFERROR(VLOOKUP(B1214,'[1]All Player'!$B$2:$C$1992,2,0),"")</f>
        <v/>
      </c>
      <c r="O1214" s="2" t="s">
        <v>515</v>
      </c>
      <c r="P1214" s="20" t="s">
        <v>915</v>
      </c>
      <c r="Q1214" s="1">
        <f t="shared" si="42"/>
        <v>1</v>
      </c>
      <c r="R1214" s="1">
        <v>203</v>
      </c>
      <c r="U1214" s="12">
        <f t="shared" si="44"/>
        <v>43040</v>
      </c>
    </row>
    <row r="1215" spans="1:21" x14ac:dyDescent="0.25">
      <c r="A1215" s="2">
        <v>20</v>
      </c>
      <c r="B1215" t="s">
        <v>133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515</v>
      </c>
      <c r="P1215" s="20" t="s">
        <v>915</v>
      </c>
      <c r="Q1215" s="1">
        <f t="shared" si="42"/>
        <v>1</v>
      </c>
      <c r="R1215" s="1">
        <v>203</v>
      </c>
      <c r="U1215" s="12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515</v>
      </c>
      <c r="P1216" s="20" t="s">
        <v>915</v>
      </c>
      <c r="Q1216" s="1">
        <f t="shared" si="42"/>
        <v>1</v>
      </c>
      <c r="R1216" s="1">
        <v>203</v>
      </c>
      <c r="U1216" s="12">
        <f t="shared" si="44"/>
        <v>43040</v>
      </c>
    </row>
    <row r="1217" spans="1:21" x14ac:dyDescent="0.25">
      <c r="A1217" s="2">
        <v>20</v>
      </c>
      <c r="B1217" t="s">
        <v>198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515</v>
      </c>
      <c r="P1217" s="20" t="s">
        <v>915</v>
      </c>
      <c r="Q1217" s="1">
        <f t="shared" si="42"/>
        <v>1</v>
      </c>
      <c r="R1217" s="1">
        <v>203</v>
      </c>
      <c r="U1217" s="12">
        <f t="shared" si="44"/>
        <v>43040</v>
      </c>
    </row>
    <row r="1218" spans="1:21" x14ac:dyDescent="0.25">
      <c r="A1218" s="2">
        <v>20</v>
      </c>
      <c r="B1218" t="s">
        <v>131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515</v>
      </c>
      <c r="P1218" s="20" t="s">
        <v>915</v>
      </c>
      <c r="Q1218" s="1">
        <f t="shared" ref="Q1218:Q1281" si="45">IF(B1218="","",1)</f>
        <v>1</v>
      </c>
      <c r="R1218" s="1">
        <v>203</v>
      </c>
      <c r="U1218" s="12">
        <f t="shared" si="44"/>
        <v>43040</v>
      </c>
    </row>
    <row r="1219" spans="1:21" x14ac:dyDescent="0.25">
      <c r="A1219" s="2">
        <v>20</v>
      </c>
      <c r="B1219" t="s">
        <v>184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515</v>
      </c>
      <c r="P1219" s="20" t="s">
        <v>915</v>
      </c>
      <c r="Q1219" s="1">
        <f t="shared" si="45"/>
        <v>1</v>
      </c>
      <c r="R1219" s="1">
        <v>203</v>
      </c>
      <c r="U1219" s="12">
        <f t="shared" si="44"/>
        <v>43040</v>
      </c>
    </row>
    <row r="1220" spans="1:21" x14ac:dyDescent="0.25">
      <c r="A1220" s="2">
        <v>21</v>
      </c>
      <c r="B1220" s="21" t="s">
        <v>916</v>
      </c>
      <c r="J1220" s="1"/>
      <c r="M1220" t="s">
        <v>15</v>
      </c>
      <c r="N1220" t="str">
        <f>IFERROR(VLOOKUP(B1220,'[1]All Player'!$B$2:$C$1992,2,0),"")</f>
        <v/>
      </c>
      <c r="O1220" s="2" t="s">
        <v>609</v>
      </c>
      <c r="P1220" s="20" t="s">
        <v>916</v>
      </c>
      <c r="Q1220" s="1">
        <f t="shared" si="45"/>
        <v>1</v>
      </c>
      <c r="R1220" s="1">
        <v>204</v>
      </c>
      <c r="U1220" s="12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609</v>
      </c>
      <c r="P1221" s="20" t="s">
        <v>916</v>
      </c>
      <c r="Q1221" s="1">
        <f t="shared" si="45"/>
        <v>1</v>
      </c>
      <c r="R1221" s="1">
        <v>204</v>
      </c>
      <c r="U1221" s="12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917</v>
      </c>
      <c r="M1222" t="s">
        <v>15</v>
      </c>
      <c r="N1222" t="str">
        <f>IFERROR(VLOOKUP(B1222,'[1]All Player'!$B$2:$C$1992,2,0),"")</f>
        <v>Foysal Ahmed Jumon</v>
      </c>
      <c r="O1222" s="2" t="s">
        <v>609</v>
      </c>
      <c r="P1222" s="20" t="s">
        <v>916</v>
      </c>
      <c r="Q1222" s="1">
        <f t="shared" si="45"/>
        <v>1</v>
      </c>
      <c r="R1222" s="1">
        <v>204</v>
      </c>
      <c r="U1222" s="12">
        <f t="shared" si="46"/>
        <v>43435</v>
      </c>
    </row>
    <row r="1223" spans="1:21" x14ac:dyDescent="0.25">
      <c r="A1223" s="2">
        <v>21</v>
      </c>
      <c r="B1223" t="s">
        <v>117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917</v>
      </c>
      <c r="M1223" t="s">
        <v>15</v>
      </c>
      <c r="N1223" t="str">
        <f>IFERROR(VLOOKUP(B1223,'[1]All Player'!$B$2:$C$1992,2,0),"")</f>
        <v>Ahammed Ariful Haq</v>
      </c>
      <c r="O1223" s="2" t="s">
        <v>609</v>
      </c>
      <c r="P1223" s="20" t="s">
        <v>916</v>
      </c>
      <c r="Q1223" s="1">
        <f t="shared" si="45"/>
        <v>1</v>
      </c>
      <c r="R1223" s="1">
        <v>204</v>
      </c>
      <c r="U1223" s="12">
        <f t="shared" si="46"/>
        <v>43435</v>
      </c>
    </row>
    <row r="1224" spans="1:21" x14ac:dyDescent="0.25">
      <c r="A1224" s="2">
        <v>21</v>
      </c>
      <c r="B1224" t="s">
        <v>176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917</v>
      </c>
      <c r="M1224" t="s">
        <v>15</v>
      </c>
      <c r="N1224" t="str">
        <f>IFERROR(VLOOKUP(B1224,'[1]All Player'!$B$2:$C$1992,2,0),"")</f>
        <v>Wasiq Rahman</v>
      </c>
      <c r="O1224" s="2" t="s">
        <v>609</v>
      </c>
      <c r="P1224" s="20" t="s">
        <v>916</v>
      </c>
      <c r="Q1224" s="1">
        <f t="shared" si="45"/>
        <v>1</v>
      </c>
      <c r="R1224" s="1">
        <v>204</v>
      </c>
      <c r="U1224" s="12">
        <f t="shared" si="46"/>
        <v>43435</v>
      </c>
    </row>
    <row r="1225" spans="1:21" x14ac:dyDescent="0.25">
      <c r="A1225" s="2">
        <v>21</v>
      </c>
      <c r="B1225" s="21" t="s">
        <v>918</v>
      </c>
      <c r="J1225" s="1"/>
      <c r="M1225" t="s">
        <v>15</v>
      </c>
      <c r="N1225" t="str">
        <f>IFERROR(VLOOKUP(B1225,'[1]All Player'!$B$2:$C$1992,2,0),"")</f>
        <v/>
      </c>
      <c r="O1225" s="2" t="s">
        <v>609</v>
      </c>
      <c r="P1225" s="20" t="s">
        <v>918</v>
      </c>
      <c r="Q1225" s="1">
        <f t="shared" si="45"/>
        <v>1</v>
      </c>
      <c r="R1225" s="1">
        <v>205</v>
      </c>
      <c r="U1225" s="12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917</v>
      </c>
      <c r="M1226" t="s">
        <v>15</v>
      </c>
      <c r="N1226" t="str">
        <f>IFERROR(VLOOKUP(B1226,'[1]All Player'!$B$2:$C$1992,2,0),"")</f>
        <v>Shayed Anowar Shanto</v>
      </c>
      <c r="O1226" s="2" t="s">
        <v>609</v>
      </c>
      <c r="P1226" s="20" t="s">
        <v>918</v>
      </c>
      <c r="Q1226" s="1">
        <f t="shared" si="45"/>
        <v>1</v>
      </c>
      <c r="R1226" s="1">
        <v>205</v>
      </c>
      <c r="U1226" s="12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917</v>
      </c>
      <c r="M1227" t="s">
        <v>15</v>
      </c>
      <c r="N1227" t="str">
        <f>IFERROR(VLOOKUP(B1227,'[1]All Player'!$B$2:$C$1992,2,0),"")</f>
        <v>KM Rashedul Islam Rashed</v>
      </c>
      <c r="O1227" s="2" t="s">
        <v>609</v>
      </c>
      <c r="P1227" s="20" t="s">
        <v>918</v>
      </c>
      <c r="Q1227" s="1">
        <f t="shared" si="45"/>
        <v>1</v>
      </c>
      <c r="R1227" s="1">
        <v>205</v>
      </c>
      <c r="U1227" s="12">
        <f t="shared" si="46"/>
        <v>43435</v>
      </c>
    </row>
    <row r="1228" spans="1:21" x14ac:dyDescent="0.25">
      <c r="A1228" s="2">
        <v>21</v>
      </c>
      <c r="B1228" t="s">
        <v>222</v>
      </c>
      <c r="C1228" s="2">
        <v>3</v>
      </c>
      <c r="D1228" s="2">
        <v>55</v>
      </c>
      <c r="E1228" s="2">
        <v>2</v>
      </c>
      <c r="F1228" s="2">
        <v>5</v>
      </c>
      <c r="G1228" s="2" t="s">
        <v>919</v>
      </c>
      <c r="H1228" s="2">
        <v>4</v>
      </c>
      <c r="I1228" s="2">
        <v>5</v>
      </c>
      <c r="J1228" s="1" t="s">
        <v>917</v>
      </c>
      <c r="M1228" t="s">
        <v>15</v>
      </c>
      <c r="N1228" t="str">
        <f>IFERROR(VLOOKUP(B1228,'[1]All Player'!$B$2:$C$1992,2,0),"")</f>
        <v>Yahya Riyad</v>
      </c>
      <c r="O1228" s="2" t="s">
        <v>609</v>
      </c>
      <c r="P1228" s="20" t="s">
        <v>918</v>
      </c>
      <c r="Q1228" s="1">
        <f t="shared" si="45"/>
        <v>1</v>
      </c>
      <c r="R1228" s="1">
        <v>205</v>
      </c>
      <c r="U1228" s="12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917</v>
      </c>
      <c r="M1229" t="s">
        <v>15</v>
      </c>
      <c r="N1229" t="str">
        <f>IFERROR(VLOOKUP(B1229,'[1]All Player'!$B$2:$C$1992,2,0),"")</f>
        <v>Al Mamun</v>
      </c>
      <c r="O1229" s="2" t="s">
        <v>609</v>
      </c>
      <c r="P1229" s="20" t="s">
        <v>918</v>
      </c>
      <c r="Q1229" s="1">
        <f t="shared" si="45"/>
        <v>1</v>
      </c>
      <c r="R1229" s="1">
        <v>205</v>
      </c>
      <c r="U1229" s="12">
        <f t="shared" si="46"/>
        <v>43435</v>
      </c>
    </row>
    <row r="1230" spans="1:21" x14ac:dyDescent="0.25">
      <c r="A1230" s="2">
        <v>21</v>
      </c>
      <c r="B1230" s="21" t="s">
        <v>610</v>
      </c>
      <c r="J1230" s="1"/>
      <c r="M1230" t="s">
        <v>15</v>
      </c>
      <c r="N1230" t="str">
        <f>IFERROR(VLOOKUP(B1230,'[1]All Player'!$B$2:$C$1992,2,0),"")</f>
        <v/>
      </c>
      <c r="O1230" s="2" t="s">
        <v>609</v>
      </c>
      <c r="P1230" s="20" t="s">
        <v>610</v>
      </c>
      <c r="Q1230" s="1">
        <f t="shared" si="45"/>
        <v>1</v>
      </c>
      <c r="R1230" s="1">
        <v>206</v>
      </c>
      <c r="T1230" s="1" t="s">
        <v>661</v>
      </c>
      <c r="U1230" s="12">
        <f t="shared" si="46"/>
        <v>43435</v>
      </c>
    </row>
    <row r="1231" spans="1:21" x14ac:dyDescent="0.25">
      <c r="A1231" s="2">
        <v>21</v>
      </c>
      <c r="B1231" t="s">
        <v>149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609</v>
      </c>
      <c r="P1231" s="20" t="s">
        <v>610</v>
      </c>
      <c r="Q1231" s="1">
        <f t="shared" si="45"/>
        <v>1</v>
      </c>
      <c r="R1231" s="1">
        <v>206</v>
      </c>
      <c r="T1231" s="1" t="s">
        <v>661</v>
      </c>
      <c r="U1231" s="12">
        <f t="shared" si="46"/>
        <v>43435</v>
      </c>
    </row>
    <row r="1232" spans="1:21" x14ac:dyDescent="0.25">
      <c r="A1232" s="2">
        <v>21</v>
      </c>
      <c r="B1232" t="s">
        <v>147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917</v>
      </c>
      <c r="M1232" t="s">
        <v>15</v>
      </c>
      <c r="N1232" t="str">
        <f>IFERROR(VLOOKUP(B1232,'[1]All Player'!$B$2:$C$1992,2,0),"")</f>
        <v>Nahid Saifullah</v>
      </c>
      <c r="O1232" s="2" t="s">
        <v>609</v>
      </c>
      <c r="P1232" s="20" t="s">
        <v>610</v>
      </c>
      <c r="Q1232" s="1">
        <f t="shared" si="45"/>
        <v>1</v>
      </c>
      <c r="R1232" s="1">
        <v>206</v>
      </c>
      <c r="T1232" s="1" t="s">
        <v>661</v>
      </c>
      <c r="U1232" s="12">
        <f t="shared" si="46"/>
        <v>43435</v>
      </c>
    </row>
    <row r="1233" spans="1:23" x14ac:dyDescent="0.25">
      <c r="A1233" s="2">
        <v>21</v>
      </c>
      <c r="B1233" t="s">
        <v>663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609</v>
      </c>
      <c r="P1233" s="20" t="s">
        <v>610</v>
      </c>
      <c r="Q1233" s="1">
        <f t="shared" si="45"/>
        <v>1</v>
      </c>
      <c r="R1233" s="1">
        <v>206</v>
      </c>
      <c r="T1233" s="1" t="s">
        <v>661</v>
      </c>
      <c r="U1233" s="12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405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917</v>
      </c>
      <c r="M1234" t="s">
        <v>15</v>
      </c>
      <c r="N1234" t="str">
        <f>IFERROR(VLOOKUP(B1234,'[1]All Player'!$B$2:$C$1992,2,0),"")</f>
        <v>Md Siyam Islam</v>
      </c>
      <c r="O1234" s="2" t="s">
        <v>609</v>
      </c>
      <c r="P1234" s="20" t="s">
        <v>610</v>
      </c>
      <c r="Q1234" s="1">
        <f t="shared" si="45"/>
        <v>1</v>
      </c>
      <c r="R1234" s="1">
        <v>206</v>
      </c>
      <c r="S1234" s="2" t="s">
        <v>660</v>
      </c>
      <c r="T1234" s="1" t="s">
        <v>661</v>
      </c>
      <c r="U1234" s="12">
        <f t="shared" si="46"/>
        <v>43435</v>
      </c>
    </row>
    <row r="1235" spans="1:23" x14ac:dyDescent="0.25">
      <c r="A1235" s="2">
        <v>21</v>
      </c>
      <c r="B1235" s="21" t="s">
        <v>920</v>
      </c>
      <c r="J1235" s="1"/>
      <c r="M1235" t="s">
        <v>15</v>
      </c>
      <c r="N1235" t="str">
        <f>IFERROR(VLOOKUP(B1235,'[1]All Player'!$B$2:$C$1992,2,0),"")</f>
        <v/>
      </c>
      <c r="O1235" s="2" t="s">
        <v>609</v>
      </c>
      <c r="P1235" s="20" t="s">
        <v>920</v>
      </c>
      <c r="Q1235" s="1">
        <f t="shared" si="45"/>
        <v>1</v>
      </c>
      <c r="R1235" s="1">
        <v>207</v>
      </c>
      <c r="U1235" s="12">
        <f t="shared" si="46"/>
        <v>43435</v>
      </c>
    </row>
    <row r="1236" spans="1:23" x14ac:dyDescent="0.25">
      <c r="A1236" s="2">
        <v>21</v>
      </c>
      <c r="B1236" t="s">
        <v>145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917</v>
      </c>
      <c r="M1236" t="s">
        <v>15</v>
      </c>
      <c r="N1236" t="str">
        <f>IFERROR(VLOOKUP(B1236,'[1]All Player'!$B$2:$C$1992,2,0),"")</f>
        <v>Toufiq Ahmed Ovi</v>
      </c>
      <c r="O1236" s="2" t="s">
        <v>609</v>
      </c>
      <c r="P1236" s="20" t="s">
        <v>920</v>
      </c>
      <c r="Q1236" s="1">
        <f t="shared" si="45"/>
        <v>1</v>
      </c>
      <c r="R1236" s="1">
        <v>207</v>
      </c>
      <c r="U1236" s="12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917</v>
      </c>
      <c r="M1237" t="s">
        <v>15</v>
      </c>
      <c r="N1237" t="str">
        <f>IFERROR(VLOOKUP(B1237,'[1]All Player'!$B$2:$C$1992,2,0),"")</f>
        <v>Sumon Ab</v>
      </c>
      <c r="O1237" s="2" t="s">
        <v>609</v>
      </c>
      <c r="P1237" s="20" t="s">
        <v>920</v>
      </c>
      <c r="Q1237" s="1">
        <f t="shared" si="45"/>
        <v>1</v>
      </c>
      <c r="R1237" s="1">
        <v>207</v>
      </c>
      <c r="U1237" s="12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917</v>
      </c>
      <c r="M1238" t="s">
        <v>15</v>
      </c>
      <c r="N1238" t="str">
        <f>IFERROR(VLOOKUP(B1238,'[1]All Player'!$B$2:$C$1992,2,0),"")</f>
        <v>Kamil Ahmed</v>
      </c>
      <c r="O1238" s="2" t="s">
        <v>609</v>
      </c>
      <c r="P1238" s="20" t="s">
        <v>920</v>
      </c>
      <c r="Q1238" s="1">
        <f t="shared" si="45"/>
        <v>1</v>
      </c>
      <c r="R1238" s="1">
        <v>207</v>
      </c>
      <c r="U1238" s="12">
        <f t="shared" si="46"/>
        <v>43435</v>
      </c>
    </row>
    <row r="1239" spans="1:23" x14ac:dyDescent="0.25">
      <c r="A1239" s="2">
        <v>21</v>
      </c>
      <c r="B1239" t="s">
        <v>127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917</v>
      </c>
      <c r="M1239" t="s">
        <v>15</v>
      </c>
      <c r="N1239" t="str">
        <f>IFERROR(VLOOKUP(B1239,'[1]All Player'!$B$2:$C$1992,2,0),"")</f>
        <v>M R Shakil</v>
      </c>
      <c r="O1239" s="2" t="s">
        <v>609</v>
      </c>
      <c r="P1239" s="20" t="s">
        <v>920</v>
      </c>
      <c r="Q1239" s="1">
        <f t="shared" si="45"/>
        <v>1</v>
      </c>
      <c r="R1239" s="1">
        <v>207</v>
      </c>
      <c r="U1239" s="12">
        <f t="shared" si="46"/>
        <v>43435</v>
      </c>
    </row>
    <row r="1240" spans="1:23" x14ac:dyDescent="0.25">
      <c r="A1240" s="2">
        <v>21</v>
      </c>
      <c r="B1240" s="21" t="s">
        <v>921</v>
      </c>
      <c r="J1240" s="1"/>
      <c r="M1240" t="s">
        <v>15</v>
      </c>
      <c r="N1240" t="str">
        <f>IFERROR(VLOOKUP(B1240,'[1]All Player'!$B$2:$C$1992,2,0),"")</f>
        <v/>
      </c>
      <c r="O1240" s="2" t="s">
        <v>609</v>
      </c>
      <c r="P1240" s="20" t="s">
        <v>921</v>
      </c>
      <c r="Q1240" s="1">
        <f t="shared" si="45"/>
        <v>1</v>
      </c>
      <c r="R1240" s="1">
        <v>208</v>
      </c>
      <c r="U1240" s="12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609</v>
      </c>
      <c r="P1241" s="20" t="s">
        <v>921</v>
      </c>
      <c r="Q1241" s="1">
        <f t="shared" si="45"/>
        <v>1</v>
      </c>
      <c r="R1241" s="1">
        <v>208</v>
      </c>
      <c r="U1241" s="12">
        <f t="shared" si="46"/>
        <v>43435</v>
      </c>
    </row>
    <row r="1242" spans="1:23" x14ac:dyDescent="0.25">
      <c r="A1242" s="2">
        <v>21</v>
      </c>
      <c r="B1242" t="s">
        <v>133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917</v>
      </c>
      <c r="M1242" t="s">
        <v>15</v>
      </c>
      <c r="N1242" t="str">
        <f>IFERROR(VLOOKUP(B1242,'[1]All Player'!$B$2:$C$1992,2,0),"")</f>
        <v>ShiShir Hossain</v>
      </c>
      <c r="O1242" s="2" t="s">
        <v>609</v>
      </c>
      <c r="P1242" s="20" t="s">
        <v>921</v>
      </c>
      <c r="Q1242" s="1">
        <f t="shared" si="45"/>
        <v>1</v>
      </c>
      <c r="R1242" s="1">
        <v>208</v>
      </c>
      <c r="U1242" s="12">
        <f t="shared" si="46"/>
        <v>43435</v>
      </c>
    </row>
    <row r="1243" spans="1:23" x14ac:dyDescent="0.25">
      <c r="A1243" s="2">
        <v>21</v>
      </c>
      <c r="B1243" t="s">
        <v>125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917</v>
      </c>
      <c r="M1243" t="s">
        <v>15</v>
      </c>
      <c r="N1243" t="str">
        <f>IFERROR(VLOOKUP(B1243,'[1]All Player'!$B$2:$C$1992,2,0),"")</f>
        <v>Mahbubur Rahman Akash</v>
      </c>
      <c r="O1243" s="2" t="s">
        <v>609</v>
      </c>
      <c r="P1243" s="20" t="s">
        <v>921</v>
      </c>
      <c r="Q1243" s="1">
        <f t="shared" si="45"/>
        <v>1</v>
      </c>
      <c r="R1243" s="1">
        <v>208</v>
      </c>
      <c r="U1243" s="12">
        <f t="shared" si="46"/>
        <v>43435</v>
      </c>
    </row>
    <row r="1244" spans="1:23" x14ac:dyDescent="0.25">
      <c r="A1244" s="2">
        <v>21</v>
      </c>
      <c r="B1244" t="s">
        <v>141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917</v>
      </c>
      <c r="M1244" t="s">
        <v>15</v>
      </c>
      <c r="N1244" t="str">
        <f>IFERROR(VLOOKUP(B1244,'[1]All Player'!$B$2:$C$1992,2,0),"")</f>
        <v>Monowar Hossain Munna</v>
      </c>
      <c r="O1244" s="2" t="s">
        <v>609</v>
      </c>
      <c r="P1244" s="20" t="s">
        <v>921</v>
      </c>
      <c r="Q1244" s="1">
        <f t="shared" si="45"/>
        <v>1</v>
      </c>
      <c r="R1244" s="1">
        <v>208</v>
      </c>
      <c r="U1244" s="12">
        <f t="shared" si="46"/>
        <v>43435</v>
      </c>
    </row>
    <row r="1245" spans="1:23" x14ac:dyDescent="0.25">
      <c r="A1245" s="2">
        <v>21</v>
      </c>
      <c r="B1245" s="21" t="s">
        <v>922</v>
      </c>
      <c r="J1245" s="1"/>
      <c r="M1245" t="s">
        <v>15</v>
      </c>
      <c r="N1245" t="str">
        <f>IFERROR(VLOOKUP(B1245,'[1]All Player'!$B$2:$C$1992,2,0),"")</f>
        <v/>
      </c>
      <c r="O1245" s="2" t="s">
        <v>609</v>
      </c>
      <c r="P1245" s="20" t="s">
        <v>922</v>
      </c>
      <c r="Q1245" s="1">
        <f t="shared" si="45"/>
        <v>1</v>
      </c>
      <c r="R1245" s="1">
        <v>209</v>
      </c>
      <c r="T1245" s="1" t="s">
        <v>659</v>
      </c>
      <c r="U1245" s="12">
        <f t="shared" si="46"/>
        <v>43435</v>
      </c>
    </row>
    <row r="1246" spans="1:23" x14ac:dyDescent="0.25">
      <c r="A1246" s="2">
        <v>21</v>
      </c>
      <c r="B1246" t="s">
        <v>115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917</v>
      </c>
      <c r="M1246" t="s">
        <v>15</v>
      </c>
      <c r="N1246" t="str">
        <f>IFERROR(VLOOKUP(B1246,'[1]All Player'!$B$2:$C$1992,2,0),"")</f>
        <v>Tanvir Shakib</v>
      </c>
      <c r="O1246" s="2" t="s">
        <v>609</v>
      </c>
      <c r="P1246" s="20" t="s">
        <v>922</v>
      </c>
      <c r="Q1246" s="1">
        <f t="shared" si="45"/>
        <v>1</v>
      </c>
      <c r="R1246" s="1">
        <v>209</v>
      </c>
      <c r="T1246" s="1" t="s">
        <v>659</v>
      </c>
      <c r="U1246" s="12">
        <f t="shared" si="46"/>
        <v>43435</v>
      </c>
    </row>
    <row r="1247" spans="1:23" x14ac:dyDescent="0.25">
      <c r="A1247" s="2">
        <v>21</v>
      </c>
      <c r="B1247" t="s">
        <v>139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917</v>
      </c>
      <c r="M1247" t="s">
        <v>15</v>
      </c>
      <c r="N1247" t="str">
        <f>IFERROR(VLOOKUP(B1247,'[1]All Player'!$B$2:$C$1992,2,0),"")</f>
        <v>Asif Iqbal Khan</v>
      </c>
      <c r="O1247" s="2" t="s">
        <v>609</v>
      </c>
      <c r="P1247" s="20" t="s">
        <v>922</v>
      </c>
      <c r="Q1247" s="1">
        <f t="shared" si="45"/>
        <v>1</v>
      </c>
      <c r="R1247" s="1">
        <v>209</v>
      </c>
      <c r="T1247" s="1" t="s">
        <v>659</v>
      </c>
      <c r="U1247" s="12">
        <f t="shared" si="46"/>
        <v>43435</v>
      </c>
    </row>
    <row r="1248" spans="1:23" x14ac:dyDescent="0.25">
      <c r="A1248" s="2">
        <v>21</v>
      </c>
      <c r="B1248" t="s">
        <v>137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917</v>
      </c>
      <c r="M1248" t="s">
        <v>15</v>
      </c>
      <c r="N1248" t="str">
        <f>IFERROR(VLOOKUP(B1248,'[1]All Player'!$B$2:$C$1992,2,0),"")</f>
        <v>MD Kamal Hossain Kamal</v>
      </c>
      <c r="O1248" s="2" t="s">
        <v>609</v>
      </c>
      <c r="P1248" s="20" t="s">
        <v>922</v>
      </c>
      <c r="Q1248" s="1">
        <f t="shared" si="45"/>
        <v>1</v>
      </c>
      <c r="R1248" s="1">
        <v>209</v>
      </c>
      <c r="T1248" s="1" t="s">
        <v>659</v>
      </c>
      <c r="U1248" s="12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196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917</v>
      </c>
      <c r="M1249" t="s">
        <v>15</v>
      </c>
      <c r="N1249" t="str">
        <f>IFERROR(VLOOKUP(B1249,'[1]All Player'!$B$2:$C$1992,2,0),"")</f>
        <v>Hj Himel</v>
      </c>
      <c r="O1249" s="2" t="s">
        <v>609</v>
      </c>
      <c r="P1249" s="20" t="s">
        <v>922</v>
      </c>
      <c r="Q1249" s="1">
        <f t="shared" si="45"/>
        <v>1</v>
      </c>
      <c r="R1249" s="1">
        <v>209</v>
      </c>
      <c r="S1249" s="2" t="s">
        <v>662</v>
      </c>
      <c r="T1249" s="1" t="s">
        <v>659</v>
      </c>
      <c r="U1249" s="12">
        <f t="shared" si="46"/>
        <v>43435</v>
      </c>
      <c r="V1249" s="1">
        <v>1</v>
      </c>
    </row>
    <row r="1250" spans="1:22" x14ac:dyDescent="0.25">
      <c r="A1250" s="2">
        <v>21</v>
      </c>
      <c r="B1250" s="21" t="s">
        <v>923</v>
      </c>
      <c r="J1250" s="1"/>
      <c r="M1250" t="s">
        <v>15</v>
      </c>
      <c r="N1250" t="str">
        <f>IFERROR(VLOOKUP(B1250,'[1]All Player'!$B$2:$C$1992,2,0),"")</f>
        <v/>
      </c>
      <c r="O1250" s="2" t="s">
        <v>609</v>
      </c>
      <c r="P1250" s="20" t="s">
        <v>923</v>
      </c>
      <c r="Q1250" s="1">
        <f t="shared" si="45"/>
        <v>1</v>
      </c>
      <c r="R1250" s="1">
        <v>210</v>
      </c>
      <c r="U1250" s="12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917</v>
      </c>
      <c r="M1251" t="s">
        <v>15</v>
      </c>
      <c r="N1251" t="str">
        <f>IFERROR(VLOOKUP(B1251,'[1]All Player'!$B$2:$C$1992,2,0),"")</f>
        <v>Sadrul Anam</v>
      </c>
      <c r="O1251" s="30" t="s">
        <v>609</v>
      </c>
      <c r="P1251" s="20" t="s">
        <v>923</v>
      </c>
      <c r="Q1251" s="1">
        <f t="shared" si="45"/>
        <v>1</v>
      </c>
      <c r="R1251" s="1">
        <v>210</v>
      </c>
      <c r="U1251" s="12">
        <f t="shared" si="46"/>
        <v>43435</v>
      </c>
    </row>
    <row r="1252" spans="1:22" x14ac:dyDescent="0.25">
      <c r="A1252" s="2">
        <v>21</v>
      </c>
      <c r="B1252" t="s">
        <v>172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917</v>
      </c>
      <c r="M1252" t="s">
        <v>15</v>
      </c>
      <c r="N1252" t="str">
        <f>IFERROR(VLOOKUP(B1252,'[1]All Player'!$B$2:$C$1992,2,0),"")</f>
        <v>Md. Ruhin</v>
      </c>
      <c r="O1252" s="2" t="s">
        <v>609</v>
      </c>
      <c r="P1252" s="20" t="s">
        <v>923</v>
      </c>
      <c r="Q1252" s="1">
        <f t="shared" si="45"/>
        <v>1</v>
      </c>
      <c r="R1252" s="1">
        <v>210</v>
      </c>
      <c r="U1252" s="12">
        <f t="shared" si="46"/>
        <v>43435</v>
      </c>
    </row>
    <row r="1253" spans="1:22" x14ac:dyDescent="0.25">
      <c r="A1253" s="2">
        <v>21</v>
      </c>
      <c r="B1253" t="s">
        <v>402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917</v>
      </c>
      <c r="M1253" t="s">
        <v>15</v>
      </c>
      <c r="N1253" t="str">
        <f>IFERROR(VLOOKUP(B1253,'[1]All Player'!$B$2:$C$1992,2,0),"")</f>
        <v>Obak Roxy</v>
      </c>
      <c r="O1253" s="2" t="s">
        <v>609</v>
      </c>
      <c r="P1253" s="20" t="s">
        <v>923</v>
      </c>
      <c r="Q1253" s="1">
        <f t="shared" si="45"/>
        <v>1</v>
      </c>
      <c r="R1253" s="1">
        <v>210</v>
      </c>
      <c r="U1253" s="12">
        <f t="shared" si="46"/>
        <v>43435</v>
      </c>
    </row>
    <row r="1254" spans="1:22" x14ac:dyDescent="0.25">
      <c r="A1254" s="2">
        <v>21</v>
      </c>
      <c r="B1254" t="s">
        <v>400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917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609</v>
      </c>
      <c r="P1254" s="20" t="s">
        <v>923</v>
      </c>
      <c r="Q1254" s="1">
        <f t="shared" si="45"/>
        <v>1</v>
      </c>
      <c r="R1254" s="1">
        <v>210</v>
      </c>
      <c r="U1254" s="12">
        <f t="shared" si="46"/>
        <v>43435</v>
      </c>
    </row>
    <row r="1255" spans="1:22" x14ac:dyDescent="0.25">
      <c r="A1255" s="2">
        <v>20</v>
      </c>
      <c r="B1255" s="21" t="s">
        <v>616</v>
      </c>
      <c r="J1255" s="1"/>
      <c r="M1255" t="s">
        <v>15</v>
      </c>
      <c r="N1255" t="str">
        <f>IFERROR(VLOOKUP(B1255,'[1]All Player'!$B$2:$C$1992,2,0),"")</f>
        <v/>
      </c>
      <c r="O1255" s="2" t="s">
        <v>515</v>
      </c>
      <c r="P1255" s="20" t="s">
        <v>616</v>
      </c>
      <c r="Q1255" s="1">
        <f t="shared" si="45"/>
        <v>1</v>
      </c>
      <c r="R1255" s="1">
        <v>211</v>
      </c>
      <c r="U1255" s="12">
        <f t="shared" si="46"/>
        <v>43435</v>
      </c>
    </row>
    <row r="1256" spans="1:22" x14ac:dyDescent="0.25">
      <c r="A1256" s="2">
        <v>20</v>
      </c>
      <c r="B1256" t="s">
        <v>137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515</v>
      </c>
      <c r="P1256" s="20" t="s">
        <v>616</v>
      </c>
      <c r="Q1256" s="1">
        <f t="shared" si="45"/>
        <v>1</v>
      </c>
      <c r="R1256" s="1">
        <v>211</v>
      </c>
      <c r="U1256" s="12">
        <f t="shared" si="46"/>
        <v>43435</v>
      </c>
    </row>
    <row r="1257" spans="1:22" x14ac:dyDescent="0.25">
      <c r="A1257" s="2">
        <v>20</v>
      </c>
      <c r="B1257" t="s">
        <v>123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515</v>
      </c>
      <c r="P1257" s="20" t="s">
        <v>616</v>
      </c>
      <c r="Q1257" s="1">
        <f t="shared" si="45"/>
        <v>1</v>
      </c>
      <c r="R1257" s="1">
        <v>211</v>
      </c>
      <c r="U1257" s="12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515</v>
      </c>
      <c r="P1258" s="20" t="s">
        <v>616</v>
      </c>
      <c r="Q1258" s="1">
        <f t="shared" si="45"/>
        <v>1</v>
      </c>
      <c r="R1258" s="1">
        <v>211</v>
      </c>
      <c r="U1258" s="12">
        <f t="shared" si="46"/>
        <v>43435</v>
      </c>
    </row>
    <row r="1259" spans="1:22" x14ac:dyDescent="0.25">
      <c r="A1259" s="2">
        <v>20</v>
      </c>
      <c r="B1259" t="s">
        <v>420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515</v>
      </c>
      <c r="P1259" s="20" t="s">
        <v>616</v>
      </c>
      <c r="Q1259" s="1">
        <f t="shared" si="45"/>
        <v>1</v>
      </c>
      <c r="R1259" s="1">
        <v>211</v>
      </c>
      <c r="U1259" s="12">
        <f t="shared" si="46"/>
        <v>43435</v>
      </c>
    </row>
    <row r="1260" spans="1:22" x14ac:dyDescent="0.25">
      <c r="A1260" s="2">
        <v>20</v>
      </c>
      <c r="B1260" s="21" t="s">
        <v>924</v>
      </c>
      <c r="J1260" s="1"/>
      <c r="M1260" t="s">
        <v>15</v>
      </c>
      <c r="N1260" t="str">
        <f>IFERROR(VLOOKUP(B1260,'[1]All Player'!$B$2:$C$1992,2,0),"")</f>
        <v/>
      </c>
      <c r="O1260" s="2" t="s">
        <v>515</v>
      </c>
      <c r="P1260" s="20" t="s">
        <v>924</v>
      </c>
      <c r="Q1260" s="1">
        <f t="shared" si="45"/>
        <v>1</v>
      </c>
      <c r="R1260" s="1">
        <v>212</v>
      </c>
      <c r="U1260" s="12">
        <f t="shared" si="46"/>
        <v>43435</v>
      </c>
    </row>
    <row r="1261" spans="1:22" x14ac:dyDescent="0.25">
      <c r="A1261" s="2">
        <v>20</v>
      </c>
      <c r="B1261" t="s">
        <v>174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515</v>
      </c>
      <c r="P1261" s="20" t="s">
        <v>924</v>
      </c>
      <c r="Q1261" s="1">
        <f t="shared" si="45"/>
        <v>1</v>
      </c>
      <c r="R1261" s="1">
        <v>212</v>
      </c>
      <c r="U1261" s="12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515</v>
      </c>
      <c r="P1262" s="20" t="s">
        <v>924</v>
      </c>
      <c r="Q1262" s="1">
        <f t="shared" si="45"/>
        <v>1</v>
      </c>
      <c r="R1262" s="1">
        <v>212</v>
      </c>
      <c r="U1262" s="12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515</v>
      </c>
      <c r="P1263" s="20" t="s">
        <v>924</v>
      </c>
      <c r="Q1263" s="1">
        <f t="shared" si="45"/>
        <v>1</v>
      </c>
      <c r="R1263" s="1">
        <v>212</v>
      </c>
      <c r="U1263" s="12">
        <f t="shared" si="46"/>
        <v>43435</v>
      </c>
    </row>
    <row r="1264" spans="1:22" x14ac:dyDescent="0.25">
      <c r="A1264" s="2">
        <v>20</v>
      </c>
      <c r="B1264" t="s">
        <v>366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515</v>
      </c>
      <c r="P1264" s="20" t="s">
        <v>924</v>
      </c>
      <c r="Q1264" s="1">
        <f t="shared" si="45"/>
        <v>1</v>
      </c>
      <c r="R1264" s="1">
        <v>212</v>
      </c>
      <c r="U1264" s="12">
        <f t="shared" si="46"/>
        <v>43435</v>
      </c>
    </row>
    <row r="1265" spans="1:21" x14ac:dyDescent="0.25">
      <c r="A1265" s="2">
        <v>20</v>
      </c>
      <c r="B1265" s="21" t="s">
        <v>925</v>
      </c>
      <c r="J1265" s="1"/>
      <c r="M1265" t="s">
        <v>15</v>
      </c>
      <c r="N1265" t="str">
        <f>IFERROR(VLOOKUP(B1265,'[1]All Player'!$B$2:$C$1992,2,0),"")</f>
        <v/>
      </c>
      <c r="O1265" s="2" t="s">
        <v>515</v>
      </c>
      <c r="P1265" s="20" t="s">
        <v>925</v>
      </c>
      <c r="Q1265" s="1">
        <f t="shared" si="45"/>
        <v>1</v>
      </c>
      <c r="R1265" s="1">
        <v>213</v>
      </c>
      <c r="U1265" s="12">
        <f t="shared" si="46"/>
        <v>43435</v>
      </c>
    </row>
    <row r="1266" spans="1:21" x14ac:dyDescent="0.25">
      <c r="A1266" s="2">
        <v>20</v>
      </c>
      <c r="B1266" t="s">
        <v>127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515</v>
      </c>
      <c r="P1266" s="20" t="s">
        <v>925</v>
      </c>
      <c r="Q1266" s="1">
        <f t="shared" si="45"/>
        <v>1</v>
      </c>
      <c r="R1266" s="1">
        <v>213</v>
      </c>
      <c r="U1266" s="12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515</v>
      </c>
      <c r="P1267" s="20" t="s">
        <v>925</v>
      </c>
      <c r="Q1267" s="1">
        <f t="shared" si="45"/>
        <v>1</v>
      </c>
      <c r="R1267" s="1">
        <v>213</v>
      </c>
      <c r="U1267" s="12">
        <f t="shared" si="46"/>
        <v>43435</v>
      </c>
    </row>
    <row r="1268" spans="1:21" x14ac:dyDescent="0.25">
      <c r="A1268" s="2">
        <v>20</v>
      </c>
      <c r="B1268" t="s">
        <v>400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515</v>
      </c>
      <c r="P1268" s="20" t="s">
        <v>925</v>
      </c>
      <c r="Q1268" s="1">
        <f t="shared" si="45"/>
        <v>1</v>
      </c>
      <c r="R1268" s="1">
        <v>213</v>
      </c>
      <c r="U1268" s="12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515</v>
      </c>
      <c r="P1269" s="20" t="s">
        <v>925</v>
      </c>
      <c r="Q1269" s="1">
        <f t="shared" si="45"/>
        <v>1</v>
      </c>
      <c r="R1269" s="1">
        <v>213</v>
      </c>
      <c r="U1269" s="12">
        <f t="shared" si="46"/>
        <v>43435</v>
      </c>
    </row>
    <row r="1270" spans="1:21" x14ac:dyDescent="0.25">
      <c r="A1270" s="2">
        <v>20</v>
      </c>
      <c r="B1270" t="s">
        <v>617</v>
      </c>
      <c r="J1270" s="1"/>
      <c r="M1270" t="s">
        <v>15</v>
      </c>
      <c r="N1270" t="str">
        <f>IFERROR(VLOOKUP(B1270,'[1]All Player'!$B$2:$C$1992,2,0),"")</f>
        <v/>
      </c>
      <c r="O1270" s="2" t="s">
        <v>515</v>
      </c>
      <c r="P1270" s="20" t="s">
        <v>617</v>
      </c>
      <c r="Q1270" s="1">
        <f t="shared" si="45"/>
        <v>1</v>
      </c>
      <c r="R1270" s="1">
        <v>214</v>
      </c>
      <c r="U1270" s="12">
        <f t="shared" si="46"/>
        <v>43435</v>
      </c>
    </row>
    <row r="1271" spans="1:21" x14ac:dyDescent="0.25">
      <c r="A1271" s="2">
        <v>20</v>
      </c>
      <c r="B1271" t="s">
        <v>229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515</v>
      </c>
      <c r="P1271" s="20" t="s">
        <v>617</v>
      </c>
      <c r="Q1271" s="1">
        <f t="shared" si="45"/>
        <v>1</v>
      </c>
      <c r="R1271" s="1">
        <v>214</v>
      </c>
      <c r="U1271" s="12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515</v>
      </c>
      <c r="P1272" s="20" t="s">
        <v>617</v>
      </c>
      <c r="Q1272" s="1">
        <f t="shared" si="45"/>
        <v>1</v>
      </c>
      <c r="R1272" s="1">
        <v>214</v>
      </c>
      <c r="U1272" s="12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515</v>
      </c>
      <c r="P1273" s="20" t="s">
        <v>617</v>
      </c>
      <c r="Q1273" s="1">
        <f t="shared" si="45"/>
        <v>1</v>
      </c>
      <c r="R1273" s="1">
        <v>214</v>
      </c>
      <c r="U1273" s="12">
        <f t="shared" si="46"/>
        <v>43435</v>
      </c>
    </row>
    <row r="1274" spans="1:21" x14ac:dyDescent="0.25">
      <c r="A1274" s="2">
        <v>20</v>
      </c>
      <c r="B1274" t="s">
        <v>422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515</v>
      </c>
      <c r="P1274" s="20" t="s">
        <v>617</v>
      </c>
      <c r="Q1274" s="1">
        <f t="shared" si="45"/>
        <v>1</v>
      </c>
      <c r="R1274" s="1">
        <v>214</v>
      </c>
      <c r="U1274" s="12">
        <f t="shared" si="46"/>
        <v>43435</v>
      </c>
    </row>
    <row r="1275" spans="1:21" x14ac:dyDescent="0.25">
      <c r="A1275" s="2">
        <v>22</v>
      </c>
      <c r="B1275" s="21" t="s">
        <v>926</v>
      </c>
      <c r="J1275" s="1"/>
      <c r="M1275" t="s">
        <v>15</v>
      </c>
      <c r="N1275" t="str">
        <f>IFERROR(VLOOKUP(B1275,'[1]All Player'!$B$2:$C$1992,2,0),"")</f>
        <v/>
      </c>
      <c r="O1275" s="2" t="s">
        <v>927</v>
      </c>
      <c r="P1275" s="20" t="s">
        <v>926</v>
      </c>
      <c r="Q1275" s="1">
        <f t="shared" si="45"/>
        <v>1</v>
      </c>
      <c r="R1275" s="1">
        <v>215</v>
      </c>
      <c r="U1275" s="12">
        <v>43891</v>
      </c>
    </row>
    <row r="1276" spans="1:21" x14ac:dyDescent="0.25">
      <c r="A1276" s="2">
        <v>22</v>
      </c>
      <c r="B1276" t="s">
        <v>135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927</v>
      </c>
      <c r="P1276" s="20" t="s">
        <v>926</v>
      </c>
      <c r="Q1276" s="1">
        <f t="shared" si="45"/>
        <v>1</v>
      </c>
      <c r="R1276" s="1">
        <v>215</v>
      </c>
      <c r="U1276" s="12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927</v>
      </c>
      <c r="P1277" s="20" t="s">
        <v>926</v>
      </c>
      <c r="Q1277" s="1">
        <f t="shared" si="45"/>
        <v>1</v>
      </c>
      <c r="R1277" s="1">
        <v>215</v>
      </c>
      <c r="U1277" s="12">
        <f t="shared" si="47"/>
        <v>43891</v>
      </c>
    </row>
    <row r="1278" spans="1:21" x14ac:dyDescent="0.25">
      <c r="A1278" s="2">
        <v>22</v>
      </c>
      <c r="B1278" t="s">
        <v>115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927</v>
      </c>
      <c r="P1278" s="20" t="s">
        <v>926</v>
      </c>
      <c r="Q1278" s="1">
        <f t="shared" si="45"/>
        <v>1</v>
      </c>
      <c r="R1278" s="1">
        <v>215</v>
      </c>
      <c r="U1278" s="12">
        <f t="shared" si="47"/>
        <v>43891</v>
      </c>
    </row>
    <row r="1279" spans="1:21" x14ac:dyDescent="0.25">
      <c r="A1279" s="2">
        <v>22</v>
      </c>
      <c r="B1279" t="s">
        <v>153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927</v>
      </c>
      <c r="P1279" s="20" t="s">
        <v>926</v>
      </c>
      <c r="Q1279" s="1">
        <f t="shared" si="45"/>
        <v>1</v>
      </c>
      <c r="R1279" s="1">
        <v>215</v>
      </c>
      <c r="U1279" s="12">
        <f t="shared" si="47"/>
        <v>43891</v>
      </c>
    </row>
    <row r="1280" spans="1:21" x14ac:dyDescent="0.25">
      <c r="A1280" s="2">
        <v>22</v>
      </c>
      <c r="B1280" t="s">
        <v>117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927</v>
      </c>
      <c r="P1280" s="20" t="s">
        <v>926</v>
      </c>
      <c r="Q1280" s="1">
        <f t="shared" si="45"/>
        <v>1</v>
      </c>
      <c r="R1280" s="1">
        <v>215</v>
      </c>
      <c r="U1280" s="12">
        <f t="shared" si="47"/>
        <v>43891</v>
      </c>
    </row>
    <row r="1281" spans="1:23" x14ac:dyDescent="0.25">
      <c r="A1281" s="2">
        <v>22</v>
      </c>
      <c r="B1281" t="s">
        <v>131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927</v>
      </c>
      <c r="P1281" s="20" t="s">
        <v>926</v>
      </c>
      <c r="Q1281" s="1">
        <f t="shared" si="45"/>
        <v>1</v>
      </c>
      <c r="R1281" s="1">
        <v>215</v>
      </c>
      <c r="U1281" s="12">
        <f t="shared" si="47"/>
        <v>43891</v>
      </c>
    </row>
    <row r="1282" spans="1:23" x14ac:dyDescent="0.25">
      <c r="A1282" s="2">
        <v>22</v>
      </c>
      <c r="B1282" s="21" t="s">
        <v>928</v>
      </c>
      <c r="J1282" s="1"/>
      <c r="M1282" t="s">
        <v>15</v>
      </c>
      <c r="N1282" t="str">
        <f>IFERROR(VLOOKUP(B1282,'[1]All Player'!$B$2:$C$1992,2,0),"")</f>
        <v/>
      </c>
      <c r="O1282" s="2" t="s">
        <v>927</v>
      </c>
      <c r="P1282" s="20" t="s">
        <v>928</v>
      </c>
      <c r="Q1282" s="1">
        <f t="shared" ref="Q1282:Q1345" si="48">IF(B1282="","",1)</f>
        <v>1</v>
      </c>
      <c r="R1282" s="1">
        <v>216</v>
      </c>
      <c r="U1282" s="12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927</v>
      </c>
      <c r="P1283" s="20" t="s">
        <v>928</v>
      </c>
      <c r="Q1283" s="1">
        <f t="shared" si="48"/>
        <v>1</v>
      </c>
      <c r="R1283" s="1">
        <v>216</v>
      </c>
      <c r="U1283" s="12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927</v>
      </c>
      <c r="P1284" s="20" t="s">
        <v>928</v>
      </c>
      <c r="Q1284" s="1">
        <f t="shared" si="48"/>
        <v>1</v>
      </c>
      <c r="R1284" s="1">
        <v>216</v>
      </c>
      <c r="U1284" s="12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927</v>
      </c>
      <c r="P1285" s="20" t="s">
        <v>928</v>
      </c>
      <c r="Q1285" s="1">
        <f t="shared" si="48"/>
        <v>1</v>
      </c>
      <c r="R1285" s="1">
        <v>216</v>
      </c>
      <c r="U1285" s="12">
        <f t="shared" si="47"/>
        <v>43891</v>
      </c>
    </row>
    <row r="1286" spans="1:23" x14ac:dyDescent="0.25">
      <c r="A1286" s="2">
        <v>22</v>
      </c>
      <c r="B1286" t="s">
        <v>157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927</v>
      </c>
      <c r="P1286" s="20" t="s">
        <v>928</v>
      </c>
      <c r="Q1286" s="1">
        <f t="shared" si="48"/>
        <v>1</v>
      </c>
      <c r="R1286" s="1">
        <v>216</v>
      </c>
      <c r="U1286" s="12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927</v>
      </c>
      <c r="P1287" s="20" t="s">
        <v>928</v>
      </c>
      <c r="Q1287" s="1">
        <f t="shared" si="48"/>
        <v>1</v>
      </c>
      <c r="R1287" s="1">
        <v>216</v>
      </c>
      <c r="U1287" s="12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927</v>
      </c>
      <c r="P1288" s="20" t="s">
        <v>928</v>
      </c>
      <c r="Q1288" s="1">
        <f t="shared" si="48"/>
        <v>1</v>
      </c>
      <c r="R1288" s="1">
        <v>216</v>
      </c>
      <c r="U1288" s="12">
        <f t="shared" si="47"/>
        <v>43891</v>
      </c>
    </row>
    <row r="1289" spans="1:23" x14ac:dyDescent="0.25">
      <c r="A1289" s="2">
        <v>22</v>
      </c>
      <c r="B1289" s="21" t="s">
        <v>929</v>
      </c>
      <c r="J1289" s="1"/>
      <c r="M1289" t="s">
        <v>15</v>
      </c>
      <c r="N1289" t="str">
        <f>IFERROR(VLOOKUP(B1289,'[1]All Player'!$B$2:$C$1992,2,0),"")</f>
        <v/>
      </c>
      <c r="O1289" s="2" t="s">
        <v>927</v>
      </c>
      <c r="P1289" s="20" t="s">
        <v>929</v>
      </c>
      <c r="Q1289" s="1">
        <f t="shared" si="48"/>
        <v>1</v>
      </c>
      <c r="R1289" s="1">
        <v>217</v>
      </c>
      <c r="T1289" s="1" t="s">
        <v>659</v>
      </c>
      <c r="U1289" s="12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927</v>
      </c>
      <c r="P1290" s="20" t="s">
        <v>929</v>
      </c>
      <c r="Q1290" s="1">
        <f t="shared" si="48"/>
        <v>1</v>
      </c>
      <c r="R1290" s="1">
        <v>217</v>
      </c>
      <c r="T1290" s="1" t="s">
        <v>659</v>
      </c>
      <c r="U1290" s="12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927</v>
      </c>
      <c r="P1291" s="20" t="s">
        <v>929</v>
      </c>
      <c r="Q1291" s="1">
        <f t="shared" si="48"/>
        <v>1</v>
      </c>
      <c r="R1291" s="1">
        <v>217</v>
      </c>
      <c r="T1291" s="1" t="s">
        <v>659</v>
      </c>
      <c r="U1291" s="12">
        <f t="shared" si="47"/>
        <v>43891</v>
      </c>
    </row>
    <row r="1292" spans="1:23" x14ac:dyDescent="0.25">
      <c r="A1292" s="2">
        <v>22</v>
      </c>
      <c r="B1292" t="s">
        <v>184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927</v>
      </c>
      <c r="P1292" s="20" t="s">
        <v>929</v>
      </c>
      <c r="Q1292" s="1">
        <f t="shared" si="48"/>
        <v>1</v>
      </c>
      <c r="R1292" s="1">
        <v>217</v>
      </c>
      <c r="T1292" s="1" t="s">
        <v>659</v>
      </c>
      <c r="U1292" s="12">
        <f t="shared" si="47"/>
        <v>43891</v>
      </c>
    </row>
    <row r="1293" spans="1:23" x14ac:dyDescent="0.25">
      <c r="A1293" s="2">
        <v>22</v>
      </c>
      <c r="B1293" t="s">
        <v>139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927</v>
      </c>
      <c r="P1293" s="20" t="s">
        <v>929</v>
      </c>
      <c r="Q1293" s="1">
        <f t="shared" si="48"/>
        <v>1</v>
      </c>
      <c r="R1293" s="1">
        <v>217</v>
      </c>
      <c r="T1293" s="1" t="s">
        <v>659</v>
      </c>
      <c r="U1293" s="12">
        <f t="shared" si="47"/>
        <v>43891</v>
      </c>
    </row>
    <row r="1294" spans="1:23" x14ac:dyDescent="0.25">
      <c r="A1294" s="2">
        <v>22</v>
      </c>
      <c r="B1294" t="s">
        <v>663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927</v>
      </c>
      <c r="P1294" s="20" t="s">
        <v>929</v>
      </c>
      <c r="Q1294" s="1">
        <f t="shared" si="48"/>
        <v>1</v>
      </c>
      <c r="R1294" s="1">
        <v>217</v>
      </c>
      <c r="T1294" s="1" t="s">
        <v>659</v>
      </c>
      <c r="U1294" s="12">
        <f t="shared" si="47"/>
        <v>43891</v>
      </c>
    </row>
    <row r="1295" spans="1:23" x14ac:dyDescent="0.25">
      <c r="A1295" s="2">
        <v>22</v>
      </c>
      <c r="B1295" t="s">
        <v>141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927</v>
      </c>
      <c r="P1295" s="20" t="s">
        <v>929</v>
      </c>
      <c r="Q1295" s="1">
        <f t="shared" si="48"/>
        <v>1</v>
      </c>
      <c r="R1295" s="1">
        <v>217</v>
      </c>
      <c r="T1295" s="1" t="s">
        <v>659</v>
      </c>
      <c r="U1295" s="12">
        <f t="shared" si="47"/>
        <v>43891</v>
      </c>
    </row>
    <row r="1296" spans="1:23" x14ac:dyDescent="0.25">
      <c r="A1296" s="2">
        <v>22</v>
      </c>
      <c r="B1296" s="21" t="s">
        <v>930</v>
      </c>
      <c r="J1296" s="1"/>
      <c r="M1296" t="s">
        <v>15</v>
      </c>
      <c r="N1296" t="str">
        <f>IFERROR(VLOOKUP(B1296,'[1]All Player'!$B$2:$C$1992,2,0),"")</f>
        <v/>
      </c>
      <c r="O1296" s="2" t="s">
        <v>927</v>
      </c>
      <c r="P1296" s="20" t="s">
        <v>930</v>
      </c>
      <c r="Q1296" s="1">
        <f t="shared" si="48"/>
        <v>1</v>
      </c>
      <c r="R1296" s="1">
        <v>218</v>
      </c>
      <c r="T1296" s="1" t="s">
        <v>661</v>
      </c>
      <c r="U1296" s="12">
        <f t="shared" si="47"/>
        <v>43891</v>
      </c>
    </row>
    <row r="1297" spans="1:23" x14ac:dyDescent="0.25">
      <c r="A1297" s="2">
        <v>22</v>
      </c>
      <c r="B1297" t="s">
        <v>149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927</v>
      </c>
      <c r="P1297" s="20" t="s">
        <v>930</v>
      </c>
      <c r="Q1297" s="1">
        <f t="shared" si="48"/>
        <v>1</v>
      </c>
      <c r="R1297" s="1">
        <v>218</v>
      </c>
      <c r="T1297" s="1" t="s">
        <v>661</v>
      </c>
      <c r="U1297" s="12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927</v>
      </c>
      <c r="P1298" s="20" t="s">
        <v>930</v>
      </c>
      <c r="Q1298" s="1">
        <f t="shared" si="48"/>
        <v>1</v>
      </c>
      <c r="R1298" s="1">
        <v>218</v>
      </c>
      <c r="T1298" s="1" t="s">
        <v>661</v>
      </c>
      <c r="U1298" s="12">
        <f t="shared" si="47"/>
        <v>43891</v>
      </c>
    </row>
    <row r="1299" spans="1:23" x14ac:dyDescent="0.25">
      <c r="A1299" s="2">
        <v>22</v>
      </c>
      <c r="B1299" t="s">
        <v>137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927</v>
      </c>
      <c r="P1299" s="20" t="s">
        <v>930</v>
      </c>
      <c r="Q1299" s="1">
        <f t="shared" si="48"/>
        <v>1</v>
      </c>
      <c r="R1299" s="1">
        <v>218</v>
      </c>
      <c r="S1299" s="2" t="s">
        <v>662</v>
      </c>
      <c r="T1299" s="1" t="s">
        <v>661</v>
      </c>
      <c r="U1299" s="12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143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927</v>
      </c>
      <c r="P1300" s="20" t="s">
        <v>930</v>
      </c>
      <c r="Q1300" s="1">
        <f t="shared" si="48"/>
        <v>1</v>
      </c>
      <c r="R1300" s="1">
        <v>218</v>
      </c>
      <c r="T1300" s="1" t="s">
        <v>661</v>
      </c>
      <c r="U1300" s="12">
        <f t="shared" si="47"/>
        <v>43891</v>
      </c>
    </row>
    <row r="1301" spans="1:23" x14ac:dyDescent="0.25">
      <c r="A1301" s="2">
        <v>22</v>
      </c>
      <c r="B1301" t="s">
        <v>127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927</v>
      </c>
      <c r="P1301" s="20" t="s">
        <v>930</v>
      </c>
      <c r="Q1301" s="1">
        <f t="shared" si="48"/>
        <v>1</v>
      </c>
      <c r="R1301" s="1">
        <v>218</v>
      </c>
      <c r="T1301" s="1" t="s">
        <v>661</v>
      </c>
      <c r="U1301" s="12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927</v>
      </c>
      <c r="P1302" s="20" t="s">
        <v>930</v>
      </c>
      <c r="Q1302" s="1">
        <f t="shared" si="48"/>
        <v>1</v>
      </c>
      <c r="R1302" s="1">
        <v>218</v>
      </c>
      <c r="S1302" s="2" t="s">
        <v>660</v>
      </c>
      <c r="T1302" s="1" t="s">
        <v>661</v>
      </c>
      <c r="U1302" s="12">
        <f t="shared" si="47"/>
        <v>43891</v>
      </c>
    </row>
    <row r="1303" spans="1:23" x14ac:dyDescent="0.25">
      <c r="A1303" s="2">
        <v>23</v>
      </c>
      <c r="B1303" s="21" t="s">
        <v>931</v>
      </c>
      <c r="J1303" s="1"/>
      <c r="M1303" t="s">
        <v>15</v>
      </c>
      <c r="N1303" t="str">
        <f>IFERROR(VLOOKUP(B1303,'[1]All Player'!$B$2:$C$1992,2,0),"")</f>
        <v/>
      </c>
      <c r="O1303" s="2" t="s">
        <v>932</v>
      </c>
      <c r="P1303" s="20" t="s">
        <v>931</v>
      </c>
      <c r="Q1303" s="1">
        <f t="shared" si="48"/>
        <v>1</v>
      </c>
      <c r="R1303" s="1">
        <v>219</v>
      </c>
      <c r="T1303" s="1" t="s">
        <v>659</v>
      </c>
      <c r="U1303" s="12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932</v>
      </c>
      <c r="P1304" s="18" t="s">
        <v>931</v>
      </c>
      <c r="Q1304" s="1">
        <f t="shared" si="48"/>
        <v>1</v>
      </c>
      <c r="R1304" s="1">
        <v>219</v>
      </c>
      <c r="T1304" s="1" t="s">
        <v>659</v>
      </c>
      <c r="U1304" s="12">
        <f t="shared" ref="U1304:U1350" si="49">U1303</f>
        <v>43922</v>
      </c>
    </row>
    <row r="1305" spans="1:23" x14ac:dyDescent="0.25">
      <c r="A1305" s="2">
        <v>23</v>
      </c>
      <c r="B1305" t="s">
        <v>663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932</v>
      </c>
      <c r="P1305" s="18" t="s">
        <v>931</v>
      </c>
      <c r="Q1305" s="1">
        <f t="shared" si="48"/>
        <v>1</v>
      </c>
      <c r="R1305" s="1">
        <v>219</v>
      </c>
      <c r="T1305" s="1" t="s">
        <v>659</v>
      </c>
      <c r="U1305" s="12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932</v>
      </c>
      <c r="P1306" s="18" t="s">
        <v>931</v>
      </c>
      <c r="Q1306" s="1">
        <f t="shared" si="48"/>
        <v>1</v>
      </c>
      <c r="R1306" s="1">
        <v>219</v>
      </c>
      <c r="S1306" s="2" t="s">
        <v>662</v>
      </c>
      <c r="T1306" s="1" t="s">
        <v>659</v>
      </c>
      <c r="U1306" s="12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932</v>
      </c>
      <c r="P1307" s="18" t="s">
        <v>931</v>
      </c>
      <c r="Q1307" s="1">
        <f t="shared" si="48"/>
        <v>1</v>
      </c>
      <c r="R1307" s="1">
        <v>219</v>
      </c>
      <c r="T1307" s="1" t="s">
        <v>659</v>
      </c>
      <c r="U1307" s="12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932</v>
      </c>
      <c r="P1308" s="18" t="s">
        <v>931</v>
      </c>
      <c r="Q1308" s="1">
        <f t="shared" si="48"/>
        <v>1</v>
      </c>
      <c r="R1308" s="1">
        <v>219</v>
      </c>
      <c r="T1308" s="1" t="s">
        <v>659</v>
      </c>
      <c r="U1308" s="12">
        <f t="shared" si="49"/>
        <v>43922</v>
      </c>
    </row>
    <row r="1309" spans="1:23" x14ac:dyDescent="0.25">
      <c r="A1309" s="2">
        <v>23</v>
      </c>
      <c r="B1309" s="21" t="s">
        <v>933</v>
      </c>
      <c r="J1309" s="1"/>
      <c r="M1309" t="s">
        <v>15</v>
      </c>
      <c r="N1309" t="str">
        <f>IFERROR(VLOOKUP(B1309,'[1]All Player'!$B$2:$C$1992,2,0),"")</f>
        <v/>
      </c>
      <c r="O1309" s="2" t="s">
        <v>932</v>
      </c>
      <c r="P1309" s="18" t="s">
        <v>933</v>
      </c>
      <c r="Q1309" s="1">
        <f t="shared" si="48"/>
        <v>1</v>
      </c>
      <c r="R1309" s="1">
        <v>220</v>
      </c>
      <c r="T1309" s="1" t="s">
        <v>661</v>
      </c>
      <c r="U1309" s="12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932</v>
      </c>
      <c r="P1310" s="18" t="s">
        <v>933</v>
      </c>
      <c r="Q1310" s="1">
        <f t="shared" si="48"/>
        <v>1</v>
      </c>
      <c r="R1310" s="1">
        <v>220</v>
      </c>
      <c r="T1310" s="1" t="s">
        <v>661</v>
      </c>
      <c r="U1310" s="12">
        <f t="shared" si="49"/>
        <v>43922</v>
      </c>
    </row>
    <row r="1311" spans="1:23" x14ac:dyDescent="0.25">
      <c r="A1311" s="2">
        <v>23</v>
      </c>
      <c r="B1311" t="s">
        <v>135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932</v>
      </c>
      <c r="P1311" s="18" t="s">
        <v>933</v>
      </c>
      <c r="Q1311" s="1">
        <f t="shared" si="48"/>
        <v>1</v>
      </c>
      <c r="R1311" s="1">
        <v>220</v>
      </c>
      <c r="T1311" s="1" t="s">
        <v>661</v>
      </c>
      <c r="U1311" s="12">
        <f t="shared" si="49"/>
        <v>43922</v>
      </c>
    </row>
    <row r="1312" spans="1:23" x14ac:dyDescent="0.25">
      <c r="A1312" s="2">
        <v>23</v>
      </c>
      <c r="B1312" t="s">
        <v>115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932</v>
      </c>
      <c r="P1312" s="18" t="s">
        <v>933</v>
      </c>
      <c r="Q1312" s="1">
        <f t="shared" si="48"/>
        <v>1</v>
      </c>
      <c r="R1312" s="1">
        <v>220</v>
      </c>
      <c r="S1312" s="2" t="s">
        <v>660</v>
      </c>
      <c r="T1312" s="1" t="s">
        <v>661</v>
      </c>
      <c r="U1312" s="12">
        <f t="shared" si="49"/>
        <v>43922</v>
      </c>
    </row>
    <row r="1313" spans="1:22" x14ac:dyDescent="0.25">
      <c r="A1313" s="2">
        <v>23</v>
      </c>
      <c r="B1313" t="s">
        <v>139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932</v>
      </c>
      <c r="P1313" s="18" t="s">
        <v>933</v>
      </c>
      <c r="Q1313" s="1">
        <f t="shared" si="48"/>
        <v>1</v>
      </c>
      <c r="R1313" s="1">
        <v>220</v>
      </c>
      <c r="T1313" s="1" t="s">
        <v>661</v>
      </c>
      <c r="U1313" s="12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932</v>
      </c>
      <c r="P1314" s="18" t="s">
        <v>933</v>
      </c>
      <c r="Q1314" s="1">
        <f t="shared" si="48"/>
        <v>1</v>
      </c>
      <c r="R1314" s="1">
        <v>220</v>
      </c>
      <c r="T1314" s="1" t="s">
        <v>661</v>
      </c>
      <c r="U1314" s="12">
        <f t="shared" si="49"/>
        <v>43922</v>
      </c>
    </row>
    <row r="1315" spans="1:22" x14ac:dyDescent="0.25">
      <c r="A1315" s="2">
        <v>23</v>
      </c>
      <c r="B1315" s="21" t="s">
        <v>934</v>
      </c>
      <c r="J1315" s="1"/>
      <c r="M1315" t="s">
        <v>15</v>
      </c>
      <c r="N1315" t="str">
        <f>IFERROR(VLOOKUP(B1315,'[1]All Player'!$B$2:$C$1992,2,0),"")</f>
        <v/>
      </c>
      <c r="O1315" s="2" t="s">
        <v>932</v>
      </c>
      <c r="P1315" s="18" t="s">
        <v>934</v>
      </c>
      <c r="Q1315" s="1">
        <f t="shared" si="48"/>
        <v>1</v>
      </c>
      <c r="R1315" s="1">
        <v>221</v>
      </c>
      <c r="U1315" s="12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932</v>
      </c>
      <c r="P1316" s="18" t="s">
        <v>934</v>
      </c>
      <c r="Q1316" s="1">
        <f t="shared" si="48"/>
        <v>1</v>
      </c>
      <c r="R1316" s="1">
        <v>221</v>
      </c>
      <c r="U1316" s="12">
        <f t="shared" si="49"/>
        <v>43922</v>
      </c>
    </row>
    <row r="1317" spans="1:22" x14ac:dyDescent="0.25">
      <c r="A1317" s="2">
        <v>23</v>
      </c>
      <c r="B1317" t="s">
        <v>131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932</v>
      </c>
      <c r="P1317" s="18" t="s">
        <v>934</v>
      </c>
      <c r="Q1317" s="1">
        <f t="shared" si="48"/>
        <v>1</v>
      </c>
      <c r="R1317" s="1">
        <v>221</v>
      </c>
      <c r="U1317" s="12">
        <f t="shared" si="49"/>
        <v>43922</v>
      </c>
    </row>
    <row r="1318" spans="1:22" x14ac:dyDescent="0.25">
      <c r="A1318" s="2">
        <v>23</v>
      </c>
      <c r="B1318" t="s">
        <v>137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932</v>
      </c>
      <c r="P1318" s="18" t="s">
        <v>934</v>
      </c>
      <c r="Q1318" s="1">
        <f t="shared" si="48"/>
        <v>1</v>
      </c>
      <c r="R1318" s="1">
        <v>221</v>
      </c>
      <c r="U1318" s="12">
        <f t="shared" si="49"/>
        <v>43922</v>
      </c>
    </row>
    <row r="1319" spans="1:22" x14ac:dyDescent="0.25">
      <c r="A1319" s="2">
        <v>23</v>
      </c>
      <c r="B1319" t="s">
        <v>141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932</v>
      </c>
      <c r="P1319" s="18" t="s">
        <v>934</v>
      </c>
      <c r="Q1319" s="1">
        <f t="shared" si="48"/>
        <v>1</v>
      </c>
      <c r="R1319" s="1">
        <v>221</v>
      </c>
      <c r="U1319" s="12">
        <f t="shared" si="49"/>
        <v>43922</v>
      </c>
    </row>
    <row r="1320" spans="1:22" x14ac:dyDescent="0.25">
      <c r="A1320" s="2">
        <v>23</v>
      </c>
      <c r="B1320" t="s">
        <v>176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932</v>
      </c>
      <c r="P1320" s="18" t="s">
        <v>934</v>
      </c>
      <c r="Q1320" s="1">
        <f t="shared" si="48"/>
        <v>1</v>
      </c>
      <c r="R1320" s="1">
        <v>221</v>
      </c>
      <c r="U1320" s="12">
        <f t="shared" si="49"/>
        <v>43922</v>
      </c>
    </row>
    <row r="1321" spans="1:22" x14ac:dyDescent="0.25">
      <c r="A1321" s="2">
        <v>23</v>
      </c>
      <c r="B1321" s="21" t="s">
        <v>935</v>
      </c>
      <c r="J1321" s="1"/>
      <c r="M1321" t="s">
        <v>15</v>
      </c>
      <c r="N1321" t="str">
        <f>IFERROR(VLOOKUP(B1321,'[1]All Player'!$B$2:$C$1992,2,0),"")</f>
        <v/>
      </c>
      <c r="O1321" s="2" t="s">
        <v>932</v>
      </c>
      <c r="P1321" s="18" t="s">
        <v>935</v>
      </c>
      <c r="Q1321" s="1">
        <f t="shared" si="48"/>
        <v>1</v>
      </c>
      <c r="R1321" s="1">
        <v>222</v>
      </c>
      <c r="U1321" s="12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932</v>
      </c>
      <c r="P1322" s="18" t="s">
        <v>935</v>
      </c>
      <c r="Q1322" s="1">
        <f t="shared" si="48"/>
        <v>1</v>
      </c>
      <c r="R1322" s="1">
        <v>222</v>
      </c>
      <c r="U1322" s="12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932</v>
      </c>
      <c r="P1323" s="18" t="s">
        <v>935</v>
      </c>
      <c r="Q1323" s="1">
        <f t="shared" si="48"/>
        <v>1</v>
      </c>
      <c r="R1323" s="1">
        <v>222</v>
      </c>
      <c r="U1323" s="12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8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932</v>
      </c>
      <c r="P1324" s="18" t="s">
        <v>935</v>
      </c>
      <c r="Q1324" s="1">
        <f t="shared" si="48"/>
        <v>1</v>
      </c>
      <c r="R1324" s="1">
        <v>222</v>
      </c>
      <c r="U1324" s="12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117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932</v>
      </c>
      <c r="P1325" s="18" t="s">
        <v>935</v>
      </c>
      <c r="Q1325" s="1">
        <f t="shared" si="48"/>
        <v>1</v>
      </c>
      <c r="R1325" s="1">
        <v>222</v>
      </c>
      <c r="U1325" s="12">
        <f t="shared" si="49"/>
        <v>43922</v>
      </c>
    </row>
    <row r="1326" spans="1:22" x14ac:dyDescent="0.25">
      <c r="A1326" s="2">
        <v>23</v>
      </c>
      <c r="B1326" t="s">
        <v>113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932</v>
      </c>
      <c r="P1326" s="18" t="s">
        <v>935</v>
      </c>
      <c r="Q1326" s="1">
        <f t="shared" si="48"/>
        <v>1</v>
      </c>
      <c r="R1326" s="1">
        <v>222</v>
      </c>
      <c r="U1326" s="12">
        <f t="shared" si="49"/>
        <v>43922</v>
      </c>
    </row>
    <row r="1327" spans="1:22" x14ac:dyDescent="0.25">
      <c r="A1327" s="2">
        <v>23</v>
      </c>
      <c r="B1327" t="s">
        <v>880</v>
      </c>
      <c r="J1327" s="1"/>
      <c r="M1327" t="s">
        <v>15</v>
      </c>
      <c r="N1327" t="str">
        <f>IFERROR(VLOOKUP(B1327,'[1]All Player'!$B$2:$C$1992,2,0),"")</f>
        <v/>
      </c>
      <c r="O1327" s="2" t="s">
        <v>932</v>
      </c>
      <c r="P1327" s="18" t="s">
        <v>880</v>
      </c>
      <c r="Q1327" s="1">
        <f t="shared" si="48"/>
        <v>1</v>
      </c>
      <c r="R1327" s="1">
        <v>223</v>
      </c>
      <c r="U1327" s="12">
        <f t="shared" si="49"/>
        <v>43922</v>
      </c>
    </row>
    <row r="1328" spans="1:22" x14ac:dyDescent="0.25">
      <c r="A1328" s="2">
        <v>23</v>
      </c>
      <c r="B1328" t="s">
        <v>157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932</v>
      </c>
      <c r="P1328" s="18" t="s">
        <v>880</v>
      </c>
      <c r="Q1328" s="1">
        <f t="shared" si="48"/>
        <v>1</v>
      </c>
      <c r="R1328" s="1">
        <v>223</v>
      </c>
      <c r="U1328" s="12">
        <f t="shared" si="49"/>
        <v>43922</v>
      </c>
    </row>
    <row r="1329" spans="1:21" x14ac:dyDescent="0.25">
      <c r="A1329" s="2">
        <v>23</v>
      </c>
      <c r="B1329" t="s">
        <v>149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932</v>
      </c>
      <c r="P1329" s="18" t="s">
        <v>880</v>
      </c>
      <c r="Q1329" s="1">
        <f t="shared" si="48"/>
        <v>1</v>
      </c>
      <c r="R1329" s="1">
        <v>223</v>
      </c>
      <c r="U1329" s="12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932</v>
      </c>
      <c r="P1330" s="18" t="s">
        <v>880</v>
      </c>
      <c r="Q1330" s="1">
        <f t="shared" si="48"/>
        <v>1</v>
      </c>
      <c r="R1330" s="1">
        <v>223</v>
      </c>
      <c r="U1330" s="12">
        <f t="shared" si="49"/>
        <v>43922</v>
      </c>
    </row>
    <row r="1331" spans="1:21" x14ac:dyDescent="0.25">
      <c r="A1331" s="2">
        <v>23</v>
      </c>
      <c r="B1331" t="s">
        <v>127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932</v>
      </c>
      <c r="P1331" s="18" t="s">
        <v>880</v>
      </c>
      <c r="Q1331" s="1">
        <f t="shared" si="48"/>
        <v>1</v>
      </c>
      <c r="R1331" s="1">
        <v>223</v>
      </c>
      <c r="U1331" s="12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932</v>
      </c>
      <c r="P1332" s="18" t="s">
        <v>880</v>
      </c>
      <c r="Q1332" s="1">
        <f t="shared" si="48"/>
        <v>1</v>
      </c>
      <c r="R1332" s="1">
        <v>223</v>
      </c>
      <c r="U1332" s="12">
        <f t="shared" si="49"/>
        <v>43922</v>
      </c>
    </row>
    <row r="1333" spans="1:21" x14ac:dyDescent="0.25">
      <c r="A1333" s="2">
        <v>23</v>
      </c>
      <c r="B1333" t="s">
        <v>936</v>
      </c>
      <c r="J1333" s="1"/>
      <c r="M1333" t="s">
        <v>15</v>
      </c>
      <c r="N1333" t="str">
        <f>IFERROR(VLOOKUP(B1333,'[1]All Player'!$B$2:$C$1992,2,0),"")</f>
        <v/>
      </c>
      <c r="O1333" s="2" t="s">
        <v>932</v>
      </c>
      <c r="P1333" s="18" t="s">
        <v>936</v>
      </c>
      <c r="Q1333" s="1">
        <f t="shared" si="48"/>
        <v>1</v>
      </c>
      <c r="R1333" s="1">
        <v>224</v>
      </c>
      <c r="U1333" s="12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932</v>
      </c>
      <c r="P1334" s="18" t="s">
        <v>936</v>
      </c>
      <c r="Q1334" s="1">
        <f t="shared" si="48"/>
        <v>1</v>
      </c>
      <c r="R1334" s="1">
        <v>224</v>
      </c>
      <c r="U1334" s="12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932</v>
      </c>
      <c r="P1335" s="18" t="s">
        <v>936</v>
      </c>
      <c r="Q1335" s="1">
        <f t="shared" si="48"/>
        <v>1</v>
      </c>
      <c r="R1335" s="1">
        <v>224</v>
      </c>
      <c r="U1335" s="12">
        <f t="shared" si="49"/>
        <v>43922</v>
      </c>
    </row>
    <row r="1336" spans="1:21" x14ac:dyDescent="0.25">
      <c r="A1336" s="2">
        <v>23</v>
      </c>
      <c r="B1336" t="s">
        <v>147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932</v>
      </c>
      <c r="P1336" s="18" t="s">
        <v>936</v>
      </c>
      <c r="Q1336" s="1">
        <f t="shared" si="48"/>
        <v>1</v>
      </c>
      <c r="R1336" s="1">
        <v>224</v>
      </c>
      <c r="U1336" s="12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932</v>
      </c>
      <c r="P1337" s="18" t="s">
        <v>936</v>
      </c>
      <c r="Q1337" s="1">
        <f t="shared" si="48"/>
        <v>1</v>
      </c>
      <c r="R1337" s="1">
        <v>224</v>
      </c>
      <c r="U1337" s="12">
        <f t="shared" si="49"/>
        <v>43922</v>
      </c>
    </row>
    <row r="1338" spans="1:21" x14ac:dyDescent="0.25">
      <c r="A1338" s="2">
        <v>23</v>
      </c>
      <c r="B1338" t="s">
        <v>174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932</v>
      </c>
      <c r="P1338" s="18" t="s">
        <v>936</v>
      </c>
      <c r="Q1338" s="1">
        <f t="shared" si="48"/>
        <v>1</v>
      </c>
      <c r="R1338" s="1">
        <v>224</v>
      </c>
      <c r="U1338" s="12">
        <f t="shared" si="49"/>
        <v>43922</v>
      </c>
    </row>
    <row r="1339" spans="1:21" x14ac:dyDescent="0.25">
      <c r="A1339" s="2">
        <v>23</v>
      </c>
      <c r="B1339" t="s">
        <v>937</v>
      </c>
      <c r="J1339" s="1"/>
      <c r="M1339" t="s">
        <v>15</v>
      </c>
      <c r="N1339" t="str">
        <f>IFERROR(VLOOKUP(B1339,'[1]All Player'!$B$2:$C$1992,2,0),"")</f>
        <v/>
      </c>
      <c r="O1339" s="2" t="s">
        <v>932</v>
      </c>
      <c r="P1339" s="18" t="s">
        <v>937</v>
      </c>
      <c r="Q1339" s="1">
        <f t="shared" si="48"/>
        <v>1</v>
      </c>
      <c r="R1339" s="1">
        <v>225</v>
      </c>
      <c r="U1339" s="12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932</v>
      </c>
      <c r="P1340" s="18" t="s">
        <v>937</v>
      </c>
      <c r="Q1340" s="1">
        <f t="shared" si="48"/>
        <v>1</v>
      </c>
      <c r="R1340" s="1">
        <v>225</v>
      </c>
      <c r="U1340" s="12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932</v>
      </c>
      <c r="P1341" s="18" t="s">
        <v>937</v>
      </c>
      <c r="Q1341" s="1">
        <f t="shared" si="48"/>
        <v>1</v>
      </c>
      <c r="R1341" s="1">
        <v>225</v>
      </c>
      <c r="U1341" s="12">
        <f t="shared" si="49"/>
        <v>43922</v>
      </c>
    </row>
    <row r="1342" spans="1:21" x14ac:dyDescent="0.25">
      <c r="A1342" s="2">
        <v>23</v>
      </c>
      <c r="B1342" t="s">
        <v>153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932</v>
      </c>
      <c r="P1342" s="18" t="s">
        <v>937</v>
      </c>
      <c r="Q1342" s="1">
        <f t="shared" si="48"/>
        <v>1</v>
      </c>
      <c r="R1342" s="1">
        <v>225</v>
      </c>
      <c r="U1342" s="12">
        <f t="shared" si="49"/>
        <v>43922</v>
      </c>
    </row>
    <row r="1343" spans="1:21" x14ac:dyDescent="0.25">
      <c r="A1343" s="2">
        <v>23</v>
      </c>
      <c r="B1343" t="s">
        <v>405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932</v>
      </c>
      <c r="P1343" s="18" t="s">
        <v>937</v>
      </c>
      <c r="Q1343" s="1">
        <f t="shared" si="48"/>
        <v>1</v>
      </c>
      <c r="R1343" s="1">
        <v>225</v>
      </c>
      <c r="U1343" s="12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932</v>
      </c>
      <c r="P1344" s="18" t="s">
        <v>937</v>
      </c>
      <c r="Q1344" s="1">
        <f t="shared" si="48"/>
        <v>1</v>
      </c>
      <c r="R1344" s="1">
        <v>225</v>
      </c>
      <c r="U1344" s="12">
        <f t="shared" si="49"/>
        <v>43922</v>
      </c>
    </row>
    <row r="1345" spans="1:21" x14ac:dyDescent="0.25">
      <c r="A1345" s="2">
        <v>23</v>
      </c>
      <c r="B1345" s="21" t="s">
        <v>938</v>
      </c>
      <c r="J1345" s="1"/>
      <c r="M1345" t="s">
        <v>15</v>
      </c>
      <c r="N1345" t="str">
        <f>IFERROR(VLOOKUP(B1345,'[1]All Player'!$B$2:$C$1992,2,0),"")</f>
        <v/>
      </c>
      <c r="O1345" s="2" t="s">
        <v>932</v>
      </c>
      <c r="P1345" s="18" t="s">
        <v>938</v>
      </c>
      <c r="Q1345" s="1">
        <f t="shared" si="48"/>
        <v>1</v>
      </c>
      <c r="R1345" s="1">
        <v>226</v>
      </c>
      <c r="U1345" s="12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932</v>
      </c>
      <c r="P1346" s="18" t="s">
        <v>938</v>
      </c>
      <c r="Q1346" s="1">
        <f t="shared" ref="Q1346:Q1409" si="50">IF(B1346="","",1)</f>
        <v>1</v>
      </c>
      <c r="R1346" s="1">
        <v>226</v>
      </c>
      <c r="U1346" s="12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932</v>
      </c>
      <c r="P1347" s="18" t="s">
        <v>938</v>
      </c>
      <c r="Q1347" s="1">
        <f t="shared" si="50"/>
        <v>1</v>
      </c>
      <c r="R1347" s="1">
        <v>226</v>
      </c>
      <c r="U1347" s="12">
        <f t="shared" si="49"/>
        <v>43922</v>
      </c>
    </row>
    <row r="1348" spans="1:21" x14ac:dyDescent="0.25">
      <c r="A1348" s="2">
        <v>23</v>
      </c>
      <c r="B1348" t="s">
        <v>133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932</v>
      </c>
      <c r="P1348" s="18" t="s">
        <v>938</v>
      </c>
      <c r="Q1348" s="1">
        <f t="shared" si="50"/>
        <v>1</v>
      </c>
      <c r="R1348" s="1">
        <v>226</v>
      </c>
      <c r="U1348" s="12">
        <f t="shared" si="49"/>
        <v>43922</v>
      </c>
    </row>
    <row r="1349" spans="1:21" x14ac:dyDescent="0.25">
      <c r="A1349" s="2">
        <v>23</v>
      </c>
      <c r="B1349" t="s">
        <v>143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932</v>
      </c>
      <c r="P1349" s="18" t="s">
        <v>938</v>
      </c>
      <c r="Q1349" s="1">
        <f t="shared" si="50"/>
        <v>1</v>
      </c>
      <c r="R1349" s="1">
        <v>226</v>
      </c>
      <c r="U1349" s="12">
        <f t="shared" si="49"/>
        <v>43922</v>
      </c>
    </row>
    <row r="1350" spans="1:21" x14ac:dyDescent="0.25">
      <c r="A1350" s="2">
        <v>23</v>
      </c>
      <c r="B1350" t="s">
        <v>172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932</v>
      </c>
      <c r="P1350" s="18" t="s">
        <v>938</v>
      </c>
      <c r="Q1350" s="1">
        <f t="shared" si="50"/>
        <v>1</v>
      </c>
      <c r="R1350" s="1">
        <v>226</v>
      </c>
      <c r="U1350" s="12">
        <f t="shared" si="49"/>
        <v>43922</v>
      </c>
    </row>
    <row r="1351" spans="1:21" x14ac:dyDescent="0.25">
      <c r="A1351" s="2">
        <v>24</v>
      </c>
      <c r="B1351" t="s">
        <v>939</v>
      </c>
      <c r="J1351" s="1"/>
      <c r="M1351" t="s">
        <v>15</v>
      </c>
      <c r="N1351" t="str">
        <f>IFERROR(VLOOKUP(B1351,'[1]All Player'!$B$2:$C$1992,2,0),"")</f>
        <v/>
      </c>
      <c r="O1351" s="2" t="s">
        <v>494</v>
      </c>
      <c r="P1351" s="18" t="s">
        <v>939</v>
      </c>
      <c r="Q1351" s="1">
        <f t="shared" si="50"/>
        <v>1</v>
      </c>
      <c r="R1351" s="1">
        <v>227</v>
      </c>
      <c r="U1351" s="12">
        <v>43952</v>
      </c>
    </row>
    <row r="1352" spans="1:21" x14ac:dyDescent="0.25">
      <c r="A1352" s="2">
        <v>24</v>
      </c>
      <c r="B1352" t="s">
        <v>125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494</v>
      </c>
      <c r="P1352" s="20" t="s">
        <v>939</v>
      </c>
      <c r="Q1352" s="1">
        <f t="shared" si="50"/>
        <v>1</v>
      </c>
      <c r="R1352" s="1">
        <v>227</v>
      </c>
      <c r="U1352" s="12">
        <f t="shared" ref="U1352:U1415" si="51">U1351</f>
        <v>43952</v>
      </c>
    </row>
    <row r="1353" spans="1:21" x14ac:dyDescent="0.25">
      <c r="A1353" s="2">
        <v>24</v>
      </c>
      <c r="B1353" t="s">
        <v>137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494</v>
      </c>
      <c r="P1353" s="20" t="s">
        <v>939</v>
      </c>
      <c r="Q1353" s="1">
        <f t="shared" si="50"/>
        <v>1</v>
      </c>
      <c r="R1353" s="1">
        <v>227</v>
      </c>
      <c r="U1353" s="12">
        <f t="shared" si="51"/>
        <v>43952</v>
      </c>
    </row>
    <row r="1354" spans="1:21" x14ac:dyDescent="0.25">
      <c r="A1354" s="2">
        <v>24</v>
      </c>
      <c r="B1354" t="s">
        <v>172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494</v>
      </c>
      <c r="P1354" s="20" t="s">
        <v>939</v>
      </c>
      <c r="Q1354" s="1">
        <f t="shared" si="50"/>
        <v>1</v>
      </c>
      <c r="R1354" s="1">
        <v>227</v>
      </c>
      <c r="U1354" s="12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494</v>
      </c>
      <c r="P1355" s="20" t="s">
        <v>939</v>
      </c>
      <c r="Q1355" s="1">
        <f t="shared" si="50"/>
        <v>1</v>
      </c>
      <c r="R1355" s="1">
        <v>227</v>
      </c>
      <c r="U1355" s="12">
        <f t="shared" si="51"/>
        <v>43952</v>
      </c>
    </row>
    <row r="1356" spans="1:21" x14ac:dyDescent="0.25">
      <c r="A1356" s="2">
        <v>24</v>
      </c>
      <c r="B1356" t="s">
        <v>196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494</v>
      </c>
      <c r="P1356" s="20" t="s">
        <v>939</v>
      </c>
      <c r="Q1356" s="1">
        <f t="shared" si="50"/>
        <v>1</v>
      </c>
      <c r="R1356" s="1">
        <v>227</v>
      </c>
      <c r="U1356" s="12">
        <f t="shared" si="51"/>
        <v>43952</v>
      </c>
    </row>
    <row r="1357" spans="1:21" x14ac:dyDescent="0.25">
      <c r="A1357" s="2">
        <v>24</v>
      </c>
      <c r="B1357" t="s">
        <v>506</v>
      </c>
      <c r="J1357" s="1"/>
      <c r="M1357" t="s">
        <v>15</v>
      </c>
      <c r="N1357" t="str">
        <f>IFERROR(VLOOKUP(B1357,'[1]All Player'!$B$2:$C$1992,2,0),"")</f>
        <v/>
      </c>
      <c r="O1357" s="2" t="s">
        <v>494</v>
      </c>
      <c r="P1357" s="20" t="s">
        <v>506</v>
      </c>
      <c r="Q1357" s="1">
        <f t="shared" si="50"/>
        <v>1</v>
      </c>
      <c r="R1357" s="1">
        <v>228</v>
      </c>
      <c r="U1357" s="12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494</v>
      </c>
      <c r="P1358" s="20" t="s">
        <v>506</v>
      </c>
      <c r="Q1358" s="1">
        <f t="shared" si="50"/>
        <v>1</v>
      </c>
      <c r="R1358" s="1">
        <v>228</v>
      </c>
      <c r="U1358" s="12">
        <f t="shared" si="51"/>
        <v>43952</v>
      </c>
    </row>
    <row r="1359" spans="1:21" x14ac:dyDescent="0.25">
      <c r="A1359" s="2">
        <v>24</v>
      </c>
      <c r="B1359" t="s">
        <v>139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494</v>
      </c>
      <c r="P1359" s="20" t="s">
        <v>506</v>
      </c>
      <c r="Q1359" s="1">
        <f t="shared" si="50"/>
        <v>1</v>
      </c>
      <c r="R1359" s="1">
        <v>228</v>
      </c>
      <c r="U1359" s="12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494</v>
      </c>
      <c r="P1360" s="20" t="s">
        <v>506</v>
      </c>
      <c r="Q1360" s="1">
        <f t="shared" si="50"/>
        <v>1</v>
      </c>
      <c r="R1360" s="1">
        <v>228</v>
      </c>
      <c r="U1360" s="12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494</v>
      </c>
      <c r="P1361" s="20" t="s">
        <v>506</v>
      </c>
      <c r="Q1361" s="1">
        <f t="shared" si="50"/>
        <v>1</v>
      </c>
      <c r="R1361" s="1">
        <v>228</v>
      </c>
      <c r="U1361" s="12">
        <f t="shared" si="51"/>
        <v>43952</v>
      </c>
    </row>
    <row r="1362" spans="1:22" x14ac:dyDescent="0.25">
      <c r="A1362" s="2">
        <v>24</v>
      </c>
      <c r="B1362" t="s">
        <v>123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494</v>
      </c>
      <c r="P1362" s="20" t="s">
        <v>506</v>
      </c>
      <c r="Q1362" s="1">
        <f t="shared" si="50"/>
        <v>1</v>
      </c>
      <c r="R1362" s="1">
        <v>228</v>
      </c>
      <c r="U1362" s="12">
        <f t="shared" si="51"/>
        <v>43952</v>
      </c>
    </row>
    <row r="1363" spans="1:22" x14ac:dyDescent="0.25">
      <c r="A1363" s="2">
        <v>24</v>
      </c>
      <c r="B1363" t="s">
        <v>495</v>
      </c>
      <c r="J1363" s="1"/>
      <c r="M1363" t="s">
        <v>15</v>
      </c>
      <c r="N1363" t="str">
        <f>IFERROR(VLOOKUP(B1363,'[1]All Player'!$B$2:$C$1992,2,0),"")</f>
        <v/>
      </c>
      <c r="O1363" s="2" t="s">
        <v>494</v>
      </c>
      <c r="P1363" s="20" t="s">
        <v>495</v>
      </c>
      <c r="Q1363" s="1">
        <f t="shared" si="50"/>
        <v>1</v>
      </c>
      <c r="R1363" s="1">
        <v>229</v>
      </c>
      <c r="T1363" s="1" t="s">
        <v>661</v>
      </c>
      <c r="U1363" s="12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494</v>
      </c>
      <c r="P1364" s="20" t="s">
        <v>495</v>
      </c>
      <c r="Q1364" s="1">
        <f t="shared" si="50"/>
        <v>1</v>
      </c>
      <c r="R1364" s="1">
        <v>229</v>
      </c>
      <c r="T1364" s="1" t="s">
        <v>661</v>
      </c>
      <c r="U1364" s="12">
        <f t="shared" si="51"/>
        <v>43952</v>
      </c>
    </row>
    <row r="1365" spans="1:22" x14ac:dyDescent="0.25">
      <c r="A1365" s="2">
        <v>24</v>
      </c>
      <c r="B1365" t="s">
        <v>663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494</v>
      </c>
      <c r="P1365" s="20" t="s">
        <v>495</v>
      </c>
      <c r="Q1365" s="1">
        <f t="shared" si="50"/>
        <v>1</v>
      </c>
      <c r="R1365" s="1">
        <v>229</v>
      </c>
      <c r="S1365" s="2" t="s">
        <v>660</v>
      </c>
      <c r="T1365" s="1" t="s">
        <v>661</v>
      </c>
      <c r="U1365" s="12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494</v>
      </c>
      <c r="P1366" s="20" t="s">
        <v>495</v>
      </c>
      <c r="Q1366" s="1">
        <f t="shared" si="50"/>
        <v>1</v>
      </c>
      <c r="R1366" s="1">
        <v>229</v>
      </c>
      <c r="T1366" s="1" t="s">
        <v>661</v>
      </c>
      <c r="U1366" s="12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494</v>
      </c>
      <c r="P1367" s="20" t="s">
        <v>495</v>
      </c>
      <c r="Q1367" s="1">
        <f t="shared" si="50"/>
        <v>1</v>
      </c>
      <c r="R1367" s="1">
        <v>229</v>
      </c>
      <c r="T1367" s="1" t="s">
        <v>661</v>
      </c>
      <c r="U1367" s="12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494</v>
      </c>
      <c r="P1368" s="20" t="s">
        <v>495</v>
      </c>
      <c r="Q1368" s="1">
        <f t="shared" si="50"/>
        <v>1</v>
      </c>
      <c r="R1368" s="1">
        <v>229</v>
      </c>
      <c r="T1368" s="1" t="s">
        <v>661</v>
      </c>
      <c r="U1368" s="12">
        <f t="shared" si="51"/>
        <v>43952</v>
      </c>
    </row>
    <row r="1369" spans="1:22" x14ac:dyDescent="0.25">
      <c r="A1369" s="2">
        <v>24</v>
      </c>
      <c r="B1369" t="s">
        <v>546</v>
      </c>
      <c r="J1369" s="1"/>
      <c r="M1369" t="s">
        <v>15</v>
      </c>
      <c r="N1369" t="str">
        <f>IFERROR(VLOOKUP(B1369,'[1]All Player'!$B$2:$C$1992,2,0),"")</f>
        <v/>
      </c>
      <c r="O1369" s="2" t="s">
        <v>494</v>
      </c>
      <c r="P1369" s="20" t="s">
        <v>546</v>
      </c>
      <c r="Q1369" s="1">
        <f t="shared" si="50"/>
        <v>1</v>
      </c>
      <c r="R1369" s="1">
        <v>230</v>
      </c>
      <c r="T1369" s="1" t="s">
        <v>659</v>
      </c>
      <c r="U1369" s="12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494</v>
      </c>
      <c r="P1370" s="20" t="s">
        <v>546</v>
      </c>
      <c r="Q1370" s="1">
        <f t="shared" si="50"/>
        <v>1</v>
      </c>
      <c r="R1370" s="25">
        <v>230</v>
      </c>
      <c r="T1370" s="1" t="s">
        <v>659</v>
      </c>
      <c r="U1370" s="12">
        <f t="shared" si="51"/>
        <v>43952</v>
      </c>
    </row>
    <row r="1371" spans="1:22" x14ac:dyDescent="0.25">
      <c r="A1371" s="2">
        <v>24</v>
      </c>
      <c r="B1371" t="s">
        <v>157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494</v>
      </c>
      <c r="P1371" s="20" t="s">
        <v>546</v>
      </c>
      <c r="Q1371" s="1">
        <f t="shared" si="50"/>
        <v>1</v>
      </c>
      <c r="R1371" s="1">
        <v>230</v>
      </c>
      <c r="T1371" s="1" t="s">
        <v>659</v>
      </c>
      <c r="U1371" s="12">
        <f t="shared" si="51"/>
        <v>43952</v>
      </c>
    </row>
    <row r="1372" spans="1:22" x14ac:dyDescent="0.25">
      <c r="A1372" s="2">
        <v>24</v>
      </c>
      <c r="B1372" t="s">
        <v>113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494</v>
      </c>
      <c r="P1372" s="20" t="s">
        <v>546</v>
      </c>
      <c r="Q1372" s="1">
        <f t="shared" si="50"/>
        <v>1</v>
      </c>
      <c r="R1372" s="1">
        <v>230</v>
      </c>
      <c r="S1372" s="2" t="s">
        <v>662</v>
      </c>
      <c r="T1372" s="1" t="s">
        <v>659</v>
      </c>
      <c r="U1372" s="12">
        <f t="shared" si="51"/>
        <v>43952</v>
      </c>
    </row>
    <row r="1373" spans="1:22" x14ac:dyDescent="0.25">
      <c r="A1373" s="2">
        <v>24</v>
      </c>
      <c r="B1373" t="s">
        <v>168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494</v>
      </c>
      <c r="P1373" s="20" t="s">
        <v>546</v>
      </c>
      <c r="Q1373" s="1">
        <f t="shared" si="50"/>
        <v>1</v>
      </c>
      <c r="R1373" s="1">
        <v>230</v>
      </c>
      <c r="T1373" s="1" t="s">
        <v>659</v>
      </c>
      <c r="U1373" s="12">
        <f t="shared" si="51"/>
        <v>43952</v>
      </c>
    </row>
    <row r="1374" spans="1:22" x14ac:dyDescent="0.25">
      <c r="A1374" s="2">
        <v>24</v>
      </c>
      <c r="B1374" t="s">
        <v>151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494</v>
      </c>
      <c r="P1374" s="20" t="s">
        <v>546</v>
      </c>
      <c r="Q1374" s="1">
        <f t="shared" si="50"/>
        <v>1</v>
      </c>
      <c r="R1374" s="1">
        <v>230</v>
      </c>
      <c r="T1374" s="1" t="s">
        <v>659</v>
      </c>
      <c r="U1374" s="12">
        <f t="shared" si="51"/>
        <v>43952</v>
      </c>
    </row>
    <row r="1375" spans="1:22" x14ac:dyDescent="0.25">
      <c r="A1375" s="2">
        <v>24</v>
      </c>
      <c r="B1375" s="21" t="s">
        <v>940</v>
      </c>
      <c r="J1375" s="1"/>
      <c r="M1375" t="s">
        <v>15</v>
      </c>
      <c r="N1375" t="str">
        <f>IFERROR(VLOOKUP(B1375,'[1]All Player'!$B$2:$C$1992,2,0),"")</f>
        <v/>
      </c>
      <c r="O1375" s="2" t="s">
        <v>494</v>
      </c>
      <c r="P1375" s="20" t="s">
        <v>940</v>
      </c>
      <c r="Q1375" s="1">
        <f t="shared" si="50"/>
        <v>1</v>
      </c>
      <c r="R1375" s="1">
        <v>231</v>
      </c>
      <c r="U1375" s="12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8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494</v>
      </c>
      <c r="P1376" s="20" t="s">
        <v>940</v>
      </c>
      <c r="Q1376" s="1">
        <f t="shared" si="50"/>
        <v>1</v>
      </c>
      <c r="R1376" s="1">
        <v>231</v>
      </c>
      <c r="U1376" s="12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149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494</v>
      </c>
      <c r="P1377" s="20" t="s">
        <v>940</v>
      </c>
      <c r="Q1377" s="1">
        <f t="shared" si="50"/>
        <v>1</v>
      </c>
      <c r="R1377" s="1">
        <v>231</v>
      </c>
      <c r="U1377" s="12">
        <f t="shared" si="51"/>
        <v>43952</v>
      </c>
    </row>
    <row r="1378" spans="1:23" x14ac:dyDescent="0.25">
      <c r="A1378" s="2">
        <v>24</v>
      </c>
      <c r="B1378" t="s">
        <v>153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494</v>
      </c>
      <c r="P1378" s="20" t="s">
        <v>940</v>
      </c>
      <c r="Q1378" s="1">
        <f t="shared" si="50"/>
        <v>1</v>
      </c>
      <c r="R1378" s="1">
        <v>231</v>
      </c>
      <c r="U1378" s="12">
        <f t="shared" si="51"/>
        <v>43952</v>
      </c>
    </row>
    <row r="1379" spans="1:23" x14ac:dyDescent="0.25">
      <c r="A1379" s="2">
        <v>24</v>
      </c>
      <c r="B1379" t="s">
        <v>127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494</v>
      </c>
      <c r="P1379" s="20" t="s">
        <v>940</v>
      </c>
      <c r="Q1379" s="1">
        <f t="shared" si="50"/>
        <v>1</v>
      </c>
      <c r="R1379" s="1">
        <v>231</v>
      </c>
      <c r="U1379" s="12">
        <f t="shared" si="51"/>
        <v>43952</v>
      </c>
    </row>
    <row r="1380" spans="1:23" x14ac:dyDescent="0.25">
      <c r="A1380" s="2">
        <v>24</v>
      </c>
      <c r="B1380" t="s">
        <v>194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494</v>
      </c>
      <c r="P1380" s="20" t="s">
        <v>940</v>
      </c>
      <c r="Q1380" s="1">
        <f t="shared" si="50"/>
        <v>1</v>
      </c>
      <c r="R1380" s="1">
        <v>231</v>
      </c>
      <c r="U1380" s="12">
        <f t="shared" si="51"/>
        <v>43952</v>
      </c>
    </row>
    <row r="1381" spans="1:23" x14ac:dyDescent="0.25">
      <c r="A1381" s="2">
        <v>24</v>
      </c>
      <c r="B1381" s="21" t="s">
        <v>941</v>
      </c>
      <c r="J1381" s="1"/>
      <c r="M1381" t="s">
        <v>15</v>
      </c>
      <c r="N1381" t="str">
        <f>IFERROR(VLOOKUP(B1381,'[1]All Player'!$B$2:$C$1992,2,0),"")</f>
        <v/>
      </c>
      <c r="O1381" s="2" t="s">
        <v>494</v>
      </c>
      <c r="P1381" s="20" t="s">
        <v>941</v>
      </c>
      <c r="Q1381" s="1">
        <f t="shared" si="50"/>
        <v>1</v>
      </c>
      <c r="R1381" s="1">
        <v>232</v>
      </c>
      <c r="U1381" s="12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494</v>
      </c>
      <c r="P1382" s="20" t="s">
        <v>941</v>
      </c>
      <c r="Q1382" s="1">
        <f t="shared" si="50"/>
        <v>1</v>
      </c>
      <c r="R1382" s="1">
        <v>232</v>
      </c>
      <c r="U1382" s="12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494</v>
      </c>
      <c r="P1383" s="20" t="s">
        <v>941</v>
      </c>
      <c r="Q1383" s="1">
        <f t="shared" si="50"/>
        <v>1</v>
      </c>
      <c r="R1383" s="1">
        <v>232</v>
      </c>
      <c r="U1383" s="12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494</v>
      </c>
      <c r="P1384" s="20" t="s">
        <v>941</v>
      </c>
      <c r="Q1384" s="1">
        <f t="shared" si="50"/>
        <v>1</v>
      </c>
      <c r="R1384" s="1">
        <v>232</v>
      </c>
      <c r="U1384" s="12">
        <f t="shared" si="51"/>
        <v>43952</v>
      </c>
    </row>
    <row r="1385" spans="1:23" x14ac:dyDescent="0.25">
      <c r="A1385" s="2">
        <v>24</v>
      </c>
      <c r="B1385" t="s">
        <v>405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494</v>
      </c>
      <c r="P1385" s="20" t="s">
        <v>941</v>
      </c>
      <c r="Q1385" s="1">
        <f t="shared" si="50"/>
        <v>1</v>
      </c>
      <c r="R1385" s="1">
        <v>232</v>
      </c>
      <c r="U1385" s="12">
        <f t="shared" si="51"/>
        <v>43952</v>
      </c>
    </row>
    <row r="1386" spans="1:23" x14ac:dyDescent="0.25">
      <c r="A1386" s="2">
        <v>24</v>
      </c>
      <c r="B1386" t="s">
        <v>129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494</v>
      </c>
      <c r="P1386" s="20" t="s">
        <v>941</v>
      </c>
      <c r="Q1386" s="1">
        <f t="shared" si="50"/>
        <v>1</v>
      </c>
      <c r="R1386" s="1">
        <v>232</v>
      </c>
      <c r="U1386" s="12">
        <f t="shared" si="51"/>
        <v>43952</v>
      </c>
    </row>
    <row r="1387" spans="1:23" x14ac:dyDescent="0.25">
      <c r="A1387" s="2">
        <v>24</v>
      </c>
      <c r="B1387" s="21" t="s">
        <v>942</v>
      </c>
      <c r="J1387" s="1"/>
      <c r="M1387" t="s">
        <v>15</v>
      </c>
      <c r="N1387" t="str">
        <f>IFERROR(VLOOKUP(B1387,'[1]All Player'!$B$2:$C$1992,2,0),"")</f>
        <v/>
      </c>
      <c r="O1387" s="2" t="s">
        <v>494</v>
      </c>
      <c r="P1387" s="20" t="s">
        <v>942</v>
      </c>
      <c r="Q1387" s="1">
        <f t="shared" si="50"/>
        <v>1</v>
      </c>
      <c r="R1387" s="1">
        <v>233</v>
      </c>
      <c r="U1387" s="12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494</v>
      </c>
      <c r="P1388" s="20" t="s">
        <v>942</v>
      </c>
      <c r="Q1388" s="1">
        <f t="shared" si="50"/>
        <v>1</v>
      </c>
      <c r="R1388" s="1">
        <v>233</v>
      </c>
      <c r="U1388" s="12">
        <f t="shared" si="51"/>
        <v>43952</v>
      </c>
    </row>
    <row r="1389" spans="1:23" x14ac:dyDescent="0.25">
      <c r="A1389" s="2">
        <v>24</v>
      </c>
      <c r="B1389" t="s">
        <v>133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494</v>
      </c>
      <c r="P1389" s="20" t="s">
        <v>942</v>
      </c>
      <c r="Q1389" s="1">
        <f t="shared" si="50"/>
        <v>1</v>
      </c>
      <c r="R1389" s="1">
        <v>233</v>
      </c>
      <c r="U1389" s="12">
        <f t="shared" si="51"/>
        <v>43952</v>
      </c>
    </row>
    <row r="1390" spans="1:23" x14ac:dyDescent="0.25">
      <c r="A1390" s="2">
        <v>24</v>
      </c>
      <c r="B1390" t="s">
        <v>141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494</v>
      </c>
      <c r="P1390" s="20" t="s">
        <v>942</v>
      </c>
      <c r="Q1390" s="1">
        <f t="shared" si="50"/>
        <v>1</v>
      </c>
      <c r="R1390" s="1">
        <v>233</v>
      </c>
      <c r="U1390" s="12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494</v>
      </c>
      <c r="P1391" s="20" t="s">
        <v>942</v>
      </c>
      <c r="Q1391" s="1">
        <f t="shared" si="50"/>
        <v>1</v>
      </c>
      <c r="R1391" s="1">
        <v>233</v>
      </c>
      <c r="U1391" s="12">
        <f t="shared" si="51"/>
        <v>43952</v>
      </c>
    </row>
    <row r="1392" spans="1:23" x14ac:dyDescent="0.25">
      <c r="A1392" s="2">
        <v>24</v>
      </c>
      <c r="B1392" t="s">
        <v>121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494</v>
      </c>
      <c r="P1392" s="20" t="s">
        <v>942</v>
      </c>
      <c r="Q1392" s="1">
        <f t="shared" si="50"/>
        <v>1</v>
      </c>
      <c r="R1392" s="1">
        <v>233</v>
      </c>
      <c r="U1392" s="12">
        <f t="shared" si="51"/>
        <v>43952</v>
      </c>
    </row>
    <row r="1393" spans="1:21" x14ac:dyDescent="0.25">
      <c r="A1393" s="2">
        <v>24</v>
      </c>
      <c r="B1393" s="21" t="s">
        <v>943</v>
      </c>
      <c r="J1393" s="1"/>
      <c r="M1393" t="s">
        <v>15</v>
      </c>
      <c r="N1393" t="str">
        <f>IFERROR(VLOOKUP(B1393,'[1]All Player'!$B$2:$C$1992,2,0),"")</f>
        <v/>
      </c>
      <c r="O1393" s="2" t="s">
        <v>494</v>
      </c>
      <c r="P1393" s="20" t="s">
        <v>943</v>
      </c>
      <c r="Q1393" s="1">
        <f t="shared" si="50"/>
        <v>1</v>
      </c>
      <c r="R1393" s="1">
        <v>234</v>
      </c>
      <c r="U1393" s="12">
        <f t="shared" si="51"/>
        <v>43952</v>
      </c>
    </row>
    <row r="1394" spans="1:21" x14ac:dyDescent="0.25">
      <c r="A1394" s="2">
        <v>24</v>
      </c>
      <c r="B1394" t="s">
        <v>145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494</v>
      </c>
      <c r="P1394" s="20" t="s">
        <v>943</v>
      </c>
      <c r="Q1394" s="1">
        <f t="shared" si="50"/>
        <v>1</v>
      </c>
      <c r="R1394" s="1">
        <v>234</v>
      </c>
      <c r="U1394" s="12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494</v>
      </c>
      <c r="P1395" s="20" t="s">
        <v>943</v>
      </c>
      <c r="Q1395" s="1">
        <f t="shared" si="50"/>
        <v>1</v>
      </c>
      <c r="R1395" s="1">
        <v>234</v>
      </c>
      <c r="U1395" s="12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494</v>
      </c>
      <c r="P1396" s="20" t="s">
        <v>943</v>
      </c>
      <c r="Q1396" s="1">
        <f t="shared" si="50"/>
        <v>1</v>
      </c>
      <c r="R1396" s="1">
        <v>234</v>
      </c>
      <c r="U1396" s="12">
        <f t="shared" si="51"/>
        <v>43952</v>
      </c>
    </row>
    <row r="1397" spans="1:21" x14ac:dyDescent="0.25">
      <c r="A1397" s="2">
        <v>24</v>
      </c>
      <c r="B1397" t="s">
        <v>222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494</v>
      </c>
      <c r="P1397" s="20" t="s">
        <v>943</v>
      </c>
      <c r="Q1397" s="1">
        <f t="shared" si="50"/>
        <v>1</v>
      </c>
      <c r="R1397" s="1">
        <v>234</v>
      </c>
      <c r="U1397" s="12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494</v>
      </c>
      <c r="P1398" s="20" t="s">
        <v>943</v>
      </c>
      <c r="Q1398" s="1">
        <f t="shared" si="50"/>
        <v>1</v>
      </c>
      <c r="R1398" s="1">
        <v>234</v>
      </c>
      <c r="U1398" s="12">
        <f t="shared" si="51"/>
        <v>43952</v>
      </c>
    </row>
    <row r="1399" spans="1:21" x14ac:dyDescent="0.25">
      <c r="A1399" s="2">
        <v>24</v>
      </c>
      <c r="B1399" s="21" t="s">
        <v>944</v>
      </c>
      <c r="J1399" s="1"/>
      <c r="M1399" t="s">
        <v>15</v>
      </c>
      <c r="N1399" t="str">
        <f>IFERROR(VLOOKUP(B1399,'[1]All Player'!$B$2:$C$1992,2,0),"")</f>
        <v/>
      </c>
      <c r="O1399" s="2" t="s">
        <v>494</v>
      </c>
      <c r="P1399" s="20" t="s">
        <v>944</v>
      </c>
      <c r="Q1399" s="1">
        <f t="shared" si="50"/>
        <v>1</v>
      </c>
      <c r="R1399" s="1">
        <v>235</v>
      </c>
      <c r="U1399" s="12">
        <f t="shared" si="51"/>
        <v>43952</v>
      </c>
    </row>
    <row r="1400" spans="1:21" x14ac:dyDescent="0.25">
      <c r="A1400" s="2">
        <v>24</v>
      </c>
      <c r="B1400" t="s">
        <v>945</v>
      </c>
      <c r="C1400" s="2">
        <v>6</v>
      </c>
      <c r="D1400" s="2">
        <v>127</v>
      </c>
      <c r="E1400" s="28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494</v>
      </c>
      <c r="P1400" s="20" t="s">
        <v>944</v>
      </c>
      <c r="Q1400" s="1">
        <f t="shared" si="50"/>
        <v>1</v>
      </c>
      <c r="R1400" s="1">
        <v>235</v>
      </c>
      <c r="U1400" s="12">
        <f t="shared" si="51"/>
        <v>43952</v>
      </c>
    </row>
    <row r="1401" spans="1:21" x14ac:dyDescent="0.25">
      <c r="A1401" s="2">
        <v>24</v>
      </c>
      <c r="B1401" t="s">
        <v>115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494</v>
      </c>
      <c r="P1401" s="20" t="s">
        <v>944</v>
      </c>
      <c r="Q1401" s="1">
        <f t="shared" si="50"/>
        <v>1</v>
      </c>
      <c r="R1401" s="1">
        <v>235</v>
      </c>
      <c r="U1401" s="12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494</v>
      </c>
      <c r="P1402" s="20" t="s">
        <v>944</v>
      </c>
      <c r="Q1402" s="1">
        <f t="shared" si="50"/>
        <v>1</v>
      </c>
      <c r="R1402" s="1">
        <v>235</v>
      </c>
      <c r="U1402" s="12">
        <f t="shared" si="51"/>
        <v>43952</v>
      </c>
    </row>
    <row r="1403" spans="1:21" x14ac:dyDescent="0.25">
      <c r="A1403" s="2">
        <v>24</v>
      </c>
      <c r="B1403" t="s">
        <v>155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494</v>
      </c>
      <c r="P1403" s="20" t="s">
        <v>944</v>
      </c>
      <c r="Q1403" s="1">
        <f t="shared" si="50"/>
        <v>1</v>
      </c>
      <c r="R1403" s="1">
        <v>235</v>
      </c>
      <c r="U1403" s="12">
        <f t="shared" si="51"/>
        <v>43952</v>
      </c>
    </row>
    <row r="1404" spans="1:21" x14ac:dyDescent="0.25">
      <c r="A1404" s="2">
        <v>24</v>
      </c>
      <c r="B1404" t="s">
        <v>240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494</v>
      </c>
      <c r="P1404" s="20" t="s">
        <v>944</v>
      </c>
      <c r="Q1404" s="1">
        <f t="shared" si="50"/>
        <v>1</v>
      </c>
      <c r="R1404" s="1">
        <v>235</v>
      </c>
      <c r="U1404" s="12">
        <f t="shared" si="51"/>
        <v>43952</v>
      </c>
    </row>
    <row r="1405" spans="1:21" x14ac:dyDescent="0.25">
      <c r="A1405" s="2">
        <v>24</v>
      </c>
      <c r="B1405" s="21" t="s">
        <v>946</v>
      </c>
      <c r="J1405" s="1"/>
      <c r="M1405" t="s">
        <v>15</v>
      </c>
      <c r="N1405" t="str">
        <f>IFERROR(VLOOKUP(B1405,'[1]All Player'!$B$2:$C$1992,2,0),"")</f>
        <v/>
      </c>
      <c r="O1405" s="2" t="s">
        <v>494</v>
      </c>
      <c r="P1405" s="20" t="s">
        <v>946</v>
      </c>
      <c r="Q1405" s="1">
        <f t="shared" si="50"/>
        <v>1</v>
      </c>
      <c r="R1405" s="1">
        <v>236</v>
      </c>
      <c r="U1405" s="12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494</v>
      </c>
      <c r="P1406" s="20" t="s">
        <v>946</v>
      </c>
      <c r="Q1406" s="1">
        <f t="shared" si="50"/>
        <v>1</v>
      </c>
      <c r="R1406" s="1">
        <v>236</v>
      </c>
      <c r="U1406" s="12">
        <f t="shared" si="51"/>
        <v>43952</v>
      </c>
    </row>
    <row r="1407" spans="1:21" x14ac:dyDescent="0.25">
      <c r="A1407" s="2">
        <v>24</v>
      </c>
      <c r="B1407" t="s">
        <v>131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494</v>
      </c>
      <c r="P1407" s="20" t="s">
        <v>946</v>
      </c>
      <c r="Q1407" s="1">
        <f t="shared" si="50"/>
        <v>1</v>
      </c>
      <c r="R1407" s="1">
        <v>236</v>
      </c>
      <c r="U1407" s="12">
        <f t="shared" si="51"/>
        <v>43952</v>
      </c>
    </row>
    <row r="1408" spans="1:21" x14ac:dyDescent="0.25">
      <c r="A1408" s="2">
        <v>24</v>
      </c>
      <c r="B1408" t="s">
        <v>174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494</v>
      </c>
      <c r="P1408" s="20" t="s">
        <v>946</v>
      </c>
      <c r="Q1408" s="1">
        <f t="shared" si="50"/>
        <v>1</v>
      </c>
      <c r="R1408" s="1">
        <v>236</v>
      </c>
      <c r="U1408" s="12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494</v>
      </c>
      <c r="P1409" s="20" t="s">
        <v>946</v>
      </c>
      <c r="Q1409" s="1">
        <f t="shared" si="50"/>
        <v>1</v>
      </c>
      <c r="R1409" s="1">
        <v>236</v>
      </c>
      <c r="U1409" s="12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494</v>
      </c>
      <c r="P1410" s="20" t="s">
        <v>946</v>
      </c>
      <c r="Q1410" s="1">
        <f t="shared" ref="Q1410:Q1473" si="52">IF(B1410="","",1)</f>
        <v>1</v>
      </c>
      <c r="R1410" s="1">
        <v>236</v>
      </c>
      <c r="U1410" s="12">
        <f t="shared" si="51"/>
        <v>43952</v>
      </c>
    </row>
    <row r="1411" spans="1:21" x14ac:dyDescent="0.25">
      <c r="A1411" s="2">
        <v>24</v>
      </c>
      <c r="B1411" t="s">
        <v>143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494</v>
      </c>
      <c r="P1411" s="20" t="s">
        <v>946</v>
      </c>
      <c r="Q1411" s="1">
        <f t="shared" si="52"/>
        <v>1</v>
      </c>
      <c r="R1411" s="1">
        <v>236</v>
      </c>
      <c r="U1411" s="12">
        <f t="shared" si="51"/>
        <v>43952</v>
      </c>
    </row>
    <row r="1412" spans="1:21" x14ac:dyDescent="0.25">
      <c r="A1412" s="2">
        <v>24</v>
      </c>
      <c r="B1412" s="21" t="s">
        <v>947</v>
      </c>
      <c r="J1412" s="1"/>
      <c r="M1412" t="s">
        <v>15</v>
      </c>
      <c r="N1412" t="str">
        <f>IFERROR(VLOOKUP(B1412,'[1]All Player'!$B$2:$C$1992,2,0),"")</f>
        <v/>
      </c>
      <c r="O1412" s="2" t="s">
        <v>494</v>
      </c>
      <c r="P1412" s="20" t="s">
        <v>947</v>
      </c>
      <c r="Q1412" s="1">
        <f t="shared" si="52"/>
        <v>1</v>
      </c>
      <c r="R1412" s="1">
        <v>237</v>
      </c>
      <c r="U1412" s="12">
        <f t="shared" si="51"/>
        <v>43952</v>
      </c>
    </row>
    <row r="1413" spans="1:21" x14ac:dyDescent="0.25">
      <c r="A1413" s="2">
        <v>24</v>
      </c>
      <c r="B1413" t="s">
        <v>135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494</v>
      </c>
      <c r="P1413" s="20" t="s">
        <v>947</v>
      </c>
      <c r="Q1413" s="1">
        <f t="shared" si="52"/>
        <v>1</v>
      </c>
      <c r="R1413" s="1">
        <v>237</v>
      </c>
      <c r="U1413" s="12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494</v>
      </c>
      <c r="P1414" s="20" t="s">
        <v>947</v>
      </c>
      <c r="Q1414" s="1">
        <f t="shared" si="52"/>
        <v>1</v>
      </c>
      <c r="R1414" s="1">
        <v>237</v>
      </c>
      <c r="U1414" s="12">
        <f t="shared" si="51"/>
        <v>43952</v>
      </c>
    </row>
    <row r="1415" spans="1:21" x14ac:dyDescent="0.25">
      <c r="A1415" s="2">
        <v>24</v>
      </c>
      <c r="B1415" t="s">
        <v>147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494</v>
      </c>
      <c r="P1415" s="20" t="s">
        <v>947</v>
      </c>
      <c r="Q1415" s="1">
        <f t="shared" si="52"/>
        <v>1</v>
      </c>
      <c r="R1415" s="1">
        <v>237</v>
      </c>
      <c r="U1415" s="12">
        <f t="shared" si="51"/>
        <v>43952</v>
      </c>
    </row>
    <row r="1416" spans="1:21" x14ac:dyDescent="0.25">
      <c r="A1416" s="2">
        <v>24</v>
      </c>
      <c r="B1416" t="s">
        <v>119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494</v>
      </c>
      <c r="P1416" s="20" t="s">
        <v>947</v>
      </c>
      <c r="Q1416" s="1">
        <f t="shared" si="52"/>
        <v>1</v>
      </c>
      <c r="R1416" s="1">
        <v>237</v>
      </c>
      <c r="U1416" s="12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494</v>
      </c>
      <c r="P1417" s="20" t="s">
        <v>947</v>
      </c>
      <c r="Q1417" s="1">
        <f t="shared" si="52"/>
        <v>1</v>
      </c>
      <c r="R1417" s="1">
        <v>237</v>
      </c>
      <c r="U1417" s="12">
        <f t="shared" si="53"/>
        <v>43952</v>
      </c>
    </row>
    <row r="1418" spans="1:21" x14ac:dyDescent="0.25">
      <c r="A1418" s="2">
        <v>24</v>
      </c>
      <c r="B1418" s="21" t="s">
        <v>948</v>
      </c>
      <c r="J1418" s="1"/>
      <c r="M1418" t="s">
        <v>15</v>
      </c>
      <c r="N1418" t="str">
        <f>IFERROR(VLOOKUP(B1418,'[1]All Player'!$B$2:$C$1992,2,0),"")</f>
        <v/>
      </c>
      <c r="O1418" s="2" t="s">
        <v>494</v>
      </c>
      <c r="P1418" s="20" t="s">
        <v>948</v>
      </c>
      <c r="Q1418" s="1">
        <f t="shared" si="52"/>
        <v>1</v>
      </c>
      <c r="R1418" s="1">
        <v>238</v>
      </c>
      <c r="U1418" s="12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494</v>
      </c>
      <c r="P1419" s="20" t="s">
        <v>948</v>
      </c>
      <c r="Q1419" s="1">
        <f t="shared" si="52"/>
        <v>1</v>
      </c>
      <c r="R1419" s="1">
        <v>238</v>
      </c>
      <c r="U1419" s="12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494</v>
      </c>
      <c r="P1420" s="20" t="s">
        <v>948</v>
      </c>
      <c r="Q1420" s="1">
        <f t="shared" si="52"/>
        <v>1</v>
      </c>
      <c r="R1420" s="1">
        <v>238</v>
      </c>
      <c r="U1420" s="12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494</v>
      </c>
      <c r="P1421" s="20" t="s">
        <v>948</v>
      </c>
      <c r="Q1421" s="1">
        <f t="shared" si="52"/>
        <v>1</v>
      </c>
      <c r="R1421" s="1">
        <v>238</v>
      </c>
      <c r="U1421" s="12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494</v>
      </c>
      <c r="P1422" s="20" t="s">
        <v>948</v>
      </c>
      <c r="Q1422" s="1">
        <f t="shared" si="52"/>
        <v>1</v>
      </c>
      <c r="R1422" s="1">
        <v>238</v>
      </c>
      <c r="U1422" s="12">
        <f t="shared" si="53"/>
        <v>43952</v>
      </c>
    </row>
    <row r="1423" spans="1:21" x14ac:dyDescent="0.25">
      <c r="A1423" s="2">
        <v>24</v>
      </c>
      <c r="B1423" t="s">
        <v>117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494</v>
      </c>
      <c r="P1423" s="20" t="s">
        <v>948</v>
      </c>
      <c r="Q1423" s="1">
        <f t="shared" si="52"/>
        <v>1</v>
      </c>
      <c r="R1423" s="1">
        <v>238</v>
      </c>
      <c r="U1423" s="12">
        <f t="shared" si="53"/>
        <v>43952</v>
      </c>
    </row>
    <row r="1424" spans="1:21" x14ac:dyDescent="0.25">
      <c r="A1424" s="2">
        <v>25</v>
      </c>
      <c r="B1424" s="21" t="s">
        <v>618</v>
      </c>
      <c r="J1424" s="1"/>
      <c r="M1424" t="s">
        <v>15</v>
      </c>
      <c r="N1424" t="str">
        <f>IFERROR(VLOOKUP(B1424,'[1]All Player'!$B$2:$C$1992,2,0),"")</f>
        <v/>
      </c>
      <c r="O1424" s="2" t="s">
        <v>496</v>
      </c>
      <c r="P1424" s="20" t="s">
        <v>618</v>
      </c>
      <c r="Q1424" s="1">
        <f t="shared" si="52"/>
        <v>1</v>
      </c>
      <c r="R1424" s="1">
        <v>239</v>
      </c>
      <c r="T1424" s="1" t="s">
        <v>659</v>
      </c>
      <c r="U1424" s="12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8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496</v>
      </c>
      <c r="P1425" s="20" t="s">
        <v>618</v>
      </c>
      <c r="Q1425" s="1">
        <f t="shared" si="52"/>
        <v>1</v>
      </c>
      <c r="R1425" s="1">
        <v>239</v>
      </c>
      <c r="S1425" s="2" t="s">
        <v>662</v>
      </c>
      <c r="T1425" s="1" t="s">
        <v>949</v>
      </c>
      <c r="U1425" s="12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496</v>
      </c>
      <c r="P1426" s="20" t="s">
        <v>618</v>
      </c>
      <c r="Q1426" s="1">
        <f t="shared" si="52"/>
        <v>1</v>
      </c>
      <c r="R1426" s="1">
        <v>239</v>
      </c>
      <c r="T1426" s="1" t="s">
        <v>949</v>
      </c>
      <c r="U1426" s="12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117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496</v>
      </c>
      <c r="P1427" s="20" t="s">
        <v>618</v>
      </c>
      <c r="Q1427" s="1">
        <f t="shared" si="52"/>
        <v>1</v>
      </c>
      <c r="R1427" s="1">
        <v>239</v>
      </c>
      <c r="T1427" s="1" t="s">
        <v>949</v>
      </c>
      <c r="U1427" s="12">
        <f t="shared" si="54"/>
        <v>44013</v>
      </c>
    </row>
    <row r="1428" spans="1:23" x14ac:dyDescent="0.25">
      <c r="A1428" s="2">
        <v>25</v>
      </c>
      <c r="B1428" t="s">
        <v>382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496</v>
      </c>
      <c r="P1428" s="20" t="s">
        <v>618</v>
      </c>
      <c r="Q1428" s="1">
        <f t="shared" si="52"/>
        <v>1</v>
      </c>
      <c r="R1428" s="1">
        <v>239</v>
      </c>
      <c r="T1428" s="1" t="s">
        <v>949</v>
      </c>
      <c r="U1428" s="12">
        <f t="shared" si="54"/>
        <v>44013</v>
      </c>
    </row>
    <row r="1429" spans="1:23" x14ac:dyDescent="0.25">
      <c r="A1429" s="2">
        <v>25</v>
      </c>
      <c r="B1429" t="s">
        <v>424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496</v>
      </c>
      <c r="P1429" s="20" t="s">
        <v>618</v>
      </c>
      <c r="Q1429" s="1">
        <f t="shared" si="52"/>
        <v>1</v>
      </c>
      <c r="R1429" s="1">
        <v>239</v>
      </c>
      <c r="T1429" s="1" t="s">
        <v>949</v>
      </c>
      <c r="U1429" s="12">
        <f t="shared" si="54"/>
        <v>44013</v>
      </c>
    </row>
    <row r="1430" spans="1:23" x14ac:dyDescent="0.25">
      <c r="A1430" s="2">
        <v>25</v>
      </c>
      <c r="B1430" t="s">
        <v>518</v>
      </c>
      <c r="J1430" s="1"/>
      <c r="M1430" t="s">
        <v>15</v>
      </c>
      <c r="N1430" t="str">
        <f>IFERROR(VLOOKUP(B1430,'[1]All Player'!$B$2:$C$1992,2,0),"")</f>
        <v/>
      </c>
      <c r="O1430" s="2" t="s">
        <v>496</v>
      </c>
      <c r="P1430" s="20" t="s">
        <v>518</v>
      </c>
      <c r="Q1430" s="1">
        <f t="shared" si="52"/>
        <v>1</v>
      </c>
      <c r="R1430" s="1">
        <v>240</v>
      </c>
      <c r="U1430" s="12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496</v>
      </c>
      <c r="P1431" s="20" t="s">
        <v>518</v>
      </c>
      <c r="Q1431" s="1">
        <f t="shared" si="52"/>
        <v>1</v>
      </c>
      <c r="R1431" s="1">
        <v>240</v>
      </c>
      <c r="U1431" s="12">
        <f t="shared" si="54"/>
        <v>44013</v>
      </c>
    </row>
    <row r="1432" spans="1:23" x14ac:dyDescent="0.25">
      <c r="A1432" s="2">
        <v>25</v>
      </c>
      <c r="B1432" t="s">
        <v>135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496</v>
      </c>
      <c r="P1432" s="20" t="s">
        <v>518</v>
      </c>
      <c r="Q1432" s="1">
        <f t="shared" si="52"/>
        <v>1</v>
      </c>
      <c r="R1432" s="1">
        <v>240</v>
      </c>
      <c r="U1432" s="12">
        <f t="shared" si="54"/>
        <v>44013</v>
      </c>
    </row>
    <row r="1433" spans="1:23" x14ac:dyDescent="0.25">
      <c r="A1433" s="2">
        <v>25</v>
      </c>
      <c r="B1433" t="s">
        <v>141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496</v>
      </c>
      <c r="P1433" s="20" t="s">
        <v>518</v>
      </c>
      <c r="Q1433" s="1">
        <f t="shared" si="52"/>
        <v>1</v>
      </c>
      <c r="R1433" s="1">
        <v>240</v>
      </c>
      <c r="U1433" s="12">
        <f t="shared" si="54"/>
        <v>44013</v>
      </c>
    </row>
    <row r="1434" spans="1:23" x14ac:dyDescent="0.25">
      <c r="A1434" s="2">
        <v>25</v>
      </c>
      <c r="B1434" t="s">
        <v>143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496</v>
      </c>
      <c r="P1434" s="20" t="s">
        <v>518</v>
      </c>
      <c r="Q1434" s="1">
        <f t="shared" si="52"/>
        <v>1</v>
      </c>
      <c r="R1434" s="1">
        <v>240</v>
      </c>
      <c r="U1434" s="12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496</v>
      </c>
      <c r="P1435" s="20" t="s">
        <v>518</v>
      </c>
      <c r="Q1435" s="1">
        <f t="shared" si="52"/>
        <v>1</v>
      </c>
      <c r="R1435" s="1">
        <v>240</v>
      </c>
      <c r="U1435" s="12">
        <f t="shared" si="54"/>
        <v>44013</v>
      </c>
    </row>
    <row r="1436" spans="1:23" x14ac:dyDescent="0.25">
      <c r="A1436" s="2">
        <v>25</v>
      </c>
      <c r="B1436" t="s">
        <v>950</v>
      </c>
      <c r="J1436" s="1"/>
      <c r="M1436" t="s">
        <v>15</v>
      </c>
      <c r="N1436" t="str">
        <f>IFERROR(VLOOKUP(B1436,'[1]All Player'!$B$2:$C$1992,2,0),"")</f>
        <v/>
      </c>
      <c r="O1436" s="2" t="s">
        <v>496</v>
      </c>
      <c r="P1436" s="20" t="s">
        <v>950</v>
      </c>
      <c r="Q1436" s="1">
        <f t="shared" si="52"/>
        <v>1</v>
      </c>
      <c r="R1436" s="1">
        <v>241</v>
      </c>
      <c r="U1436" s="12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496</v>
      </c>
      <c r="P1437" s="20" t="s">
        <v>950</v>
      </c>
      <c r="Q1437" s="1">
        <f t="shared" si="52"/>
        <v>1</v>
      </c>
      <c r="R1437" s="1">
        <v>241</v>
      </c>
      <c r="U1437" s="12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496</v>
      </c>
      <c r="P1438" s="20" t="s">
        <v>950</v>
      </c>
      <c r="Q1438" s="1">
        <f t="shared" si="52"/>
        <v>1</v>
      </c>
      <c r="R1438" s="1">
        <v>241</v>
      </c>
      <c r="U1438" s="12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496</v>
      </c>
      <c r="P1439" s="20" t="s">
        <v>950</v>
      </c>
      <c r="Q1439" s="1">
        <f t="shared" si="52"/>
        <v>1</v>
      </c>
      <c r="R1439" s="1">
        <v>241</v>
      </c>
      <c r="U1439" s="12">
        <f t="shared" si="54"/>
        <v>44013</v>
      </c>
    </row>
    <row r="1440" spans="1:23" x14ac:dyDescent="0.25">
      <c r="A1440" s="2">
        <v>25</v>
      </c>
      <c r="B1440" t="s">
        <v>319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496</v>
      </c>
      <c r="P1440" s="20" t="s">
        <v>950</v>
      </c>
      <c r="Q1440" s="1">
        <f t="shared" si="52"/>
        <v>1</v>
      </c>
      <c r="R1440" s="1">
        <v>241</v>
      </c>
      <c r="U1440" s="12">
        <f t="shared" si="54"/>
        <v>44013</v>
      </c>
    </row>
    <row r="1441" spans="1:21" x14ac:dyDescent="0.25">
      <c r="A1441" s="2">
        <v>25</v>
      </c>
      <c r="B1441" t="s">
        <v>220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496</v>
      </c>
      <c r="P1441" s="20" t="s">
        <v>950</v>
      </c>
      <c r="Q1441" s="1">
        <f t="shared" si="52"/>
        <v>1</v>
      </c>
      <c r="R1441" s="1">
        <v>241</v>
      </c>
      <c r="U1441" s="12">
        <f t="shared" si="54"/>
        <v>44013</v>
      </c>
    </row>
    <row r="1442" spans="1:21" x14ac:dyDescent="0.25">
      <c r="A1442" s="2">
        <v>25</v>
      </c>
      <c r="B1442" t="s">
        <v>619</v>
      </c>
      <c r="J1442" s="1"/>
      <c r="M1442" t="s">
        <v>15</v>
      </c>
      <c r="N1442" t="str">
        <f>IFERROR(VLOOKUP(B1442,'[1]All Player'!$B$2:$C$1992,2,0),"")</f>
        <v/>
      </c>
      <c r="O1442" s="2" t="s">
        <v>496</v>
      </c>
      <c r="P1442" s="20" t="s">
        <v>619</v>
      </c>
      <c r="Q1442" s="1">
        <f t="shared" si="52"/>
        <v>1</v>
      </c>
      <c r="R1442" s="1">
        <v>242</v>
      </c>
      <c r="U1442" s="12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496</v>
      </c>
      <c r="P1443" s="20" t="s">
        <v>619</v>
      </c>
      <c r="Q1443" s="1">
        <f t="shared" si="52"/>
        <v>1</v>
      </c>
      <c r="R1443" s="1">
        <v>242</v>
      </c>
      <c r="U1443" s="12">
        <f t="shared" si="54"/>
        <v>44013</v>
      </c>
    </row>
    <row r="1444" spans="1:21" x14ac:dyDescent="0.25">
      <c r="A1444" s="2">
        <v>25</v>
      </c>
      <c r="B1444" t="s">
        <v>149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496</v>
      </c>
      <c r="P1444" s="20" t="s">
        <v>619</v>
      </c>
      <c r="Q1444" s="1">
        <f t="shared" si="52"/>
        <v>1</v>
      </c>
      <c r="R1444" s="1">
        <v>242</v>
      </c>
      <c r="U1444" s="12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496</v>
      </c>
      <c r="P1445" s="20" t="s">
        <v>619</v>
      </c>
      <c r="Q1445" s="1">
        <f t="shared" si="52"/>
        <v>1</v>
      </c>
      <c r="R1445" s="1">
        <v>242</v>
      </c>
      <c r="U1445" s="12">
        <f t="shared" si="54"/>
        <v>44013</v>
      </c>
    </row>
    <row r="1446" spans="1:21" x14ac:dyDescent="0.25">
      <c r="A1446" s="2">
        <v>25</v>
      </c>
      <c r="B1446" t="s">
        <v>182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496</v>
      </c>
      <c r="P1446" s="20" t="s">
        <v>619</v>
      </c>
      <c r="Q1446" s="1">
        <f t="shared" si="52"/>
        <v>1</v>
      </c>
      <c r="R1446" s="1">
        <v>242</v>
      </c>
      <c r="U1446" s="12">
        <f t="shared" si="54"/>
        <v>44013</v>
      </c>
    </row>
    <row r="1447" spans="1:21" x14ac:dyDescent="0.25">
      <c r="A1447" s="2">
        <v>25</v>
      </c>
      <c r="B1447" t="s">
        <v>426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496</v>
      </c>
      <c r="P1447" s="20" t="s">
        <v>619</v>
      </c>
      <c r="Q1447" s="1">
        <f t="shared" si="52"/>
        <v>1</v>
      </c>
      <c r="R1447" s="1">
        <v>242</v>
      </c>
      <c r="U1447" s="12">
        <f t="shared" si="54"/>
        <v>44013</v>
      </c>
    </row>
    <row r="1448" spans="1:21" x14ac:dyDescent="0.25">
      <c r="A1448" s="2">
        <v>25</v>
      </c>
      <c r="B1448" t="s">
        <v>194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496</v>
      </c>
      <c r="P1448" s="20" t="s">
        <v>619</v>
      </c>
      <c r="Q1448" s="1">
        <f t="shared" si="52"/>
        <v>1</v>
      </c>
      <c r="R1448" s="1">
        <v>242</v>
      </c>
      <c r="U1448" s="12">
        <f t="shared" si="54"/>
        <v>44013</v>
      </c>
    </row>
    <row r="1449" spans="1:21" x14ac:dyDescent="0.25">
      <c r="A1449" s="2">
        <v>25</v>
      </c>
      <c r="B1449" t="s">
        <v>620</v>
      </c>
      <c r="J1449" s="1"/>
      <c r="M1449" t="s">
        <v>15</v>
      </c>
      <c r="N1449" t="str">
        <f>IFERROR(VLOOKUP(B1449,'[1]All Player'!$B$2:$C$1992,2,0),"")</f>
        <v/>
      </c>
      <c r="O1449" s="2" t="s">
        <v>496</v>
      </c>
      <c r="P1449" s="20" t="s">
        <v>620</v>
      </c>
      <c r="Q1449" s="1">
        <f t="shared" si="52"/>
        <v>1</v>
      </c>
      <c r="R1449" s="1">
        <v>243</v>
      </c>
      <c r="U1449" s="12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496</v>
      </c>
      <c r="P1450" s="20" t="s">
        <v>620</v>
      </c>
      <c r="Q1450" s="1">
        <f t="shared" si="52"/>
        <v>1</v>
      </c>
      <c r="R1450" s="1">
        <v>243</v>
      </c>
      <c r="U1450" s="12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496</v>
      </c>
      <c r="P1451" s="20" t="s">
        <v>620</v>
      </c>
      <c r="Q1451" s="1">
        <f t="shared" si="52"/>
        <v>1</v>
      </c>
      <c r="R1451" s="1">
        <v>243</v>
      </c>
      <c r="U1451" s="12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496</v>
      </c>
      <c r="P1452" s="20" t="s">
        <v>620</v>
      </c>
      <c r="Q1452" s="1">
        <f t="shared" si="52"/>
        <v>1</v>
      </c>
      <c r="R1452" s="1">
        <v>243</v>
      </c>
      <c r="U1452" s="12">
        <f t="shared" si="54"/>
        <v>44013</v>
      </c>
    </row>
    <row r="1453" spans="1:21" x14ac:dyDescent="0.25">
      <c r="A1453" s="2">
        <v>25</v>
      </c>
      <c r="B1453" t="s">
        <v>354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496</v>
      </c>
      <c r="P1453" s="20" t="s">
        <v>620</v>
      </c>
      <c r="Q1453" s="1">
        <f t="shared" si="52"/>
        <v>1</v>
      </c>
      <c r="R1453" s="1">
        <v>243</v>
      </c>
      <c r="U1453" s="12">
        <f t="shared" si="54"/>
        <v>44013</v>
      </c>
    </row>
    <row r="1454" spans="1:21" x14ac:dyDescent="0.25">
      <c r="A1454" s="2">
        <v>25</v>
      </c>
      <c r="B1454" t="s">
        <v>428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496</v>
      </c>
      <c r="P1454" s="20" t="s">
        <v>620</v>
      </c>
      <c r="Q1454" s="1">
        <f t="shared" si="52"/>
        <v>1</v>
      </c>
      <c r="R1454" s="1">
        <v>243</v>
      </c>
      <c r="U1454" s="12">
        <f t="shared" si="54"/>
        <v>44013</v>
      </c>
    </row>
    <row r="1455" spans="1:21" x14ac:dyDescent="0.25">
      <c r="A1455" s="2">
        <v>25</v>
      </c>
      <c r="B1455" t="s">
        <v>621</v>
      </c>
      <c r="J1455" s="1"/>
      <c r="M1455" t="s">
        <v>15</v>
      </c>
      <c r="N1455" t="str">
        <f>IFERROR(VLOOKUP(B1455,'[1]All Player'!$B$2:$C$1992,2,0),"")</f>
        <v/>
      </c>
      <c r="O1455" s="2" t="s">
        <v>496</v>
      </c>
      <c r="P1455" s="20" t="s">
        <v>621</v>
      </c>
      <c r="Q1455" s="1">
        <f t="shared" si="52"/>
        <v>1</v>
      </c>
      <c r="R1455" s="1">
        <v>244</v>
      </c>
      <c r="U1455" s="12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496</v>
      </c>
      <c r="P1456" s="20" t="s">
        <v>621</v>
      </c>
      <c r="Q1456" s="1">
        <f t="shared" si="52"/>
        <v>1</v>
      </c>
      <c r="R1456" s="1">
        <v>244</v>
      </c>
      <c r="U1456" s="12">
        <f t="shared" si="54"/>
        <v>44013</v>
      </c>
    </row>
    <row r="1457" spans="1:21" x14ac:dyDescent="0.25">
      <c r="A1457" s="2">
        <v>25</v>
      </c>
      <c r="B1457" t="s">
        <v>131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496</v>
      </c>
      <c r="P1457" s="20" t="s">
        <v>621</v>
      </c>
      <c r="Q1457" s="1">
        <f t="shared" si="52"/>
        <v>1</v>
      </c>
      <c r="R1457" s="1">
        <v>244</v>
      </c>
      <c r="U1457" s="12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496</v>
      </c>
      <c r="P1458" s="20" t="s">
        <v>621</v>
      </c>
      <c r="Q1458" s="1">
        <f t="shared" si="52"/>
        <v>1</v>
      </c>
      <c r="R1458" s="1">
        <v>244</v>
      </c>
      <c r="U1458" s="12">
        <f t="shared" si="54"/>
        <v>44013</v>
      </c>
    </row>
    <row r="1459" spans="1:21" x14ac:dyDescent="0.25">
      <c r="A1459" s="2">
        <v>25</v>
      </c>
      <c r="B1459" t="s">
        <v>174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496</v>
      </c>
      <c r="P1459" s="20" t="s">
        <v>621</v>
      </c>
      <c r="Q1459" s="1">
        <f t="shared" si="52"/>
        <v>1</v>
      </c>
      <c r="R1459" s="1">
        <v>244</v>
      </c>
      <c r="U1459" s="12">
        <f t="shared" si="54"/>
        <v>44013</v>
      </c>
    </row>
    <row r="1460" spans="1:21" x14ac:dyDescent="0.25">
      <c r="A1460" s="2">
        <v>25</v>
      </c>
      <c r="B1460" t="s">
        <v>430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496</v>
      </c>
      <c r="P1460" s="20" t="s">
        <v>621</v>
      </c>
      <c r="Q1460" s="1">
        <f t="shared" si="52"/>
        <v>1</v>
      </c>
      <c r="R1460" s="1">
        <v>244</v>
      </c>
      <c r="U1460" s="12">
        <f t="shared" si="54"/>
        <v>44013</v>
      </c>
    </row>
    <row r="1461" spans="1:21" x14ac:dyDescent="0.25">
      <c r="A1461" s="2">
        <v>25</v>
      </c>
      <c r="B1461" t="s">
        <v>623</v>
      </c>
      <c r="J1461" s="1"/>
      <c r="M1461" t="s">
        <v>15</v>
      </c>
      <c r="N1461" t="str">
        <f>IFERROR(VLOOKUP(B1461,'[1]All Player'!$B$2:$C$1992,2,0),"")</f>
        <v/>
      </c>
      <c r="O1461" s="2" t="s">
        <v>496</v>
      </c>
      <c r="P1461" s="18" t="s">
        <v>623</v>
      </c>
      <c r="Q1461" s="1">
        <f t="shared" si="52"/>
        <v>1</v>
      </c>
      <c r="R1461" s="1">
        <v>245</v>
      </c>
      <c r="U1461" s="12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496</v>
      </c>
      <c r="P1462" s="18" t="s">
        <v>623</v>
      </c>
      <c r="Q1462" s="1">
        <f t="shared" si="52"/>
        <v>1</v>
      </c>
      <c r="R1462" s="1">
        <v>245</v>
      </c>
      <c r="U1462" s="12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496</v>
      </c>
      <c r="P1463" s="18" t="s">
        <v>623</v>
      </c>
      <c r="Q1463" s="1">
        <f t="shared" si="52"/>
        <v>1</v>
      </c>
      <c r="R1463" s="1">
        <v>245</v>
      </c>
      <c r="U1463" s="12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496</v>
      </c>
      <c r="P1464" s="18" t="s">
        <v>623</v>
      </c>
      <c r="Q1464" s="1">
        <f t="shared" si="52"/>
        <v>1</v>
      </c>
      <c r="R1464" s="1">
        <v>245</v>
      </c>
      <c r="U1464" s="12">
        <f t="shared" si="54"/>
        <v>44013</v>
      </c>
    </row>
    <row r="1465" spans="1:21" x14ac:dyDescent="0.25">
      <c r="A1465" s="2">
        <v>25</v>
      </c>
      <c r="B1465" t="s">
        <v>155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496</v>
      </c>
      <c r="P1465" s="18" t="s">
        <v>623</v>
      </c>
      <c r="Q1465" s="1">
        <f t="shared" si="52"/>
        <v>1</v>
      </c>
      <c r="R1465" s="1">
        <v>245</v>
      </c>
      <c r="U1465" s="12">
        <f t="shared" si="54"/>
        <v>44013</v>
      </c>
    </row>
    <row r="1466" spans="1:21" x14ac:dyDescent="0.25">
      <c r="A1466" s="2">
        <v>25</v>
      </c>
      <c r="B1466" t="s">
        <v>434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496</v>
      </c>
      <c r="P1466" s="18" t="s">
        <v>623</v>
      </c>
      <c r="Q1466" s="1">
        <f t="shared" si="52"/>
        <v>1</v>
      </c>
      <c r="R1466" s="1">
        <v>245</v>
      </c>
      <c r="U1466" s="12">
        <f t="shared" si="54"/>
        <v>44013</v>
      </c>
    </row>
    <row r="1467" spans="1:21" x14ac:dyDescent="0.25">
      <c r="A1467" s="2">
        <v>25</v>
      </c>
      <c r="B1467" t="s">
        <v>550</v>
      </c>
      <c r="J1467" s="1"/>
      <c r="M1467" t="s">
        <v>15</v>
      </c>
      <c r="N1467" t="str">
        <f>IFERROR(VLOOKUP(B1467,'[1]All Player'!$B$2:$C$1992,2,0),"")</f>
        <v/>
      </c>
      <c r="O1467" s="2" t="s">
        <v>496</v>
      </c>
      <c r="P1467" s="18" t="s">
        <v>550</v>
      </c>
      <c r="Q1467" s="1">
        <f t="shared" si="52"/>
        <v>1</v>
      </c>
      <c r="R1467" s="1">
        <v>246</v>
      </c>
      <c r="U1467" s="12">
        <f t="shared" si="54"/>
        <v>44013</v>
      </c>
    </row>
    <row r="1468" spans="1:21" x14ac:dyDescent="0.25">
      <c r="A1468" s="2">
        <v>25</v>
      </c>
      <c r="B1468" t="s">
        <v>139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496</v>
      </c>
      <c r="P1468" s="18" t="s">
        <v>550</v>
      </c>
      <c r="Q1468" s="1">
        <f t="shared" si="52"/>
        <v>1</v>
      </c>
      <c r="R1468" s="1">
        <v>246</v>
      </c>
      <c r="U1468" s="12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496</v>
      </c>
      <c r="P1469" s="18" t="s">
        <v>550</v>
      </c>
      <c r="Q1469" s="1">
        <f t="shared" si="52"/>
        <v>1</v>
      </c>
      <c r="R1469" s="1">
        <v>246</v>
      </c>
      <c r="U1469" s="12">
        <f t="shared" si="54"/>
        <v>44013</v>
      </c>
    </row>
    <row r="1470" spans="1:21" x14ac:dyDescent="0.25">
      <c r="A1470" s="2">
        <v>25</v>
      </c>
      <c r="B1470" t="s">
        <v>127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496</v>
      </c>
      <c r="P1470" s="18" t="s">
        <v>550</v>
      </c>
      <c r="Q1470" s="1">
        <f t="shared" si="52"/>
        <v>1</v>
      </c>
      <c r="R1470" s="1">
        <v>246</v>
      </c>
      <c r="U1470" s="12">
        <f t="shared" si="54"/>
        <v>44013</v>
      </c>
    </row>
    <row r="1471" spans="1:21" x14ac:dyDescent="0.25">
      <c r="A1471" s="2">
        <v>25</v>
      </c>
      <c r="B1471" t="s">
        <v>151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496</v>
      </c>
      <c r="P1471" s="18" t="s">
        <v>550</v>
      </c>
      <c r="Q1471" s="1">
        <f t="shared" si="52"/>
        <v>1</v>
      </c>
      <c r="R1471" s="1">
        <v>246</v>
      </c>
      <c r="U1471" s="12">
        <f t="shared" si="54"/>
        <v>44013</v>
      </c>
    </row>
    <row r="1472" spans="1:21" x14ac:dyDescent="0.25">
      <c r="A1472" s="2">
        <v>25</v>
      </c>
      <c r="B1472" t="s">
        <v>951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496</v>
      </c>
      <c r="P1472" s="18" t="s">
        <v>550</v>
      </c>
      <c r="Q1472" s="1">
        <f t="shared" si="52"/>
        <v>1</v>
      </c>
      <c r="R1472" s="1">
        <v>246</v>
      </c>
      <c r="U1472" s="12">
        <f t="shared" si="54"/>
        <v>44013</v>
      </c>
    </row>
    <row r="1473" spans="1:21" x14ac:dyDescent="0.25">
      <c r="A1473" s="2">
        <v>25</v>
      </c>
      <c r="B1473" t="s">
        <v>526</v>
      </c>
      <c r="F1473" s="2" t="s">
        <v>952</v>
      </c>
      <c r="J1473" s="1"/>
      <c r="M1473" t="s">
        <v>15</v>
      </c>
      <c r="N1473" t="str">
        <f>IFERROR(VLOOKUP(B1473,'[1]All Player'!$B$2:$C$1992,2,0),"")</f>
        <v/>
      </c>
      <c r="O1473" s="2" t="s">
        <v>496</v>
      </c>
      <c r="P1473" s="18" t="s">
        <v>526</v>
      </c>
      <c r="Q1473" s="1">
        <f t="shared" si="52"/>
        <v>1</v>
      </c>
      <c r="R1473" s="1">
        <v>247</v>
      </c>
      <c r="T1473" s="2" t="s">
        <v>661</v>
      </c>
      <c r="U1473" s="19">
        <f t="shared" si="54"/>
        <v>44013</v>
      </c>
    </row>
    <row r="1474" spans="1:21" x14ac:dyDescent="0.25">
      <c r="A1474" s="2">
        <v>25</v>
      </c>
      <c r="B1474" t="s">
        <v>115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496</v>
      </c>
      <c r="P1474" s="18" t="s">
        <v>526</v>
      </c>
      <c r="Q1474" s="1">
        <f t="shared" ref="Q1474:Q1537" si="55">IF(B1474="","",1)</f>
        <v>1</v>
      </c>
      <c r="R1474" s="1">
        <v>247</v>
      </c>
      <c r="T1474" s="2" t="s">
        <v>661</v>
      </c>
      <c r="U1474" s="19">
        <f t="shared" si="54"/>
        <v>44013</v>
      </c>
    </row>
    <row r="1475" spans="1:21" x14ac:dyDescent="0.25">
      <c r="A1475" s="2">
        <v>25</v>
      </c>
      <c r="B1475" t="s">
        <v>147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496</v>
      </c>
      <c r="P1475" s="18" t="s">
        <v>526</v>
      </c>
      <c r="Q1475" s="1">
        <f t="shared" si="55"/>
        <v>1</v>
      </c>
      <c r="R1475" s="1">
        <v>247</v>
      </c>
      <c r="T1475" s="2" t="s">
        <v>661</v>
      </c>
      <c r="U1475" s="19">
        <f t="shared" si="54"/>
        <v>44013</v>
      </c>
    </row>
    <row r="1476" spans="1:21" x14ac:dyDescent="0.25">
      <c r="A1476" s="2">
        <v>25</v>
      </c>
      <c r="B1476" t="s">
        <v>121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496</v>
      </c>
      <c r="P1476" s="18" t="s">
        <v>526</v>
      </c>
      <c r="Q1476" s="1">
        <f t="shared" si="55"/>
        <v>1</v>
      </c>
      <c r="R1476" s="1">
        <v>247</v>
      </c>
      <c r="T1476" s="2" t="s">
        <v>661</v>
      </c>
      <c r="U1476" s="19">
        <f t="shared" si="54"/>
        <v>44013</v>
      </c>
    </row>
    <row r="1477" spans="1:21" x14ac:dyDescent="0.25">
      <c r="A1477" s="2">
        <v>25</v>
      </c>
      <c r="B1477" t="s">
        <v>109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496</v>
      </c>
      <c r="P1477" s="18" t="s">
        <v>526</v>
      </c>
      <c r="Q1477" s="1">
        <f t="shared" si="55"/>
        <v>1</v>
      </c>
      <c r="R1477" s="1">
        <v>247</v>
      </c>
      <c r="S1477" s="2" t="s">
        <v>660</v>
      </c>
      <c r="T1477" s="2" t="s">
        <v>661</v>
      </c>
      <c r="U1477" s="19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496</v>
      </c>
      <c r="P1478" s="18" t="s">
        <v>526</v>
      </c>
      <c r="Q1478" s="1">
        <f t="shared" si="55"/>
        <v>1</v>
      </c>
      <c r="R1478" s="1">
        <v>247</v>
      </c>
      <c r="T1478" s="2" t="s">
        <v>661</v>
      </c>
      <c r="U1478" s="19">
        <f t="shared" si="54"/>
        <v>44013</v>
      </c>
    </row>
    <row r="1479" spans="1:21" x14ac:dyDescent="0.25">
      <c r="A1479" s="2">
        <v>25</v>
      </c>
      <c r="B1479" t="s">
        <v>622</v>
      </c>
      <c r="J1479" s="1"/>
      <c r="M1479" t="s">
        <v>15</v>
      </c>
      <c r="N1479" t="str">
        <f>IFERROR(VLOOKUP(B1479,'[1]All Player'!$B$2:$C$1992,2,0),"")</f>
        <v/>
      </c>
      <c r="O1479" s="2" t="s">
        <v>496</v>
      </c>
      <c r="P1479" s="18" t="s">
        <v>622</v>
      </c>
      <c r="Q1479" s="1">
        <f t="shared" si="55"/>
        <v>1</v>
      </c>
      <c r="R1479" s="1">
        <v>248</v>
      </c>
      <c r="U1479" s="12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496</v>
      </c>
      <c r="P1480" s="18" t="s">
        <v>622</v>
      </c>
      <c r="Q1480" s="1">
        <f t="shared" si="55"/>
        <v>1</v>
      </c>
      <c r="R1480" s="1">
        <v>248</v>
      </c>
      <c r="U1480" s="12">
        <f t="shared" si="54"/>
        <v>44013</v>
      </c>
    </row>
    <row r="1481" spans="1:21" x14ac:dyDescent="0.25">
      <c r="A1481" s="2">
        <v>25</v>
      </c>
      <c r="B1481" t="s">
        <v>137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496</v>
      </c>
      <c r="P1481" s="18" t="s">
        <v>622</v>
      </c>
      <c r="Q1481" s="1">
        <f t="shared" si="55"/>
        <v>1</v>
      </c>
      <c r="R1481" s="1">
        <v>248</v>
      </c>
      <c r="U1481" s="12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496</v>
      </c>
      <c r="P1482" s="18" t="s">
        <v>622</v>
      </c>
      <c r="Q1482" s="1">
        <f t="shared" si="55"/>
        <v>1</v>
      </c>
      <c r="R1482" s="1">
        <v>248</v>
      </c>
      <c r="U1482" s="12">
        <f t="shared" si="54"/>
        <v>44013</v>
      </c>
    </row>
    <row r="1483" spans="1:21" x14ac:dyDescent="0.25">
      <c r="A1483" s="2">
        <v>25</v>
      </c>
      <c r="B1483" t="s">
        <v>953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496</v>
      </c>
      <c r="P1483" s="18" t="s">
        <v>622</v>
      </c>
      <c r="Q1483" s="1">
        <f t="shared" si="55"/>
        <v>1</v>
      </c>
      <c r="R1483" s="1">
        <v>248</v>
      </c>
      <c r="U1483" s="12">
        <f t="shared" si="54"/>
        <v>44013</v>
      </c>
    </row>
    <row r="1484" spans="1:21" x14ac:dyDescent="0.25">
      <c r="A1484" s="2">
        <v>25</v>
      </c>
      <c r="B1484" t="s">
        <v>432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496</v>
      </c>
      <c r="P1484" s="18" t="s">
        <v>622</v>
      </c>
      <c r="Q1484" s="1">
        <f t="shared" si="55"/>
        <v>1</v>
      </c>
      <c r="R1484" s="1">
        <v>248</v>
      </c>
      <c r="U1484" s="12">
        <f t="shared" si="54"/>
        <v>44013</v>
      </c>
    </row>
    <row r="1485" spans="1:21" x14ac:dyDescent="0.25">
      <c r="A1485" s="2">
        <v>25</v>
      </c>
      <c r="B1485" t="s">
        <v>497</v>
      </c>
      <c r="J1485" s="1"/>
      <c r="M1485" t="s">
        <v>15</v>
      </c>
      <c r="N1485" t="str">
        <f>IFERROR(VLOOKUP(B1485,'[1]All Player'!$B$2:$C$1992,2,0),"")</f>
        <v/>
      </c>
      <c r="O1485" s="2" t="s">
        <v>496</v>
      </c>
      <c r="P1485" s="18" t="s">
        <v>497</v>
      </c>
      <c r="Q1485" s="1">
        <f t="shared" si="55"/>
        <v>1</v>
      </c>
      <c r="R1485" s="1">
        <v>249</v>
      </c>
      <c r="U1485" s="12">
        <f t="shared" si="54"/>
        <v>44013</v>
      </c>
    </row>
    <row r="1486" spans="1:21" x14ac:dyDescent="0.25">
      <c r="A1486" s="2">
        <v>25</v>
      </c>
      <c r="B1486" t="s">
        <v>113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496</v>
      </c>
      <c r="P1486" s="18" t="s">
        <v>497</v>
      </c>
      <c r="Q1486" s="1">
        <f t="shared" si="55"/>
        <v>1</v>
      </c>
      <c r="R1486" s="1">
        <v>249</v>
      </c>
      <c r="U1486" s="12">
        <f t="shared" si="54"/>
        <v>44013</v>
      </c>
    </row>
    <row r="1487" spans="1:21" x14ac:dyDescent="0.25">
      <c r="A1487" s="2">
        <v>25</v>
      </c>
      <c r="B1487" t="s">
        <v>157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496</v>
      </c>
      <c r="P1487" s="18" t="s">
        <v>497</v>
      </c>
      <c r="Q1487" s="1">
        <f t="shared" si="55"/>
        <v>1</v>
      </c>
      <c r="R1487" s="1">
        <v>249</v>
      </c>
      <c r="U1487" s="12">
        <f t="shared" si="54"/>
        <v>44013</v>
      </c>
    </row>
    <row r="1488" spans="1:21" x14ac:dyDescent="0.25">
      <c r="A1488" s="2">
        <v>25</v>
      </c>
      <c r="B1488" t="s">
        <v>125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496</v>
      </c>
      <c r="P1488" s="18" t="s">
        <v>497</v>
      </c>
      <c r="Q1488" s="1">
        <f t="shared" si="55"/>
        <v>1</v>
      </c>
      <c r="R1488" s="1">
        <v>249</v>
      </c>
      <c r="U1488" s="12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496</v>
      </c>
      <c r="P1489" s="18" t="s">
        <v>497</v>
      </c>
      <c r="Q1489" s="1">
        <f t="shared" si="55"/>
        <v>1</v>
      </c>
      <c r="R1489" s="1">
        <v>249</v>
      </c>
      <c r="U1489" s="12">
        <f t="shared" ref="U1489:U1508" si="56">U1488</f>
        <v>44013</v>
      </c>
    </row>
    <row r="1490" spans="1:21" x14ac:dyDescent="0.25">
      <c r="A1490" s="2">
        <v>25</v>
      </c>
      <c r="B1490" t="s">
        <v>111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496</v>
      </c>
      <c r="P1490" s="18" t="s">
        <v>497</v>
      </c>
      <c r="Q1490" s="1">
        <f t="shared" si="55"/>
        <v>1</v>
      </c>
      <c r="R1490" s="1">
        <v>249</v>
      </c>
      <c r="U1490" s="12">
        <f t="shared" si="56"/>
        <v>44013</v>
      </c>
    </row>
    <row r="1491" spans="1:21" x14ac:dyDescent="0.25">
      <c r="A1491" s="2">
        <v>25</v>
      </c>
      <c r="B1491" t="s">
        <v>519</v>
      </c>
      <c r="J1491" s="1"/>
      <c r="M1491" t="s">
        <v>15</v>
      </c>
      <c r="N1491" t="str">
        <f>IFERROR(VLOOKUP(B1491,'[1]All Player'!$B$2:$C$1992,2,0),"")</f>
        <v/>
      </c>
      <c r="O1491" s="2" t="s">
        <v>496</v>
      </c>
      <c r="P1491" s="18" t="s">
        <v>519</v>
      </c>
      <c r="Q1491" s="1">
        <f t="shared" si="55"/>
        <v>1</v>
      </c>
      <c r="R1491" s="1">
        <v>250</v>
      </c>
      <c r="U1491" s="12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496</v>
      </c>
      <c r="P1492" s="18" t="s">
        <v>519</v>
      </c>
      <c r="Q1492" s="1">
        <f t="shared" si="55"/>
        <v>1</v>
      </c>
      <c r="R1492" s="1">
        <v>250</v>
      </c>
      <c r="U1492" s="12">
        <f t="shared" si="56"/>
        <v>44013</v>
      </c>
    </row>
    <row r="1493" spans="1:21" x14ac:dyDescent="0.25">
      <c r="A1493" s="2">
        <v>25</v>
      </c>
      <c r="B1493" t="s">
        <v>145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496</v>
      </c>
      <c r="P1493" s="18" t="s">
        <v>519</v>
      </c>
      <c r="Q1493" s="1">
        <f t="shared" si="55"/>
        <v>1</v>
      </c>
      <c r="R1493" s="1">
        <v>250</v>
      </c>
      <c r="U1493" s="12">
        <f t="shared" si="56"/>
        <v>44013</v>
      </c>
    </row>
    <row r="1494" spans="1:21" x14ac:dyDescent="0.25">
      <c r="A1494" s="2">
        <v>25</v>
      </c>
      <c r="B1494" t="s">
        <v>153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496</v>
      </c>
      <c r="P1494" s="18" t="s">
        <v>519</v>
      </c>
      <c r="Q1494" s="1">
        <f t="shared" si="55"/>
        <v>1</v>
      </c>
      <c r="R1494" s="1">
        <v>250</v>
      </c>
      <c r="U1494" s="12">
        <f t="shared" si="56"/>
        <v>44013</v>
      </c>
    </row>
    <row r="1495" spans="1:21" x14ac:dyDescent="0.25">
      <c r="A1495" s="2">
        <v>25</v>
      </c>
      <c r="B1495" t="s">
        <v>200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496</v>
      </c>
      <c r="P1495" s="18" t="s">
        <v>519</v>
      </c>
      <c r="Q1495" s="1">
        <f t="shared" si="55"/>
        <v>1</v>
      </c>
      <c r="R1495" s="1">
        <v>250</v>
      </c>
      <c r="U1495" s="12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496</v>
      </c>
      <c r="P1496" s="18" t="s">
        <v>519</v>
      </c>
      <c r="Q1496" s="1">
        <f t="shared" si="55"/>
        <v>1</v>
      </c>
      <c r="R1496" s="1">
        <v>250</v>
      </c>
      <c r="U1496" s="12">
        <f t="shared" si="56"/>
        <v>44013</v>
      </c>
    </row>
    <row r="1497" spans="1:21" x14ac:dyDescent="0.25">
      <c r="A1497" s="2">
        <v>25</v>
      </c>
      <c r="B1497" t="s">
        <v>954</v>
      </c>
      <c r="J1497" s="1"/>
      <c r="M1497" t="s">
        <v>15</v>
      </c>
      <c r="N1497" t="str">
        <f>IFERROR(VLOOKUP(B1497,'[1]All Player'!$B$2:$C$1992,2,0),"")</f>
        <v/>
      </c>
      <c r="O1497" s="2" t="s">
        <v>496</v>
      </c>
      <c r="P1497" s="18" t="s">
        <v>954</v>
      </c>
      <c r="Q1497" s="1">
        <f t="shared" si="55"/>
        <v>1</v>
      </c>
      <c r="R1497" s="1">
        <v>251</v>
      </c>
      <c r="U1497" s="12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496</v>
      </c>
      <c r="P1498" s="18" t="s">
        <v>954</v>
      </c>
      <c r="Q1498" s="1">
        <f t="shared" si="55"/>
        <v>1</v>
      </c>
      <c r="R1498" s="1">
        <v>251</v>
      </c>
      <c r="U1498" s="12">
        <f t="shared" si="56"/>
        <v>44013</v>
      </c>
    </row>
    <row r="1499" spans="1:21" x14ac:dyDescent="0.25">
      <c r="A1499" s="2">
        <v>25</v>
      </c>
      <c r="B1499" t="s">
        <v>229</v>
      </c>
      <c r="C1499" s="2">
        <v>6</v>
      </c>
      <c r="D1499" s="2">
        <v>79</v>
      </c>
      <c r="E1499" s="28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496</v>
      </c>
      <c r="P1499" s="18" t="s">
        <v>954</v>
      </c>
      <c r="Q1499" s="1">
        <f t="shared" si="55"/>
        <v>1</v>
      </c>
      <c r="R1499" s="1">
        <v>251</v>
      </c>
      <c r="U1499" s="12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496</v>
      </c>
      <c r="P1500" s="18" t="s">
        <v>954</v>
      </c>
      <c r="Q1500" s="1">
        <f t="shared" si="55"/>
        <v>1</v>
      </c>
      <c r="R1500" s="1">
        <v>251</v>
      </c>
      <c r="U1500" s="12">
        <f t="shared" si="56"/>
        <v>44013</v>
      </c>
    </row>
    <row r="1501" spans="1:21" x14ac:dyDescent="0.25">
      <c r="A1501" s="2">
        <v>25</v>
      </c>
      <c r="B1501" t="s">
        <v>405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496</v>
      </c>
      <c r="P1501" s="18" t="s">
        <v>954</v>
      </c>
      <c r="Q1501" s="1">
        <f t="shared" si="55"/>
        <v>1</v>
      </c>
      <c r="R1501" s="1">
        <v>251</v>
      </c>
      <c r="U1501" s="12">
        <f t="shared" si="56"/>
        <v>44013</v>
      </c>
    </row>
    <row r="1502" spans="1:21" x14ac:dyDescent="0.25">
      <c r="A1502" s="2">
        <v>25</v>
      </c>
      <c r="B1502" t="s">
        <v>235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496</v>
      </c>
      <c r="P1502" s="18" t="s">
        <v>954</v>
      </c>
      <c r="Q1502" s="1">
        <f t="shared" si="55"/>
        <v>1</v>
      </c>
      <c r="R1502" s="1">
        <v>251</v>
      </c>
      <c r="U1502" s="12">
        <f t="shared" si="56"/>
        <v>44013</v>
      </c>
    </row>
    <row r="1503" spans="1:21" x14ac:dyDescent="0.25">
      <c r="A1503" s="2">
        <v>25</v>
      </c>
      <c r="B1503" t="s">
        <v>955</v>
      </c>
      <c r="J1503" s="1"/>
      <c r="M1503" t="s">
        <v>15</v>
      </c>
      <c r="N1503" t="str">
        <f>IFERROR(VLOOKUP(B1503,'[1]All Player'!$B$2:$C$1992,2,0),"")</f>
        <v/>
      </c>
      <c r="O1503" s="2" t="s">
        <v>496</v>
      </c>
      <c r="P1503" s="18" t="s">
        <v>955</v>
      </c>
      <c r="Q1503" s="1">
        <f t="shared" si="55"/>
        <v>1</v>
      </c>
      <c r="R1503" s="1">
        <v>252</v>
      </c>
      <c r="U1503" s="12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496</v>
      </c>
      <c r="P1504" s="18" t="s">
        <v>955</v>
      </c>
      <c r="Q1504" s="1">
        <f t="shared" si="55"/>
        <v>1</v>
      </c>
      <c r="R1504" s="1">
        <v>252</v>
      </c>
      <c r="U1504" s="12">
        <f t="shared" si="56"/>
        <v>44013</v>
      </c>
    </row>
    <row r="1505" spans="1:22" x14ac:dyDescent="0.25">
      <c r="A1505" s="2">
        <v>25</v>
      </c>
      <c r="B1505" t="s">
        <v>811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496</v>
      </c>
      <c r="P1505" s="18" t="s">
        <v>955</v>
      </c>
      <c r="Q1505" s="1">
        <f t="shared" si="55"/>
        <v>1</v>
      </c>
      <c r="R1505" s="1">
        <v>252</v>
      </c>
      <c r="U1505" s="12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496</v>
      </c>
      <c r="P1506" s="18" t="s">
        <v>955</v>
      </c>
      <c r="Q1506" s="1">
        <f t="shared" si="55"/>
        <v>1</v>
      </c>
      <c r="R1506" s="1">
        <v>252</v>
      </c>
      <c r="U1506" s="12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496</v>
      </c>
      <c r="P1507" s="18" t="s">
        <v>955</v>
      </c>
      <c r="Q1507" s="1">
        <f t="shared" si="55"/>
        <v>1</v>
      </c>
      <c r="R1507" s="1">
        <v>252</v>
      </c>
      <c r="U1507" s="12">
        <f t="shared" si="56"/>
        <v>44013</v>
      </c>
    </row>
    <row r="1508" spans="1:22" x14ac:dyDescent="0.25">
      <c r="A1508" s="2">
        <v>25</v>
      </c>
      <c r="B1508" t="s">
        <v>358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496</v>
      </c>
      <c r="P1508" s="18" t="s">
        <v>955</v>
      </c>
      <c r="Q1508" s="1">
        <f t="shared" si="55"/>
        <v>1</v>
      </c>
      <c r="R1508" s="1">
        <v>252</v>
      </c>
      <c r="U1508" s="12">
        <f t="shared" si="56"/>
        <v>44013</v>
      </c>
    </row>
    <row r="1509" spans="1:22" x14ac:dyDescent="0.25">
      <c r="A1509" s="2">
        <v>26</v>
      </c>
      <c r="B1509" s="21" t="s">
        <v>956</v>
      </c>
      <c r="J1509" s="1"/>
      <c r="M1509" t="s">
        <v>15</v>
      </c>
      <c r="N1509" t="str">
        <f>IFERROR(VLOOKUP(B1509,'[1]All Player'!$B$2:$C$1992,2,0),"")</f>
        <v/>
      </c>
      <c r="O1509" s="2" t="s">
        <v>624</v>
      </c>
      <c r="P1509" s="18" t="s">
        <v>956</v>
      </c>
      <c r="Q1509" s="1">
        <f t="shared" si="55"/>
        <v>1</v>
      </c>
      <c r="R1509" s="1">
        <v>253</v>
      </c>
      <c r="U1509" s="12">
        <v>44256</v>
      </c>
    </row>
    <row r="1510" spans="1:22" x14ac:dyDescent="0.25">
      <c r="A1510" s="2">
        <v>26</v>
      </c>
      <c r="B1510" t="s">
        <v>957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624</v>
      </c>
      <c r="P1510" s="18" t="s">
        <v>956</v>
      </c>
      <c r="Q1510" s="1">
        <f t="shared" si="55"/>
        <v>1</v>
      </c>
      <c r="R1510" s="1">
        <v>253</v>
      </c>
      <c r="U1510" s="12">
        <f t="array" ref="U1510:U1581">U1509</f>
        <v>44256</v>
      </c>
    </row>
    <row r="1511" spans="1:22" x14ac:dyDescent="0.25">
      <c r="A1511" s="2">
        <v>26</v>
      </c>
      <c r="B1511" t="s">
        <v>958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624</v>
      </c>
      <c r="P1511" s="18" t="s">
        <v>956</v>
      </c>
      <c r="Q1511" s="1">
        <f t="shared" si="55"/>
        <v>1</v>
      </c>
      <c r="R1511" s="1">
        <v>253</v>
      </c>
      <c r="U1511" s="12">
        <v>44256</v>
      </c>
    </row>
    <row r="1512" spans="1:22" x14ac:dyDescent="0.25">
      <c r="A1512" s="2">
        <v>26</v>
      </c>
      <c r="B1512" t="s">
        <v>734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624</v>
      </c>
      <c r="P1512" s="18" t="s">
        <v>956</v>
      </c>
      <c r="Q1512" s="1">
        <f t="shared" si="55"/>
        <v>1</v>
      </c>
      <c r="R1512" s="1">
        <v>253</v>
      </c>
      <c r="U1512" s="12">
        <v>44256</v>
      </c>
    </row>
    <row r="1513" spans="1:22" x14ac:dyDescent="0.25">
      <c r="A1513" s="2">
        <v>26</v>
      </c>
      <c r="B1513" t="s">
        <v>959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624</v>
      </c>
      <c r="P1513" s="18" t="s">
        <v>956</v>
      </c>
      <c r="Q1513" s="1">
        <f t="shared" si="55"/>
        <v>1</v>
      </c>
      <c r="R1513" s="1">
        <v>253</v>
      </c>
      <c r="U1513" s="12">
        <v>44256</v>
      </c>
    </row>
    <row r="1514" spans="1:22" x14ac:dyDescent="0.25">
      <c r="A1514" s="2">
        <v>26</v>
      </c>
      <c r="B1514" t="s">
        <v>960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624</v>
      </c>
      <c r="P1514" s="18" t="s">
        <v>956</v>
      </c>
      <c r="Q1514" s="1">
        <f t="shared" si="55"/>
        <v>1</v>
      </c>
      <c r="R1514" s="1">
        <v>253</v>
      </c>
      <c r="U1514" s="12">
        <v>44256</v>
      </c>
    </row>
    <row r="1515" spans="1:22" x14ac:dyDescent="0.25">
      <c r="A1515" s="2">
        <v>26</v>
      </c>
      <c r="B1515" s="21" t="s">
        <v>961</v>
      </c>
      <c r="J1515" s="1"/>
      <c r="M1515" t="s">
        <v>15</v>
      </c>
      <c r="N1515" t="str">
        <f>IFERROR(VLOOKUP(B1515,'[1]All Player'!$B$2:$C$1992,2,0),"")</f>
        <v/>
      </c>
      <c r="O1515" s="2" t="s">
        <v>624</v>
      </c>
      <c r="P1515" s="18" t="s">
        <v>961</v>
      </c>
      <c r="Q1515" s="1">
        <f t="shared" si="55"/>
        <v>1</v>
      </c>
      <c r="R1515" s="1">
        <v>254</v>
      </c>
      <c r="U1515" s="12">
        <v>44256</v>
      </c>
    </row>
    <row r="1516" spans="1:22" x14ac:dyDescent="0.25">
      <c r="A1516" s="2">
        <v>26</v>
      </c>
      <c r="B1516" t="s">
        <v>962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624</v>
      </c>
      <c r="P1516" s="18" t="s">
        <v>961</v>
      </c>
      <c r="Q1516" s="1">
        <f t="shared" si="55"/>
        <v>1</v>
      </c>
      <c r="R1516" s="1">
        <v>254</v>
      </c>
      <c r="U1516" s="12">
        <v>44256</v>
      </c>
      <c r="V1516" s="1">
        <v>1</v>
      </c>
    </row>
    <row r="1517" spans="1:22" x14ac:dyDescent="0.25">
      <c r="A1517" s="2">
        <v>26</v>
      </c>
      <c r="B1517" t="s">
        <v>229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624</v>
      </c>
      <c r="P1517" s="18" t="s">
        <v>961</v>
      </c>
      <c r="Q1517" s="1">
        <f t="shared" si="55"/>
        <v>1</v>
      </c>
      <c r="R1517" s="1">
        <v>254</v>
      </c>
      <c r="U1517" s="12">
        <v>44256</v>
      </c>
    </row>
    <row r="1518" spans="1:22" x14ac:dyDescent="0.25">
      <c r="A1518" s="2">
        <v>26</v>
      </c>
      <c r="B1518" t="s">
        <v>963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624</v>
      </c>
      <c r="P1518" s="18" t="s">
        <v>961</v>
      </c>
      <c r="Q1518" s="1">
        <f t="shared" si="55"/>
        <v>1</v>
      </c>
      <c r="R1518" s="1">
        <v>254</v>
      </c>
      <c r="U1518" s="12">
        <v>44256</v>
      </c>
    </row>
    <row r="1519" spans="1:22" x14ac:dyDescent="0.25">
      <c r="A1519" s="2">
        <v>26</v>
      </c>
      <c r="B1519" t="s">
        <v>748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624</v>
      </c>
      <c r="P1519" s="18" t="s">
        <v>961</v>
      </c>
      <c r="Q1519" s="1">
        <f t="shared" si="55"/>
        <v>1</v>
      </c>
      <c r="R1519" s="1">
        <v>254</v>
      </c>
      <c r="U1519" s="12">
        <v>44256</v>
      </c>
    </row>
    <row r="1520" spans="1:22" x14ac:dyDescent="0.25">
      <c r="A1520" s="2">
        <v>26</v>
      </c>
      <c r="B1520" t="s">
        <v>964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624</v>
      </c>
      <c r="P1520" s="18" t="s">
        <v>961</v>
      </c>
      <c r="Q1520" s="1">
        <f t="shared" si="55"/>
        <v>1</v>
      </c>
      <c r="R1520" s="1">
        <v>254</v>
      </c>
      <c r="U1520" s="12">
        <v>44256</v>
      </c>
    </row>
    <row r="1521" spans="1:21" x14ac:dyDescent="0.25">
      <c r="A1521" s="2">
        <v>26</v>
      </c>
      <c r="B1521" t="s">
        <v>965</v>
      </c>
      <c r="J1521" s="1"/>
      <c r="M1521" t="s">
        <v>15</v>
      </c>
      <c r="N1521" t="str">
        <f>IFERROR(VLOOKUP(B1521,'[1]All Player'!$B$2:$C$1992,2,0),"")</f>
        <v/>
      </c>
      <c r="O1521" s="2" t="s">
        <v>624</v>
      </c>
      <c r="P1521" s="18" t="s">
        <v>965</v>
      </c>
      <c r="Q1521" s="1">
        <f t="shared" si="55"/>
        <v>1</v>
      </c>
      <c r="R1521" s="1">
        <v>255</v>
      </c>
      <c r="U1521" s="12">
        <v>44256</v>
      </c>
    </row>
    <row r="1522" spans="1:21" x14ac:dyDescent="0.25">
      <c r="A1522" s="2">
        <v>26</v>
      </c>
      <c r="B1522" t="s">
        <v>966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624</v>
      </c>
      <c r="P1522" s="18" t="s">
        <v>965</v>
      </c>
      <c r="Q1522" s="1">
        <f t="shared" si="55"/>
        <v>1</v>
      </c>
      <c r="R1522" s="1">
        <v>255</v>
      </c>
      <c r="U1522" s="12">
        <v>44256</v>
      </c>
    </row>
    <row r="1523" spans="1:21" x14ac:dyDescent="0.25">
      <c r="A1523" s="2">
        <v>26</v>
      </c>
      <c r="B1523" t="s">
        <v>967</v>
      </c>
      <c r="C1523" s="2">
        <v>5</v>
      </c>
      <c r="D1523" s="2">
        <v>76</v>
      </c>
      <c r="E1523" s="2">
        <v>6</v>
      </c>
      <c r="F1523" s="2">
        <v>9</v>
      </c>
      <c r="G1523" s="28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624</v>
      </c>
      <c r="P1523" s="18" t="s">
        <v>965</v>
      </c>
      <c r="Q1523" s="1">
        <f t="shared" si="55"/>
        <v>1</v>
      </c>
      <c r="R1523" s="1">
        <v>255</v>
      </c>
      <c r="U1523" s="12">
        <v>44256</v>
      </c>
    </row>
    <row r="1524" spans="1:21" x14ac:dyDescent="0.25">
      <c r="A1524" s="2">
        <v>26</v>
      </c>
      <c r="B1524" t="s">
        <v>968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624</v>
      </c>
      <c r="P1524" s="18" t="s">
        <v>965</v>
      </c>
      <c r="Q1524" s="1">
        <f t="shared" si="55"/>
        <v>1</v>
      </c>
      <c r="R1524" s="1">
        <v>255</v>
      </c>
      <c r="U1524" s="12">
        <v>44256</v>
      </c>
    </row>
    <row r="1525" spans="1:21" x14ac:dyDescent="0.25">
      <c r="A1525" s="2">
        <v>26</v>
      </c>
      <c r="B1525" t="s">
        <v>969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624</v>
      </c>
      <c r="P1525" s="18" t="s">
        <v>965</v>
      </c>
      <c r="Q1525" s="1">
        <f t="shared" si="55"/>
        <v>1</v>
      </c>
      <c r="R1525" s="1">
        <v>255</v>
      </c>
      <c r="U1525" s="12">
        <v>44256</v>
      </c>
    </row>
    <row r="1526" spans="1:21" x14ac:dyDescent="0.25">
      <c r="A1526" s="2">
        <v>26</v>
      </c>
      <c r="B1526" t="s">
        <v>970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624</v>
      </c>
      <c r="P1526" s="18" t="s">
        <v>965</v>
      </c>
      <c r="Q1526" s="1">
        <f t="shared" si="55"/>
        <v>1</v>
      </c>
      <c r="R1526" s="1">
        <v>255</v>
      </c>
      <c r="U1526" s="12">
        <v>44256</v>
      </c>
    </row>
    <row r="1527" spans="1:21" x14ac:dyDescent="0.25">
      <c r="A1527" s="2">
        <v>26</v>
      </c>
      <c r="B1527" t="s">
        <v>626</v>
      </c>
      <c r="J1527" s="1"/>
      <c r="M1527" t="s">
        <v>15</v>
      </c>
      <c r="N1527" t="str">
        <f>IFERROR(VLOOKUP(B1527,'[1]All Player'!$B$2:$C$1992,2,0),"")</f>
        <v/>
      </c>
      <c r="O1527" s="2" t="s">
        <v>624</v>
      </c>
      <c r="P1527" s="18" t="s">
        <v>626</v>
      </c>
      <c r="Q1527" s="1">
        <f t="shared" si="55"/>
        <v>1</v>
      </c>
      <c r="R1527" s="1">
        <v>256</v>
      </c>
      <c r="T1527" s="1" t="s">
        <v>949</v>
      </c>
      <c r="U1527" s="12">
        <v>44256</v>
      </c>
    </row>
    <row r="1528" spans="1:21" x14ac:dyDescent="0.25">
      <c r="A1528" s="2">
        <v>26</v>
      </c>
      <c r="B1528" t="s">
        <v>971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624</v>
      </c>
      <c r="P1528" s="18" t="s">
        <v>626</v>
      </c>
      <c r="Q1528" s="1">
        <f t="shared" si="55"/>
        <v>1</v>
      </c>
      <c r="R1528" s="1">
        <v>256</v>
      </c>
      <c r="T1528" s="1" t="s">
        <v>949</v>
      </c>
      <c r="U1528" s="12">
        <v>44256</v>
      </c>
    </row>
    <row r="1529" spans="1:21" x14ac:dyDescent="0.25">
      <c r="A1529" s="2">
        <v>26</v>
      </c>
      <c r="B1529" t="s">
        <v>972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624</v>
      </c>
      <c r="P1529" s="18" t="s">
        <v>626</v>
      </c>
      <c r="Q1529" s="1">
        <f t="shared" si="55"/>
        <v>1</v>
      </c>
      <c r="R1529" s="1">
        <v>256</v>
      </c>
      <c r="T1529" s="1" t="s">
        <v>949</v>
      </c>
      <c r="U1529" s="12">
        <v>44256</v>
      </c>
    </row>
    <row r="1530" spans="1:21" x14ac:dyDescent="0.25">
      <c r="A1530" s="2">
        <v>26</v>
      </c>
      <c r="B1530" t="s">
        <v>973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624</v>
      </c>
      <c r="P1530" s="18" t="s">
        <v>626</v>
      </c>
      <c r="Q1530" s="1">
        <f t="shared" si="55"/>
        <v>1</v>
      </c>
      <c r="R1530" s="1">
        <v>256</v>
      </c>
      <c r="S1530" s="2" t="s">
        <v>660</v>
      </c>
      <c r="T1530" s="1" t="s">
        <v>949</v>
      </c>
      <c r="U1530" s="12">
        <v>44256</v>
      </c>
    </row>
    <row r="1531" spans="1:21" x14ac:dyDescent="0.25">
      <c r="A1531" s="2">
        <v>26</v>
      </c>
      <c r="B1531" t="s">
        <v>974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624</v>
      </c>
      <c r="P1531" s="18" t="s">
        <v>626</v>
      </c>
      <c r="Q1531" s="1">
        <f t="shared" si="55"/>
        <v>1</v>
      </c>
      <c r="R1531" s="1">
        <v>256</v>
      </c>
      <c r="T1531" s="1" t="s">
        <v>949</v>
      </c>
      <c r="U1531" s="12">
        <v>44256</v>
      </c>
    </row>
    <row r="1532" spans="1:21" x14ac:dyDescent="0.25">
      <c r="A1532" s="2">
        <v>26</v>
      </c>
      <c r="B1532" t="s">
        <v>791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624</v>
      </c>
      <c r="P1532" s="18" t="s">
        <v>626</v>
      </c>
      <c r="Q1532" s="1">
        <f t="shared" si="55"/>
        <v>1</v>
      </c>
      <c r="R1532" s="1">
        <v>256</v>
      </c>
      <c r="T1532" s="1" t="s">
        <v>949</v>
      </c>
      <c r="U1532" s="12">
        <v>44256</v>
      </c>
    </row>
    <row r="1533" spans="1:21" x14ac:dyDescent="0.25">
      <c r="A1533" s="2">
        <v>26</v>
      </c>
      <c r="B1533" t="s">
        <v>975</v>
      </c>
      <c r="J1533" s="1"/>
      <c r="M1533" t="s">
        <v>15</v>
      </c>
      <c r="N1533" t="str">
        <f>IFERROR(VLOOKUP(B1533,'[1]All Player'!$B$2:$C$1992,2,0),"")</f>
        <v/>
      </c>
      <c r="O1533" s="2" t="s">
        <v>624</v>
      </c>
      <c r="P1533" s="18" t="s">
        <v>975</v>
      </c>
      <c r="Q1533" s="1">
        <f t="shared" si="55"/>
        <v>1</v>
      </c>
      <c r="R1533" s="1">
        <v>257</v>
      </c>
      <c r="U1533" s="12">
        <v>44256</v>
      </c>
    </row>
    <row r="1534" spans="1:21" x14ac:dyDescent="0.25">
      <c r="A1534" s="2">
        <v>26</v>
      </c>
      <c r="B1534" t="s">
        <v>976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624</v>
      </c>
      <c r="P1534" s="18" t="s">
        <v>975</v>
      </c>
      <c r="Q1534" s="1">
        <f t="shared" si="55"/>
        <v>1</v>
      </c>
      <c r="R1534" s="1">
        <v>257</v>
      </c>
      <c r="U1534" s="12">
        <v>44256</v>
      </c>
    </row>
    <row r="1535" spans="1:21" x14ac:dyDescent="0.25">
      <c r="A1535" s="2">
        <v>26</v>
      </c>
      <c r="B1535" t="s">
        <v>716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624</v>
      </c>
      <c r="P1535" s="18" t="s">
        <v>975</v>
      </c>
      <c r="Q1535" s="1">
        <f t="shared" si="55"/>
        <v>1</v>
      </c>
      <c r="R1535" s="1">
        <v>257</v>
      </c>
      <c r="U1535" s="12">
        <v>44256</v>
      </c>
    </row>
    <row r="1536" spans="1:21" x14ac:dyDescent="0.25">
      <c r="A1536" s="2">
        <v>26</v>
      </c>
      <c r="B1536" t="s">
        <v>977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624</v>
      </c>
      <c r="P1536" s="18" t="s">
        <v>975</v>
      </c>
      <c r="Q1536" s="1">
        <f t="shared" si="55"/>
        <v>1</v>
      </c>
      <c r="R1536" s="1">
        <v>257</v>
      </c>
      <c r="U1536" s="12">
        <v>44256</v>
      </c>
    </row>
    <row r="1537" spans="1:23" x14ac:dyDescent="0.25">
      <c r="A1537" s="2">
        <v>26</v>
      </c>
      <c r="B1537" t="s">
        <v>978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624</v>
      </c>
      <c r="P1537" s="18" t="s">
        <v>975</v>
      </c>
      <c r="Q1537" s="1">
        <f t="shared" si="55"/>
        <v>1</v>
      </c>
      <c r="R1537" s="1">
        <v>257</v>
      </c>
      <c r="U1537" s="12">
        <v>44256</v>
      </c>
    </row>
    <row r="1538" spans="1:23" x14ac:dyDescent="0.25">
      <c r="A1538" s="2">
        <v>26</v>
      </c>
      <c r="B1538" t="s">
        <v>426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624</v>
      </c>
      <c r="P1538" s="18" t="s">
        <v>975</v>
      </c>
      <c r="Q1538" s="1">
        <f t="shared" ref="Q1538:Q1601" si="57">IF(B1538="","",1)</f>
        <v>1</v>
      </c>
      <c r="R1538" s="1">
        <v>257</v>
      </c>
      <c r="U1538" s="12">
        <v>44256</v>
      </c>
    </row>
    <row r="1539" spans="1:23" x14ac:dyDescent="0.25">
      <c r="A1539" s="2">
        <v>26</v>
      </c>
      <c r="B1539" t="s">
        <v>979</v>
      </c>
      <c r="J1539" s="1"/>
      <c r="M1539" t="s">
        <v>15</v>
      </c>
      <c r="N1539" t="str">
        <f>IFERROR(VLOOKUP(B1539,'[1]All Player'!$B$2:$C$1992,2,0),"")</f>
        <v/>
      </c>
      <c r="O1539" s="2" t="s">
        <v>624</v>
      </c>
      <c r="P1539" s="18" t="s">
        <v>979</v>
      </c>
      <c r="Q1539" s="1">
        <f t="shared" si="57"/>
        <v>1</v>
      </c>
      <c r="R1539" s="1">
        <v>258</v>
      </c>
      <c r="U1539" s="12">
        <v>44256</v>
      </c>
    </row>
    <row r="1540" spans="1:23" x14ac:dyDescent="0.25">
      <c r="A1540" s="2">
        <v>26</v>
      </c>
      <c r="B1540" t="s">
        <v>980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624</v>
      </c>
      <c r="P1540" s="18" t="s">
        <v>979</v>
      </c>
      <c r="Q1540" s="1">
        <f t="shared" si="57"/>
        <v>1</v>
      </c>
      <c r="R1540" s="1">
        <v>258</v>
      </c>
      <c r="U1540" s="12">
        <v>44256</v>
      </c>
      <c r="W1540" s="1">
        <v>1</v>
      </c>
    </row>
    <row r="1541" spans="1:23" x14ac:dyDescent="0.25">
      <c r="A1541" s="2">
        <v>26</v>
      </c>
      <c r="B1541" t="s">
        <v>981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624</v>
      </c>
      <c r="P1541" s="18" t="s">
        <v>979</v>
      </c>
      <c r="Q1541" s="1">
        <f t="shared" si="57"/>
        <v>1</v>
      </c>
      <c r="R1541" s="1">
        <v>258</v>
      </c>
      <c r="U1541" s="12">
        <v>44256</v>
      </c>
    </row>
    <row r="1542" spans="1:23" x14ac:dyDescent="0.25">
      <c r="A1542" s="2">
        <v>26</v>
      </c>
      <c r="B1542" t="s">
        <v>982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624</v>
      </c>
      <c r="P1542" s="18" t="s">
        <v>979</v>
      </c>
      <c r="Q1542" s="1">
        <f t="shared" si="57"/>
        <v>1</v>
      </c>
      <c r="R1542" s="1">
        <v>258</v>
      </c>
      <c r="U1542" s="12">
        <v>44256</v>
      </c>
    </row>
    <row r="1543" spans="1:23" x14ac:dyDescent="0.25">
      <c r="A1543" s="2">
        <v>26</v>
      </c>
      <c r="B1543" t="s">
        <v>983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624</v>
      </c>
      <c r="P1543" s="18" t="s">
        <v>979</v>
      </c>
      <c r="Q1543" s="1">
        <f t="shared" si="57"/>
        <v>1</v>
      </c>
      <c r="R1543" s="1">
        <v>258</v>
      </c>
      <c r="U1543" s="12">
        <v>44256</v>
      </c>
    </row>
    <row r="1544" spans="1:23" x14ac:dyDescent="0.25">
      <c r="A1544" s="2">
        <v>26</v>
      </c>
      <c r="B1544" t="s">
        <v>405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624</v>
      </c>
      <c r="P1544" s="18" t="s">
        <v>979</v>
      </c>
      <c r="Q1544" s="1">
        <f t="shared" si="57"/>
        <v>1</v>
      </c>
      <c r="R1544" s="1">
        <v>258</v>
      </c>
      <c r="U1544" s="12">
        <v>44256</v>
      </c>
    </row>
    <row r="1545" spans="1:23" x14ac:dyDescent="0.25">
      <c r="A1545" s="2">
        <v>26</v>
      </c>
      <c r="B1545" t="s">
        <v>984</v>
      </c>
      <c r="J1545" s="1"/>
      <c r="M1545" t="s">
        <v>15</v>
      </c>
      <c r="N1545" t="str">
        <f>IFERROR(VLOOKUP(B1545,'[1]All Player'!$B$2:$C$1992,2,0),"")</f>
        <v/>
      </c>
      <c r="O1545" s="2" t="s">
        <v>624</v>
      </c>
      <c r="P1545" s="18" t="s">
        <v>984</v>
      </c>
      <c r="Q1545" s="1">
        <f t="shared" si="57"/>
        <v>1</v>
      </c>
      <c r="R1545" s="1">
        <v>259</v>
      </c>
      <c r="T1545" s="1" t="s">
        <v>661</v>
      </c>
      <c r="U1545" s="12">
        <v>44256</v>
      </c>
    </row>
    <row r="1546" spans="1:23" x14ac:dyDescent="0.25">
      <c r="A1546" s="2">
        <v>26</v>
      </c>
      <c r="B1546" t="s">
        <v>985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624</v>
      </c>
      <c r="P1546" s="18" t="s">
        <v>984</v>
      </c>
      <c r="Q1546" s="1">
        <f t="shared" si="57"/>
        <v>1</v>
      </c>
      <c r="R1546" s="1">
        <v>259</v>
      </c>
      <c r="T1546" s="1" t="s">
        <v>661</v>
      </c>
      <c r="U1546" s="12">
        <v>44256</v>
      </c>
    </row>
    <row r="1547" spans="1:23" x14ac:dyDescent="0.25">
      <c r="A1547" s="2">
        <v>26</v>
      </c>
      <c r="B1547" t="s">
        <v>986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624</v>
      </c>
      <c r="P1547" s="18" t="s">
        <v>984</v>
      </c>
      <c r="Q1547" s="1">
        <f t="shared" si="57"/>
        <v>1</v>
      </c>
      <c r="R1547" s="1">
        <v>259</v>
      </c>
      <c r="T1547" s="1" t="s">
        <v>661</v>
      </c>
      <c r="U1547" s="12">
        <v>44256</v>
      </c>
    </row>
    <row r="1548" spans="1:23" x14ac:dyDescent="0.25">
      <c r="A1548" s="2">
        <v>26</v>
      </c>
      <c r="B1548" t="s">
        <v>987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624</v>
      </c>
      <c r="P1548" s="18" t="s">
        <v>984</v>
      </c>
      <c r="Q1548" s="1">
        <f t="shared" si="57"/>
        <v>1</v>
      </c>
      <c r="R1548" s="1">
        <v>259</v>
      </c>
      <c r="T1548" s="1" t="s">
        <v>661</v>
      </c>
      <c r="U1548" s="12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624</v>
      </c>
      <c r="P1549" s="18" t="s">
        <v>984</v>
      </c>
      <c r="Q1549" s="1">
        <f t="shared" si="57"/>
        <v>1</v>
      </c>
      <c r="R1549" s="1">
        <v>259</v>
      </c>
      <c r="T1549" s="1" t="s">
        <v>661</v>
      </c>
      <c r="U1549" s="12">
        <v>44256</v>
      </c>
    </row>
    <row r="1550" spans="1:23" x14ac:dyDescent="0.25">
      <c r="A1550" s="2">
        <v>26</v>
      </c>
      <c r="B1550" t="s">
        <v>988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624</v>
      </c>
      <c r="P1550" s="18" t="s">
        <v>984</v>
      </c>
      <c r="Q1550" s="1">
        <f t="shared" si="57"/>
        <v>1</v>
      </c>
      <c r="R1550" s="1">
        <v>259</v>
      </c>
      <c r="S1550" s="2" t="s">
        <v>662</v>
      </c>
      <c r="T1550" s="1" t="s">
        <v>661</v>
      </c>
      <c r="U1550" s="12">
        <v>44256</v>
      </c>
    </row>
    <row r="1551" spans="1:23" x14ac:dyDescent="0.25">
      <c r="A1551" s="2">
        <v>26</v>
      </c>
      <c r="B1551" t="s">
        <v>989</v>
      </c>
      <c r="J1551" s="1"/>
      <c r="M1551" t="s">
        <v>15</v>
      </c>
      <c r="N1551" t="str">
        <f>IFERROR(VLOOKUP(B1551,'[1]All Player'!$B$2:$C$1992,2,0),"")</f>
        <v/>
      </c>
      <c r="O1551" s="2" t="s">
        <v>624</v>
      </c>
      <c r="P1551" s="18" t="s">
        <v>989</v>
      </c>
      <c r="Q1551" s="1">
        <f t="shared" si="57"/>
        <v>1</v>
      </c>
      <c r="R1551" s="1">
        <v>260</v>
      </c>
      <c r="U1551" s="12">
        <v>44256</v>
      </c>
    </row>
    <row r="1552" spans="1:23" x14ac:dyDescent="0.25">
      <c r="A1552" s="2">
        <v>26</v>
      </c>
      <c r="B1552" t="s">
        <v>990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624</v>
      </c>
      <c r="P1552" s="18" t="s">
        <v>989</v>
      </c>
      <c r="Q1552" s="1">
        <f t="shared" si="57"/>
        <v>1</v>
      </c>
      <c r="R1552" s="1">
        <v>260</v>
      </c>
      <c r="U1552" s="12">
        <v>44256</v>
      </c>
    </row>
    <row r="1553" spans="1:21" x14ac:dyDescent="0.25">
      <c r="A1553" s="2">
        <v>26</v>
      </c>
      <c r="B1553" t="s">
        <v>991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624</v>
      </c>
      <c r="P1553" s="18" t="s">
        <v>989</v>
      </c>
      <c r="Q1553" s="1">
        <f t="shared" si="57"/>
        <v>1</v>
      </c>
      <c r="R1553" s="1">
        <v>260</v>
      </c>
      <c r="U1553" s="12">
        <v>44256</v>
      </c>
    </row>
    <row r="1554" spans="1:21" x14ac:dyDescent="0.25">
      <c r="A1554" s="2">
        <v>26</v>
      </c>
      <c r="B1554" t="s">
        <v>992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624</v>
      </c>
      <c r="P1554" s="18" t="s">
        <v>989</v>
      </c>
      <c r="Q1554" s="1">
        <f t="shared" si="57"/>
        <v>1</v>
      </c>
      <c r="R1554" s="1">
        <v>260</v>
      </c>
      <c r="U1554" s="12">
        <v>44256</v>
      </c>
    </row>
    <row r="1555" spans="1:21" x14ac:dyDescent="0.25">
      <c r="A1555" s="2">
        <v>26</v>
      </c>
      <c r="B1555" t="s">
        <v>993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624</v>
      </c>
      <c r="P1555" s="18" t="s">
        <v>989</v>
      </c>
      <c r="Q1555" s="1">
        <f t="shared" si="57"/>
        <v>1</v>
      </c>
      <c r="R1555" s="1">
        <v>260</v>
      </c>
      <c r="U1555" s="12">
        <v>44256</v>
      </c>
    </row>
    <row r="1556" spans="1:21" x14ac:dyDescent="0.25">
      <c r="A1556" s="2">
        <v>26</v>
      </c>
      <c r="B1556" t="s">
        <v>139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624</v>
      </c>
      <c r="P1556" s="18" t="s">
        <v>989</v>
      </c>
      <c r="Q1556" s="1">
        <f t="shared" si="57"/>
        <v>1</v>
      </c>
      <c r="R1556" s="1">
        <v>260</v>
      </c>
      <c r="U1556" s="12">
        <v>44256</v>
      </c>
    </row>
    <row r="1557" spans="1:21" x14ac:dyDescent="0.25">
      <c r="A1557" s="2">
        <v>26</v>
      </c>
      <c r="B1557" t="s">
        <v>994</v>
      </c>
      <c r="J1557" s="1"/>
      <c r="M1557" t="s">
        <v>15</v>
      </c>
      <c r="N1557" t="str">
        <f>IFERROR(VLOOKUP(B1557,'[1]All Player'!$B$2:$C$1992,2,0),"")</f>
        <v/>
      </c>
      <c r="O1557" s="2" t="s">
        <v>624</v>
      </c>
      <c r="P1557" s="18" t="s">
        <v>994</v>
      </c>
      <c r="Q1557" s="1">
        <f t="shared" si="57"/>
        <v>1</v>
      </c>
      <c r="R1557" s="1">
        <v>261</v>
      </c>
      <c r="U1557" s="12">
        <v>44256</v>
      </c>
    </row>
    <row r="1558" spans="1:21" x14ac:dyDescent="0.25">
      <c r="A1558" s="2">
        <v>26</v>
      </c>
      <c r="B1558" t="s">
        <v>728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624</v>
      </c>
      <c r="P1558" s="18" t="s">
        <v>994</v>
      </c>
      <c r="Q1558" s="1">
        <f t="shared" si="57"/>
        <v>1</v>
      </c>
      <c r="R1558" s="1">
        <v>261</v>
      </c>
      <c r="U1558" s="12">
        <v>44256</v>
      </c>
    </row>
    <row r="1559" spans="1:21" x14ac:dyDescent="0.25">
      <c r="A1559" s="2">
        <v>26</v>
      </c>
      <c r="B1559" t="s">
        <v>689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624</v>
      </c>
      <c r="P1559" s="18" t="s">
        <v>994</v>
      </c>
      <c r="Q1559" s="1">
        <f t="shared" si="57"/>
        <v>1</v>
      </c>
      <c r="R1559" s="1">
        <v>261</v>
      </c>
      <c r="U1559" s="12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624</v>
      </c>
      <c r="P1560" s="18" t="s">
        <v>994</v>
      </c>
      <c r="Q1560" s="1">
        <f t="shared" si="57"/>
        <v>1</v>
      </c>
      <c r="R1560" s="1">
        <v>261</v>
      </c>
      <c r="U1560" s="12">
        <v>44256</v>
      </c>
    </row>
    <row r="1561" spans="1:21" x14ac:dyDescent="0.25">
      <c r="A1561" s="2">
        <v>26</v>
      </c>
      <c r="B1561" t="s">
        <v>995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624</v>
      </c>
      <c r="P1561" s="18" t="s">
        <v>994</v>
      </c>
      <c r="Q1561" s="1">
        <f t="shared" si="57"/>
        <v>1</v>
      </c>
      <c r="R1561" s="1">
        <v>261</v>
      </c>
      <c r="U1561" s="12">
        <v>44256</v>
      </c>
    </row>
    <row r="1562" spans="1:21" x14ac:dyDescent="0.25">
      <c r="A1562" s="2">
        <v>26</v>
      </c>
      <c r="B1562" t="s">
        <v>996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624</v>
      </c>
      <c r="P1562" s="18" t="s">
        <v>994</v>
      </c>
      <c r="Q1562" s="1">
        <f t="shared" si="57"/>
        <v>1</v>
      </c>
      <c r="R1562" s="1">
        <v>261</v>
      </c>
      <c r="U1562" s="12">
        <v>44256</v>
      </c>
    </row>
    <row r="1563" spans="1:21" x14ac:dyDescent="0.25">
      <c r="A1563" s="2">
        <v>26</v>
      </c>
      <c r="B1563" t="s">
        <v>997</v>
      </c>
      <c r="J1563" s="1"/>
      <c r="M1563" t="s">
        <v>15</v>
      </c>
      <c r="N1563" t="str">
        <f>IFERROR(VLOOKUP(B1563,'[1]All Player'!$B$2:$C$1992,2,0),"")</f>
        <v/>
      </c>
      <c r="O1563" s="2" t="s">
        <v>624</v>
      </c>
      <c r="P1563" s="18" t="s">
        <v>997</v>
      </c>
      <c r="Q1563" s="1">
        <f t="shared" si="57"/>
        <v>1</v>
      </c>
      <c r="R1563" s="1">
        <v>262</v>
      </c>
      <c r="U1563" s="12">
        <v>44256</v>
      </c>
    </row>
    <row r="1564" spans="1:21" x14ac:dyDescent="0.25">
      <c r="A1564" s="2">
        <v>26</v>
      </c>
      <c r="B1564" t="s">
        <v>732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624</v>
      </c>
      <c r="P1564" s="18" t="s">
        <v>997</v>
      </c>
      <c r="Q1564" s="1">
        <f t="shared" si="57"/>
        <v>1</v>
      </c>
      <c r="R1564" s="1">
        <v>262</v>
      </c>
      <c r="U1564" s="12">
        <v>44256</v>
      </c>
    </row>
    <row r="1565" spans="1:21" x14ac:dyDescent="0.25">
      <c r="A1565" s="2">
        <v>26</v>
      </c>
      <c r="B1565" t="s">
        <v>998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624</v>
      </c>
      <c r="P1565" s="18" t="s">
        <v>997</v>
      </c>
      <c r="Q1565" s="1">
        <f t="shared" si="57"/>
        <v>1</v>
      </c>
      <c r="R1565" s="1">
        <v>262</v>
      </c>
      <c r="U1565" s="12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624</v>
      </c>
      <c r="P1566" s="18" t="s">
        <v>997</v>
      </c>
      <c r="Q1566" s="1">
        <f t="shared" si="57"/>
        <v>1</v>
      </c>
      <c r="R1566" s="1">
        <v>262</v>
      </c>
      <c r="U1566" s="12">
        <v>44256</v>
      </c>
    </row>
    <row r="1567" spans="1:21" x14ac:dyDescent="0.25">
      <c r="A1567" s="2">
        <v>26</v>
      </c>
      <c r="B1567" t="s">
        <v>999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624</v>
      </c>
      <c r="P1567" s="18" t="s">
        <v>997</v>
      </c>
      <c r="Q1567" s="1">
        <f t="shared" si="57"/>
        <v>1</v>
      </c>
      <c r="R1567" s="1">
        <v>262</v>
      </c>
      <c r="U1567" s="12">
        <v>44256</v>
      </c>
    </row>
    <row r="1568" spans="1:21" x14ac:dyDescent="0.25">
      <c r="A1568" s="2">
        <v>26</v>
      </c>
      <c r="B1568" t="s">
        <v>1000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624</v>
      </c>
      <c r="P1568" s="18" t="s">
        <v>997</v>
      </c>
      <c r="Q1568" s="1">
        <f t="shared" si="57"/>
        <v>1</v>
      </c>
      <c r="R1568" s="1">
        <v>262</v>
      </c>
      <c r="U1568" s="12">
        <v>44256</v>
      </c>
    </row>
    <row r="1569" spans="1:23" x14ac:dyDescent="0.25">
      <c r="A1569" s="2">
        <v>26</v>
      </c>
      <c r="B1569" s="21" t="s">
        <v>625</v>
      </c>
      <c r="J1569" s="1"/>
      <c r="M1569" t="s">
        <v>15</v>
      </c>
      <c r="N1569" t="str">
        <f>IFERROR(VLOOKUP(B1569,'[1]All Player'!$B$2:$C$1992,2,0),"")</f>
        <v/>
      </c>
      <c r="O1569" s="2" t="s">
        <v>624</v>
      </c>
      <c r="P1569" s="18" t="s">
        <v>625</v>
      </c>
      <c r="Q1569" s="1">
        <f t="shared" si="57"/>
        <v>1</v>
      </c>
      <c r="R1569" s="1">
        <v>263</v>
      </c>
      <c r="U1569" s="12">
        <v>44256</v>
      </c>
    </row>
    <row r="1570" spans="1:23" x14ac:dyDescent="0.25">
      <c r="A1570" s="2">
        <v>26</v>
      </c>
      <c r="B1570" t="s">
        <v>690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624</v>
      </c>
      <c r="P1570" s="18" t="s">
        <v>625</v>
      </c>
      <c r="Q1570" s="1">
        <f t="shared" si="57"/>
        <v>1</v>
      </c>
      <c r="R1570" s="1">
        <v>263</v>
      </c>
      <c r="U1570" s="12">
        <v>44256</v>
      </c>
      <c r="W1570" s="1">
        <v>1</v>
      </c>
    </row>
    <row r="1571" spans="1:23" x14ac:dyDescent="0.25">
      <c r="A1571" s="2">
        <v>26</v>
      </c>
      <c r="B1571" t="s">
        <v>1001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624</v>
      </c>
      <c r="P1571" s="18" t="s">
        <v>625</v>
      </c>
      <c r="Q1571" s="1">
        <f t="shared" si="57"/>
        <v>1</v>
      </c>
      <c r="R1571" s="1">
        <v>263</v>
      </c>
      <c r="U1571" s="12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624</v>
      </c>
      <c r="P1572" s="18" t="s">
        <v>625</v>
      </c>
      <c r="Q1572" s="1">
        <f t="shared" si="57"/>
        <v>1</v>
      </c>
      <c r="R1572" s="1">
        <v>263</v>
      </c>
      <c r="U1572" s="12">
        <v>44256</v>
      </c>
    </row>
    <row r="1573" spans="1:23" x14ac:dyDescent="0.25">
      <c r="A1573" s="2">
        <v>26</v>
      </c>
      <c r="B1573" t="s">
        <v>682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624</v>
      </c>
      <c r="P1573" s="18" t="s">
        <v>625</v>
      </c>
      <c r="Q1573" s="1">
        <f t="shared" si="57"/>
        <v>1</v>
      </c>
      <c r="R1573" s="1">
        <v>263</v>
      </c>
      <c r="U1573" s="12">
        <v>44256</v>
      </c>
    </row>
    <row r="1574" spans="1:23" x14ac:dyDescent="0.25">
      <c r="A1574" s="2">
        <v>26</v>
      </c>
      <c r="B1574" t="s">
        <v>438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624</v>
      </c>
      <c r="P1574" s="18" t="s">
        <v>625</v>
      </c>
      <c r="Q1574" s="1">
        <f t="shared" si="57"/>
        <v>1</v>
      </c>
      <c r="R1574" s="1">
        <v>263</v>
      </c>
      <c r="U1574" s="12">
        <v>44256</v>
      </c>
    </row>
    <row r="1575" spans="1:23" x14ac:dyDescent="0.25">
      <c r="A1575" s="2">
        <v>26</v>
      </c>
      <c r="B1575" t="s">
        <v>297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624</v>
      </c>
      <c r="P1575" s="18" t="s">
        <v>625</v>
      </c>
      <c r="Q1575" s="1">
        <f t="shared" si="57"/>
        <v>1</v>
      </c>
      <c r="R1575" s="1">
        <v>263</v>
      </c>
      <c r="U1575" s="12">
        <v>44256</v>
      </c>
    </row>
    <row r="1576" spans="1:23" x14ac:dyDescent="0.25">
      <c r="A1576" s="2">
        <v>26</v>
      </c>
      <c r="B1576" s="21" t="s">
        <v>1002</v>
      </c>
      <c r="J1576" s="1"/>
      <c r="M1576" t="s">
        <v>15</v>
      </c>
      <c r="N1576" t="str">
        <f>IFERROR(VLOOKUP(B1576,'[1]All Player'!$B$2:$C$1992,2,0),"")</f>
        <v/>
      </c>
      <c r="O1576" s="2" t="s">
        <v>624</v>
      </c>
      <c r="P1576" s="18" t="s">
        <v>1002</v>
      </c>
      <c r="Q1576" s="1">
        <f t="shared" si="57"/>
        <v>1</v>
      </c>
      <c r="R1576" s="1">
        <v>264</v>
      </c>
      <c r="U1576" s="12">
        <v>44256</v>
      </c>
    </row>
    <row r="1577" spans="1:23" x14ac:dyDescent="0.25">
      <c r="A1577" s="2">
        <v>26</v>
      </c>
      <c r="B1577" t="s">
        <v>1003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624</v>
      </c>
      <c r="P1577" s="18" t="s">
        <v>1002</v>
      </c>
      <c r="Q1577" s="1">
        <f t="shared" si="57"/>
        <v>1</v>
      </c>
      <c r="R1577" s="1">
        <v>264</v>
      </c>
      <c r="U1577" s="12">
        <v>44256</v>
      </c>
    </row>
    <row r="1578" spans="1:23" x14ac:dyDescent="0.25">
      <c r="A1578" s="2">
        <v>26</v>
      </c>
      <c r="B1578" t="s">
        <v>731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624</v>
      </c>
      <c r="P1578" s="18" t="s">
        <v>1002</v>
      </c>
      <c r="Q1578" s="1">
        <f t="shared" si="57"/>
        <v>1</v>
      </c>
      <c r="R1578" s="1">
        <v>264</v>
      </c>
      <c r="U1578" s="12">
        <v>44256</v>
      </c>
    </row>
    <row r="1579" spans="1:23" x14ac:dyDescent="0.25">
      <c r="A1579" s="2">
        <v>26</v>
      </c>
      <c r="B1579" t="s">
        <v>1004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624</v>
      </c>
      <c r="P1579" s="18" t="s">
        <v>1002</v>
      </c>
      <c r="Q1579" s="1">
        <f t="shared" si="57"/>
        <v>1</v>
      </c>
      <c r="R1579" s="1">
        <v>264</v>
      </c>
      <c r="U1579" s="12">
        <v>44256</v>
      </c>
    </row>
    <row r="1580" spans="1:23" x14ac:dyDescent="0.25">
      <c r="A1580" s="2">
        <v>26</v>
      </c>
      <c r="B1580" t="s">
        <v>1005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624</v>
      </c>
      <c r="P1580" s="18" t="s">
        <v>1002</v>
      </c>
      <c r="Q1580" s="1">
        <f t="shared" si="57"/>
        <v>1</v>
      </c>
      <c r="R1580" s="1">
        <v>264</v>
      </c>
      <c r="U1580" s="12">
        <v>44256</v>
      </c>
    </row>
    <row r="1581" spans="1:23" x14ac:dyDescent="0.25">
      <c r="A1581" s="2">
        <v>26</v>
      </c>
      <c r="B1581" t="s">
        <v>1006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624</v>
      </c>
      <c r="P1581" s="18" t="s">
        <v>1002</v>
      </c>
      <c r="Q1581" s="1">
        <f t="shared" si="57"/>
        <v>1</v>
      </c>
      <c r="R1581" s="1">
        <v>264</v>
      </c>
      <c r="U1581" s="12">
        <v>44256</v>
      </c>
    </row>
    <row r="1582" spans="1:23" x14ac:dyDescent="0.25">
      <c r="A1582" s="2">
        <v>27</v>
      </c>
      <c r="B1582" s="34" t="s">
        <v>1007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627</v>
      </c>
      <c r="P1582" s="18" t="s">
        <v>1007</v>
      </c>
      <c r="Q1582" s="1">
        <f t="shared" si="57"/>
        <v>1</v>
      </c>
      <c r="R1582" s="1">
        <v>265</v>
      </c>
      <c r="U1582" s="12">
        <v>44374</v>
      </c>
    </row>
    <row r="1583" spans="1:23" x14ac:dyDescent="0.25">
      <c r="A1583" s="2">
        <v>27</v>
      </c>
      <c r="B1583" t="s">
        <v>728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627</v>
      </c>
      <c r="P1583" s="18" t="s">
        <v>1007</v>
      </c>
      <c r="Q1583" s="1">
        <f t="shared" si="57"/>
        <v>1</v>
      </c>
      <c r="R1583" s="1">
        <v>265</v>
      </c>
      <c r="U1583" s="12">
        <v>44374</v>
      </c>
    </row>
    <row r="1584" spans="1:23" x14ac:dyDescent="0.25">
      <c r="A1584" s="2">
        <v>27</v>
      </c>
      <c r="B1584" t="s">
        <v>967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627</v>
      </c>
      <c r="P1584" s="18" t="s">
        <v>1007</v>
      </c>
      <c r="Q1584" s="1">
        <f t="shared" si="57"/>
        <v>1</v>
      </c>
      <c r="R1584" s="1">
        <v>265</v>
      </c>
      <c r="U1584" s="12">
        <v>44374</v>
      </c>
    </row>
    <row r="1585" spans="1:23" x14ac:dyDescent="0.25">
      <c r="A1585" s="2">
        <v>27</v>
      </c>
      <c r="B1585" t="s">
        <v>1008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627</v>
      </c>
      <c r="P1585" s="18" t="s">
        <v>1007</v>
      </c>
      <c r="Q1585" s="1">
        <f t="shared" si="57"/>
        <v>1</v>
      </c>
      <c r="R1585" s="1">
        <v>265</v>
      </c>
      <c r="U1585" s="12">
        <v>44374</v>
      </c>
    </row>
    <row r="1586" spans="1:23" x14ac:dyDescent="0.25">
      <c r="A1586" s="2">
        <v>27</v>
      </c>
      <c r="B1586" t="s">
        <v>1009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627</v>
      </c>
      <c r="P1586" s="18" t="s">
        <v>1007</v>
      </c>
      <c r="Q1586" s="1">
        <f t="shared" si="57"/>
        <v>1</v>
      </c>
      <c r="R1586" s="1">
        <v>265</v>
      </c>
      <c r="U1586" s="12">
        <v>44374</v>
      </c>
    </row>
    <row r="1587" spans="1:23" x14ac:dyDescent="0.25">
      <c r="A1587" s="2">
        <v>27</v>
      </c>
      <c r="B1587" t="s">
        <v>1004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627</v>
      </c>
      <c r="P1587" s="18" t="s">
        <v>1007</v>
      </c>
      <c r="Q1587" s="1">
        <f t="shared" si="57"/>
        <v>1</v>
      </c>
      <c r="R1587" s="1">
        <v>265</v>
      </c>
      <c r="U1587" s="12">
        <v>44374</v>
      </c>
    </row>
    <row r="1588" spans="1:23" x14ac:dyDescent="0.25">
      <c r="A1588" s="2">
        <v>27</v>
      </c>
      <c r="B1588" t="s">
        <v>1010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627</v>
      </c>
      <c r="P1588" s="18" t="s">
        <v>1007</v>
      </c>
      <c r="Q1588" s="1">
        <f t="shared" si="57"/>
        <v>1</v>
      </c>
      <c r="R1588" s="1">
        <v>265</v>
      </c>
      <c r="U1588" s="12">
        <v>44374</v>
      </c>
    </row>
    <row r="1589" spans="1:23" x14ac:dyDescent="0.25">
      <c r="A1589" s="2">
        <v>27</v>
      </c>
      <c r="B1589" s="34" t="s">
        <v>630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627</v>
      </c>
      <c r="P1589" s="18" t="s">
        <v>630</v>
      </c>
      <c r="Q1589" s="1">
        <f t="shared" si="57"/>
        <v>1</v>
      </c>
      <c r="R1589" s="1">
        <v>266</v>
      </c>
      <c r="U1589" s="12">
        <v>44374</v>
      </c>
    </row>
    <row r="1590" spans="1:23" x14ac:dyDescent="0.25">
      <c r="A1590" s="2">
        <v>27</v>
      </c>
      <c r="B1590" t="s">
        <v>716</v>
      </c>
      <c r="C1590" s="1">
        <v>11</v>
      </c>
      <c r="D1590" s="1">
        <v>182</v>
      </c>
      <c r="E1590" s="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627</v>
      </c>
      <c r="P1590" s="18" t="s">
        <v>630</v>
      </c>
      <c r="Q1590" s="1">
        <f t="shared" si="57"/>
        <v>1</v>
      </c>
      <c r="R1590" s="1">
        <v>266</v>
      </c>
      <c r="U1590" s="12">
        <v>44374</v>
      </c>
      <c r="W1590" s="1">
        <v>1</v>
      </c>
    </row>
    <row r="1591" spans="1:23" x14ac:dyDescent="0.25">
      <c r="A1591" s="2">
        <v>27</v>
      </c>
      <c r="B1591" t="s">
        <v>690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627</v>
      </c>
      <c r="P1591" s="18" t="s">
        <v>630</v>
      </c>
      <c r="Q1591" s="1">
        <f t="shared" si="57"/>
        <v>1</v>
      </c>
      <c r="R1591" s="1">
        <v>266</v>
      </c>
      <c r="U1591" s="12">
        <v>44374</v>
      </c>
    </row>
    <row r="1592" spans="1:23" x14ac:dyDescent="0.25">
      <c r="A1592" s="2">
        <v>27</v>
      </c>
      <c r="B1592" t="s">
        <v>960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627</v>
      </c>
      <c r="P1592" s="18" t="s">
        <v>630</v>
      </c>
      <c r="Q1592" s="1">
        <f t="shared" si="57"/>
        <v>1</v>
      </c>
      <c r="R1592" s="1">
        <v>266</v>
      </c>
      <c r="U1592" s="12">
        <v>44374</v>
      </c>
    </row>
    <row r="1593" spans="1:23" x14ac:dyDescent="0.25">
      <c r="A1593" s="2">
        <v>27</v>
      </c>
      <c r="B1593" t="s">
        <v>995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627</v>
      </c>
      <c r="P1593" s="18" t="s">
        <v>630</v>
      </c>
      <c r="Q1593" s="1">
        <f t="shared" si="57"/>
        <v>1</v>
      </c>
      <c r="R1593" s="1">
        <v>266</v>
      </c>
      <c r="U1593" s="12">
        <v>44374</v>
      </c>
    </row>
    <row r="1594" spans="1:23" x14ac:dyDescent="0.25">
      <c r="A1594" s="2">
        <v>27</v>
      </c>
      <c r="B1594" t="s">
        <v>978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627</v>
      </c>
      <c r="P1594" s="18" t="s">
        <v>630</v>
      </c>
      <c r="Q1594" s="1">
        <f t="shared" si="57"/>
        <v>1</v>
      </c>
      <c r="R1594" s="1">
        <v>266</v>
      </c>
      <c r="U1594" s="12">
        <v>44374</v>
      </c>
    </row>
    <row r="1595" spans="1:23" x14ac:dyDescent="0.25">
      <c r="A1595" s="2">
        <v>27</v>
      </c>
      <c r="B1595" t="s">
        <v>446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627</v>
      </c>
      <c r="P1595" s="18" t="s">
        <v>630</v>
      </c>
      <c r="Q1595" s="1">
        <f t="shared" si="57"/>
        <v>1</v>
      </c>
      <c r="R1595" s="1">
        <v>266</v>
      </c>
      <c r="U1595" s="12">
        <v>44374</v>
      </c>
    </row>
    <row r="1596" spans="1:23" x14ac:dyDescent="0.25">
      <c r="A1596" s="2">
        <v>27</v>
      </c>
      <c r="B1596" s="34" t="s">
        <v>631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627</v>
      </c>
      <c r="P1596" s="18" t="s">
        <v>631</v>
      </c>
      <c r="Q1596" s="1">
        <f t="shared" si="57"/>
        <v>1</v>
      </c>
      <c r="R1596" s="1">
        <v>267</v>
      </c>
      <c r="T1596" s="1" t="s">
        <v>661</v>
      </c>
      <c r="U1596" s="12">
        <v>44374</v>
      </c>
    </row>
    <row r="1597" spans="1:23" x14ac:dyDescent="0.25">
      <c r="A1597" s="2">
        <v>27</v>
      </c>
      <c r="B1597" t="s">
        <v>958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627</v>
      </c>
      <c r="P1597" s="18" t="s">
        <v>631</v>
      </c>
      <c r="Q1597" s="1">
        <f t="shared" si="57"/>
        <v>1</v>
      </c>
      <c r="R1597" s="1">
        <v>267</v>
      </c>
      <c r="T1597" s="1" t="s">
        <v>661</v>
      </c>
      <c r="U1597" s="12">
        <v>44374</v>
      </c>
    </row>
    <row r="1598" spans="1:23" x14ac:dyDescent="0.25">
      <c r="A1598" s="2">
        <v>27</v>
      </c>
      <c r="B1598" t="s">
        <v>731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627</v>
      </c>
      <c r="P1598" s="18" t="s">
        <v>631</v>
      </c>
      <c r="Q1598" s="1">
        <f t="shared" si="57"/>
        <v>1</v>
      </c>
      <c r="R1598" s="1">
        <v>267</v>
      </c>
      <c r="T1598" s="1" t="s">
        <v>661</v>
      </c>
      <c r="U1598" s="12">
        <v>44374</v>
      </c>
    </row>
    <row r="1599" spans="1:23" x14ac:dyDescent="0.25">
      <c r="A1599" s="2">
        <v>27</v>
      </c>
      <c r="B1599" t="s">
        <v>964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627</v>
      </c>
      <c r="P1599" s="18" t="s">
        <v>631</v>
      </c>
      <c r="Q1599" s="1">
        <f t="shared" si="57"/>
        <v>1</v>
      </c>
      <c r="R1599" s="1">
        <v>267</v>
      </c>
      <c r="T1599" s="1" t="s">
        <v>661</v>
      </c>
      <c r="U1599" s="12">
        <v>44374</v>
      </c>
    </row>
    <row r="1600" spans="1:23" x14ac:dyDescent="0.25">
      <c r="A1600" s="2">
        <v>27</v>
      </c>
      <c r="B1600" t="s">
        <v>1000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627</v>
      </c>
      <c r="P1600" s="20" t="s">
        <v>631</v>
      </c>
      <c r="Q1600" s="1">
        <f t="shared" si="57"/>
        <v>1</v>
      </c>
      <c r="R1600" s="1">
        <v>267</v>
      </c>
      <c r="T1600" s="1" t="s">
        <v>661</v>
      </c>
      <c r="U1600" s="12">
        <v>44374</v>
      </c>
    </row>
    <row r="1601" spans="1:22" x14ac:dyDescent="0.25">
      <c r="A1601" s="2">
        <v>27</v>
      </c>
      <c r="B1601" t="s">
        <v>1011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627</v>
      </c>
      <c r="P1601" s="20" t="s">
        <v>631</v>
      </c>
      <c r="Q1601" s="1">
        <f t="shared" si="57"/>
        <v>1</v>
      </c>
      <c r="R1601" s="1">
        <v>267</v>
      </c>
      <c r="T1601" s="1" t="s">
        <v>661</v>
      </c>
      <c r="U1601" s="12">
        <v>44374</v>
      </c>
      <c r="V1601" s="1">
        <v>1</v>
      </c>
    </row>
    <row r="1602" spans="1:22" x14ac:dyDescent="0.25">
      <c r="A1602" s="2">
        <v>27</v>
      </c>
      <c r="B1602" t="s">
        <v>1012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627</v>
      </c>
      <c r="P1602" s="20" t="s">
        <v>631</v>
      </c>
      <c r="Q1602" s="1">
        <f t="shared" ref="Q1602:Q1665" si="58">IF(B1602="","",1)</f>
        <v>1</v>
      </c>
      <c r="R1602" s="1">
        <v>267</v>
      </c>
      <c r="T1602" s="1" t="s">
        <v>661</v>
      </c>
      <c r="U1602" s="12">
        <v>44374</v>
      </c>
    </row>
    <row r="1603" spans="1:22" x14ac:dyDescent="0.25">
      <c r="A1603" s="2">
        <v>27</v>
      </c>
      <c r="B1603" s="34" t="s">
        <v>1013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627</v>
      </c>
      <c r="P1603" s="18" t="s">
        <v>1013</v>
      </c>
      <c r="Q1603" s="1">
        <f t="shared" si="58"/>
        <v>1</v>
      </c>
      <c r="R1603" s="1">
        <v>268</v>
      </c>
      <c r="U1603" s="12">
        <v>44374</v>
      </c>
    </row>
    <row r="1604" spans="1:22" x14ac:dyDescent="0.25">
      <c r="A1604" s="2">
        <v>27</v>
      </c>
      <c r="B1604" t="s">
        <v>957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627</v>
      </c>
      <c r="P1604" s="20" t="s">
        <v>1013</v>
      </c>
      <c r="Q1604" s="1">
        <f t="shared" si="58"/>
        <v>1</v>
      </c>
      <c r="R1604" s="1">
        <v>268</v>
      </c>
      <c r="U1604" s="12">
        <v>44374</v>
      </c>
    </row>
    <row r="1605" spans="1:22" x14ac:dyDescent="0.25">
      <c r="A1605" s="2">
        <v>27</v>
      </c>
      <c r="B1605" t="s">
        <v>1014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627</v>
      </c>
      <c r="P1605" s="20" t="s">
        <v>1013</v>
      </c>
      <c r="Q1605" s="1">
        <f t="shared" si="58"/>
        <v>1</v>
      </c>
      <c r="R1605" s="1">
        <v>268</v>
      </c>
      <c r="U1605" s="12">
        <v>44374</v>
      </c>
    </row>
    <row r="1606" spans="1:22" x14ac:dyDescent="0.25">
      <c r="A1606" s="2">
        <v>27</v>
      </c>
      <c r="B1606" t="s">
        <v>971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627</v>
      </c>
      <c r="P1606" s="20" t="s">
        <v>1013</v>
      </c>
      <c r="Q1606" s="1">
        <f t="shared" si="58"/>
        <v>1</v>
      </c>
      <c r="R1606" s="1">
        <v>268</v>
      </c>
      <c r="U1606" s="12">
        <v>44374</v>
      </c>
    </row>
    <row r="1607" spans="1:22" x14ac:dyDescent="0.25">
      <c r="A1607" s="2">
        <v>27</v>
      </c>
      <c r="B1607" t="s">
        <v>993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627</v>
      </c>
      <c r="P1607" s="20" t="s">
        <v>1013</v>
      </c>
      <c r="Q1607" s="1">
        <f t="shared" si="58"/>
        <v>1</v>
      </c>
      <c r="R1607" s="1">
        <v>268</v>
      </c>
      <c r="U1607" s="12">
        <v>44374</v>
      </c>
    </row>
    <row r="1608" spans="1:22" x14ac:dyDescent="0.25">
      <c r="A1608" s="2">
        <v>27</v>
      </c>
      <c r="B1608" t="s">
        <v>973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627</v>
      </c>
      <c r="P1608" s="20" t="s">
        <v>1013</v>
      </c>
      <c r="Q1608" s="1">
        <f t="shared" si="58"/>
        <v>1</v>
      </c>
      <c r="R1608" s="1">
        <v>268</v>
      </c>
      <c r="U1608" s="12">
        <v>44374</v>
      </c>
    </row>
    <row r="1609" spans="1:22" x14ac:dyDescent="0.25">
      <c r="A1609" s="2">
        <v>27</v>
      </c>
      <c r="B1609" t="s">
        <v>1015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627</v>
      </c>
      <c r="P1609" s="20" t="s">
        <v>1013</v>
      </c>
      <c r="Q1609" s="1">
        <f t="shared" si="58"/>
        <v>1</v>
      </c>
      <c r="R1609" s="1">
        <v>268</v>
      </c>
      <c r="U1609" s="12">
        <v>44374</v>
      </c>
    </row>
    <row r="1610" spans="1:22" x14ac:dyDescent="0.25">
      <c r="A1610" s="2">
        <v>27</v>
      </c>
      <c r="B1610" s="34" t="s">
        <v>632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627</v>
      </c>
      <c r="P1610" s="18" t="s">
        <v>632</v>
      </c>
      <c r="Q1610" s="1">
        <f t="shared" si="58"/>
        <v>1</v>
      </c>
      <c r="R1610" s="1">
        <v>269</v>
      </c>
      <c r="U1610" s="12">
        <v>44374</v>
      </c>
    </row>
    <row r="1611" spans="1:22" x14ac:dyDescent="0.25">
      <c r="A1611" s="2">
        <v>27</v>
      </c>
      <c r="B1611" t="s">
        <v>987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627</v>
      </c>
      <c r="P1611" s="20" t="s">
        <v>632</v>
      </c>
      <c r="Q1611" s="1">
        <f t="shared" si="58"/>
        <v>1</v>
      </c>
      <c r="R1611" s="1">
        <v>269</v>
      </c>
      <c r="U1611" s="12">
        <v>44374</v>
      </c>
    </row>
    <row r="1612" spans="1:22" x14ac:dyDescent="0.25">
      <c r="A1612" s="2">
        <v>27</v>
      </c>
      <c r="B1612" t="s">
        <v>426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627</v>
      </c>
      <c r="P1612" s="20" t="s">
        <v>632</v>
      </c>
      <c r="Q1612" s="1">
        <f t="shared" si="58"/>
        <v>1</v>
      </c>
      <c r="R1612" s="1">
        <v>269</v>
      </c>
      <c r="U1612" s="12">
        <v>44374</v>
      </c>
    </row>
    <row r="1613" spans="1:22" x14ac:dyDescent="0.25">
      <c r="A1613" s="2">
        <v>27</v>
      </c>
      <c r="B1613" t="s">
        <v>990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627</v>
      </c>
      <c r="P1613" s="20" t="s">
        <v>632</v>
      </c>
      <c r="Q1613" s="1">
        <f t="shared" si="58"/>
        <v>1</v>
      </c>
      <c r="R1613" s="1">
        <v>269</v>
      </c>
      <c r="U1613" s="12">
        <v>44374</v>
      </c>
    </row>
    <row r="1614" spans="1:22" x14ac:dyDescent="0.25">
      <c r="A1614" s="2">
        <v>27</v>
      </c>
      <c r="B1614" t="s">
        <v>953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627</v>
      </c>
      <c r="P1614" s="20" t="s">
        <v>632</v>
      </c>
      <c r="Q1614" s="1">
        <f t="shared" si="58"/>
        <v>1</v>
      </c>
      <c r="R1614" s="1">
        <v>269</v>
      </c>
      <c r="U1614" s="12">
        <v>44374</v>
      </c>
    </row>
    <row r="1615" spans="1:22" x14ac:dyDescent="0.25">
      <c r="A1615" s="2">
        <v>27</v>
      </c>
      <c r="B1615" t="s">
        <v>1001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627</v>
      </c>
      <c r="P1615" s="20" t="s">
        <v>632</v>
      </c>
      <c r="Q1615" s="1">
        <f t="shared" si="58"/>
        <v>1</v>
      </c>
      <c r="R1615" s="1">
        <v>269</v>
      </c>
      <c r="U1615" s="12">
        <v>44374</v>
      </c>
    </row>
    <row r="1616" spans="1:22" x14ac:dyDescent="0.25">
      <c r="A1616" s="2">
        <v>27</v>
      </c>
      <c r="B1616" t="s">
        <v>450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627</v>
      </c>
      <c r="P1616" s="20" t="s">
        <v>632</v>
      </c>
      <c r="Q1616" s="1">
        <f t="shared" si="58"/>
        <v>1</v>
      </c>
      <c r="R1616" s="1">
        <v>269</v>
      </c>
      <c r="U1616" s="12">
        <v>44374</v>
      </c>
    </row>
    <row r="1617" spans="1:21" x14ac:dyDescent="0.25">
      <c r="A1617" s="2">
        <v>27</v>
      </c>
      <c r="B1617" s="34" t="s">
        <v>633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627</v>
      </c>
      <c r="P1617" s="18" t="s">
        <v>633</v>
      </c>
      <c r="Q1617" s="1">
        <f t="shared" si="58"/>
        <v>1</v>
      </c>
      <c r="R1617" s="1">
        <v>270</v>
      </c>
      <c r="U1617" s="12">
        <v>44374</v>
      </c>
    </row>
    <row r="1618" spans="1:21" x14ac:dyDescent="0.25">
      <c r="A1618" s="2">
        <v>27</v>
      </c>
      <c r="B1618" t="s">
        <v>985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627</v>
      </c>
      <c r="P1618" s="20" t="s">
        <v>633</v>
      </c>
      <c r="Q1618" s="1">
        <f t="shared" si="58"/>
        <v>1</v>
      </c>
      <c r="R1618" s="1">
        <v>270</v>
      </c>
      <c r="U1618" s="12">
        <v>44374</v>
      </c>
    </row>
    <row r="1619" spans="1:21" x14ac:dyDescent="0.25">
      <c r="A1619" s="2">
        <v>27</v>
      </c>
      <c r="B1619" t="s">
        <v>689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627</v>
      </c>
      <c r="P1619" s="20" t="s">
        <v>633</v>
      </c>
      <c r="Q1619" s="1">
        <f t="shared" si="58"/>
        <v>1</v>
      </c>
      <c r="R1619" s="1">
        <v>270</v>
      </c>
      <c r="U1619" s="12">
        <v>44374</v>
      </c>
    </row>
    <row r="1620" spans="1:21" x14ac:dyDescent="0.25">
      <c r="A1620" s="2">
        <v>27</v>
      </c>
      <c r="B1620" t="s">
        <v>121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627</v>
      </c>
      <c r="P1620" s="20" t="s">
        <v>633</v>
      </c>
      <c r="Q1620" s="1">
        <f t="shared" si="58"/>
        <v>1</v>
      </c>
      <c r="R1620" s="1">
        <v>270</v>
      </c>
      <c r="U1620" s="12">
        <v>44374</v>
      </c>
    </row>
    <row r="1621" spans="1:21" x14ac:dyDescent="0.25">
      <c r="A1621" s="2">
        <v>27</v>
      </c>
      <c r="B1621" t="s">
        <v>424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627</v>
      </c>
      <c r="P1621" s="20" t="s">
        <v>633</v>
      </c>
      <c r="Q1621" s="1">
        <f t="shared" si="58"/>
        <v>1</v>
      </c>
      <c r="R1621" s="1">
        <v>270</v>
      </c>
      <c r="U1621" s="12">
        <v>44374</v>
      </c>
    </row>
    <row r="1622" spans="1:21" x14ac:dyDescent="0.25">
      <c r="A1622" s="2">
        <v>27</v>
      </c>
      <c r="B1622" t="s">
        <v>299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627</v>
      </c>
      <c r="P1622" s="20" t="s">
        <v>633</v>
      </c>
      <c r="Q1622" s="1">
        <f t="shared" si="58"/>
        <v>1</v>
      </c>
      <c r="R1622" s="1">
        <v>270</v>
      </c>
      <c r="U1622" s="12">
        <v>44374</v>
      </c>
    </row>
    <row r="1623" spans="1:21" x14ac:dyDescent="0.25">
      <c r="A1623" s="2">
        <v>27</v>
      </c>
      <c r="B1623" t="s">
        <v>452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627</v>
      </c>
      <c r="P1623" s="20" t="s">
        <v>633</v>
      </c>
      <c r="Q1623" s="1">
        <f t="shared" si="58"/>
        <v>1</v>
      </c>
      <c r="R1623" s="1">
        <v>270</v>
      </c>
      <c r="U1623" s="12">
        <v>44374</v>
      </c>
    </row>
    <row r="1624" spans="1:21" x14ac:dyDescent="0.25">
      <c r="A1624" s="2">
        <v>27</v>
      </c>
      <c r="B1624" s="34" t="s">
        <v>628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627</v>
      </c>
      <c r="P1624" s="18" t="s">
        <v>628</v>
      </c>
      <c r="Q1624" s="1">
        <f t="shared" si="58"/>
        <v>1</v>
      </c>
      <c r="R1624" s="1">
        <v>271</v>
      </c>
      <c r="T1624" s="1" t="s">
        <v>794</v>
      </c>
      <c r="U1624" s="12">
        <v>44374</v>
      </c>
    </row>
    <row r="1625" spans="1:21" x14ac:dyDescent="0.25">
      <c r="A1625" s="2">
        <v>27</v>
      </c>
      <c r="B1625" t="s">
        <v>229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627</v>
      </c>
      <c r="P1625" s="20" t="s">
        <v>628</v>
      </c>
      <c r="Q1625" s="1">
        <f t="shared" si="58"/>
        <v>1</v>
      </c>
      <c r="R1625" s="1">
        <v>271</v>
      </c>
      <c r="T1625" s="1" t="s">
        <v>794</v>
      </c>
      <c r="U1625" s="12">
        <v>44374</v>
      </c>
    </row>
    <row r="1626" spans="1:21" x14ac:dyDescent="0.25">
      <c r="A1626" s="2">
        <v>27</v>
      </c>
      <c r="B1626" t="s">
        <v>996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627</v>
      </c>
      <c r="P1626" s="20" t="s">
        <v>628</v>
      </c>
      <c r="Q1626" s="1">
        <f t="shared" si="58"/>
        <v>1</v>
      </c>
      <c r="R1626" s="1">
        <v>271</v>
      </c>
      <c r="T1626" s="1" t="s">
        <v>794</v>
      </c>
      <c r="U1626" s="12">
        <v>44374</v>
      </c>
    </row>
    <row r="1627" spans="1:21" x14ac:dyDescent="0.25">
      <c r="A1627" s="2">
        <v>27</v>
      </c>
      <c r="B1627" t="s">
        <v>963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627</v>
      </c>
      <c r="P1627" s="20" t="s">
        <v>628</v>
      </c>
      <c r="Q1627" s="1">
        <f t="shared" si="58"/>
        <v>1</v>
      </c>
      <c r="R1627" s="1">
        <v>271</v>
      </c>
      <c r="T1627" s="1" t="s">
        <v>794</v>
      </c>
      <c r="U1627" s="12">
        <v>44374</v>
      </c>
    </row>
    <row r="1628" spans="1:21" x14ac:dyDescent="0.25">
      <c r="A1628" s="2">
        <v>27</v>
      </c>
      <c r="B1628" t="s">
        <v>977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627</v>
      </c>
      <c r="P1628" s="20" t="s">
        <v>628</v>
      </c>
      <c r="Q1628" s="1">
        <f t="shared" si="58"/>
        <v>1</v>
      </c>
      <c r="R1628" s="1">
        <v>271</v>
      </c>
      <c r="T1628" s="1" t="s">
        <v>794</v>
      </c>
      <c r="U1628" s="12">
        <v>44374</v>
      </c>
    </row>
    <row r="1629" spans="1:21" x14ac:dyDescent="0.25">
      <c r="A1629" s="2">
        <v>27</v>
      </c>
      <c r="B1629" t="s">
        <v>1016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627</v>
      </c>
      <c r="P1629" s="20" t="s">
        <v>628</v>
      </c>
      <c r="Q1629" s="1">
        <f t="shared" si="58"/>
        <v>1</v>
      </c>
      <c r="R1629" s="1">
        <v>271</v>
      </c>
      <c r="T1629" s="1" t="s">
        <v>794</v>
      </c>
      <c r="U1629" s="12">
        <v>44374</v>
      </c>
    </row>
    <row r="1630" spans="1:21" x14ac:dyDescent="0.25">
      <c r="A1630" s="2">
        <v>27</v>
      </c>
      <c r="B1630" t="s">
        <v>1017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627</v>
      </c>
      <c r="P1630" s="20" t="s">
        <v>628</v>
      </c>
      <c r="Q1630" s="1">
        <f t="shared" si="58"/>
        <v>1</v>
      </c>
      <c r="R1630" s="1">
        <v>271</v>
      </c>
      <c r="T1630" s="1" t="s">
        <v>794</v>
      </c>
      <c r="U1630" s="12">
        <v>44374</v>
      </c>
    </row>
    <row r="1631" spans="1:21" x14ac:dyDescent="0.25">
      <c r="A1631" s="2">
        <v>27</v>
      </c>
      <c r="B1631" s="34" t="s">
        <v>1018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627</v>
      </c>
      <c r="P1631" s="18" t="s">
        <v>1018</v>
      </c>
      <c r="Q1631" s="1">
        <f t="shared" si="58"/>
        <v>1</v>
      </c>
      <c r="R1631" s="1">
        <v>272</v>
      </c>
      <c r="T1631" s="1" t="s">
        <v>674</v>
      </c>
      <c r="U1631" s="12">
        <v>44374</v>
      </c>
    </row>
    <row r="1632" spans="1:21" x14ac:dyDescent="0.25">
      <c r="A1632" s="2">
        <v>27</v>
      </c>
      <c r="B1632" t="s">
        <v>966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627</v>
      </c>
      <c r="P1632" s="20" t="s">
        <v>1018</v>
      </c>
      <c r="Q1632" s="1">
        <f t="shared" si="58"/>
        <v>1</v>
      </c>
      <c r="R1632" s="1">
        <v>272</v>
      </c>
      <c r="T1632" s="1" t="s">
        <v>674</v>
      </c>
      <c r="U1632" s="12">
        <v>44374</v>
      </c>
    </row>
    <row r="1633" spans="1:23" x14ac:dyDescent="0.25">
      <c r="A1633" s="2">
        <v>27</v>
      </c>
      <c r="B1633" t="s">
        <v>962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627</v>
      </c>
      <c r="P1633" s="20" t="s">
        <v>1018</v>
      </c>
      <c r="Q1633" s="1">
        <f t="shared" si="58"/>
        <v>1</v>
      </c>
      <c r="R1633" s="1">
        <v>272</v>
      </c>
      <c r="T1633" s="1" t="s">
        <v>674</v>
      </c>
      <c r="U1633" s="12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627</v>
      </c>
      <c r="P1634" s="20" t="s">
        <v>1018</v>
      </c>
      <c r="Q1634" s="1">
        <f t="shared" si="58"/>
        <v>1</v>
      </c>
      <c r="R1634" s="1">
        <v>272</v>
      </c>
      <c r="T1634" s="1" t="s">
        <v>674</v>
      </c>
      <c r="U1634" s="12">
        <v>44374</v>
      </c>
    </row>
    <row r="1635" spans="1:23" x14ac:dyDescent="0.25">
      <c r="A1635" s="2">
        <v>27</v>
      </c>
      <c r="B1635" t="s">
        <v>1006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627</v>
      </c>
      <c r="P1635" s="20" t="s">
        <v>1018</v>
      </c>
      <c r="Q1635" s="1">
        <f t="shared" si="58"/>
        <v>1</v>
      </c>
      <c r="R1635" s="1">
        <v>272</v>
      </c>
      <c r="T1635" s="1" t="s">
        <v>674</v>
      </c>
      <c r="U1635" s="12">
        <v>44374</v>
      </c>
    </row>
    <row r="1636" spans="1:23" x14ac:dyDescent="0.25">
      <c r="A1636" s="2">
        <v>27</v>
      </c>
      <c r="B1636" t="s">
        <v>682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627</v>
      </c>
      <c r="P1636" s="20" t="s">
        <v>1018</v>
      </c>
      <c r="Q1636" s="1">
        <f t="shared" si="58"/>
        <v>1</v>
      </c>
      <c r="R1636" s="1">
        <v>272</v>
      </c>
      <c r="T1636" s="1" t="s">
        <v>674</v>
      </c>
      <c r="U1636" s="12">
        <v>44374</v>
      </c>
    </row>
    <row r="1637" spans="1:23" x14ac:dyDescent="0.25">
      <c r="A1637" s="2">
        <v>27</v>
      </c>
      <c r="B1637" t="s">
        <v>1019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627</v>
      </c>
      <c r="P1637" s="20" t="s">
        <v>1018</v>
      </c>
      <c r="Q1637" s="1">
        <f t="shared" si="58"/>
        <v>1</v>
      </c>
      <c r="R1637" s="1">
        <v>272</v>
      </c>
      <c r="T1637" s="1" t="s">
        <v>674</v>
      </c>
      <c r="U1637" s="12">
        <v>44374</v>
      </c>
    </row>
    <row r="1638" spans="1:23" x14ac:dyDescent="0.25">
      <c r="A1638" s="2">
        <v>27</v>
      </c>
      <c r="B1638" s="34" t="s">
        <v>1020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627</v>
      </c>
      <c r="P1638" s="18" t="s">
        <v>1020</v>
      </c>
      <c r="Q1638" s="1">
        <f t="shared" si="58"/>
        <v>1</v>
      </c>
      <c r="R1638" s="1">
        <v>273</v>
      </c>
      <c r="U1638" s="12">
        <v>44374</v>
      </c>
    </row>
    <row r="1639" spans="1:23" x14ac:dyDescent="0.25">
      <c r="A1639" s="2">
        <v>27</v>
      </c>
      <c r="B1639" t="s">
        <v>980</v>
      </c>
      <c r="C1639" s="1">
        <v>11</v>
      </c>
      <c r="D1639" s="1">
        <v>123</v>
      </c>
      <c r="E1639" s="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627</v>
      </c>
      <c r="P1639" s="20" t="s">
        <v>941</v>
      </c>
      <c r="Q1639" s="1">
        <f t="shared" si="58"/>
        <v>1</v>
      </c>
      <c r="R1639" s="1">
        <v>273</v>
      </c>
      <c r="U1639" s="12">
        <v>44374</v>
      </c>
      <c r="W1639" s="1">
        <v>1</v>
      </c>
    </row>
    <row r="1640" spans="1:23" x14ac:dyDescent="0.25">
      <c r="A1640" s="2">
        <v>27</v>
      </c>
      <c r="B1640" t="s">
        <v>981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627</v>
      </c>
      <c r="P1640" s="20" t="s">
        <v>1020</v>
      </c>
      <c r="Q1640" s="1">
        <f t="shared" si="58"/>
        <v>1</v>
      </c>
      <c r="R1640" s="1">
        <v>273</v>
      </c>
      <c r="U1640" s="12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627</v>
      </c>
      <c r="P1641" s="20" t="s">
        <v>1020</v>
      </c>
      <c r="Q1641" s="1">
        <f t="shared" si="58"/>
        <v>1</v>
      </c>
      <c r="R1641" s="1">
        <v>273</v>
      </c>
      <c r="U1641" s="12">
        <v>44374</v>
      </c>
    </row>
    <row r="1642" spans="1:23" x14ac:dyDescent="0.25">
      <c r="A1642" s="2">
        <v>27</v>
      </c>
      <c r="B1642" t="s">
        <v>992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627</v>
      </c>
      <c r="P1642" s="20" t="s">
        <v>1020</v>
      </c>
      <c r="Q1642" s="1">
        <f t="shared" si="58"/>
        <v>1</v>
      </c>
      <c r="R1642" s="1">
        <v>273</v>
      </c>
      <c r="U1642" s="12">
        <v>44374</v>
      </c>
    </row>
    <row r="1643" spans="1:23" x14ac:dyDescent="0.25">
      <c r="A1643" s="2">
        <v>27</v>
      </c>
      <c r="B1643" t="s">
        <v>972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627</v>
      </c>
      <c r="P1643" s="20" t="s">
        <v>1020</v>
      </c>
      <c r="Q1643" s="1">
        <f t="shared" si="58"/>
        <v>1</v>
      </c>
      <c r="R1643" s="1">
        <v>273</v>
      </c>
      <c r="U1643" s="12">
        <v>44374</v>
      </c>
    </row>
    <row r="1644" spans="1:23" x14ac:dyDescent="0.25">
      <c r="A1644" s="2">
        <v>27</v>
      </c>
      <c r="B1644" t="s">
        <v>1021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627</v>
      </c>
      <c r="P1644" s="20" t="s">
        <v>1020</v>
      </c>
      <c r="Q1644" s="1">
        <f t="shared" si="58"/>
        <v>1</v>
      </c>
      <c r="R1644" s="1">
        <v>273</v>
      </c>
      <c r="U1644" s="12">
        <v>44374</v>
      </c>
    </row>
    <row r="1645" spans="1:23" x14ac:dyDescent="0.25">
      <c r="A1645" s="2">
        <v>27</v>
      </c>
      <c r="B1645" s="34" t="s">
        <v>629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627</v>
      </c>
      <c r="P1645" s="18" t="s">
        <v>629</v>
      </c>
      <c r="Q1645" s="1">
        <f t="shared" si="58"/>
        <v>1</v>
      </c>
      <c r="R1645" s="1">
        <v>274</v>
      </c>
      <c r="U1645" s="12">
        <v>44374</v>
      </c>
    </row>
    <row r="1646" spans="1:23" x14ac:dyDescent="0.25">
      <c r="A1646" s="2">
        <v>27</v>
      </c>
      <c r="B1646" t="s">
        <v>998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627</v>
      </c>
      <c r="P1646" s="20" t="s">
        <v>629</v>
      </c>
      <c r="Q1646" s="1">
        <f t="shared" si="58"/>
        <v>1</v>
      </c>
      <c r="R1646" s="1">
        <v>274</v>
      </c>
      <c r="U1646" s="12">
        <v>44374</v>
      </c>
    </row>
    <row r="1647" spans="1:23" x14ac:dyDescent="0.25">
      <c r="A1647" s="2">
        <v>27</v>
      </c>
      <c r="B1647" t="s">
        <v>983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627</v>
      </c>
      <c r="P1647" s="20" t="s">
        <v>629</v>
      </c>
      <c r="Q1647" s="1">
        <f t="shared" si="58"/>
        <v>1</v>
      </c>
      <c r="R1647" s="1">
        <v>274</v>
      </c>
      <c r="U1647" s="12">
        <v>44374</v>
      </c>
    </row>
    <row r="1648" spans="1:23" x14ac:dyDescent="0.25">
      <c r="A1648" s="2">
        <v>27</v>
      </c>
      <c r="B1648" t="s">
        <v>999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627</v>
      </c>
      <c r="P1648" s="20" t="s">
        <v>629</v>
      </c>
      <c r="Q1648" s="1">
        <f t="shared" si="58"/>
        <v>1</v>
      </c>
      <c r="R1648" s="1">
        <v>274</v>
      </c>
      <c r="U1648" s="12">
        <v>44374</v>
      </c>
    </row>
    <row r="1649" spans="1:23" x14ac:dyDescent="0.25">
      <c r="A1649" s="2">
        <v>27</v>
      </c>
      <c r="B1649" t="s">
        <v>1022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627</v>
      </c>
      <c r="P1649" s="20" t="s">
        <v>629</v>
      </c>
      <c r="Q1649" s="1">
        <f t="shared" si="58"/>
        <v>1</v>
      </c>
      <c r="R1649" s="1">
        <v>274</v>
      </c>
      <c r="U1649" s="12">
        <v>44374</v>
      </c>
    </row>
    <row r="1650" spans="1:23" x14ac:dyDescent="0.25">
      <c r="A1650" s="2">
        <v>27</v>
      </c>
      <c r="B1650" t="s">
        <v>974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627</v>
      </c>
      <c r="P1650" s="20" t="s">
        <v>629</v>
      </c>
      <c r="Q1650" s="1">
        <f t="shared" si="58"/>
        <v>1</v>
      </c>
      <c r="R1650" s="1">
        <v>274</v>
      </c>
      <c r="U1650" s="12">
        <v>44374</v>
      </c>
    </row>
    <row r="1651" spans="1:23" x14ac:dyDescent="0.25">
      <c r="A1651" s="2">
        <v>27</v>
      </c>
      <c r="B1651" t="s">
        <v>1023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627</v>
      </c>
      <c r="P1651" s="20" t="s">
        <v>629</v>
      </c>
      <c r="Q1651" s="1">
        <f t="shared" si="58"/>
        <v>1</v>
      </c>
      <c r="R1651" s="1">
        <v>274</v>
      </c>
      <c r="U1651" s="12">
        <v>44374</v>
      </c>
    </row>
    <row r="1652" spans="1:23" x14ac:dyDescent="0.25">
      <c r="A1652" s="2">
        <v>27</v>
      </c>
      <c r="B1652" s="34" t="s">
        <v>1024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627</v>
      </c>
      <c r="P1652" s="18" t="s">
        <v>1024</v>
      </c>
      <c r="Q1652" s="1">
        <f t="shared" si="58"/>
        <v>1</v>
      </c>
      <c r="R1652" s="1">
        <v>275</v>
      </c>
      <c r="U1652" s="12">
        <v>44374</v>
      </c>
    </row>
    <row r="1653" spans="1:23" x14ac:dyDescent="0.25">
      <c r="A1653" s="2">
        <v>27</v>
      </c>
      <c r="B1653" t="s">
        <v>988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627</v>
      </c>
      <c r="P1653" s="20" t="s">
        <v>1024</v>
      </c>
      <c r="Q1653" s="1">
        <f t="shared" si="58"/>
        <v>1</v>
      </c>
      <c r="R1653" s="1">
        <v>275</v>
      </c>
      <c r="U1653" s="12">
        <v>44374</v>
      </c>
    </row>
    <row r="1654" spans="1:23" x14ac:dyDescent="0.25">
      <c r="A1654" s="2">
        <v>27</v>
      </c>
      <c r="B1654" t="s">
        <v>976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627</v>
      </c>
      <c r="P1654" s="20" t="s">
        <v>1024</v>
      </c>
      <c r="Q1654" s="1">
        <f t="shared" si="58"/>
        <v>1</v>
      </c>
      <c r="R1654" s="1">
        <v>275</v>
      </c>
      <c r="U1654" s="12">
        <v>44374</v>
      </c>
    </row>
    <row r="1655" spans="1:23" x14ac:dyDescent="0.25">
      <c r="A1655" s="2">
        <v>27</v>
      </c>
      <c r="B1655" t="s">
        <v>748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627</v>
      </c>
      <c r="P1655" s="20" t="s">
        <v>1024</v>
      </c>
      <c r="Q1655" s="1">
        <f t="shared" si="58"/>
        <v>1</v>
      </c>
      <c r="R1655" s="1">
        <v>275</v>
      </c>
      <c r="U1655" s="12">
        <v>44374</v>
      </c>
    </row>
    <row r="1656" spans="1:23" x14ac:dyDescent="0.25">
      <c r="A1656" s="2">
        <v>27</v>
      </c>
      <c r="B1656" t="s">
        <v>991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627</v>
      </c>
      <c r="P1656" s="20" t="s">
        <v>1024</v>
      </c>
      <c r="Q1656" s="1">
        <f t="shared" si="58"/>
        <v>1</v>
      </c>
      <c r="R1656" s="1">
        <v>275</v>
      </c>
      <c r="U1656" s="12">
        <v>44374</v>
      </c>
    </row>
    <row r="1657" spans="1:23" x14ac:dyDescent="0.25">
      <c r="A1657" s="2">
        <v>27</v>
      </c>
      <c r="B1657" t="s">
        <v>246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627</v>
      </c>
      <c r="P1657" s="20" t="s">
        <v>1024</v>
      </c>
      <c r="Q1657" s="1">
        <f t="shared" si="58"/>
        <v>1</v>
      </c>
      <c r="R1657" s="1">
        <v>275</v>
      </c>
      <c r="U1657" s="12">
        <v>44374</v>
      </c>
    </row>
    <row r="1658" spans="1:23" x14ac:dyDescent="0.25">
      <c r="A1658" s="2">
        <v>27</v>
      </c>
      <c r="B1658" t="s">
        <v>1025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627</v>
      </c>
      <c r="P1658" s="20" t="s">
        <v>1024</v>
      </c>
      <c r="Q1658" s="1">
        <f t="shared" si="58"/>
        <v>1</v>
      </c>
      <c r="R1658" s="1">
        <v>275</v>
      </c>
      <c r="U1658" s="12">
        <v>44374</v>
      </c>
    </row>
    <row r="1659" spans="1:23" x14ac:dyDescent="0.25">
      <c r="A1659" s="2">
        <v>27</v>
      </c>
      <c r="B1659" s="34" t="s">
        <v>1026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627</v>
      </c>
      <c r="P1659" s="18" t="s">
        <v>1026</v>
      </c>
      <c r="Q1659" s="1">
        <f t="shared" si="58"/>
        <v>1</v>
      </c>
      <c r="R1659" s="1">
        <v>276</v>
      </c>
      <c r="T1659" s="1" t="s">
        <v>949</v>
      </c>
      <c r="U1659" s="12">
        <v>44374</v>
      </c>
    </row>
    <row r="1660" spans="1:23" x14ac:dyDescent="0.25">
      <c r="A1660" s="2">
        <v>27</v>
      </c>
      <c r="B1660" t="s">
        <v>1027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627</v>
      </c>
      <c r="P1660" s="20" t="s">
        <v>1026</v>
      </c>
      <c r="Q1660" s="1">
        <f t="shared" si="58"/>
        <v>1</v>
      </c>
      <c r="R1660" s="1">
        <v>276</v>
      </c>
      <c r="T1660" s="1" t="s">
        <v>949</v>
      </c>
      <c r="U1660" s="12">
        <v>44374</v>
      </c>
    </row>
    <row r="1661" spans="1:23" x14ac:dyDescent="0.25">
      <c r="A1661" s="2">
        <v>27</v>
      </c>
      <c r="B1661" t="s">
        <v>732</v>
      </c>
      <c r="C1661" s="1">
        <v>14</v>
      </c>
      <c r="D1661" s="1">
        <v>222</v>
      </c>
      <c r="E1661" s="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627</v>
      </c>
      <c r="P1661" s="20" t="s">
        <v>1028</v>
      </c>
      <c r="Q1661" s="1">
        <f t="shared" si="58"/>
        <v>1</v>
      </c>
      <c r="R1661" s="1">
        <v>276</v>
      </c>
      <c r="T1661" s="1" t="s">
        <v>949</v>
      </c>
      <c r="U1661" s="12">
        <v>44374</v>
      </c>
      <c r="W1661" s="1">
        <v>1</v>
      </c>
    </row>
    <row r="1662" spans="1:23" x14ac:dyDescent="0.25">
      <c r="A1662" s="2">
        <v>27</v>
      </c>
      <c r="B1662" t="s">
        <v>713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627</v>
      </c>
      <c r="P1662" s="20" t="s">
        <v>1026</v>
      </c>
      <c r="Q1662" s="1">
        <f t="shared" si="58"/>
        <v>1</v>
      </c>
      <c r="R1662" s="1">
        <v>276</v>
      </c>
      <c r="T1662" s="1" t="s">
        <v>949</v>
      </c>
      <c r="U1662" s="12">
        <v>44374</v>
      </c>
    </row>
    <row r="1663" spans="1:23" x14ac:dyDescent="0.25">
      <c r="A1663" s="2">
        <v>27</v>
      </c>
      <c r="B1663" t="s">
        <v>1029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627</v>
      </c>
      <c r="P1663" s="20" t="s">
        <v>1026</v>
      </c>
      <c r="Q1663" s="1">
        <f t="shared" si="58"/>
        <v>1</v>
      </c>
      <c r="R1663" s="1">
        <v>276</v>
      </c>
      <c r="T1663" s="1" t="s">
        <v>949</v>
      </c>
      <c r="U1663" s="12">
        <v>44374</v>
      </c>
    </row>
    <row r="1664" spans="1:23" x14ac:dyDescent="0.25">
      <c r="A1664" s="2">
        <v>27</v>
      </c>
      <c r="B1664" t="s">
        <v>1005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627</v>
      </c>
      <c r="P1664" s="20" t="s">
        <v>1026</v>
      </c>
      <c r="Q1664" s="1">
        <f t="shared" si="58"/>
        <v>1</v>
      </c>
      <c r="R1664" s="1">
        <v>276</v>
      </c>
      <c r="T1664" s="1" t="s">
        <v>949</v>
      </c>
      <c r="U1664" s="12">
        <v>44374</v>
      </c>
    </row>
    <row r="1665" spans="1:21" x14ac:dyDescent="0.25">
      <c r="A1665" s="2">
        <v>27</v>
      </c>
      <c r="B1665" t="s">
        <v>405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627</v>
      </c>
      <c r="P1665" s="20" t="s">
        <v>1026</v>
      </c>
      <c r="Q1665" s="1">
        <f t="shared" si="58"/>
        <v>1</v>
      </c>
      <c r="R1665" s="1">
        <v>276</v>
      </c>
      <c r="T1665" s="1" t="s">
        <v>949</v>
      </c>
      <c r="U1665" s="12">
        <v>44374</v>
      </c>
    </row>
    <row r="1666" spans="1:21" x14ac:dyDescent="0.25">
      <c r="A1666" s="2">
        <v>28</v>
      </c>
      <c r="B1666" s="21" t="s">
        <v>635</v>
      </c>
      <c r="J1666" s="1"/>
      <c r="N1666" t="str">
        <f>IFERROR(VLOOKUP(B1666,'[1]All Player'!$B$2:$C$1992,2,0),"")</f>
        <v/>
      </c>
      <c r="O1666" s="2" t="s">
        <v>634</v>
      </c>
      <c r="P1666" s="35" t="s">
        <v>635</v>
      </c>
      <c r="Q1666" s="1">
        <f t="shared" ref="Q1666:Q1705" si="59">IF(B1666="","",1)</f>
        <v>1</v>
      </c>
      <c r="R1666" s="1">
        <v>277</v>
      </c>
      <c r="U1666" s="12">
        <v>44949</v>
      </c>
    </row>
    <row r="1667" spans="1:21" x14ac:dyDescent="0.25">
      <c r="A1667" s="2">
        <v>28</v>
      </c>
      <c r="B1667" t="s">
        <v>981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634</v>
      </c>
      <c r="P1667" s="35" t="s">
        <v>635</v>
      </c>
      <c r="Q1667" s="1">
        <f t="shared" si="59"/>
        <v>1</v>
      </c>
      <c r="R1667" s="1">
        <v>277</v>
      </c>
      <c r="U1667" s="12">
        <v>44949</v>
      </c>
    </row>
    <row r="1668" spans="1:21" x14ac:dyDescent="0.25">
      <c r="A1668" s="2">
        <v>28</v>
      </c>
      <c r="B1668" t="s">
        <v>977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634</v>
      </c>
      <c r="P1668" s="36" t="s">
        <v>635</v>
      </c>
      <c r="Q1668" s="1">
        <f t="shared" si="59"/>
        <v>1</v>
      </c>
      <c r="R1668" s="1">
        <v>277</v>
      </c>
      <c r="U1668" s="12">
        <v>44949</v>
      </c>
    </row>
    <row r="1669" spans="1:21" x14ac:dyDescent="0.25">
      <c r="A1669" s="2">
        <v>28</v>
      </c>
      <c r="B1669" t="s">
        <v>1030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634</v>
      </c>
      <c r="P1669" s="36" t="s">
        <v>635</v>
      </c>
      <c r="Q1669" s="1">
        <f t="shared" si="59"/>
        <v>1</v>
      </c>
      <c r="R1669" s="1">
        <v>277</v>
      </c>
      <c r="U1669" s="12">
        <v>44949</v>
      </c>
    </row>
    <row r="1670" spans="1:21" x14ac:dyDescent="0.25">
      <c r="A1670" s="2">
        <v>28</v>
      </c>
      <c r="B1670" t="s">
        <v>728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634</v>
      </c>
      <c r="P1670" s="36" t="s">
        <v>635</v>
      </c>
      <c r="Q1670" s="1">
        <f t="shared" si="59"/>
        <v>1</v>
      </c>
      <c r="R1670" s="1">
        <v>277</v>
      </c>
      <c r="U1670" s="12">
        <v>44949</v>
      </c>
    </row>
    <row r="1671" spans="1:21" x14ac:dyDescent="0.25">
      <c r="A1671" s="2">
        <v>28</v>
      </c>
      <c r="B1671" s="21" t="s">
        <v>1031</v>
      </c>
      <c r="J1671" s="1"/>
      <c r="N1671" t="str">
        <f>IFERROR(VLOOKUP(B1671,'[1]All Player'!$B$2:$C$1992,2,0),"")</f>
        <v/>
      </c>
      <c r="O1671" s="2" t="s">
        <v>634</v>
      </c>
      <c r="P1671" s="35" t="s">
        <v>1031</v>
      </c>
      <c r="Q1671" s="1">
        <f t="shared" si="59"/>
        <v>1</v>
      </c>
      <c r="R1671" s="1">
        <v>278</v>
      </c>
      <c r="T1671" s="1" t="s">
        <v>949</v>
      </c>
      <c r="U1671" s="12">
        <v>44949</v>
      </c>
    </row>
    <row r="1672" spans="1:21" x14ac:dyDescent="0.25">
      <c r="A1672" s="2">
        <v>28</v>
      </c>
      <c r="B1672" t="s">
        <v>1032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634</v>
      </c>
      <c r="P1672" s="35" t="s">
        <v>1031</v>
      </c>
      <c r="Q1672" s="1">
        <f t="shared" si="59"/>
        <v>1</v>
      </c>
      <c r="R1672" s="1">
        <v>278</v>
      </c>
      <c r="T1672" s="1" t="s">
        <v>949</v>
      </c>
      <c r="U1672" s="12">
        <v>44949</v>
      </c>
    </row>
    <row r="1673" spans="1:21" x14ac:dyDescent="0.25">
      <c r="A1673" s="2">
        <v>28</v>
      </c>
      <c r="B1673" t="s">
        <v>734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634</v>
      </c>
      <c r="P1673" s="36" t="s">
        <v>1031</v>
      </c>
      <c r="Q1673" s="1">
        <f t="shared" si="59"/>
        <v>1</v>
      </c>
      <c r="R1673" s="1">
        <v>278</v>
      </c>
      <c r="T1673" s="1" t="s">
        <v>949</v>
      </c>
      <c r="U1673" s="12">
        <v>44949</v>
      </c>
    </row>
    <row r="1674" spans="1:21" x14ac:dyDescent="0.25">
      <c r="A1674" s="2">
        <v>28</v>
      </c>
      <c r="B1674" t="s">
        <v>1004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634</v>
      </c>
      <c r="P1674" s="36" t="s">
        <v>1031</v>
      </c>
      <c r="Q1674" s="1">
        <f t="shared" si="59"/>
        <v>1</v>
      </c>
      <c r="R1674" s="1">
        <v>278</v>
      </c>
      <c r="T1674" s="1" t="s">
        <v>949</v>
      </c>
      <c r="U1674" s="12">
        <v>44949</v>
      </c>
    </row>
    <row r="1675" spans="1:21" x14ac:dyDescent="0.25">
      <c r="A1675" s="2">
        <v>28</v>
      </c>
      <c r="B1675" t="s">
        <v>229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634</v>
      </c>
      <c r="P1675" s="36" t="s">
        <v>1031</v>
      </c>
      <c r="Q1675" s="1">
        <f t="shared" si="59"/>
        <v>1</v>
      </c>
      <c r="R1675" s="1">
        <v>278</v>
      </c>
      <c r="S1675" s="2" t="s">
        <v>660</v>
      </c>
      <c r="T1675" s="1" t="s">
        <v>949</v>
      </c>
      <c r="U1675" s="12">
        <v>44949</v>
      </c>
    </row>
    <row r="1676" spans="1:21" x14ac:dyDescent="0.25">
      <c r="A1676" s="2">
        <v>28</v>
      </c>
      <c r="B1676" s="21" t="s">
        <v>1033</v>
      </c>
      <c r="J1676" s="1"/>
      <c r="N1676" t="str">
        <f>IFERROR(VLOOKUP(B1676,'[1]All Player'!$B$2:$C$1992,2,0),"")</f>
        <v/>
      </c>
      <c r="O1676" s="2" t="s">
        <v>634</v>
      </c>
      <c r="P1676" s="35" t="s">
        <v>1033</v>
      </c>
      <c r="Q1676" s="1">
        <f t="shared" si="59"/>
        <v>1</v>
      </c>
      <c r="R1676" s="1">
        <v>279</v>
      </c>
      <c r="U1676" s="12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634</v>
      </c>
      <c r="P1677" s="35" t="s">
        <v>1033</v>
      </c>
      <c r="Q1677" s="1">
        <f t="shared" si="59"/>
        <v>1</v>
      </c>
      <c r="R1677" s="1">
        <v>279</v>
      </c>
      <c r="U1677" s="12">
        <v>44949</v>
      </c>
    </row>
    <row r="1678" spans="1:21" x14ac:dyDescent="0.25">
      <c r="A1678" s="2">
        <v>28</v>
      </c>
      <c r="B1678" t="s">
        <v>964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634</v>
      </c>
      <c r="P1678" s="36" t="s">
        <v>1033</v>
      </c>
      <c r="Q1678" s="1">
        <f t="shared" si="59"/>
        <v>1</v>
      </c>
      <c r="R1678" s="1">
        <v>279</v>
      </c>
      <c r="U1678" s="12">
        <v>44949</v>
      </c>
    </row>
    <row r="1679" spans="1:21" x14ac:dyDescent="0.25">
      <c r="A1679" s="2">
        <v>28</v>
      </c>
      <c r="B1679" t="s">
        <v>962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634</v>
      </c>
      <c r="P1679" s="36" t="s">
        <v>1033</v>
      </c>
      <c r="Q1679" s="1">
        <f t="shared" si="59"/>
        <v>1</v>
      </c>
      <c r="R1679" s="1">
        <v>279</v>
      </c>
      <c r="U1679" s="12">
        <v>44949</v>
      </c>
    </row>
    <row r="1680" spans="1:21" x14ac:dyDescent="0.25">
      <c r="A1680" s="2">
        <v>28</v>
      </c>
      <c r="B1680" t="s">
        <v>1027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634</v>
      </c>
      <c r="P1680" s="36" t="s">
        <v>1033</v>
      </c>
      <c r="Q1680" s="1">
        <f t="shared" si="59"/>
        <v>1</v>
      </c>
      <c r="R1680" s="1">
        <v>279</v>
      </c>
      <c r="U1680" s="12">
        <v>44949</v>
      </c>
    </row>
    <row r="1681" spans="1:23" x14ac:dyDescent="0.25">
      <c r="A1681" s="2">
        <v>28</v>
      </c>
      <c r="B1681" s="21" t="s">
        <v>1034</v>
      </c>
      <c r="J1681" s="1"/>
      <c r="N1681" t="str">
        <f>IFERROR(VLOOKUP(B1681,'[1]All Player'!$B$2:$C$1992,2,0),"")</f>
        <v/>
      </c>
      <c r="O1681" s="2" t="s">
        <v>634</v>
      </c>
      <c r="P1681" s="35" t="s">
        <v>1034</v>
      </c>
      <c r="Q1681" s="1">
        <f t="shared" si="59"/>
        <v>1</v>
      </c>
      <c r="R1681" s="1">
        <v>280</v>
      </c>
      <c r="U1681" s="12">
        <v>44949</v>
      </c>
    </row>
    <row r="1682" spans="1:23" x14ac:dyDescent="0.25">
      <c r="A1682" s="2">
        <v>28</v>
      </c>
      <c r="B1682" t="s">
        <v>194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634</v>
      </c>
      <c r="P1682" s="35" t="s">
        <v>1034</v>
      </c>
      <c r="Q1682" s="1">
        <f t="shared" si="59"/>
        <v>1</v>
      </c>
      <c r="R1682" s="1">
        <v>280</v>
      </c>
      <c r="U1682" s="12">
        <v>44949</v>
      </c>
    </row>
    <row r="1683" spans="1:23" x14ac:dyDescent="0.25">
      <c r="A1683" s="2">
        <v>28</v>
      </c>
      <c r="B1683" t="s">
        <v>1011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634</v>
      </c>
      <c r="P1683" s="36" t="s">
        <v>1034</v>
      </c>
      <c r="Q1683" s="1">
        <f t="shared" si="59"/>
        <v>1</v>
      </c>
      <c r="R1683" s="1">
        <v>280</v>
      </c>
      <c r="U1683" s="12">
        <v>44949</v>
      </c>
    </row>
    <row r="1684" spans="1:23" x14ac:dyDescent="0.25">
      <c r="A1684" s="2">
        <v>28</v>
      </c>
      <c r="B1684" t="s">
        <v>985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634</v>
      </c>
      <c r="P1684" s="36" t="s">
        <v>1034</v>
      </c>
      <c r="Q1684" s="1">
        <f t="shared" si="59"/>
        <v>1</v>
      </c>
      <c r="R1684" s="1">
        <v>280</v>
      </c>
      <c r="U1684" s="12">
        <v>44949</v>
      </c>
    </row>
    <row r="1685" spans="1:23" x14ac:dyDescent="0.25">
      <c r="A1685" s="2">
        <v>28</v>
      </c>
      <c r="B1685" t="s">
        <v>732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634</v>
      </c>
      <c r="P1685" s="36" t="s">
        <v>1034</v>
      </c>
      <c r="Q1685" s="1">
        <f t="shared" si="59"/>
        <v>1</v>
      </c>
      <c r="R1685" s="1">
        <v>280</v>
      </c>
      <c r="U1685" s="12">
        <v>44949</v>
      </c>
    </row>
    <row r="1686" spans="1:23" x14ac:dyDescent="0.25">
      <c r="A1686" s="2">
        <v>28</v>
      </c>
      <c r="B1686" s="21" t="s">
        <v>941</v>
      </c>
      <c r="J1686" s="1"/>
      <c r="N1686" t="str">
        <f>IFERROR(VLOOKUP(B1686,'[1]All Player'!$B$2:$C$1992,2,0),"")</f>
        <v/>
      </c>
      <c r="O1686" s="2" t="s">
        <v>634</v>
      </c>
      <c r="P1686" s="35" t="s">
        <v>941</v>
      </c>
      <c r="Q1686" s="1">
        <f t="shared" si="59"/>
        <v>1</v>
      </c>
      <c r="R1686" s="1">
        <v>281</v>
      </c>
      <c r="T1686" s="1" t="s">
        <v>661</v>
      </c>
      <c r="U1686" s="12">
        <v>44949</v>
      </c>
    </row>
    <row r="1687" spans="1:23" x14ac:dyDescent="0.25">
      <c r="A1687" s="2">
        <v>28</v>
      </c>
      <c r="B1687" t="s">
        <v>974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634</v>
      </c>
      <c r="P1687" s="35" t="s">
        <v>941</v>
      </c>
      <c r="Q1687" s="1">
        <f t="shared" si="59"/>
        <v>1</v>
      </c>
      <c r="R1687" s="1">
        <v>281</v>
      </c>
      <c r="T1687" s="1" t="s">
        <v>661</v>
      </c>
      <c r="U1687" s="12">
        <v>44949</v>
      </c>
    </row>
    <row r="1688" spans="1:23" x14ac:dyDescent="0.25">
      <c r="A1688" s="2">
        <v>28</v>
      </c>
      <c r="B1688" t="s">
        <v>1006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634</v>
      </c>
      <c r="P1688" s="36" t="s">
        <v>941</v>
      </c>
      <c r="Q1688" s="1">
        <f t="shared" si="59"/>
        <v>1</v>
      </c>
      <c r="R1688" s="1">
        <v>281</v>
      </c>
      <c r="T1688" s="1" t="s">
        <v>661</v>
      </c>
      <c r="U1688" s="12">
        <v>44949</v>
      </c>
      <c r="V1688" s="1">
        <v>1</v>
      </c>
    </row>
    <row r="1689" spans="1:23" x14ac:dyDescent="0.25">
      <c r="A1689" s="2">
        <v>28</v>
      </c>
      <c r="B1689" t="s">
        <v>716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634</v>
      </c>
      <c r="P1689" s="36" t="s">
        <v>941</v>
      </c>
      <c r="Q1689" s="1">
        <f t="shared" si="59"/>
        <v>1</v>
      </c>
      <c r="R1689" s="1">
        <v>281</v>
      </c>
      <c r="S1689" s="2" t="s">
        <v>662</v>
      </c>
      <c r="T1689" s="1" t="s">
        <v>661</v>
      </c>
      <c r="U1689" s="12">
        <v>44949</v>
      </c>
      <c r="W1689" s="1">
        <v>1</v>
      </c>
    </row>
    <row r="1690" spans="1:23" x14ac:dyDescent="0.25">
      <c r="A1690" s="2">
        <v>28</v>
      </c>
      <c r="B1690" t="s">
        <v>980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634</v>
      </c>
      <c r="P1690" s="36" t="s">
        <v>941</v>
      </c>
      <c r="Q1690" s="1">
        <f t="shared" si="59"/>
        <v>1</v>
      </c>
      <c r="R1690" s="1">
        <v>281</v>
      </c>
      <c r="T1690" s="1" t="s">
        <v>661</v>
      </c>
      <c r="U1690" s="12">
        <v>44949</v>
      </c>
    </row>
    <row r="1691" spans="1:23" x14ac:dyDescent="0.25">
      <c r="A1691" s="2">
        <v>28</v>
      </c>
      <c r="B1691" s="21" t="s">
        <v>1035</v>
      </c>
      <c r="J1691" s="1"/>
      <c r="N1691" t="str">
        <f>IFERROR(VLOOKUP(B1691,'[1]All Player'!$B$2:$C$1992,2,0),"")</f>
        <v/>
      </c>
      <c r="O1691" s="2" t="s">
        <v>634</v>
      </c>
      <c r="P1691" s="35" t="s">
        <v>1035</v>
      </c>
      <c r="Q1691" s="1">
        <f t="shared" si="59"/>
        <v>1</v>
      </c>
      <c r="R1691" s="1">
        <v>282</v>
      </c>
      <c r="U1691" s="12">
        <v>44949</v>
      </c>
    </row>
    <row r="1692" spans="1:23" x14ac:dyDescent="0.25">
      <c r="A1692" s="2">
        <v>28</v>
      </c>
      <c r="B1692" t="s">
        <v>1023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634</v>
      </c>
      <c r="P1692" s="35" t="s">
        <v>1035</v>
      </c>
      <c r="Q1692" s="1">
        <f t="shared" si="59"/>
        <v>1</v>
      </c>
      <c r="R1692" s="1">
        <v>282</v>
      </c>
      <c r="U1692" s="12">
        <v>44949</v>
      </c>
    </row>
    <row r="1693" spans="1:23" x14ac:dyDescent="0.25">
      <c r="A1693" s="2">
        <v>28</v>
      </c>
      <c r="B1693" t="s">
        <v>978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634</v>
      </c>
      <c r="P1693" s="36" t="s">
        <v>1035</v>
      </c>
      <c r="Q1693" s="1">
        <f t="shared" si="59"/>
        <v>1</v>
      </c>
      <c r="R1693" s="1">
        <v>282</v>
      </c>
      <c r="U1693" s="12">
        <v>44949</v>
      </c>
    </row>
    <row r="1694" spans="1:23" x14ac:dyDescent="0.25">
      <c r="A1694" s="2">
        <v>28</v>
      </c>
      <c r="B1694" t="s">
        <v>958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634</v>
      </c>
      <c r="P1694" s="36" t="s">
        <v>1035</v>
      </c>
      <c r="Q1694" s="1">
        <f t="shared" si="59"/>
        <v>1</v>
      </c>
      <c r="R1694" s="1">
        <v>282</v>
      </c>
      <c r="U1694" s="12">
        <v>44949</v>
      </c>
    </row>
    <row r="1695" spans="1:23" x14ac:dyDescent="0.25">
      <c r="A1695" s="2">
        <v>28</v>
      </c>
      <c r="B1695" t="s">
        <v>967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634</v>
      </c>
      <c r="P1695" s="36" t="s">
        <v>1035</v>
      </c>
      <c r="Q1695" s="1">
        <f t="shared" si="59"/>
        <v>1</v>
      </c>
      <c r="R1695" s="1">
        <v>282</v>
      </c>
      <c r="U1695" s="12">
        <v>44949</v>
      </c>
    </row>
    <row r="1696" spans="1:23" x14ac:dyDescent="0.25">
      <c r="A1696" s="2">
        <v>28</v>
      </c>
      <c r="B1696" s="21" t="s">
        <v>1036</v>
      </c>
      <c r="J1696" s="1"/>
      <c r="O1696" s="2" t="s">
        <v>634</v>
      </c>
      <c r="P1696" s="35" t="s">
        <v>1036</v>
      </c>
      <c r="Q1696" s="1">
        <f t="shared" si="59"/>
        <v>1</v>
      </c>
      <c r="R1696" s="1">
        <v>283</v>
      </c>
      <c r="U1696" s="12">
        <v>44949</v>
      </c>
    </row>
    <row r="1697" spans="1:23" x14ac:dyDescent="0.25">
      <c r="A1697" s="2">
        <v>28</v>
      </c>
      <c r="B1697" s="37" t="s">
        <v>405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634</v>
      </c>
      <c r="P1697" s="35" t="s">
        <v>1036</v>
      </c>
      <c r="Q1697" s="1">
        <f t="shared" si="59"/>
        <v>1</v>
      </c>
      <c r="R1697" s="1">
        <v>283</v>
      </c>
      <c r="U1697" s="12">
        <v>44949</v>
      </c>
    </row>
    <row r="1698" spans="1:23" x14ac:dyDescent="0.25">
      <c r="A1698" s="2">
        <v>28</v>
      </c>
      <c r="B1698" t="s">
        <v>976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634</v>
      </c>
      <c r="P1698" s="36" t="s">
        <v>1036</v>
      </c>
      <c r="Q1698" s="1">
        <f t="shared" si="59"/>
        <v>1</v>
      </c>
      <c r="R1698" s="1">
        <v>283</v>
      </c>
      <c r="U1698" s="12">
        <v>44949</v>
      </c>
    </row>
    <row r="1699" spans="1:23" x14ac:dyDescent="0.25">
      <c r="A1699" s="2">
        <v>28</v>
      </c>
      <c r="B1699" t="s">
        <v>972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634</v>
      </c>
      <c r="P1699" s="36" t="s">
        <v>1036</v>
      </c>
      <c r="Q1699" s="1">
        <f t="shared" si="59"/>
        <v>1</v>
      </c>
      <c r="R1699" s="1">
        <v>283</v>
      </c>
      <c r="U1699" s="12">
        <v>44949</v>
      </c>
    </row>
    <row r="1700" spans="1:23" x14ac:dyDescent="0.25">
      <c r="A1700" s="2">
        <v>28</v>
      </c>
      <c r="B1700" t="s">
        <v>724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634</v>
      </c>
      <c r="P1700" s="36" t="s">
        <v>1036</v>
      </c>
      <c r="Q1700" s="1">
        <f t="shared" si="59"/>
        <v>1</v>
      </c>
      <c r="R1700" s="1">
        <v>283</v>
      </c>
      <c r="U1700" s="12">
        <v>44949</v>
      </c>
    </row>
    <row r="1701" spans="1:23" x14ac:dyDescent="0.25">
      <c r="A1701" s="2">
        <v>28</v>
      </c>
      <c r="B1701" s="21" t="s">
        <v>1037</v>
      </c>
      <c r="J1701" s="1"/>
      <c r="N1701" t="str">
        <f>IFERROR(VLOOKUP(B1701,'[1]All Player'!$B$2:$C$1992,2,0),"")</f>
        <v/>
      </c>
      <c r="O1701" s="2" t="s">
        <v>634</v>
      </c>
      <c r="P1701" s="35" t="s">
        <v>1037</v>
      </c>
      <c r="Q1701" s="1">
        <f t="shared" si="59"/>
        <v>1</v>
      </c>
      <c r="R1701" s="1">
        <v>284</v>
      </c>
      <c r="U1701" s="12">
        <v>44949</v>
      </c>
    </row>
    <row r="1702" spans="1:23" x14ac:dyDescent="0.25">
      <c r="A1702" s="2">
        <v>28</v>
      </c>
      <c r="B1702" t="s">
        <v>969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634</v>
      </c>
      <c r="P1702" s="35" t="s">
        <v>1037</v>
      </c>
      <c r="Q1702" s="1">
        <f t="shared" si="59"/>
        <v>1</v>
      </c>
      <c r="R1702" s="1">
        <v>284</v>
      </c>
      <c r="U1702" s="12">
        <v>44949</v>
      </c>
    </row>
    <row r="1703" spans="1:23" x14ac:dyDescent="0.25">
      <c r="A1703" s="2">
        <v>28</v>
      </c>
      <c r="B1703" t="s">
        <v>957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634</v>
      </c>
      <c r="P1703" s="35" t="s">
        <v>1037</v>
      </c>
      <c r="Q1703" s="1">
        <f t="shared" si="59"/>
        <v>1</v>
      </c>
      <c r="R1703" s="1">
        <v>284</v>
      </c>
      <c r="U1703" s="12">
        <v>44949</v>
      </c>
    </row>
    <row r="1704" spans="1:23" x14ac:dyDescent="0.25">
      <c r="A1704" s="2">
        <v>28</v>
      </c>
      <c r="B1704" t="s">
        <v>1038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634</v>
      </c>
      <c r="P1704" s="35" t="s">
        <v>1037</v>
      </c>
      <c r="Q1704" s="1">
        <f t="shared" si="59"/>
        <v>1</v>
      </c>
      <c r="R1704" s="1">
        <v>284</v>
      </c>
      <c r="U1704" s="12">
        <v>44949</v>
      </c>
    </row>
    <row r="1705" spans="1:23" x14ac:dyDescent="0.25">
      <c r="A1705" s="2">
        <v>28</v>
      </c>
      <c r="B1705" t="s">
        <v>966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634</v>
      </c>
      <c r="P1705" s="35" t="s">
        <v>1037</v>
      </c>
      <c r="Q1705" s="1">
        <f t="shared" si="59"/>
        <v>1</v>
      </c>
      <c r="R1705" s="1">
        <v>284</v>
      </c>
      <c r="U1705" s="12">
        <v>44949</v>
      </c>
    </row>
    <row r="1706" spans="1:23" x14ac:dyDescent="0.25">
      <c r="A1706" s="2" t="s">
        <v>1039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1040</v>
      </c>
      <c r="P1706" s="20" t="s">
        <v>1041</v>
      </c>
      <c r="Q1706" s="1">
        <v>1</v>
      </c>
      <c r="R1706" s="1">
        <v>285</v>
      </c>
      <c r="U1706" s="12">
        <v>45925</v>
      </c>
    </row>
    <row r="1707" spans="1:23" x14ac:dyDescent="0.25">
      <c r="A1707" s="2" t="s">
        <v>1042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1040</v>
      </c>
      <c r="P1707" s="20" t="s">
        <v>1041</v>
      </c>
      <c r="Q1707" s="1">
        <v>1</v>
      </c>
      <c r="R1707" s="1">
        <v>285</v>
      </c>
      <c r="U1707" s="12">
        <v>45925</v>
      </c>
    </row>
    <row r="1708" spans="1:23" x14ac:dyDescent="0.25">
      <c r="A1708" s="2" t="s">
        <v>1043</v>
      </c>
      <c r="B1708" t="s">
        <v>117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1040</v>
      </c>
      <c r="P1708" s="20" t="s">
        <v>1041</v>
      </c>
      <c r="Q1708" s="1">
        <v>1</v>
      </c>
      <c r="R1708" s="1">
        <v>285</v>
      </c>
      <c r="U1708" s="12">
        <v>45925</v>
      </c>
    </row>
    <row r="1709" spans="1:23" x14ac:dyDescent="0.25">
      <c r="A1709" s="2" t="s">
        <v>1044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1040</v>
      </c>
      <c r="P1709" s="20" t="s">
        <v>1041</v>
      </c>
      <c r="Q1709" s="1">
        <v>1</v>
      </c>
      <c r="R1709" s="1">
        <v>285</v>
      </c>
      <c r="U1709" s="12">
        <v>45925</v>
      </c>
    </row>
    <row r="1710" spans="1:23" x14ac:dyDescent="0.25">
      <c r="A1710" s="2" t="s">
        <v>1045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1040</v>
      </c>
      <c r="P1710" s="20" t="s">
        <v>1046</v>
      </c>
      <c r="Q1710" s="1">
        <v>1</v>
      </c>
      <c r="R1710" s="1">
        <v>286</v>
      </c>
      <c r="T1710" s="1" t="s">
        <v>794</v>
      </c>
      <c r="U1710" s="12">
        <v>45925</v>
      </c>
      <c r="W1710" s="1">
        <v>1</v>
      </c>
    </row>
    <row r="1711" spans="1:23" x14ac:dyDescent="0.25">
      <c r="A1711" s="2" t="s">
        <v>1047</v>
      </c>
      <c r="B1711" t="s">
        <v>133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1040</v>
      </c>
      <c r="P1711" s="20" t="s">
        <v>1046</v>
      </c>
      <c r="Q1711" s="1">
        <v>1</v>
      </c>
      <c r="R1711" s="1">
        <v>286</v>
      </c>
      <c r="T1711" s="1" t="s">
        <v>794</v>
      </c>
      <c r="U1711" s="12">
        <v>45925</v>
      </c>
    </row>
    <row r="1712" spans="1:23" x14ac:dyDescent="0.25">
      <c r="A1712" s="2" t="s">
        <v>1048</v>
      </c>
      <c r="B1712" t="s">
        <v>131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1040</v>
      </c>
      <c r="P1712" s="20" t="s">
        <v>1046</v>
      </c>
      <c r="Q1712" s="1">
        <v>1</v>
      </c>
      <c r="R1712" s="1">
        <v>286</v>
      </c>
      <c r="T1712" s="1" t="s">
        <v>794</v>
      </c>
      <c r="U1712" s="12">
        <v>45925</v>
      </c>
    </row>
    <row r="1713" spans="1:21" x14ac:dyDescent="0.25">
      <c r="A1713" s="2" t="s">
        <v>1049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1040</v>
      </c>
      <c r="P1713" s="20" t="s">
        <v>1046</v>
      </c>
      <c r="Q1713" s="1">
        <v>1</v>
      </c>
      <c r="R1713" s="1">
        <v>286</v>
      </c>
      <c r="T1713" s="1" t="s">
        <v>794</v>
      </c>
      <c r="U1713" s="12">
        <v>45925</v>
      </c>
    </row>
    <row r="1714" spans="1:21" x14ac:dyDescent="0.25">
      <c r="A1714" s="2" t="s">
        <v>1050</v>
      </c>
      <c r="B1714" t="s">
        <v>448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1040</v>
      </c>
      <c r="P1714" s="20" t="s">
        <v>1051</v>
      </c>
      <c r="Q1714" s="1">
        <v>1</v>
      </c>
      <c r="R1714" s="1">
        <v>287</v>
      </c>
      <c r="U1714" s="12">
        <v>45925</v>
      </c>
    </row>
    <row r="1715" spans="1:21" x14ac:dyDescent="0.25">
      <c r="A1715" s="2" t="s">
        <v>1052</v>
      </c>
      <c r="B1715" t="s">
        <v>115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1040</v>
      </c>
      <c r="P1715" s="20" t="s">
        <v>1051</v>
      </c>
      <c r="Q1715" s="1">
        <v>1</v>
      </c>
      <c r="R1715" s="1">
        <v>287</v>
      </c>
      <c r="U1715" s="12">
        <v>45925</v>
      </c>
    </row>
    <row r="1716" spans="1:21" x14ac:dyDescent="0.25">
      <c r="A1716" s="2" t="s">
        <v>1053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1040</v>
      </c>
      <c r="P1716" s="20" t="s">
        <v>1051</v>
      </c>
      <c r="Q1716" s="1">
        <v>1</v>
      </c>
      <c r="R1716" s="1">
        <v>287</v>
      </c>
      <c r="U1716" s="12">
        <v>45925</v>
      </c>
    </row>
    <row r="1717" spans="1:21" x14ac:dyDescent="0.25">
      <c r="A1717" s="2" t="s">
        <v>1054</v>
      </c>
      <c r="B1717" t="s">
        <v>141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1040</v>
      </c>
      <c r="P1717" s="20" t="s">
        <v>1051</v>
      </c>
      <c r="Q1717" s="1">
        <v>1</v>
      </c>
      <c r="R1717" s="1">
        <v>287</v>
      </c>
      <c r="U1717" s="12">
        <v>45925</v>
      </c>
    </row>
    <row r="1718" spans="1:21" x14ac:dyDescent="0.25">
      <c r="A1718" s="2" t="s">
        <v>1055</v>
      </c>
      <c r="B1718" t="s">
        <v>229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1040</v>
      </c>
      <c r="P1718" s="20" t="s">
        <v>1056</v>
      </c>
      <c r="Q1718" s="1">
        <v>1</v>
      </c>
      <c r="R1718" s="1">
        <v>288</v>
      </c>
      <c r="T1718" s="1" t="s">
        <v>674</v>
      </c>
      <c r="U1718" s="12">
        <v>45925</v>
      </c>
    </row>
    <row r="1719" spans="1:21" x14ac:dyDescent="0.25">
      <c r="A1719" s="2" t="s">
        <v>1057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1040</v>
      </c>
      <c r="P1719" s="20" t="s">
        <v>1056</v>
      </c>
      <c r="Q1719" s="1">
        <v>1</v>
      </c>
      <c r="R1719" s="1">
        <v>288</v>
      </c>
      <c r="T1719" s="1" t="s">
        <v>674</v>
      </c>
      <c r="U1719" s="12">
        <v>45925</v>
      </c>
    </row>
    <row r="1720" spans="1:21" x14ac:dyDescent="0.25">
      <c r="A1720" s="2" t="s">
        <v>1058</v>
      </c>
      <c r="B1720" t="s">
        <v>240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1040</v>
      </c>
      <c r="P1720" s="20" t="s">
        <v>1056</v>
      </c>
      <c r="Q1720" s="1">
        <v>1</v>
      </c>
      <c r="R1720" s="1">
        <v>288</v>
      </c>
      <c r="T1720" s="1" t="s">
        <v>674</v>
      </c>
      <c r="U1720" s="12">
        <v>45925</v>
      </c>
    </row>
    <row r="1721" spans="1:21" x14ac:dyDescent="0.25">
      <c r="A1721" s="2" t="s">
        <v>1059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1040</v>
      </c>
      <c r="P1721" s="20" t="s">
        <v>1056</v>
      </c>
      <c r="Q1721" s="1">
        <v>1</v>
      </c>
      <c r="R1721" s="1">
        <v>288</v>
      </c>
      <c r="T1721" s="1" t="s">
        <v>674</v>
      </c>
      <c r="U1721" s="12">
        <v>45925</v>
      </c>
    </row>
    <row r="1722" spans="1:21" x14ac:dyDescent="0.25">
      <c r="A1722" s="2" t="s">
        <v>1060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1040</v>
      </c>
      <c r="P1722" s="20" t="s">
        <v>1061</v>
      </c>
      <c r="Q1722" s="1">
        <v>1</v>
      </c>
      <c r="R1722" s="1">
        <v>289</v>
      </c>
      <c r="U1722" s="12">
        <v>45925</v>
      </c>
    </row>
    <row r="1723" spans="1:21" x14ac:dyDescent="0.25">
      <c r="A1723" s="2" t="s">
        <v>1062</v>
      </c>
      <c r="B1723" t="s">
        <v>153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1040</v>
      </c>
      <c r="P1723" s="20" t="s">
        <v>1061</v>
      </c>
      <c r="Q1723" s="1">
        <v>1</v>
      </c>
      <c r="R1723" s="1">
        <v>289</v>
      </c>
      <c r="U1723" s="12">
        <v>45925</v>
      </c>
    </row>
    <row r="1724" spans="1:21" x14ac:dyDescent="0.25">
      <c r="A1724" s="2" t="s">
        <v>1063</v>
      </c>
      <c r="B1724" t="s">
        <v>137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1040</v>
      </c>
      <c r="P1724" s="20" t="s">
        <v>1061</v>
      </c>
      <c r="Q1724" s="1">
        <v>1</v>
      </c>
      <c r="R1724" s="1">
        <v>289</v>
      </c>
      <c r="U1724" s="12">
        <v>45925</v>
      </c>
    </row>
    <row r="1725" spans="1:21" x14ac:dyDescent="0.25">
      <c r="A1725" s="2" t="s">
        <v>1064</v>
      </c>
      <c r="B1725" t="s">
        <v>149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1040</v>
      </c>
      <c r="P1725" s="20" t="s">
        <v>1061</v>
      </c>
      <c r="Q1725" s="1">
        <v>1</v>
      </c>
      <c r="R1725" s="1">
        <v>289</v>
      </c>
      <c r="U1725" s="12">
        <v>45925</v>
      </c>
    </row>
    <row r="1726" spans="1:21" x14ac:dyDescent="0.25">
      <c r="A1726" s="2" t="s">
        <v>1065</v>
      </c>
      <c r="B1726" t="s">
        <v>444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1040</v>
      </c>
      <c r="P1726" s="20" t="s">
        <v>832</v>
      </c>
      <c r="Q1726" s="1">
        <v>1</v>
      </c>
      <c r="R1726" s="1">
        <v>290</v>
      </c>
      <c r="U1726" s="12">
        <v>45925</v>
      </c>
    </row>
    <row r="1727" spans="1:21" x14ac:dyDescent="0.25">
      <c r="A1727" s="2" t="s">
        <v>1066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1040</v>
      </c>
      <c r="P1727" s="20" t="s">
        <v>832</v>
      </c>
      <c r="Q1727" s="1">
        <v>1</v>
      </c>
      <c r="R1727" s="1">
        <v>290</v>
      </c>
      <c r="U1727" s="12">
        <v>45925</v>
      </c>
    </row>
    <row r="1728" spans="1:21" x14ac:dyDescent="0.25">
      <c r="A1728" s="2" t="s">
        <v>1067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1040</v>
      </c>
      <c r="P1728" s="20" t="s">
        <v>832</v>
      </c>
      <c r="Q1728" s="1">
        <v>1</v>
      </c>
      <c r="R1728" s="1">
        <v>290</v>
      </c>
      <c r="U1728" s="12">
        <v>45925</v>
      </c>
    </row>
    <row r="1729" spans="1:22" x14ac:dyDescent="0.25">
      <c r="A1729" s="2" t="s">
        <v>1068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1040</v>
      </c>
      <c r="P1729" s="20" t="s">
        <v>832</v>
      </c>
      <c r="Q1729" s="1">
        <v>1</v>
      </c>
      <c r="R1729" s="1">
        <v>290</v>
      </c>
      <c r="U1729" s="12">
        <v>45925</v>
      </c>
    </row>
    <row r="1730" spans="1:22" x14ac:dyDescent="0.25">
      <c r="A1730" s="2" t="s">
        <v>1069</v>
      </c>
      <c r="B1730" t="s">
        <v>147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1040</v>
      </c>
      <c r="P1730" s="20" t="s">
        <v>1070</v>
      </c>
      <c r="Q1730" s="1">
        <v>1</v>
      </c>
      <c r="R1730" s="1">
        <v>291</v>
      </c>
      <c r="T1730" s="1" t="s">
        <v>659</v>
      </c>
      <c r="U1730" s="12">
        <v>45925</v>
      </c>
    </row>
    <row r="1731" spans="1:22" x14ac:dyDescent="0.25">
      <c r="A1731" s="2" t="s">
        <v>1071</v>
      </c>
      <c r="B1731" t="s">
        <v>405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1040</v>
      </c>
      <c r="P1731" s="20" t="s">
        <v>1070</v>
      </c>
      <c r="Q1731" s="1">
        <v>1</v>
      </c>
      <c r="R1731" s="1">
        <v>291</v>
      </c>
      <c r="T1731" s="1" t="s">
        <v>659</v>
      </c>
      <c r="U1731" s="12">
        <v>45925</v>
      </c>
    </row>
    <row r="1732" spans="1:22" x14ac:dyDescent="0.25">
      <c r="A1732" s="2" t="s">
        <v>1072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1040</v>
      </c>
      <c r="P1732" s="20" t="s">
        <v>1070</v>
      </c>
      <c r="Q1732" s="1">
        <v>1</v>
      </c>
      <c r="R1732" s="1">
        <v>291</v>
      </c>
      <c r="T1732" s="1" t="s">
        <v>659</v>
      </c>
      <c r="U1732" s="12">
        <v>45925</v>
      </c>
    </row>
    <row r="1733" spans="1:22" x14ac:dyDescent="0.25">
      <c r="A1733" s="2" t="s">
        <v>1073</v>
      </c>
      <c r="B1733" t="s">
        <v>143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1040</v>
      </c>
      <c r="P1733" s="20" t="s">
        <v>1070</v>
      </c>
      <c r="Q1733" s="1">
        <v>1</v>
      </c>
      <c r="R1733" s="1">
        <v>291</v>
      </c>
      <c r="S1733" s="2" t="s">
        <v>662</v>
      </c>
      <c r="T1733" s="1" t="s">
        <v>659</v>
      </c>
      <c r="U1733" s="12">
        <v>45925</v>
      </c>
      <c r="V1733" s="1">
        <v>1</v>
      </c>
    </row>
    <row r="1734" spans="1:22" x14ac:dyDescent="0.25">
      <c r="A1734" s="2" t="s">
        <v>1074</v>
      </c>
      <c r="B1734" t="s">
        <v>139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1040</v>
      </c>
      <c r="P1734" s="20" t="s">
        <v>1075</v>
      </c>
      <c r="Q1734" s="1">
        <v>1</v>
      </c>
      <c r="R1734" s="1">
        <v>292</v>
      </c>
      <c r="T1734" s="1" t="s">
        <v>661</v>
      </c>
      <c r="U1734" s="12">
        <v>45925</v>
      </c>
    </row>
    <row r="1735" spans="1:22" x14ac:dyDescent="0.25">
      <c r="A1735" s="2" t="s">
        <v>1076</v>
      </c>
      <c r="B1735" t="s">
        <v>113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1040</v>
      </c>
      <c r="P1735" s="20" t="s">
        <v>1075</v>
      </c>
      <c r="Q1735" s="1">
        <v>1</v>
      </c>
      <c r="R1735" s="1">
        <v>292</v>
      </c>
      <c r="T1735" s="1" t="s">
        <v>661</v>
      </c>
      <c r="U1735" s="12">
        <v>45925</v>
      </c>
    </row>
    <row r="1736" spans="1:22" x14ac:dyDescent="0.25">
      <c r="A1736" s="2" t="s">
        <v>1077</v>
      </c>
      <c r="B1736" t="s">
        <v>157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1040</v>
      </c>
      <c r="P1736" s="20" t="s">
        <v>1075</v>
      </c>
      <c r="Q1736" s="1">
        <v>1</v>
      </c>
      <c r="R1736" s="1">
        <v>292</v>
      </c>
      <c r="T1736" s="1" t="s">
        <v>661</v>
      </c>
      <c r="U1736" s="12">
        <v>45925</v>
      </c>
    </row>
    <row r="1737" spans="1:22" x14ac:dyDescent="0.25">
      <c r="A1737" s="2" t="s">
        <v>1078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1040</v>
      </c>
      <c r="P1737" s="20" t="s">
        <v>1075</v>
      </c>
      <c r="Q1737" s="1">
        <v>1</v>
      </c>
      <c r="R1737" s="1">
        <v>292</v>
      </c>
      <c r="S1737" s="2" t="s">
        <v>660</v>
      </c>
      <c r="T1737" s="1" t="s">
        <v>661</v>
      </c>
      <c r="U1737" s="12">
        <v>45925</v>
      </c>
    </row>
    <row r="1738" spans="1:22" x14ac:dyDescent="0.25">
      <c r="A1738" s="2">
        <v>1</v>
      </c>
      <c r="B1738" t="s">
        <v>229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1079</v>
      </c>
      <c r="P1738" s="20" t="s">
        <v>1080</v>
      </c>
      <c r="Q1738" s="1">
        <v>1</v>
      </c>
      <c r="R1738" s="1">
        <v>293</v>
      </c>
      <c r="U1738" s="12">
        <v>46023</v>
      </c>
    </row>
    <row r="1739" spans="1:22" x14ac:dyDescent="0.25">
      <c r="A1739" s="2">
        <v>2</v>
      </c>
      <c r="B1739" t="s">
        <v>121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1079</v>
      </c>
      <c r="P1739" s="20" t="s">
        <v>1080</v>
      </c>
      <c r="Q1739" s="1">
        <v>1</v>
      </c>
      <c r="R1739" s="1">
        <f t="shared" ref="R1739:R1742" si="60">R1738</f>
        <v>293</v>
      </c>
      <c r="U1739" s="12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1079</v>
      </c>
      <c r="P1740" s="20" t="s">
        <v>1080</v>
      </c>
      <c r="Q1740" s="1">
        <v>1</v>
      </c>
      <c r="R1740" s="1">
        <f t="shared" si="60"/>
        <v>293</v>
      </c>
      <c r="U1740" s="12">
        <v>46023</v>
      </c>
    </row>
    <row r="1741" spans="1:22" x14ac:dyDescent="0.25">
      <c r="A1741" s="2">
        <v>4</v>
      </c>
      <c r="B1741" t="s">
        <v>137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1079</v>
      </c>
      <c r="P1741" s="20" t="s">
        <v>1080</v>
      </c>
      <c r="Q1741" s="1">
        <v>1</v>
      </c>
      <c r="R1741" s="1">
        <f t="shared" si="60"/>
        <v>293</v>
      </c>
      <c r="S1741" s="2" t="s">
        <v>662</v>
      </c>
      <c r="U1741" s="12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1079</v>
      </c>
      <c r="P1742" s="20" t="s">
        <v>1080</v>
      </c>
      <c r="Q1742" s="1">
        <v>1</v>
      </c>
      <c r="R1742" s="1">
        <f t="shared" si="60"/>
        <v>293</v>
      </c>
      <c r="U1742" s="12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1079</v>
      </c>
      <c r="P1743" s="20" t="s">
        <v>1081</v>
      </c>
      <c r="Q1743" s="1">
        <v>1</v>
      </c>
      <c r="R1743" s="1">
        <v>294</v>
      </c>
      <c r="T1743" s="1" t="s">
        <v>661</v>
      </c>
      <c r="U1743" s="12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1079</v>
      </c>
      <c r="P1744" s="20" t="s">
        <v>1081</v>
      </c>
      <c r="Q1744" s="1">
        <v>1</v>
      </c>
      <c r="R1744" s="1">
        <f t="shared" ref="R1744:R1747" si="61">R1743</f>
        <v>294</v>
      </c>
      <c r="T1744" s="1" t="s">
        <v>661</v>
      </c>
      <c r="U1744" s="12">
        <v>46023</v>
      </c>
    </row>
    <row r="1745" spans="1:21" x14ac:dyDescent="0.25">
      <c r="A1745" s="2">
        <v>8</v>
      </c>
      <c r="B1745" t="s">
        <v>440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1079</v>
      </c>
      <c r="P1745" s="20" t="s">
        <v>1081</v>
      </c>
      <c r="Q1745" s="1">
        <v>1</v>
      </c>
      <c r="R1745" s="1">
        <f t="shared" si="61"/>
        <v>294</v>
      </c>
      <c r="T1745" s="1" t="s">
        <v>661</v>
      </c>
      <c r="U1745" s="12">
        <v>46023</v>
      </c>
    </row>
    <row r="1746" spans="1:21" x14ac:dyDescent="0.25">
      <c r="A1746" s="2">
        <v>9</v>
      </c>
      <c r="B1746" t="s">
        <v>444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1079</v>
      </c>
      <c r="P1746" s="20" t="s">
        <v>1081</v>
      </c>
      <c r="Q1746" s="1">
        <v>1</v>
      </c>
      <c r="R1746" s="1">
        <f t="shared" si="61"/>
        <v>294</v>
      </c>
      <c r="T1746" s="1" t="s">
        <v>661</v>
      </c>
      <c r="U1746" s="12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1079</v>
      </c>
      <c r="P1747" s="20" t="s">
        <v>1081</v>
      </c>
      <c r="Q1747" s="1">
        <v>1</v>
      </c>
      <c r="R1747" s="1">
        <f t="shared" si="61"/>
        <v>294</v>
      </c>
      <c r="T1747" s="1" t="s">
        <v>661</v>
      </c>
      <c r="U1747" s="12">
        <v>46023</v>
      </c>
    </row>
    <row r="1748" spans="1:21" x14ac:dyDescent="0.25">
      <c r="A1748" s="2">
        <v>11</v>
      </c>
      <c r="B1748" t="s">
        <v>125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1079</v>
      </c>
      <c r="P1748" s="20" t="s">
        <v>1082</v>
      </c>
      <c r="Q1748" s="1">
        <v>1</v>
      </c>
      <c r="R1748" s="1">
        <v>295</v>
      </c>
      <c r="U1748" s="12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1079</v>
      </c>
      <c r="P1749" s="20" t="s">
        <v>1082</v>
      </c>
      <c r="Q1749" s="1">
        <v>1</v>
      </c>
      <c r="R1749" s="1">
        <f t="shared" ref="R1749:R1753" si="62">R1748</f>
        <v>295</v>
      </c>
      <c r="U1749" s="12">
        <v>46023</v>
      </c>
    </row>
    <row r="1750" spans="1:21" x14ac:dyDescent="0.25">
      <c r="A1750" s="2">
        <v>13</v>
      </c>
      <c r="B1750" t="s">
        <v>119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1079</v>
      </c>
      <c r="P1750" s="20" t="s">
        <v>1082</v>
      </c>
      <c r="Q1750" s="1">
        <v>1</v>
      </c>
      <c r="R1750" s="1">
        <f t="shared" si="62"/>
        <v>295</v>
      </c>
      <c r="U1750" s="12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1079</v>
      </c>
      <c r="P1751" s="20" t="s">
        <v>1082</v>
      </c>
      <c r="Q1751" s="1">
        <v>1</v>
      </c>
      <c r="R1751" s="1">
        <f t="shared" si="62"/>
        <v>295</v>
      </c>
      <c r="U1751" s="12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1079</v>
      </c>
      <c r="P1752" s="20" t="s">
        <v>1082</v>
      </c>
      <c r="Q1752" s="1">
        <v>1</v>
      </c>
      <c r="R1752" s="1">
        <f t="shared" si="62"/>
        <v>295</v>
      </c>
      <c r="U1752" s="12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1079</v>
      </c>
      <c r="P1753" s="20" t="s">
        <v>1082</v>
      </c>
      <c r="Q1753" s="1">
        <v>1</v>
      </c>
      <c r="R1753" s="1">
        <f t="shared" si="62"/>
        <v>295</v>
      </c>
      <c r="U1753" s="12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1079</v>
      </c>
      <c r="P1754" s="20" t="s">
        <v>1083</v>
      </c>
      <c r="Q1754" s="1">
        <v>1</v>
      </c>
      <c r="R1754" s="1">
        <v>296</v>
      </c>
      <c r="U1754" s="12">
        <v>46023</v>
      </c>
    </row>
    <row r="1755" spans="1:21" x14ac:dyDescent="0.25">
      <c r="A1755" s="2">
        <v>18</v>
      </c>
      <c r="B1755" t="s">
        <v>299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1079</v>
      </c>
      <c r="P1755" s="20" t="s">
        <v>1083</v>
      </c>
      <c r="Q1755" s="1">
        <v>1</v>
      </c>
      <c r="R1755" s="1">
        <f t="shared" ref="R1755:R1758" si="63">R1754</f>
        <v>296</v>
      </c>
      <c r="U1755" s="12">
        <v>46023</v>
      </c>
    </row>
    <row r="1756" spans="1:21" x14ac:dyDescent="0.25">
      <c r="A1756" s="2">
        <v>19</v>
      </c>
      <c r="B1756" t="s">
        <v>198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1079</v>
      </c>
      <c r="P1756" s="20" t="s">
        <v>1083</v>
      </c>
      <c r="Q1756" s="1">
        <v>1</v>
      </c>
      <c r="R1756" s="1">
        <f t="shared" si="63"/>
        <v>296</v>
      </c>
      <c r="U1756" s="12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1079</v>
      </c>
      <c r="P1757" s="20" t="s">
        <v>1083</v>
      </c>
      <c r="Q1757" s="1">
        <v>1</v>
      </c>
      <c r="R1757" s="1">
        <f t="shared" si="63"/>
        <v>296</v>
      </c>
      <c r="U1757" s="12">
        <v>46023</v>
      </c>
    </row>
    <row r="1758" spans="1:21" x14ac:dyDescent="0.25">
      <c r="A1758" s="2">
        <v>21</v>
      </c>
      <c r="B1758" t="s">
        <v>267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1079</v>
      </c>
      <c r="P1758" s="20" t="s">
        <v>1083</v>
      </c>
      <c r="Q1758" s="1">
        <v>1</v>
      </c>
      <c r="R1758" s="1">
        <f t="shared" si="63"/>
        <v>296</v>
      </c>
      <c r="U1758" s="12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1079</v>
      </c>
      <c r="P1759" s="20" t="s">
        <v>1084</v>
      </c>
      <c r="Q1759" s="1">
        <v>1</v>
      </c>
      <c r="R1759" s="1">
        <v>297</v>
      </c>
      <c r="U1759" s="12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1079</v>
      </c>
      <c r="P1760" s="20" t="s">
        <v>1084</v>
      </c>
      <c r="Q1760" s="1">
        <v>1</v>
      </c>
      <c r="R1760" s="1">
        <f t="shared" ref="R1760:R1763" si="64">R1759</f>
        <v>297</v>
      </c>
      <c r="U1760" s="12">
        <v>46023</v>
      </c>
    </row>
    <row r="1761" spans="1:23" x14ac:dyDescent="0.25">
      <c r="A1761" s="2">
        <v>24</v>
      </c>
      <c r="B1761" t="s">
        <v>131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1079</v>
      </c>
      <c r="P1761" s="20" t="s">
        <v>1084</v>
      </c>
      <c r="Q1761" s="1">
        <v>1</v>
      </c>
      <c r="R1761" s="1">
        <f t="shared" si="64"/>
        <v>297</v>
      </c>
      <c r="U1761" s="12">
        <v>46023</v>
      </c>
    </row>
    <row r="1762" spans="1:23" x14ac:dyDescent="0.25">
      <c r="A1762" s="2">
        <v>25</v>
      </c>
      <c r="B1762" t="s">
        <v>133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1079</v>
      </c>
      <c r="P1762" s="20" t="s">
        <v>1084</v>
      </c>
      <c r="Q1762" s="1">
        <v>1</v>
      </c>
      <c r="R1762" s="1">
        <f t="shared" si="64"/>
        <v>297</v>
      </c>
      <c r="U1762" s="12">
        <v>46023</v>
      </c>
    </row>
    <row r="1763" spans="1:23" x14ac:dyDescent="0.25">
      <c r="A1763" s="2">
        <v>26</v>
      </c>
      <c r="B1763" t="s">
        <v>405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1079</v>
      </c>
      <c r="P1763" s="20" t="s">
        <v>1084</v>
      </c>
      <c r="Q1763" s="1">
        <v>1</v>
      </c>
      <c r="R1763" s="1">
        <f t="shared" si="64"/>
        <v>297</v>
      </c>
      <c r="U1763" s="12">
        <v>46023</v>
      </c>
    </row>
    <row r="1764" spans="1:23" x14ac:dyDescent="0.25">
      <c r="A1764" s="2">
        <v>27</v>
      </c>
      <c r="B1764" t="s">
        <v>147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1079</v>
      </c>
      <c r="P1764" s="20" t="s">
        <v>1085</v>
      </c>
      <c r="Q1764" s="1">
        <v>1</v>
      </c>
      <c r="R1764" s="1">
        <v>298</v>
      </c>
      <c r="U1764" s="12">
        <v>46023</v>
      </c>
      <c r="W1764" s="1">
        <v>1</v>
      </c>
    </row>
    <row r="1765" spans="1:23" x14ac:dyDescent="0.25">
      <c r="A1765" s="2">
        <v>28</v>
      </c>
      <c r="B1765" t="s">
        <v>159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1079</v>
      </c>
      <c r="P1765" s="20" t="s">
        <v>1085</v>
      </c>
      <c r="Q1765" s="1">
        <v>1</v>
      </c>
      <c r="R1765" s="1">
        <f t="shared" ref="R1765:R1768" si="65">R1764</f>
        <v>298</v>
      </c>
      <c r="U1765" s="12">
        <v>46023</v>
      </c>
    </row>
    <row r="1766" spans="1:23" x14ac:dyDescent="0.25">
      <c r="A1766" s="2">
        <v>29</v>
      </c>
      <c r="B1766" t="s">
        <v>450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1079</v>
      </c>
      <c r="P1766" s="20" t="s">
        <v>1085</v>
      </c>
      <c r="Q1766" s="1">
        <v>1</v>
      </c>
      <c r="R1766" s="1">
        <f t="shared" si="65"/>
        <v>298</v>
      </c>
      <c r="U1766" s="12">
        <v>46023</v>
      </c>
    </row>
    <row r="1767" spans="1:23" x14ac:dyDescent="0.25">
      <c r="A1767" s="2">
        <v>30</v>
      </c>
      <c r="B1767" t="s">
        <v>157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1079</v>
      </c>
      <c r="P1767" s="20" t="s">
        <v>1085</v>
      </c>
      <c r="Q1767" s="1">
        <v>1</v>
      </c>
      <c r="R1767" s="1">
        <f t="shared" si="65"/>
        <v>298</v>
      </c>
      <c r="U1767" s="12">
        <v>46023</v>
      </c>
    </row>
    <row r="1768" spans="1:23" x14ac:dyDescent="0.25">
      <c r="A1768" s="2">
        <v>31</v>
      </c>
      <c r="B1768" t="s">
        <v>139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1079</v>
      </c>
      <c r="P1768" s="20" t="s">
        <v>1085</v>
      </c>
      <c r="Q1768" s="1">
        <v>1</v>
      </c>
      <c r="R1768" s="1">
        <f t="shared" si="65"/>
        <v>298</v>
      </c>
      <c r="U1768" s="12">
        <v>46023</v>
      </c>
    </row>
    <row r="1769" spans="1:23" x14ac:dyDescent="0.25">
      <c r="A1769" s="2">
        <v>32</v>
      </c>
      <c r="B1769" t="s">
        <v>149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1079</v>
      </c>
      <c r="P1769" s="20" t="s">
        <v>1086</v>
      </c>
      <c r="Q1769" s="1">
        <v>1</v>
      </c>
      <c r="R1769" s="1">
        <v>299</v>
      </c>
      <c r="T1769" s="1" t="s">
        <v>949</v>
      </c>
      <c r="U1769" s="12">
        <v>46023</v>
      </c>
    </row>
    <row r="1770" spans="1:23" x14ac:dyDescent="0.25">
      <c r="A1770" s="2">
        <v>33</v>
      </c>
      <c r="B1770" t="s">
        <v>192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1079</v>
      </c>
      <c r="P1770" s="20" t="s">
        <v>1086</v>
      </c>
      <c r="Q1770" s="1">
        <v>1</v>
      </c>
      <c r="R1770" s="1">
        <f t="shared" ref="R1770:R1773" si="66">R1769</f>
        <v>299</v>
      </c>
      <c r="T1770" s="1" t="s">
        <v>949</v>
      </c>
      <c r="U1770" s="12">
        <v>46023</v>
      </c>
    </row>
    <row r="1771" spans="1:23" x14ac:dyDescent="0.25">
      <c r="A1771" s="2">
        <v>34</v>
      </c>
      <c r="B1771" t="s">
        <v>174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1079</v>
      </c>
      <c r="P1771" s="20" t="s">
        <v>1086</v>
      </c>
      <c r="Q1771" s="1">
        <v>1</v>
      </c>
      <c r="R1771" s="1">
        <f t="shared" si="66"/>
        <v>299</v>
      </c>
      <c r="T1771" s="1" t="s">
        <v>949</v>
      </c>
      <c r="U1771" s="12">
        <v>46023</v>
      </c>
    </row>
    <row r="1772" spans="1:23" x14ac:dyDescent="0.25">
      <c r="A1772" s="2">
        <v>35</v>
      </c>
      <c r="B1772" t="s">
        <v>143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1079</v>
      </c>
      <c r="P1772" s="20" t="s">
        <v>1086</v>
      </c>
      <c r="Q1772" s="1">
        <v>1</v>
      </c>
      <c r="R1772" s="1">
        <f t="shared" si="66"/>
        <v>299</v>
      </c>
      <c r="S1772" s="2" t="s">
        <v>660</v>
      </c>
      <c r="T1772" s="1" t="s">
        <v>949</v>
      </c>
      <c r="U1772" s="12">
        <v>46023</v>
      </c>
    </row>
    <row r="1773" spans="1:23" x14ac:dyDescent="0.25">
      <c r="A1773" s="2">
        <v>36</v>
      </c>
      <c r="B1773" t="s">
        <v>448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1079</v>
      </c>
      <c r="P1773" s="20" t="s">
        <v>1086</v>
      </c>
      <c r="Q1773" s="1">
        <v>1</v>
      </c>
      <c r="R1773" s="1">
        <f t="shared" si="66"/>
        <v>299</v>
      </c>
      <c r="T1773" s="1" t="s">
        <v>949</v>
      </c>
      <c r="U1773" s="12">
        <v>46023</v>
      </c>
    </row>
    <row r="1774" spans="1:23" x14ac:dyDescent="0.25">
      <c r="A1774" s="2">
        <v>37</v>
      </c>
      <c r="B1774" t="s">
        <v>113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1079</v>
      </c>
      <c r="P1774" s="20" t="s">
        <v>1087</v>
      </c>
      <c r="Q1774" s="1">
        <v>1</v>
      </c>
      <c r="R1774" s="1">
        <v>300</v>
      </c>
      <c r="U1774" s="12">
        <v>46023</v>
      </c>
    </row>
    <row r="1775" spans="1:23" x14ac:dyDescent="0.25">
      <c r="A1775" s="2">
        <v>38</v>
      </c>
      <c r="B1775" t="s">
        <v>127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1079</v>
      </c>
      <c r="P1775" s="20" t="s">
        <v>1087</v>
      </c>
      <c r="Q1775" s="1">
        <v>1</v>
      </c>
      <c r="R1775" s="1">
        <f t="shared" ref="R1775:R1778" si="67">R1774</f>
        <v>300</v>
      </c>
      <c r="U1775" s="12">
        <v>46023</v>
      </c>
    </row>
    <row r="1776" spans="1:23" x14ac:dyDescent="0.25">
      <c r="A1776" s="2">
        <v>39</v>
      </c>
      <c r="B1776" t="s">
        <v>109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1079</v>
      </c>
      <c r="P1776" s="20" t="s">
        <v>1087</v>
      </c>
      <c r="Q1776" s="1">
        <v>1</v>
      </c>
      <c r="R1776" s="1">
        <f t="shared" si="67"/>
        <v>300</v>
      </c>
      <c r="U1776" s="12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1079</v>
      </c>
      <c r="P1777" s="20" t="s">
        <v>1087</v>
      </c>
      <c r="Q1777" s="1">
        <v>1</v>
      </c>
      <c r="R1777" s="1">
        <f t="shared" si="67"/>
        <v>300</v>
      </c>
      <c r="U1777" s="12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1079</v>
      </c>
      <c r="P1778" s="20" t="s">
        <v>1087</v>
      </c>
      <c r="Q1778" s="1">
        <v>1</v>
      </c>
      <c r="R1778" s="1">
        <f t="shared" si="67"/>
        <v>300</v>
      </c>
      <c r="U1778" s="12">
        <v>46023</v>
      </c>
    </row>
    <row r="1779" spans="1:21" x14ac:dyDescent="0.25">
      <c r="A1779" s="2">
        <v>42</v>
      </c>
      <c r="B1779" t="s">
        <v>115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1079</v>
      </c>
      <c r="P1779" s="20" t="s">
        <v>1088</v>
      </c>
      <c r="Q1779" s="1">
        <v>1</v>
      </c>
      <c r="R1779" s="1">
        <v>301</v>
      </c>
      <c r="U1779" s="12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1079</v>
      </c>
      <c r="P1780" s="20" t="s">
        <v>1088</v>
      </c>
      <c r="Q1780" s="1">
        <v>1</v>
      </c>
      <c r="R1780" s="1">
        <f t="shared" ref="R1780:R1783" si="68">R1779</f>
        <v>301</v>
      </c>
      <c r="U1780" s="12">
        <v>46023</v>
      </c>
    </row>
    <row r="1781" spans="1:21" x14ac:dyDescent="0.25">
      <c r="A1781" s="2">
        <v>44</v>
      </c>
      <c r="B1781" t="s">
        <v>382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1079</v>
      </c>
      <c r="P1781" s="20" t="s">
        <v>1088</v>
      </c>
      <c r="Q1781" s="1">
        <v>1</v>
      </c>
      <c r="R1781" s="1">
        <f t="shared" si="68"/>
        <v>301</v>
      </c>
      <c r="U1781" s="12">
        <v>46023</v>
      </c>
    </row>
    <row r="1782" spans="1:21" x14ac:dyDescent="0.25">
      <c r="A1782" s="2">
        <v>45</v>
      </c>
      <c r="B1782" t="s">
        <v>141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1079</v>
      </c>
      <c r="P1782" s="20" t="s">
        <v>1088</v>
      </c>
      <c r="Q1782" s="1">
        <v>1</v>
      </c>
      <c r="R1782" s="1">
        <f t="shared" si="68"/>
        <v>301</v>
      </c>
      <c r="U1782" s="12">
        <v>46023</v>
      </c>
    </row>
    <row r="1783" spans="1:21" x14ac:dyDescent="0.25">
      <c r="A1783" s="2">
        <v>46</v>
      </c>
      <c r="B1783" t="s">
        <v>117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1079</v>
      </c>
      <c r="P1783" s="20" t="s">
        <v>1088</v>
      </c>
      <c r="Q1783" s="1">
        <v>1</v>
      </c>
      <c r="R1783" s="1">
        <f t="shared" si="68"/>
        <v>301</v>
      </c>
      <c r="U1783" s="12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1079</v>
      </c>
      <c r="P1784" s="20" t="s">
        <v>1089</v>
      </c>
      <c r="Q1784" s="1">
        <v>1</v>
      </c>
      <c r="R1784" s="1">
        <v>302</v>
      </c>
      <c r="U1784" s="12">
        <v>46023</v>
      </c>
    </row>
    <row r="1785" spans="1:21" x14ac:dyDescent="0.25">
      <c r="A1785" s="2">
        <v>48</v>
      </c>
      <c r="B1785" t="s">
        <v>283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1079</v>
      </c>
      <c r="P1785" s="20" t="s">
        <v>1089</v>
      </c>
      <c r="Q1785" s="1">
        <v>1</v>
      </c>
      <c r="R1785" s="1">
        <f t="shared" ref="R1785:R1788" si="69">R1784</f>
        <v>302</v>
      </c>
      <c r="U1785" s="12">
        <v>46023</v>
      </c>
    </row>
    <row r="1786" spans="1:21" x14ac:dyDescent="0.25">
      <c r="A1786" s="2">
        <v>49</v>
      </c>
      <c r="B1786" t="s">
        <v>153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1079</v>
      </c>
      <c r="P1786" s="20" t="s">
        <v>1089</v>
      </c>
      <c r="Q1786" s="1">
        <v>1</v>
      </c>
      <c r="R1786" s="1">
        <f t="shared" si="69"/>
        <v>302</v>
      </c>
      <c r="U1786" s="12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1079</v>
      </c>
      <c r="P1787" s="20" t="s">
        <v>1089</v>
      </c>
      <c r="Q1787" s="1">
        <v>1</v>
      </c>
      <c r="R1787" s="1">
        <f t="shared" si="69"/>
        <v>302</v>
      </c>
      <c r="U1787" s="12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1079</v>
      </c>
      <c r="P1788" s="20" t="s">
        <v>1089</v>
      </c>
      <c r="Q1788" s="1">
        <v>1</v>
      </c>
      <c r="R1788" s="1">
        <f t="shared" si="69"/>
        <v>302</v>
      </c>
      <c r="U1788" s="12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2026-10-13T14:32:05Z</dcterms:modified>
</cp:coreProperties>
</file>